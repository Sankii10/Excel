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My Data\EXCEL\"/>
    </mc:Choice>
  </mc:AlternateContent>
  <xr:revisionPtr revIDLastSave="0" documentId="13_ncr:1_{C9C8756A-2A03-42E4-B2F9-3CE75ADF7E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0" i="1"/>
  <c r="R5" i="2" a="1"/>
  <c r="R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<sst xmlns="http://schemas.openxmlformats.org/spreadsheetml/2006/main" count="28072" uniqueCount="6222">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</sst>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164" fontId="0" fillId="0" borderId="1" xfId="0" applyNumberFormat="1" applyBorder="1"/>
    <xf numFmtId="9" fontId="0" fillId="4" borderId="1" xfId="0" applyNumberForma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topLeftCell="M1" workbookViewId="0">
      <selection activeCell="W7" sqref="W7"/>
    </sheetView>
  </sheetViews>
  <sheetFormatPr defaultRowHeight="14.4" x14ac:dyDescent="0.3"/>
  <cols>
    <col min="1" max="1" width="14.109375" bestFit="1" customWidth="1"/>
    <col min="2" max="2" width="21.6640625" bestFit="1" customWidth="1"/>
    <col min="3" max="3" width="15" bestFit="1" customWidth="1"/>
    <col min="4" max="4" width="20.6640625" bestFit="1" customWidth="1"/>
    <col min="5" max="5" width="17" bestFit="1" customWidth="1"/>
    <col min="6" max="6" width="22.33203125" bestFit="1" customWidth="1"/>
    <col min="7" max="7" width="24" bestFit="1" customWidth="1"/>
    <col min="8" max="8" width="24.88671875" bestFit="1" customWidth="1"/>
    <col min="9" max="9" width="38.44140625" customWidth="1"/>
    <col min="10" max="10" width="8.109375" bestFit="1" customWidth="1"/>
    <col min="11" max="11" width="7.44140625" bestFit="1" customWidth="1"/>
    <col min="12" max="12" width="12" bestFit="1" customWidth="1"/>
    <col min="13" max="13" width="14.109375" bestFit="1" customWidth="1"/>
    <col min="14" max="14" width="15.109375" bestFit="1" customWidth="1"/>
    <col min="15" max="15" width="15.44140625" bestFit="1" customWidth="1"/>
    <col min="16" max="16" width="24.33203125" bestFit="1" customWidth="1"/>
    <col min="17" max="17" width="20.5546875" bestFit="1" customWidth="1"/>
    <col min="18" max="18" width="17.109375" bestFit="1" customWidth="1"/>
    <col min="19" max="19" width="33.33203125" bestFit="1" customWidth="1"/>
    <col min="20" max="20" width="9" bestFit="1" customWidth="1"/>
    <col min="21" max="21" width="15" bestFit="1" customWidth="1"/>
  </cols>
  <sheetData>
    <row r="1" spans="1:21" ht="15.6" x14ac:dyDescent="0.3">
      <c r="T1" s="1" t="s">
        <v>0</v>
      </c>
      <c r="U1" s="1" t="s">
        <v>1</v>
      </c>
    </row>
    <row r="2" spans="1:21" x14ac:dyDescent="0.3">
      <c r="T2" s="2">
        <v>0</v>
      </c>
      <c r="U2" s="3">
        <v>0.02</v>
      </c>
    </row>
    <row r="3" spans="1:21" x14ac:dyDescent="0.3">
      <c r="T3" s="2">
        <v>5000</v>
      </c>
      <c r="U3" s="3">
        <v>0.05</v>
      </c>
    </row>
    <row r="4" spans="1:21" x14ac:dyDescent="0.3">
      <c r="T4" s="2">
        <v>25000</v>
      </c>
      <c r="U4" s="3">
        <v>7.0000000000000007E-2</v>
      </c>
    </row>
    <row r="5" spans="1:21" x14ac:dyDescent="0.3">
      <c r="T5" s="2">
        <v>50000</v>
      </c>
      <c r="U5" s="3">
        <v>0.09</v>
      </c>
    </row>
    <row r="6" spans="1:21" x14ac:dyDescent="0.3">
      <c r="T6" s="2">
        <v>100000</v>
      </c>
      <c r="U6" s="3">
        <v>0.12</v>
      </c>
    </row>
    <row r="7" spans="1:21" x14ac:dyDescent="0.3">
      <c r="G7" s="24" t="s">
        <v>6221</v>
      </c>
      <c r="H7" s="24"/>
      <c r="I7" s="24"/>
      <c r="M7" s="23" t="s">
        <v>6215</v>
      </c>
      <c r="N7" s="23" t="s">
        <v>6216</v>
      </c>
      <c r="P7" s="23" t="s">
        <v>6217</v>
      </c>
      <c r="Q7" s="23" t="s">
        <v>6218</v>
      </c>
      <c r="S7" s="23" t="s">
        <v>6219</v>
      </c>
      <c r="T7" s="2">
        <v>250000</v>
      </c>
      <c r="U7" s="3">
        <v>0.15</v>
      </c>
    </row>
    <row r="8" spans="1:21" x14ac:dyDescent="0.3">
      <c r="S8" s="23" t="s">
        <v>6220</v>
      </c>
    </row>
    <row r="9" spans="1:21" ht="15.6" x14ac:dyDescent="0.3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3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IFERROR(VLOOKUP('Customer Info'!A2,'Customer Info'!A2:C501,2,FALSE),"Not Found")</f>
        <v>Aaron</v>
      </c>
      <c r="H10" s="6" t="str">
        <f>IFERROR(VLOOKUP('Customer Info'!A2,'Customer Info'!A2:C501,3,FALSE),"Not Found")</f>
        <v>Bergman</v>
      </c>
      <c r="I10" s="6" t="str">
        <f>IFERROR(VLOOKUP('Customer Info'!A2,'Customer Info'!A2:E501,5,FALSE),"Not Found")</f>
        <v>Halle</v>
      </c>
      <c r="J10" s="2">
        <v>1834</v>
      </c>
      <c r="K10" s="2">
        <v>1716</v>
      </c>
      <c r="L10" s="2">
        <v>2</v>
      </c>
      <c r="M10" s="7">
        <f>$K10*$L10</f>
        <v>3432</v>
      </c>
      <c r="N10" s="7">
        <f>$J10*$L10</f>
        <v>3668</v>
      </c>
      <c r="O10" s="2">
        <v>53</v>
      </c>
      <c r="P10" s="8">
        <f>$N10+$O10</f>
        <v>3721</v>
      </c>
      <c r="Q10" s="8">
        <f>$N10-$K10</f>
        <v>1952</v>
      </c>
      <c r="R10" s="2" t="s">
        <v>26</v>
      </c>
      <c r="S10" s="9">
        <f xml:space="preserve"> P10 * VLOOKUP(P10, $T$2:$U$6, 2, TRUE)</f>
        <v>74.42</v>
      </c>
    </row>
    <row r="11" spans="1:21" x14ac:dyDescent="0.3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IFERROR(VLOOKUP('Customer Info'!A3,'Customer Info'!A3:C502,2,FALSE),"Not Found")</f>
        <v>Aaron</v>
      </c>
      <c r="H11" s="6" t="str">
        <f>IFERROR(VLOOKUP('Customer Info'!A3,'Customer Info'!A3:C502,3,FALSE),"Not Found")</f>
        <v>Smayling</v>
      </c>
      <c r="I11" s="6" t="str">
        <f>IFERROR(VLOOKUP('Customer Info'!A3,'Customer Info'!A3:E502,5,FALSE),"Not Found")</f>
        <v>Dresden</v>
      </c>
      <c r="J11" s="2">
        <v>4798</v>
      </c>
      <c r="K11" s="2">
        <v>4448</v>
      </c>
      <c r="L11" s="2">
        <v>6</v>
      </c>
      <c r="M11" s="7">
        <f t="shared" ref="M11:M74" si="0">$K11*$L11</f>
        <v>26688</v>
      </c>
      <c r="N11" s="7">
        <f t="shared" ref="N11:N74" si="1">$J11*$L11</f>
        <v>28788</v>
      </c>
      <c r="O11" s="2">
        <v>91</v>
      </c>
      <c r="P11" s="8">
        <f t="shared" ref="P11:P74" si="2">$N11+$O11</f>
        <v>28879</v>
      </c>
      <c r="Q11" s="8">
        <f t="shared" ref="Q11:Q74" si="3">$N11-$K11</f>
        <v>24340</v>
      </c>
      <c r="R11" s="2" t="s">
        <v>28</v>
      </c>
      <c r="S11" s="9">
        <f t="shared" ref="S11:S74" si="4" xml:space="preserve"> P11 * VLOOKUP(P11, $T$2:$U$6, 2, TRUE)</f>
        <v>2021.5300000000002</v>
      </c>
    </row>
    <row r="12" spans="1:21" x14ac:dyDescent="0.3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IFERROR(VLOOKUP('Customer Info'!A4,'Customer Info'!A4:C503,2,FALSE),"Not Found")</f>
        <v>Aaron</v>
      </c>
      <c r="H12" s="6" t="str">
        <f>IFERROR(VLOOKUP('Customer Info'!A4,'Customer Info'!A4:C503,3,FALSE),"Not Found")</f>
        <v>Smayling</v>
      </c>
      <c r="I12" s="6" t="str">
        <f>IFERROR(VLOOKUP('Customer Info'!A4,'Customer Info'!A4:E503,5,FALSE),"Not Found")</f>
        <v>Port Macquarie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8">
        <f t="shared" si="2"/>
        <v>8471</v>
      </c>
      <c r="Q12" s="8">
        <f t="shared" si="3"/>
        <v>5750</v>
      </c>
      <c r="R12" s="2" t="s">
        <v>28</v>
      </c>
      <c r="S12" s="9">
        <f t="shared" si="4"/>
        <v>423.55</v>
      </c>
    </row>
    <row r="13" spans="1:21" x14ac:dyDescent="0.3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IFERROR(VLOOKUP('Customer Info'!A5,'Customer Info'!A5:C504,2,FALSE),"Not Found")</f>
        <v>Aaron</v>
      </c>
      <c r="H13" s="6" t="str">
        <f>IFERROR(VLOOKUP('Customer Info'!A5,'Customer Info'!A5:C504,3,FALSE),"Not Found")</f>
        <v>Hawkins</v>
      </c>
      <c r="I13" s="6" t="str">
        <f>IFERROR(VLOOKUP('Customer Info'!A5,'Customer Info'!A5:E504,5,FALSE),"Not Found")</f>
        <v>Minden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8">
        <f t="shared" si="2"/>
        <v>3705</v>
      </c>
      <c r="Q13" s="8">
        <f t="shared" si="3"/>
        <v>1933</v>
      </c>
      <c r="R13" s="2" t="s">
        <v>28</v>
      </c>
      <c r="S13" s="9">
        <f t="shared" si="4"/>
        <v>74.100000000000009</v>
      </c>
    </row>
    <row r="14" spans="1:21" x14ac:dyDescent="0.3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IFERROR(VLOOKUP('Customer Info'!A6,'Customer Info'!A6:C505,2,FALSE),"Not Found")</f>
        <v>Adam</v>
      </c>
      <c r="H14" s="6" t="str">
        <f>IFERROR(VLOOKUP('Customer Info'!A6,'Customer Info'!A6:C505,3,FALSE),"Not Found")</f>
        <v>Bellavance</v>
      </c>
      <c r="I14" s="6" t="str">
        <f>IFERROR(VLOOKUP('Customer Info'!A6,'Customer Info'!A6:E505,5,FALSE),"Not Found")</f>
        <v>Kwinana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8">
        <f t="shared" si="2"/>
        <v>6738</v>
      </c>
      <c r="Q14" s="8">
        <f t="shared" si="3"/>
        <v>5036</v>
      </c>
      <c r="R14" s="2" t="s">
        <v>28</v>
      </c>
      <c r="S14" s="9">
        <f t="shared" si="4"/>
        <v>336.90000000000003</v>
      </c>
    </row>
    <row r="15" spans="1:21" x14ac:dyDescent="0.3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IFERROR(VLOOKUP('Customer Info'!A7,'Customer Info'!A7:C506,2,FALSE),"Not Found")</f>
        <v>Adam</v>
      </c>
      <c r="H15" s="6" t="str">
        <f>IFERROR(VLOOKUP('Customer Info'!A7,'Customer Info'!A7:C506,3,FALSE),"Not Found")</f>
        <v>Bellavance</v>
      </c>
      <c r="I15" s="6" t="str">
        <f>IFERROR(VLOOKUP('Customer Info'!A7,'Customer Info'!A7:E506,5,FALSE),"Not Found")</f>
        <v>Kaiyuan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8">
        <f t="shared" si="2"/>
        <v>592</v>
      </c>
      <c r="Q15" s="8">
        <f t="shared" si="3"/>
        <v>490</v>
      </c>
      <c r="R15" s="2" t="s">
        <v>28</v>
      </c>
      <c r="S15" s="9">
        <f t="shared" si="4"/>
        <v>11.84</v>
      </c>
    </row>
    <row r="16" spans="1:21" x14ac:dyDescent="0.3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IFERROR(VLOOKUP('Customer Info'!A8,'Customer Info'!A8:C507,2,FALSE),"Not Found")</f>
        <v>Adam</v>
      </c>
      <c r="H16" s="6" t="str">
        <f>IFERROR(VLOOKUP('Customer Info'!A8,'Customer Info'!A8:C507,3,FALSE),"Not Found")</f>
        <v>Bellavance</v>
      </c>
      <c r="I16" s="6" t="str">
        <f>IFERROR(VLOOKUP('Customer Info'!A8,'Customer Info'!A8:E507,5,FALSE),"Not Found")</f>
        <v>Medan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8">
        <f t="shared" si="2"/>
        <v>5678</v>
      </c>
      <c r="Q16" s="8">
        <f t="shared" si="3"/>
        <v>3023</v>
      </c>
      <c r="R16" s="2" t="s">
        <v>28</v>
      </c>
      <c r="S16" s="9">
        <f t="shared" si="4"/>
        <v>283.90000000000003</v>
      </c>
    </row>
    <row r="17" spans="1:19" x14ac:dyDescent="0.3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IFERROR(VLOOKUP('Customer Info'!A9,'Customer Info'!A9:C508,2,FALSE),"Not Found")</f>
        <v>Adrian</v>
      </c>
      <c r="H17" s="6" t="str">
        <f>IFERROR(VLOOKUP('Customer Info'!A9,'Customer Info'!A9:C508,3,FALSE),"Not Found")</f>
        <v>Barton</v>
      </c>
      <c r="I17" s="6" t="str">
        <f>IFERROR(VLOOKUP('Customer Info'!A9,'Customer Info'!A9:E508,5,FALSE),"Not Found")</f>
        <v>Wetzlar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8">
        <f t="shared" si="2"/>
        <v>444</v>
      </c>
      <c r="Q17" s="8">
        <f t="shared" si="3"/>
        <v>286</v>
      </c>
      <c r="R17" s="2" t="s">
        <v>28</v>
      </c>
      <c r="S17" s="9">
        <f t="shared" si="4"/>
        <v>8.8800000000000008</v>
      </c>
    </row>
    <row r="18" spans="1:19" x14ac:dyDescent="0.3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IFERROR(VLOOKUP('Customer Info'!A10,'Customer Info'!A10:C509,2,FALSE),"Not Found")</f>
        <v>Adrian</v>
      </c>
      <c r="H18" s="6" t="str">
        <f>IFERROR(VLOOKUP('Customer Info'!A10,'Customer Info'!A10:C509,3,FALSE),"Not Found")</f>
        <v>Barton</v>
      </c>
      <c r="I18" s="6" t="str">
        <f>IFERROR(VLOOKUP('Customer Info'!A10,'Customer Info'!A10:E509,5,FALSE),"Not Found")</f>
        <v>Zigong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8">
        <f t="shared" si="2"/>
        <v>516</v>
      </c>
      <c r="Q18" s="8">
        <f t="shared" si="3"/>
        <v>338</v>
      </c>
      <c r="R18" s="2" t="s">
        <v>28</v>
      </c>
      <c r="S18" s="9">
        <f t="shared" si="4"/>
        <v>10.32</v>
      </c>
    </row>
    <row r="19" spans="1:19" x14ac:dyDescent="0.3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IFERROR(VLOOKUP('Customer Info'!A11,'Customer Info'!A11:C510,2,FALSE),"Not Found")</f>
        <v>Alan</v>
      </c>
      <c r="H19" s="6" t="str">
        <f>IFERROR(VLOOKUP('Customer Info'!A11,'Customer Info'!A11:C510,3,FALSE),"Not Found")</f>
        <v>Shonely</v>
      </c>
      <c r="I19" s="6" t="str">
        <f>IFERROR(VLOOKUP('Customer Info'!A11,'Customer Info'!A11:E510,5,FALSE),"Not Found")</f>
        <v>Canberra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8">
        <f t="shared" si="2"/>
        <v>1694</v>
      </c>
      <c r="Q19" s="8">
        <f t="shared" si="3"/>
        <v>46</v>
      </c>
      <c r="R19" s="2" t="s">
        <v>50</v>
      </c>
      <c r="S19" s="9">
        <f t="shared" si="4"/>
        <v>33.880000000000003</v>
      </c>
    </row>
    <row r="20" spans="1:19" x14ac:dyDescent="0.3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IFERROR(VLOOKUP('Customer Info'!A12,'Customer Info'!A12:C511,2,FALSE),"Not Found")</f>
        <v>Alan</v>
      </c>
      <c r="H20" s="6" t="str">
        <f>IFERROR(VLOOKUP('Customer Info'!A12,'Customer Info'!A12:C511,3,FALSE),"Not Found")</f>
        <v>Schoenberger</v>
      </c>
      <c r="I20" s="6" t="str">
        <f>IFERROR(VLOOKUP('Customer Info'!A12,'Customer Info'!A12:E511,5,FALSE),"Not Found")</f>
        <v>Anshan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8">
        <f t="shared" si="2"/>
        <v>2784</v>
      </c>
      <c r="Q20" s="8">
        <f t="shared" si="3"/>
        <v>1454</v>
      </c>
      <c r="R20" s="2" t="s">
        <v>28</v>
      </c>
      <c r="S20" s="9">
        <f t="shared" si="4"/>
        <v>55.68</v>
      </c>
    </row>
    <row r="21" spans="1:19" x14ac:dyDescent="0.3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IFERROR(VLOOKUP('Customer Info'!A13,'Customer Info'!A13:C512,2,FALSE),"Not Found")</f>
        <v>Alejandro</v>
      </c>
      <c r="H21" s="6" t="str">
        <f>IFERROR(VLOOKUP('Customer Info'!A13,'Customer Info'!A13:C512,3,FALSE),"Not Found")</f>
        <v>Ballentine</v>
      </c>
      <c r="I21" s="6" t="str">
        <f>IFERROR(VLOOKUP('Customer Info'!A13,'Customer Info'!A13:E512,5,FALSE),"Not Found")</f>
        <v>Mannheim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8">
        <f t="shared" si="2"/>
        <v>368</v>
      </c>
      <c r="Q21" s="8">
        <f t="shared" si="3"/>
        <v>178</v>
      </c>
      <c r="R21" s="2" t="s">
        <v>56</v>
      </c>
      <c r="S21" s="9">
        <f t="shared" si="4"/>
        <v>7.36</v>
      </c>
    </row>
    <row r="22" spans="1:19" x14ac:dyDescent="0.3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IFERROR(VLOOKUP('Customer Info'!A14,'Customer Info'!A14:C513,2,FALSE),"Not Found")</f>
        <v>Alejandro</v>
      </c>
      <c r="H22" s="6" t="str">
        <f>IFERROR(VLOOKUP('Customer Info'!A14,'Customer Info'!A14:C513,3,FALSE),"Not Found")</f>
        <v>Grove</v>
      </c>
      <c r="I22" s="6" t="str">
        <f>IFERROR(VLOOKUP('Customer Info'!A14,'Customer Info'!A14:E513,5,FALSE),"Not Found")</f>
        <v>Whyalla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8">
        <f t="shared" si="2"/>
        <v>36606</v>
      </c>
      <c r="Q22" s="8">
        <f t="shared" si="3"/>
        <v>28397</v>
      </c>
      <c r="R22" s="2" t="s">
        <v>50</v>
      </c>
      <c r="S22" s="9">
        <f t="shared" si="4"/>
        <v>2562.42</v>
      </c>
    </row>
    <row r="23" spans="1:19" x14ac:dyDescent="0.3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IFERROR(VLOOKUP('Customer Info'!A15,'Customer Info'!A15:C514,2,FALSE),"Not Found")</f>
        <v>Alex</v>
      </c>
      <c r="H23" s="6" t="str">
        <f>IFERROR(VLOOKUP('Customer Info'!A15,'Customer Info'!A15:C514,3,FALSE),"Not Found")</f>
        <v>Grayson</v>
      </c>
      <c r="I23" s="6" t="str">
        <f>IFERROR(VLOOKUP('Customer Info'!A15,'Customer Info'!A15:E514,5,FALSE),"Not Found")</f>
        <v>Anyang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8">
        <f t="shared" si="2"/>
        <v>4196</v>
      </c>
      <c r="Q23" s="8">
        <f t="shared" si="3"/>
        <v>3491</v>
      </c>
      <c r="R23" s="2" t="s">
        <v>28</v>
      </c>
      <c r="S23" s="9">
        <f t="shared" si="4"/>
        <v>83.92</v>
      </c>
    </row>
    <row r="24" spans="1:19" x14ac:dyDescent="0.3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IFERROR(VLOOKUP('Customer Info'!A16,'Customer Info'!A16:C515,2,FALSE),"Not Found")</f>
        <v>Alex</v>
      </c>
      <c r="H24" s="6" t="str">
        <f>IFERROR(VLOOKUP('Customer Info'!A16,'Customer Info'!A16:C515,3,FALSE),"Not Found")</f>
        <v>Avila</v>
      </c>
      <c r="I24" s="6" t="str">
        <f>IFERROR(VLOOKUP('Customer Info'!A16,'Customer Info'!A16:E515,5,FALSE),"Not Found")</f>
        <v>Agra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8">
        <f t="shared" si="2"/>
        <v>598</v>
      </c>
      <c r="Q24" s="8">
        <f t="shared" si="3"/>
        <v>434</v>
      </c>
      <c r="R24" s="2" t="s">
        <v>56</v>
      </c>
      <c r="S24" s="9">
        <f t="shared" si="4"/>
        <v>11.96</v>
      </c>
    </row>
    <row r="25" spans="1:19" x14ac:dyDescent="0.3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>IFERROR(VLOOKUP('Customer Info'!A17,'Customer Info'!A17:C516,2,FALSE),"Not Found")</f>
        <v>Alex</v>
      </c>
      <c r="H25" s="6" t="str">
        <f>IFERROR(VLOOKUP('Customer Info'!A17,'Customer Info'!A17:C516,3,FALSE),"Not Found")</f>
        <v>Avila</v>
      </c>
      <c r="I25" s="6" t="str">
        <f>IFERROR(VLOOKUP('Customer Info'!A17,'Customer Info'!A17:E516,5,FALSE),"Not Found")</f>
        <v>Berlin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8">
        <f t="shared" si="2"/>
        <v>3622</v>
      </c>
      <c r="Q25" s="8">
        <f t="shared" si="3"/>
        <v>1930</v>
      </c>
      <c r="R25" s="2" t="s">
        <v>50</v>
      </c>
      <c r="S25" s="9">
        <f t="shared" si="4"/>
        <v>72.44</v>
      </c>
    </row>
    <row r="26" spans="1:19" x14ac:dyDescent="0.3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IFERROR(VLOOKUP('Customer Info'!A18,'Customer Info'!A18:C517,2,FALSE),"Not Found")</f>
        <v>Alex</v>
      </c>
      <c r="H26" s="6" t="str">
        <f>IFERROR(VLOOKUP('Customer Info'!A18,'Customer Info'!A18:C517,3,FALSE),"Not Found")</f>
        <v>Avila</v>
      </c>
      <c r="I26" s="6" t="str">
        <f>IFERROR(VLOOKUP('Customer Info'!A18,'Customer Info'!A18:E517,5,FALSE),"Not Found")</f>
        <v>Newcastle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8">
        <f t="shared" si="2"/>
        <v>19164</v>
      </c>
      <c r="Q26" s="8">
        <f t="shared" si="3"/>
        <v>17325</v>
      </c>
      <c r="R26" s="2" t="s">
        <v>28</v>
      </c>
      <c r="S26" s="9">
        <f t="shared" si="4"/>
        <v>958.2</v>
      </c>
    </row>
    <row r="27" spans="1:19" x14ac:dyDescent="0.3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IFERROR(VLOOKUP('Customer Info'!A19,'Customer Info'!A19:C518,2,FALSE),"Not Found")</f>
        <v>Alice</v>
      </c>
      <c r="H27" s="6" t="str">
        <f>IFERROR(VLOOKUP('Customer Info'!A19,'Customer Info'!A19:C518,3,FALSE),"Not Found")</f>
        <v>McCarthy</v>
      </c>
      <c r="I27" s="6" t="str">
        <f>IFERROR(VLOOKUP('Customer Info'!A19,'Customer Info'!A19:E518,5,FALSE),"Not Found")</f>
        <v>Berlin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8">
        <f t="shared" si="2"/>
        <v>51742</v>
      </c>
      <c r="Q27" s="8">
        <f t="shared" si="3"/>
        <v>43802</v>
      </c>
      <c r="R27" s="2" t="s">
        <v>28</v>
      </c>
      <c r="S27" s="9">
        <f t="shared" si="4"/>
        <v>4656.78</v>
      </c>
    </row>
    <row r="28" spans="1:19" x14ac:dyDescent="0.3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IFERROR(VLOOKUP('Customer Info'!A20,'Customer Info'!A20:C519,2,FALSE),"Not Found")</f>
        <v>Allen</v>
      </c>
      <c r="H28" s="6" t="str">
        <f>IFERROR(VLOOKUP('Customer Info'!A20,'Customer Info'!A20:C519,3,FALSE),"Not Found")</f>
        <v>Rosenblatt</v>
      </c>
      <c r="I28" s="6" t="str">
        <f>IFERROR(VLOOKUP('Customer Info'!A20,'Customer Info'!A20:E519,5,FALSE),"Not Found")</f>
        <v>Chaozhou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8">
        <f t="shared" si="2"/>
        <v>1699</v>
      </c>
      <c r="Q28" s="8">
        <f t="shared" si="3"/>
        <v>76</v>
      </c>
      <c r="R28" s="2" t="s">
        <v>50</v>
      </c>
      <c r="S28" s="9">
        <f t="shared" si="4"/>
        <v>33.980000000000004</v>
      </c>
    </row>
    <row r="29" spans="1:19" x14ac:dyDescent="0.3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IFERROR(VLOOKUP('Customer Info'!A21,'Customer Info'!A21:C520,2,FALSE),"Not Found")</f>
        <v>Allen</v>
      </c>
      <c r="H29" s="6" t="str">
        <f>IFERROR(VLOOKUP('Customer Info'!A21,'Customer Info'!A21:C520,3,FALSE),"Not Found")</f>
        <v>Armold</v>
      </c>
      <c r="I29" s="6" t="str">
        <f>IFERROR(VLOOKUP('Customer Info'!A21,'Customer Info'!A21:E520,5,FALSE),"Not Found")</f>
        <v>Wuchuan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8">
        <f t="shared" si="2"/>
        <v>423</v>
      </c>
      <c r="Q29" s="8">
        <f t="shared" si="3"/>
        <v>269</v>
      </c>
      <c r="R29" s="2" t="s">
        <v>50</v>
      </c>
      <c r="S29" s="9">
        <f t="shared" si="4"/>
        <v>8.4600000000000009</v>
      </c>
    </row>
    <row r="30" spans="1:19" x14ac:dyDescent="0.3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IFERROR(VLOOKUP('Customer Info'!A22,'Customer Info'!A22:C521,2,FALSE),"Not Found")</f>
        <v>Alyssa</v>
      </c>
      <c r="H30" s="6" t="str">
        <f>IFERROR(VLOOKUP('Customer Info'!A22,'Customer Info'!A22:C521,3,FALSE),"Not Found")</f>
        <v>Tate</v>
      </c>
      <c r="I30" s="6" t="str">
        <f>IFERROR(VLOOKUP('Customer Info'!A22,'Customer Info'!A22:E521,5,FALSE),"Not Found")</f>
        <v>Wafangdian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8">
        <f t="shared" si="2"/>
        <v>6878</v>
      </c>
      <c r="Q30" s="8">
        <f t="shared" si="3"/>
        <v>5180</v>
      </c>
      <c r="R30" s="2" t="s">
        <v>28</v>
      </c>
      <c r="S30" s="9">
        <f t="shared" si="4"/>
        <v>343.90000000000003</v>
      </c>
    </row>
    <row r="31" spans="1:19" x14ac:dyDescent="0.3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IFERROR(VLOOKUP('Customer Info'!A23,'Customer Info'!A23:C522,2,FALSE),"Not Found")</f>
        <v>Andrew</v>
      </c>
      <c r="H31" s="6" t="str">
        <f>IFERROR(VLOOKUP('Customer Info'!A23,'Customer Info'!A23:C522,3,FALSE),"Not Found")</f>
        <v>Gjertsen</v>
      </c>
      <c r="I31" s="6" t="str">
        <f>IFERROR(VLOOKUP('Customer Info'!A23,'Customer Info'!A23:E522,5,FALSE),"Not Found")</f>
        <v>Hamburg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8">
        <f t="shared" si="2"/>
        <v>12142</v>
      </c>
      <c r="Q31" s="8">
        <f t="shared" si="3"/>
        <v>6360</v>
      </c>
      <c r="R31" s="2" t="s">
        <v>50</v>
      </c>
      <c r="S31" s="9">
        <f t="shared" si="4"/>
        <v>607.1</v>
      </c>
    </row>
    <row r="32" spans="1:19" x14ac:dyDescent="0.3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IFERROR(VLOOKUP('Customer Info'!A24,'Customer Info'!A24:C523,2,FALSE),"Not Found")</f>
        <v>Andy</v>
      </c>
      <c r="H32" s="6" t="str">
        <f>IFERROR(VLOOKUP('Customer Info'!A24,'Customer Info'!A24:C523,3,FALSE),"Not Found")</f>
        <v>Yotov</v>
      </c>
      <c r="I32" s="6" t="str">
        <f>IFERROR(VLOOKUP('Customer Info'!A24,'Customer Info'!A24:E523,5,FALSE),"Not Found")</f>
        <v>Samarinda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8">
        <f t="shared" si="2"/>
        <v>609</v>
      </c>
      <c r="Q32" s="8">
        <f t="shared" si="3"/>
        <v>406</v>
      </c>
      <c r="R32" s="2" t="s">
        <v>28</v>
      </c>
      <c r="S32" s="9">
        <f t="shared" si="4"/>
        <v>12.18</v>
      </c>
    </row>
    <row r="33" spans="1:19" x14ac:dyDescent="0.3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IFERROR(VLOOKUP('Customer Info'!A25,'Customer Info'!A25:C524,2,FALSE),"Not Found")</f>
        <v>Anemone</v>
      </c>
      <c r="H33" s="6" t="str">
        <f>IFERROR(VLOOKUP('Customer Info'!A25,'Customer Info'!A25:C524,3,FALSE),"Not Found")</f>
        <v>Ratner</v>
      </c>
      <c r="I33" s="6" t="str">
        <f>IFERROR(VLOOKUP('Customer Info'!A25,'Customer Info'!A25:E524,5,FALSE),"Not Found")</f>
        <v>Pune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8">
        <f t="shared" si="2"/>
        <v>4497</v>
      </c>
      <c r="Q33" s="8">
        <f t="shared" si="3"/>
        <v>2363</v>
      </c>
      <c r="R33" s="2" t="s">
        <v>28</v>
      </c>
      <c r="S33" s="9">
        <f t="shared" si="4"/>
        <v>89.94</v>
      </c>
    </row>
    <row r="34" spans="1:19" x14ac:dyDescent="0.3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IFERROR(VLOOKUP('Customer Info'!A26,'Customer Info'!A26:C525,2,FALSE),"Not Found")</f>
        <v>Anemone</v>
      </c>
      <c r="H34" s="6" t="str">
        <f>IFERROR(VLOOKUP('Customer Info'!A26,'Customer Info'!A26:C525,3,FALSE),"Not Found")</f>
        <v>Ratner</v>
      </c>
      <c r="I34" s="6" t="str">
        <f>IFERROR(VLOOKUP('Customer Info'!A26,'Customer Info'!A26:E525,5,FALSE),"Not Found")</f>
        <v>Berlin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8">
        <f t="shared" si="2"/>
        <v>864</v>
      </c>
      <c r="Q34" s="8">
        <f t="shared" si="3"/>
        <v>701</v>
      </c>
      <c r="R34" s="2" t="s">
        <v>28</v>
      </c>
      <c r="S34" s="9">
        <f t="shared" si="4"/>
        <v>17.28</v>
      </c>
    </row>
    <row r="35" spans="1:19" x14ac:dyDescent="0.3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IFERROR(VLOOKUP('Customer Info'!A27,'Customer Info'!A27:C526,2,FALSE),"Not Found")</f>
        <v>Ann</v>
      </c>
      <c r="H35" s="6" t="str">
        <f>IFERROR(VLOOKUP('Customer Info'!A27,'Customer Info'!A27:C526,3,FALSE),"Not Found")</f>
        <v>Chong</v>
      </c>
      <c r="I35" s="6" t="str">
        <f>IFERROR(VLOOKUP('Customer Info'!A27,'Customer Info'!A27:E526,5,FALSE),"Not Found")</f>
        <v>Sydney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8">
        <f t="shared" si="2"/>
        <v>5836</v>
      </c>
      <c r="Q35" s="8">
        <f t="shared" si="3"/>
        <v>3941</v>
      </c>
      <c r="R35" s="2" t="s">
        <v>28</v>
      </c>
      <c r="S35" s="9">
        <f t="shared" si="4"/>
        <v>291.8</v>
      </c>
    </row>
    <row r="36" spans="1:19" x14ac:dyDescent="0.3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IFERROR(VLOOKUP('Customer Info'!A28,'Customer Info'!A28:C527,2,FALSE),"Not Found")</f>
        <v>Anna</v>
      </c>
      <c r="H36" s="6" t="str">
        <f>IFERROR(VLOOKUP('Customer Info'!A28,'Customer Info'!A28:C527,3,FALSE),"Not Found")</f>
        <v>Gayman</v>
      </c>
      <c r="I36" s="6" t="str">
        <f>IFERROR(VLOOKUP('Customer Info'!A28,'Customer Info'!A28:E527,5,FALSE),"Not Found")</f>
        <v>Surat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8">
        <f t="shared" si="2"/>
        <v>14796</v>
      </c>
      <c r="Q36" s="8">
        <f t="shared" si="3"/>
        <v>7957</v>
      </c>
      <c r="R36" s="2" t="s">
        <v>28</v>
      </c>
      <c r="S36" s="9">
        <f t="shared" si="4"/>
        <v>739.80000000000007</v>
      </c>
    </row>
    <row r="37" spans="1:19" x14ac:dyDescent="0.3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IFERROR(VLOOKUP('Customer Info'!A29,'Customer Info'!A29:C528,2,FALSE),"Not Found")</f>
        <v>Anna</v>
      </c>
      <c r="H37" s="6" t="str">
        <f>IFERROR(VLOOKUP('Customer Info'!A29,'Customer Info'!A29:C528,3,FALSE),"Not Found")</f>
        <v>Gayman</v>
      </c>
      <c r="I37" s="6" t="str">
        <f>IFERROR(VLOOKUP('Customer Info'!A29,'Customer Info'!A29:E528,5,FALSE),"Not Found")</f>
        <v>Jakarta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8">
        <f t="shared" si="2"/>
        <v>39361</v>
      </c>
      <c r="Q37" s="8">
        <f t="shared" si="3"/>
        <v>31757</v>
      </c>
      <c r="R37" s="2" t="s">
        <v>28</v>
      </c>
      <c r="S37" s="9">
        <f t="shared" si="4"/>
        <v>2755.2700000000004</v>
      </c>
    </row>
    <row r="38" spans="1:19" x14ac:dyDescent="0.3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IFERROR(VLOOKUP('Customer Info'!A30,'Customer Info'!A30:C529,2,FALSE),"Not Found")</f>
        <v>Annie</v>
      </c>
      <c r="H38" s="6" t="str">
        <f>IFERROR(VLOOKUP('Customer Info'!A30,'Customer Info'!A30:C529,3,FALSE),"Not Found")</f>
        <v>Thurman</v>
      </c>
      <c r="I38" s="6" t="str">
        <f>IFERROR(VLOOKUP('Customer Info'!A30,'Customer Info'!A30:E529,5,FALSE),"Not Found")</f>
        <v>Sydney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8">
        <f t="shared" si="2"/>
        <v>1026</v>
      </c>
      <c r="Q38" s="8">
        <f t="shared" si="3"/>
        <v>847</v>
      </c>
      <c r="R38" s="2" t="s">
        <v>50</v>
      </c>
      <c r="S38" s="9">
        <f t="shared" si="4"/>
        <v>20.52</v>
      </c>
    </row>
    <row r="39" spans="1:19" x14ac:dyDescent="0.3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IFERROR(VLOOKUP('Customer Info'!A31,'Customer Info'!A31:C530,2,FALSE),"Not Found")</f>
        <v>Annie</v>
      </c>
      <c r="H39" s="6" t="str">
        <f>IFERROR(VLOOKUP('Customer Info'!A31,'Customer Info'!A31:C530,3,FALSE),"Not Found")</f>
        <v>Zypern</v>
      </c>
      <c r="I39" s="6" t="str">
        <f>IFERROR(VLOOKUP('Customer Info'!A31,'Customer Info'!A31:E530,5,FALSE),"Not Found")</f>
        <v>Brisbane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8">
        <f t="shared" si="2"/>
        <v>601</v>
      </c>
      <c r="Q39" s="8">
        <f t="shared" si="3"/>
        <v>43</v>
      </c>
      <c r="R39" s="2" t="s">
        <v>50</v>
      </c>
      <c r="S39" s="9">
        <f t="shared" si="4"/>
        <v>12.02</v>
      </c>
    </row>
    <row r="40" spans="1:19" x14ac:dyDescent="0.3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IFERROR(VLOOKUP('Customer Info'!A32,'Customer Info'!A32:C531,2,FALSE),"Not Found")</f>
        <v>Anthony</v>
      </c>
      <c r="H40" s="6" t="str">
        <f>IFERROR(VLOOKUP('Customer Info'!A32,'Customer Info'!A32:C531,3,FALSE),"Not Found")</f>
        <v>Rawles</v>
      </c>
      <c r="I40" s="6" t="str">
        <f>IFERROR(VLOOKUP('Customer Info'!A32,'Customer Info'!A32:E531,5,FALSE),"Not Found")</f>
        <v>Samarinda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8">
        <f t="shared" si="2"/>
        <v>14745</v>
      </c>
      <c r="Q40" s="8">
        <f t="shared" si="3"/>
        <v>13142</v>
      </c>
      <c r="R40" s="2" t="s">
        <v>50</v>
      </c>
      <c r="S40" s="9">
        <f t="shared" si="4"/>
        <v>737.25</v>
      </c>
    </row>
    <row r="41" spans="1:19" x14ac:dyDescent="0.3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IFERROR(VLOOKUP('Customer Info'!A33,'Customer Info'!A33:C532,2,FALSE),"Not Found")</f>
        <v>Anthony</v>
      </c>
      <c r="H41" s="6" t="str">
        <f>IFERROR(VLOOKUP('Customer Info'!A33,'Customer Info'!A33:C532,3,FALSE),"Not Found")</f>
        <v>O'Donnell</v>
      </c>
      <c r="I41" s="6" t="str">
        <f>IFERROR(VLOOKUP('Customer Info'!A33,'Customer Info'!A33:E532,5,FALSE),"Not Found")</f>
        <v>Berlin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8">
        <f t="shared" si="2"/>
        <v>20650</v>
      </c>
      <c r="Q41" s="8">
        <f t="shared" si="3"/>
        <v>13925</v>
      </c>
      <c r="R41" s="2" t="s">
        <v>28</v>
      </c>
      <c r="S41" s="9">
        <f t="shared" si="4"/>
        <v>1032.5</v>
      </c>
    </row>
    <row r="42" spans="1:19" x14ac:dyDescent="0.3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IFERROR(VLOOKUP('Customer Info'!A34,'Customer Info'!A34:C533,2,FALSE),"Not Found")</f>
        <v>Anthony</v>
      </c>
      <c r="H42" s="6" t="str">
        <f>IFERROR(VLOOKUP('Customer Info'!A34,'Customer Info'!A34:C533,3,FALSE),"Not Found")</f>
        <v>Garverick</v>
      </c>
      <c r="I42" s="6" t="str">
        <f>IFERROR(VLOOKUP('Customer Info'!A34,'Customer Info'!A34:E533,5,FALSE),"Not Found")</f>
        <v>Delhi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8">
        <f t="shared" si="2"/>
        <v>793</v>
      </c>
      <c r="Q42" s="8">
        <f t="shared" si="3"/>
        <v>65</v>
      </c>
      <c r="R42" s="2" t="s">
        <v>50</v>
      </c>
      <c r="S42" s="9">
        <f t="shared" si="4"/>
        <v>15.860000000000001</v>
      </c>
    </row>
    <row r="43" spans="1:19" x14ac:dyDescent="0.3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IFERROR(VLOOKUP('Customer Info'!A35,'Customer Info'!A35:C534,2,FALSE),"Not Found")</f>
        <v>Anthony</v>
      </c>
      <c r="H43" s="6" t="str">
        <f>IFERROR(VLOOKUP('Customer Info'!A35,'Customer Info'!A35:C534,3,FALSE),"Not Found")</f>
        <v>O'Donnell</v>
      </c>
      <c r="I43" s="6" t="str">
        <f>IFERROR(VLOOKUP('Customer Info'!A35,'Customer Info'!A35:E534,5,FALSE),"Not Found")</f>
        <v>Perth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8">
        <f t="shared" si="2"/>
        <v>66</v>
      </c>
      <c r="Q43" s="8">
        <f t="shared" si="3"/>
        <v>2</v>
      </c>
      <c r="R43" s="2" t="s">
        <v>28</v>
      </c>
      <c r="S43" s="9">
        <f t="shared" si="4"/>
        <v>1.32</v>
      </c>
    </row>
    <row r="44" spans="1:19" x14ac:dyDescent="0.3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IFERROR(VLOOKUP('Customer Info'!A36,'Customer Info'!A36:C535,2,FALSE),"Not Found")</f>
        <v>Art</v>
      </c>
      <c r="H44" s="6" t="str">
        <f>IFERROR(VLOOKUP('Customer Info'!A36,'Customer Info'!A36:C535,3,FALSE),"Not Found")</f>
        <v>Foster</v>
      </c>
      <c r="I44" s="6" t="str">
        <f>IFERROR(VLOOKUP('Customer Info'!A36,'Customer Info'!A36:E535,5,FALSE),"Not Found")</f>
        <v>Devonport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8">
        <f t="shared" si="2"/>
        <v>16106</v>
      </c>
      <c r="Q44" s="8">
        <f t="shared" si="3"/>
        <v>12264</v>
      </c>
      <c r="R44" s="2" t="s">
        <v>50</v>
      </c>
      <c r="S44" s="9">
        <f t="shared" si="4"/>
        <v>805.30000000000007</v>
      </c>
    </row>
    <row r="45" spans="1:19" x14ac:dyDescent="0.3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IFERROR(VLOOKUP('Customer Info'!A37,'Customer Info'!A37:C536,2,FALSE),"Not Found")</f>
        <v>Arthur</v>
      </c>
      <c r="H45" s="6" t="str">
        <f>IFERROR(VLOOKUP('Customer Info'!A37,'Customer Info'!A37:C536,3,FALSE),"Not Found")</f>
        <v>Prichep</v>
      </c>
      <c r="I45" s="6" t="str">
        <f>IFERROR(VLOOKUP('Customer Info'!A37,'Customer Info'!A37:E536,5,FALSE),"Not Found")</f>
        <v>Minden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8">
        <f t="shared" si="2"/>
        <v>22121</v>
      </c>
      <c r="Q45" s="8">
        <f t="shared" si="3"/>
        <v>15307</v>
      </c>
      <c r="R45" s="2" t="s">
        <v>26</v>
      </c>
      <c r="S45" s="9">
        <f t="shared" si="4"/>
        <v>1106.05</v>
      </c>
    </row>
    <row r="46" spans="1:19" x14ac:dyDescent="0.3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IFERROR(VLOOKUP('Customer Info'!A38,'Customer Info'!A38:C537,2,FALSE),"Not Found")</f>
        <v>Barry</v>
      </c>
      <c r="H46" s="6" t="str">
        <f>IFERROR(VLOOKUP('Customer Info'!A38,'Customer Info'!A38:C537,3,FALSE),"Not Found")</f>
        <v>Blumstein</v>
      </c>
      <c r="I46" s="6" t="str">
        <f>IFERROR(VLOOKUP('Customer Info'!A38,'Customer Info'!A38:E537,5,FALSE),"Not Found")</f>
        <v>Toowoomba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8">
        <f t="shared" si="2"/>
        <v>1174</v>
      </c>
      <c r="Q46" s="8">
        <f t="shared" si="3"/>
        <v>1007</v>
      </c>
      <c r="R46" s="2" t="s">
        <v>56</v>
      </c>
      <c r="S46" s="9">
        <f t="shared" si="4"/>
        <v>23.48</v>
      </c>
    </row>
    <row r="47" spans="1:19" x14ac:dyDescent="0.3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IFERROR(VLOOKUP('Customer Info'!A39,'Customer Info'!A39:C538,2,FALSE),"Not Found")</f>
        <v>Barry</v>
      </c>
      <c r="H47" s="6" t="str">
        <f>IFERROR(VLOOKUP('Customer Info'!A39,'Customer Info'!A39:C538,3,FALSE),"Not Found")</f>
        <v>Franzšsisch</v>
      </c>
      <c r="I47" s="6" t="str">
        <f>IFERROR(VLOOKUP('Customer Info'!A39,'Customer Info'!A39:E538,5,FALSE),"Not Found")</f>
        <v>Bendigo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8">
        <f t="shared" si="2"/>
        <v>10078</v>
      </c>
      <c r="Q47" s="8">
        <f t="shared" si="3"/>
        <v>6871</v>
      </c>
      <c r="R47" s="2" t="s">
        <v>28</v>
      </c>
      <c r="S47" s="9">
        <f t="shared" si="4"/>
        <v>503.90000000000003</v>
      </c>
    </row>
    <row r="48" spans="1:19" x14ac:dyDescent="0.3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IFERROR(VLOOKUP('Customer Info'!A40,'Customer Info'!A40:C539,2,FALSE),"Not Found")</f>
        <v>Barry</v>
      </c>
      <c r="H48" s="6" t="str">
        <f>IFERROR(VLOOKUP('Customer Info'!A40,'Customer Info'!A40:C539,3,FALSE),"Not Found")</f>
        <v>Franzšsisch</v>
      </c>
      <c r="I48" s="6" t="str">
        <f>IFERROR(VLOOKUP('Customer Info'!A40,'Customer Info'!A40:E539,5,FALSE),"Not Found")</f>
        <v>Canberra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8">
        <f t="shared" si="2"/>
        <v>4187</v>
      </c>
      <c r="Q48" s="8">
        <f t="shared" si="3"/>
        <v>2285</v>
      </c>
      <c r="R48" s="2" t="s">
        <v>50</v>
      </c>
      <c r="S48" s="9">
        <f t="shared" si="4"/>
        <v>83.74</v>
      </c>
    </row>
    <row r="49" spans="1:19" x14ac:dyDescent="0.3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IFERROR(VLOOKUP('Customer Info'!A41,'Customer Info'!A41:C540,2,FALSE),"Not Found")</f>
        <v>Barry</v>
      </c>
      <c r="H49" s="6" t="str">
        <f>IFERROR(VLOOKUP('Customer Info'!A41,'Customer Info'!A41:C540,3,FALSE),"Not Found")</f>
        <v>Blumstein</v>
      </c>
      <c r="I49" s="6" t="str">
        <f>IFERROR(VLOOKUP('Customer Info'!A41,'Customer Info'!A41:E540,5,FALSE),"Not Found")</f>
        <v>Gold Coast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8">
        <f t="shared" si="2"/>
        <v>314</v>
      </c>
      <c r="Q49" s="8">
        <f t="shared" si="3"/>
        <v>150</v>
      </c>
      <c r="R49" s="2" t="s">
        <v>50</v>
      </c>
      <c r="S49" s="9">
        <f t="shared" si="4"/>
        <v>6.28</v>
      </c>
    </row>
    <row r="50" spans="1:19" x14ac:dyDescent="0.3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IFERROR(VLOOKUP('Customer Info'!A42,'Customer Info'!A42:C541,2,FALSE),"Not Found")</f>
        <v>Bart</v>
      </c>
      <c r="H50" s="6" t="str">
        <f>IFERROR(VLOOKUP('Customer Info'!A42,'Customer Info'!A42:C541,3,FALSE),"Not Found")</f>
        <v>Folk</v>
      </c>
      <c r="I50" s="6" t="str">
        <f>IFERROR(VLOOKUP('Customer Info'!A42,'Customer Info'!A42:E541,5,FALSE),"Not Found")</f>
        <v>Melbourne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8">
        <f t="shared" si="2"/>
        <v>4803</v>
      </c>
      <c r="Q50" s="8">
        <f t="shared" si="3"/>
        <v>3197</v>
      </c>
      <c r="R50" s="2" t="s">
        <v>28</v>
      </c>
      <c r="S50" s="9">
        <f t="shared" si="4"/>
        <v>96.06</v>
      </c>
    </row>
    <row r="51" spans="1:19" x14ac:dyDescent="0.3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>IFERROR(VLOOKUP('Customer Info'!A43,'Customer Info'!A43:C542,2,FALSE),"Not Found")</f>
        <v>Becky</v>
      </c>
      <c r="H51" s="6" t="str">
        <f>IFERROR(VLOOKUP('Customer Info'!A43,'Customer Info'!A43:C542,3,FALSE),"Not Found")</f>
        <v>Castell</v>
      </c>
      <c r="I51" s="6" t="str">
        <f>IFERROR(VLOOKUP('Customer Info'!A43,'Customer Info'!A43:E542,5,FALSE),"Not Found")</f>
        <v>Berlin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8">
        <f t="shared" si="2"/>
        <v>194</v>
      </c>
      <c r="Q51" s="8">
        <f t="shared" si="3"/>
        <v>102</v>
      </c>
      <c r="R51" s="2" t="s">
        <v>28</v>
      </c>
      <c r="S51" s="9">
        <f t="shared" si="4"/>
        <v>3.88</v>
      </c>
    </row>
    <row r="52" spans="1:19" x14ac:dyDescent="0.3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IFERROR(VLOOKUP('Customer Info'!A44,'Customer Info'!A44:C543,2,FALSE),"Not Found")</f>
        <v>Becky</v>
      </c>
      <c r="H52" s="6" t="str">
        <f>IFERROR(VLOOKUP('Customer Info'!A44,'Customer Info'!A44:C543,3,FALSE),"Not Found")</f>
        <v>Pak</v>
      </c>
      <c r="I52" s="6" t="str">
        <f>IFERROR(VLOOKUP('Customer Info'!A44,'Customer Info'!A44:E543,5,FALSE),"Not Found")</f>
        <v>Mandurah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8">
        <f t="shared" si="2"/>
        <v>559</v>
      </c>
      <c r="Q52" s="8">
        <f t="shared" si="3"/>
        <v>492</v>
      </c>
      <c r="R52" s="2" t="s">
        <v>28</v>
      </c>
      <c r="S52" s="9">
        <f t="shared" si="4"/>
        <v>11.18</v>
      </c>
    </row>
    <row r="53" spans="1:19" x14ac:dyDescent="0.3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IFERROR(VLOOKUP('Customer Info'!A45,'Customer Info'!A45:C544,2,FALSE),"Not Found")</f>
        <v>Becky</v>
      </c>
      <c r="H53" s="6" t="str">
        <f>IFERROR(VLOOKUP('Customer Info'!A45,'Customer Info'!A45:C544,3,FALSE),"Not Found")</f>
        <v>Pak</v>
      </c>
      <c r="I53" s="6" t="str">
        <f>IFERROR(VLOOKUP('Customer Info'!A45,'Customer Info'!A45:E544,5,FALSE),"Not Found")</f>
        <v>Geelong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8">
        <f t="shared" si="2"/>
        <v>13512</v>
      </c>
      <c r="Q53" s="8">
        <f t="shared" si="3"/>
        <v>9260</v>
      </c>
      <c r="R53" s="2" t="s">
        <v>28</v>
      </c>
      <c r="S53" s="9">
        <f t="shared" si="4"/>
        <v>675.6</v>
      </c>
    </row>
    <row r="54" spans="1:19" x14ac:dyDescent="0.3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IFERROR(VLOOKUP('Customer Info'!A46,'Customer Info'!A46:C545,2,FALSE),"Not Found")</f>
        <v>Ben</v>
      </c>
      <c r="H54" s="6" t="str">
        <f>IFERROR(VLOOKUP('Customer Info'!A46,'Customer Info'!A46:C545,3,FALSE),"Not Found")</f>
        <v>Peterman</v>
      </c>
      <c r="I54" s="6" t="str">
        <f>IFERROR(VLOOKUP('Customer Info'!A46,'Customer Info'!A46:E545,5,FALSE),"Not Found")</f>
        <v>Bielefeld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8">
        <f t="shared" si="2"/>
        <v>875</v>
      </c>
      <c r="Q54" s="8">
        <f t="shared" si="3"/>
        <v>685</v>
      </c>
      <c r="R54" s="2" t="s">
        <v>50</v>
      </c>
      <c r="S54" s="9">
        <f t="shared" si="4"/>
        <v>17.5</v>
      </c>
    </row>
    <row r="55" spans="1:19" x14ac:dyDescent="0.3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IFERROR(VLOOKUP('Customer Info'!A47,'Customer Info'!A47:C546,2,FALSE),"Not Found")</f>
        <v>Ben</v>
      </c>
      <c r="H55" s="6" t="str">
        <f>IFERROR(VLOOKUP('Customer Info'!A47,'Customer Info'!A47:C546,3,FALSE),"Not Found")</f>
        <v>Wallace</v>
      </c>
      <c r="I55" s="6" t="str">
        <f>IFERROR(VLOOKUP('Customer Info'!A47,'Customer Info'!A47:E546,5,FALSE),"Not Found")</f>
        <v>Shanghai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8">
        <f t="shared" si="2"/>
        <v>2423</v>
      </c>
      <c r="Q55" s="8">
        <f t="shared" si="3"/>
        <v>1886</v>
      </c>
      <c r="R55" s="2" t="s">
        <v>28</v>
      </c>
      <c r="S55" s="9">
        <f t="shared" si="4"/>
        <v>48.46</v>
      </c>
    </row>
    <row r="56" spans="1:19" x14ac:dyDescent="0.3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IFERROR(VLOOKUP('Customer Info'!A48,'Customer Info'!A48:C547,2,FALSE),"Not Found")</f>
        <v>Benjamin</v>
      </c>
      <c r="H56" s="6" t="str">
        <f>IFERROR(VLOOKUP('Customer Info'!A48,'Customer Info'!A48:C547,3,FALSE),"Not Found")</f>
        <v>Patterson</v>
      </c>
      <c r="I56" s="6" t="str">
        <f>IFERROR(VLOOKUP('Customer Info'!A48,'Customer Info'!A48:E547,5,FALSE),"Not Found")</f>
        <v>Wollongong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8">
        <f t="shared" si="2"/>
        <v>12298</v>
      </c>
      <c r="Q56" s="8">
        <f t="shared" si="3"/>
        <v>9906</v>
      </c>
      <c r="R56" s="2" t="s">
        <v>28</v>
      </c>
      <c r="S56" s="9">
        <f t="shared" si="4"/>
        <v>614.90000000000009</v>
      </c>
    </row>
    <row r="57" spans="1:19" x14ac:dyDescent="0.3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IFERROR(VLOOKUP('Customer Info'!A49,'Customer Info'!A49:C548,2,FALSE),"Not Found")</f>
        <v>Benjamin</v>
      </c>
      <c r="H57" s="6" t="str">
        <f>IFERROR(VLOOKUP('Customer Info'!A49,'Customer Info'!A49:C548,3,FALSE),"Not Found")</f>
        <v>Patterson</v>
      </c>
      <c r="I57" s="6" t="str">
        <f>IFERROR(VLOOKUP('Customer Info'!A49,'Customer Info'!A49:E548,5,FALSE),"Not Found")</f>
        <v>Tamworth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8">
        <f t="shared" si="2"/>
        <v>5891</v>
      </c>
      <c r="Q57" s="8">
        <f t="shared" si="3"/>
        <v>634</v>
      </c>
      <c r="R57" s="2" t="s">
        <v>28</v>
      </c>
      <c r="S57" s="9">
        <f t="shared" si="4"/>
        <v>294.55</v>
      </c>
    </row>
    <row r="58" spans="1:19" x14ac:dyDescent="0.3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IFERROR(VLOOKUP('Customer Info'!A50,'Customer Info'!A50:C549,2,FALSE),"Not Found")</f>
        <v>Beth</v>
      </c>
      <c r="H58" s="6" t="str">
        <f>IFERROR(VLOOKUP('Customer Info'!A50,'Customer Info'!A50:C549,3,FALSE),"Not Found")</f>
        <v>Thompson</v>
      </c>
      <c r="I58" s="6" t="str">
        <f>IFERROR(VLOOKUP('Customer Info'!A50,'Customer Info'!A50:E549,5,FALSE),"Not Found")</f>
        <v>Lohne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8">
        <f t="shared" si="2"/>
        <v>14164</v>
      </c>
      <c r="Q58" s="8">
        <f t="shared" si="3"/>
        <v>9751</v>
      </c>
      <c r="R58" s="2" t="s">
        <v>50</v>
      </c>
      <c r="S58" s="9">
        <f t="shared" si="4"/>
        <v>708.2</v>
      </c>
    </row>
    <row r="59" spans="1:19" x14ac:dyDescent="0.3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IFERROR(VLOOKUP('Customer Info'!A51,'Customer Info'!A51:C550,2,FALSE),"Not Found")</f>
        <v>Bill</v>
      </c>
      <c r="H59" s="6" t="str">
        <f>IFERROR(VLOOKUP('Customer Info'!A51,'Customer Info'!A51:C550,3,FALSE),"Not Found")</f>
        <v>Stewart</v>
      </c>
      <c r="I59" s="6" t="str">
        <f>IFERROR(VLOOKUP('Customer Info'!A51,'Customer Info'!A51:E550,5,FALSE),"Not Found")</f>
        <v>Wenling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8">
        <f t="shared" si="2"/>
        <v>766</v>
      </c>
      <c r="Q59" s="8">
        <f t="shared" si="3"/>
        <v>40</v>
      </c>
      <c r="R59" s="2" t="s">
        <v>28</v>
      </c>
      <c r="S59" s="9">
        <f t="shared" si="4"/>
        <v>15.32</v>
      </c>
    </row>
    <row r="60" spans="1:19" x14ac:dyDescent="0.3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IFERROR(VLOOKUP('Customer Info'!A52,'Customer Info'!A52:C551,2,FALSE),"Not Found")</f>
        <v>Bill</v>
      </c>
      <c r="H60" s="6" t="str">
        <f>IFERROR(VLOOKUP('Customer Info'!A52,'Customer Info'!A52:C551,3,FALSE),"Not Found")</f>
        <v>Eplett</v>
      </c>
      <c r="I60" s="6" t="str">
        <f>IFERROR(VLOOKUP('Customer Info'!A52,'Customer Info'!A52:E551,5,FALSE),"Not Found")</f>
        <v>Newcastle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8">
        <f t="shared" si="2"/>
        <v>3020</v>
      </c>
      <c r="Q60" s="8">
        <f t="shared" si="3"/>
        <v>2278</v>
      </c>
      <c r="R60" s="2" t="s">
        <v>28</v>
      </c>
      <c r="S60" s="9">
        <f t="shared" si="4"/>
        <v>60.4</v>
      </c>
    </row>
    <row r="61" spans="1:19" x14ac:dyDescent="0.3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IFERROR(VLOOKUP('Customer Info'!A53,'Customer Info'!A53:C552,2,FALSE),"Not Found")</f>
        <v>Bill</v>
      </c>
      <c r="H61" s="6" t="str">
        <f>IFERROR(VLOOKUP('Customer Info'!A53,'Customer Info'!A53:C552,3,FALSE),"Not Found")</f>
        <v>Shonely</v>
      </c>
      <c r="I61" s="6" t="str">
        <f>IFERROR(VLOOKUP('Customer Info'!A53,'Customer Info'!A53:E552,5,FALSE),"Not Found")</f>
        <v>Jinjiang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8">
        <f t="shared" si="2"/>
        <v>5901</v>
      </c>
      <c r="Q61" s="8">
        <f t="shared" si="3"/>
        <v>3147</v>
      </c>
      <c r="R61" s="2" t="s">
        <v>28</v>
      </c>
      <c r="S61" s="9">
        <f t="shared" si="4"/>
        <v>295.05</v>
      </c>
    </row>
    <row r="62" spans="1:19" x14ac:dyDescent="0.3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IFERROR(VLOOKUP('Customer Info'!A54,'Customer Info'!A54:C553,2,FALSE),"Not Found")</f>
        <v>Bill</v>
      </c>
      <c r="H62" s="6" t="str">
        <f>IFERROR(VLOOKUP('Customer Info'!A54,'Customer Info'!A54:C553,3,FALSE),"Not Found")</f>
        <v>Donatelli</v>
      </c>
      <c r="I62" s="6" t="str">
        <f>IFERROR(VLOOKUP('Customer Info'!A54,'Customer Info'!A54:E553,5,FALSE),"Not Found")</f>
        <v>Kamarhati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8">
        <f t="shared" si="2"/>
        <v>42050</v>
      </c>
      <c r="Q62" s="8">
        <f t="shared" si="3"/>
        <v>33994</v>
      </c>
      <c r="R62" s="2" t="s">
        <v>50</v>
      </c>
      <c r="S62" s="9">
        <f t="shared" si="4"/>
        <v>2943.5000000000005</v>
      </c>
    </row>
    <row r="63" spans="1:19" x14ac:dyDescent="0.3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IFERROR(VLOOKUP('Customer Info'!A55,'Customer Info'!A55:C554,2,FALSE),"Not Found")</f>
        <v>Bobby</v>
      </c>
      <c r="H63" s="6" t="str">
        <f>IFERROR(VLOOKUP('Customer Info'!A55,'Customer Info'!A55:C554,3,FALSE),"Not Found")</f>
        <v>Odegard</v>
      </c>
      <c r="I63" s="6" t="str">
        <f>IFERROR(VLOOKUP('Customer Info'!A55,'Customer Info'!A55:E554,5,FALSE),"Not Found")</f>
        <v>Adelaide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8">
        <f t="shared" si="2"/>
        <v>1891</v>
      </c>
      <c r="Q63" s="8">
        <f t="shared" si="3"/>
        <v>922</v>
      </c>
      <c r="R63" s="2" t="s">
        <v>28</v>
      </c>
      <c r="S63" s="9">
        <f t="shared" si="4"/>
        <v>37.82</v>
      </c>
    </row>
    <row r="64" spans="1:19" x14ac:dyDescent="0.3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>IFERROR(VLOOKUP('Customer Info'!A56,'Customer Info'!A56:C555,2,FALSE),"Not Found")</f>
        <v>Brad</v>
      </c>
      <c r="H64" s="6" t="str">
        <f>IFERROR(VLOOKUP('Customer Info'!A56,'Customer Info'!A56:C555,3,FALSE),"Not Found")</f>
        <v>Thomas</v>
      </c>
      <c r="I64" s="6" t="str">
        <f>IFERROR(VLOOKUP('Customer Info'!A56,'Customer Info'!A56:E555,5,FALSE),"Not Found")</f>
        <v>Udaipur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8">
        <f t="shared" si="2"/>
        <v>7749</v>
      </c>
      <c r="Q64" s="8">
        <f t="shared" si="3"/>
        <v>5197</v>
      </c>
      <c r="R64" s="2" t="s">
        <v>50</v>
      </c>
      <c r="S64" s="9">
        <f t="shared" si="4"/>
        <v>387.45000000000005</v>
      </c>
    </row>
    <row r="65" spans="1:19" x14ac:dyDescent="0.3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IFERROR(VLOOKUP('Customer Info'!A57,'Customer Info'!A57:C556,2,FALSE),"Not Found")</f>
        <v>Brad</v>
      </c>
      <c r="H65" s="6" t="str">
        <f>IFERROR(VLOOKUP('Customer Info'!A57,'Customer Info'!A57:C556,3,FALSE),"Not Found")</f>
        <v>Eason</v>
      </c>
      <c r="I65" s="6" t="str">
        <f>IFERROR(VLOOKUP('Customer Info'!A57,'Customer Info'!A57:E556,5,FALSE),"Not Found")</f>
        <v>Oberhausen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8">
        <f t="shared" si="2"/>
        <v>18688</v>
      </c>
      <c r="Q65" s="8">
        <f t="shared" si="3"/>
        <v>16835</v>
      </c>
      <c r="R65" s="2" t="s">
        <v>50</v>
      </c>
      <c r="S65" s="9">
        <f t="shared" si="4"/>
        <v>934.40000000000009</v>
      </c>
    </row>
    <row r="66" spans="1:19" x14ac:dyDescent="0.3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IFERROR(VLOOKUP('Customer Info'!A58,'Customer Info'!A58:C557,2,FALSE),"Not Found")</f>
        <v>Brad</v>
      </c>
      <c r="H66" s="6" t="str">
        <f>IFERROR(VLOOKUP('Customer Info'!A58,'Customer Info'!A58:C557,3,FALSE),"Not Found")</f>
        <v>Thomas</v>
      </c>
      <c r="I66" s="6" t="str">
        <f>IFERROR(VLOOKUP('Customer Info'!A58,'Customer Info'!A58:E557,5,FALSE),"Not Found")</f>
        <v>Bochum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8">
        <f t="shared" si="2"/>
        <v>15000</v>
      </c>
      <c r="Q66" s="8">
        <f t="shared" si="3"/>
        <v>8090</v>
      </c>
      <c r="R66" s="2" t="s">
        <v>28</v>
      </c>
      <c r="S66" s="9">
        <f t="shared" si="4"/>
        <v>750</v>
      </c>
    </row>
    <row r="67" spans="1:19" x14ac:dyDescent="0.3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>IFERROR(VLOOKUP('Customer Info'!A59,'Customer Info'!A59:C558,2,FALSE),"Not Found")</f>
        <v>Brad</v>
      </c>
      <c r="H67" s="6" t="str">
        <f>IFERROR(VLOOKUP('Customer Info'!A59,'Customer Info'!A59:C558,3,FALSE),"Not Found")</f>
        <v>Eason</v>
      </c>
      <c r="I67" s="6" t="str">
        <f>IFERROR(VLOOKUP('Customer Info'!A59,'Customer Info'!A59:E558,5,FALSE),"Not Found")</f>
        <v>Bogor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8">
        <f t="shared" si="2"/>
        <v>1040</v>
      </c>
      <c r="Q67" s="8">
        <f t="shared" si="3"/>
        <v>67</v>
      </c>
      <c r="R67" s="2" t="s">
        <v>50</v>
      </c>
      <c r="S67" s="9">
        <f t="shared" si="4"/>
        <v>20.8</v>
      </c>
    </row>
    <row r="68" spans="1:19" x14ac:dyDescent="0.3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>IFERROR(VLOOKUP('Customer Info'!A60,'Customer Info'!A60:C559,2,FALSE),"Not Found")</f>
        <v>Bradley</v>
      </c>
      <c r="H68" s="6" t="str">
        <f>IFERROR(VLOOKUP('Customer Info'!A60,'Customer Info'!A60:C559,3,FALSE),"Not Found")</f>
        <v>Drucker</v>
      </c>
      <c r="I68" s="6" t="str">
        <f>IFERROR(VLOOKUP('Customer Info'!A60,'Customer Info'!A60:E559,5,FALSE),"Not Found")</f>
        <v>Sydney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8">
        <f t="shared" si="2"/>
        <v>2054</v>
      </c>
      <c r="Q68" s="8">
        <f t="shared" si="3"/>
        <v>1034</v>
      </c>
      <c r="R68" s="2" t="s">
        <v>28</v>
      </c>
      <c r="S68" s="9">
        <f t="shared" si="4"/>
        <v>41.08</v>
      </c>
    </row>
    <row r="69" spans="1:19" x14ac:dyDescent="0.3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IFERROR(VLOOKUP('Customer Info'!A61,'Customer Info'!A61:C560,2,FALSE),"Not Found")</f>
        <v>Bradley</v>
      </c>
      <c r="H69" s="6" t="str">
        <f>IFERROR(VLOOKUP('Customer Info'!A61,'Customer Info'!A61:C560,3,FALSE),"Not Found")</f>
        <v>Nguyen</v>
      </c>
      <c r="I69" s="6" t="str">
        <f>IFERROR(VLOOKUP('Customer Info'!A61,'Customer Info'!A61:E560,5,FALSE),"Not Found")</f>
        <v>Shenzhen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8">
        <f t="shared" si="2"/>
        <v>2008</v>
      </c>
      <c r="Q69" s="8">
        <f t="shared" si="3"/>
        <v>1370</v>
      </c>
      <c r="R69" s="2" t="s">
        <v>50</v>
      </c>
      <c r="S69" s="9">
        <f t="shared" si="4"/>
        <v>40.160000000000004</v>
      </c>
    </row>
    <row r="70" spans="1:19" x14ac:dyDescent="0.3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IFERROR(VLOOKUP('Customer Info'!A62,'Customer Info'!A62:C561,2,FALSE),"Not Found")</f>
        <v>Brenda</v>
      </c>
      <c r="H70" s="6" t="str">
        <f>IFERROR(VLOOKUP('Customer Info'!A62,'Customer Info'!A62:C561,3,FALSE),"Not Found")</f>
        <v>Bowman</v>
      </c>
      <c r="I70" s="6" t="str">
        <f>IFERROR(VLOOKUP('Customer Info'!A62,'Customer Info'!A62:E561,5,FALSE),"Not Found")</f>
        <v>Perth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8">
        <f t="shared" si="2"/>
        <v>2899</v>
      </c>
      <c r="Q70" s="8">
        <f t="shared" si="3"/>
        <v>1961</v>
      </c>
      <c r="R70" s="2" t="s">
        <v>50</v>
      </c>
      <c r="S70" s="9">
        <f t="shared" si="4"/>
        <v>57.980000000000004</v>
      </c>
    </row>
    <row r="71" spans="1:19" x14ac:dyDescent="0.3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IFERROR(VLOOKUP('Customer Info'!A63,'Customer Info'!A63:C562,2,FALSE),"Not Found")</f>
        <v>Brendan</v>
      </c>
      <c r="H71" s="6" t="str">
        <f>IFERROR(VLOOKUP('Customer Info'!A63,'Customer Info'!A63:C562,3,FALSE),"Not Found")</f>
        <v>Murry</v>
      </c>
      <c r="I71" s="6" t="str">
        <f>IFERROR(VLOOKUP('Customer Info'!A63,'Customer Info'!A63:E562,5,FALSE),"Not Found")</f>
        <v>Schwerin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8">
        <f t="shared" si="2"/>
        <v>166</v>
      </c>
      <c r="Q71" s="8">
        <f t="shared" si="3"/>
        <v>82</v>
      </c>
      <c r="R71" s="2" t="s">
        <v>26</v>
      </c>
      <c r="S71" s="9">
        <f t="shared" si="4"/>
        <v>3.3200000000000003</v>
      </c>
    </row>
    <row r="72" spans="1:19" x14ac:dyDescent="0.3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>IFERROR(VLOOKUP('Customer Info'!A64,'Customer Info'!A64:C563,2,FALSE),"Not Found")</f>
        <v>Brendan</v>
      </c>
      <c r="H72" s="6" t="str">
        <f>IFERROR(VLOOKUP('Customer Info'!A64,'Customer Info'!A64:C563,3,FALSE),"Not Found")</f>
        <v>Dodson</v>
      </c>
      <c r="I72" s="6" t="str">
        <f>IFERROR(VLOOKUP('Customer Info'!A64,'Customer Info'!A64:E563,5,FALSE),"Not Found")</f>
        <v>Adelaide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8">
        <f t="shared" si="2"/>
        <v>29341</v>
      </c>
      <c r="Q72" s="8">
        <f t="shared" si="3"/>
        <v>22293</v>
      </c>
      <c r="R72" s="2" t="s">
        <v>28</v>
      </c>
      <c r="S72" s="9">
        <f t="shared" si="4"/>
        <v>2053.8700000000003</v>
      </c>
    </row>
    <row r="73" spans="1:19" x14ac:dyDescent="0.3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IFERROR(VLOOKUP('Customer Info'!A65,'Customer Info'!A65:C564,2,FALSE),"Not Found")</f>
        <v>Brendan</v>
      </c>
      <c r="H73" s="6" t="str">
        <f>IFERROR(VLOOKUP('Customer Info'!A65,'Customer Info'!A65:C564,3,FALSE),"Not Found")</f>
        <v>Murry</v>
      </c>
      <c r="I73" s="6" t="str">
        <f>IFERROR(VLOOKUP('Customer Info'!A65,'Customer Info'!A65:E564,5,FALSE),"Not Found")</f>
        <v>Brahmapur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8">
        <f t="shared" si="2"/>
        <v>2075</v>
      </c>
      <c r="Q73" s="8">
        <f t="shared" si="3"/>
        <v>1065</v>
      </c>
      <c r="R73" s="2" t="s">
        <v>28</v>
      </c>
      <c r="S73" s="9">
        <f t="shared" si="4"/>
        <v>41.5</v>
      </c>
    </row>
    <row r="74" spans="1:19" x14ac:dyDescent="0.3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IFERROR(VLOOKUP('Customer Info'!A66,'Customer Info'!A66:C565,2,FALSE),"Not Found")</f>
        <v>Brian</v>
      </c>
      <c r="H74" s="6" t="str">
        <f>IFERROR(VLOOKUP('Customer Info'!A66,'Customer Info'!A66:C565,3,FALSE),"Not Found")</f>
        <v>Stugart</v>
      </c>
      <c r="I74" s="6" t="str">
        <f>IFERROR(VLOOKUP('Customer Info'!A66,'Customer Info'!A66:E565,5,FALSE),"Not Found")</f>
        <v>Jakarta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8">
        <f t="shared" si="2"/>
        <v>1930</v>
      </c>
      <c r="Q74" s="8">
        <f t="shared" si="3"/>
        <v>1007</v>
      </c>
      <c r="R74" s="2" t="s">
        <v>56</v>
      </c>
      <c r="S74" s="9">
        <f t="shared" si="4"/>
        <v>38.6</v>
      </c>
    </row>
    <row r="75" spans="1:19" x14ac:dyDescent="0.3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IFERROR(VLOOKUP('Customer Info'!A67,'Customer Info'!A67:C566,2,FALSE),"Not Found")</f>
        <v>Brian</v>
      </c>
      <c r="H75" s="6" t="str">
        <f>IFERROR(VLOOKUP('Customer Info'!A67,'Customer Info'!A67:C566,3,FALSE),"Not Found")</f>
        <v>Stugart</v>
      </c>
      <c r="I75" s="6" t="str">
        <f>IFERROR(VLOOKUP('Customer Info'!A67,'Customer Info'!A67:E566,5,FALSE),"Not Found")</f>
        <v>Jakarta</v>
      </c>
      <c r="J75" s="2">
        <v>2857</v>
      </c>
      <c r="K75" s="2">
        <v>2622</v>
      </c>
      <c r="L75" s="2">
        <v>7</v>
      </c>
      <c r="M75" s="7">
        <f t="shared" ref="M75:M138" si="5">$K75*$L75</f>
        <v>18354</v>
      </c>
      <c r="N75" s="7">
        <f t="shared" ref="N75:N138" si="6">$J75*$L75</f>
        <v>19999</v>
      </c>
      <c r="O75" s="2">
        <v>82</v>
      </c>
      <c r="P75" s="8">
        <f t="shared" ref="P75:P138" si="7">$N75+$O75</f>
        <v>20081</v>
      </c>
      <c r="Q75" s="8">
        <f t="shared" ref="Q75:Q138" si="8">$N75-$K75</f>
        <v>17377</v>
      </c>
      <c r="R75" s="2" t="s">
        <v>50</v>
      </c>
      <c r="S75" s="9">
        <f t="shared" ref="S75:S138" si="9" xml:space="preserve"> P75 * VLOOKUP(P75, $T$2:$U$6, 2, TRUE)</f>
        <v>1004.0500000000001</v>
      </c>
    </row>
    <row r="76" spans="1:19" x14ac:dyDescent="0.3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IFERROR(VLOOKUP('Customer Info'!A68,'Customer Info'!A68:C567,2,FALSE),"Not Found")</f>
        <v>Brian</v>
      </c>
      <c r="H76" s="6" t="str">
        <f>IFERROR(VLOOKUP('Customer Info'!A68,'Customer Info'!A68:C567,3,FALSE),"Not Found")</f>
        <v>Dahlen</v>
      </c>
      <c r="I76" s="6" t="str">
        <f>IFERROR(VLOOKUP('Customer Info'!A68,'Customer Info'!A68:E567,5,FALSE),"Not Found")</f>
        <v>Shantou</v>
      </c>
      <c r="J76" s="2">
        <v>2333</v>
      </c>
      <c r="K76" s="2">
        <v>2060</v>
      </c>
      <c r="L76" s="2">
        <v>2</v>
      </c>
      <c r="M76" s="7">
        <f t="shared" si="5"/>
        <v>4120</v>
      </c>
      <c r="N76" s="7">
        <f t="shared" si="6"/>
        <v>4666</v>
      </c>
      <c r="O76" s="2">
        <v>64</v>
      </c>
      <c r="P76" s="8">
        <f t="shared" si="7"/>
        <v>4730</v>
      </c>
      <c r="Q76" s="8">
        <f t="shared" si="8"/>
        <v>2606</v>
      </c>
      <c r="R76" s="2" t="s">
        <v>28</v>
      </c>
      <c r="S76" s="9">
        <f t="shared" si="9"/>
        <v>94.600000000000009</v>
      </c>
    </row>
    <row r="77" spans="1:19" x14ac:dyDescent="0.3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IFERROR(VLOOKUP('Customer Info'!A69,'Customer Info'!A69:C568,2,FALSE),"Not Found")</f>
        <v>Brian</v>
      </c>
      <c r="H77" s="6" t="str">
        <f>IFERROR(VLOOKUP('Customer Info'!A69,'Customer Info'!A69:C568,3,FALSE),"Not Found")</f>
        <v>DeCherney</v>
      </c>
      <c r="I77" s="6" t="str">
        <f>IFERROR(VLOOKUP('Customer Info'!A69,'Customer Info'!A69:E568,5,FALSE),"Not Found")</f>
        <v>Kendari</v>
      </c>
      <c r="J77" s="2">
        <v>1601</v>
      </c>
      <c r="K77" s="2">
        <v>1510</v>
      </c>
      <c r="L77" s="2">
        <v>1</v>
      </c>
      <c r="M77" s="7">
        <f t="shared" si="5"/>
        <v>1510</v>
      </c>
      <c r="N77" s="7">
        <f t="shared" si="6"/>
        <v>1601</v>
      </c>
      <c r="O77" s="2">
        <v>82</v>
      </c>
      <c r="P77" s="8">
        <f t="shared" si="7"/>
        <v>1683</v>
      </c>
      <c r="Q77" s="8">
        <f t="shared" si="8"/>
        <v>91</v>
      </c>
      <c r="R77" s="2" t="s">
        <v>50</v>
      </c>
      <c r="S77" s="9">
        <f t="shared" si="9"/>
        <v>33.660000000000004</v>
      </c>
    </row>
    <row r="78" spans="1:19" x14ac:dyDescent="0.3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IFERROR(VLOOKUP('Customer Info'!A70,'Customer Info'!A70:C569,2,FALSE),"Not Found")</f>
        <v>Brooke</v>
      </c>
      <c r="H78" s="6" t="str">
        <f>IFERROR(VLOOKUP('Customer Info'!A70,'Customer Info'!A70:C569,3,FALSE),"Not Found")</f>
        <v>Gillingham</v>
      </c>
      <c r="I78" s="6" t="str">
        <f>IFERROR(VLOOKUP('Customer Info'!A70,'Customer Info'!A70:E569,5,FALSE),"Not Found")</f>
        <v>Mysore</v>
      </c>
      <c r="J78" s="2">
        <v>954</v>
      </c>
      <c r="K78" s="2">
        <v>901</v>
      </c>
      <c r="L78" s="2">
        <v>1</v>
      </c>
      <c r="M78" s="7">
        <f t="shared" si="5"/>
        <v>901</v>
      </c>
      <c r="N78" s="7">
        <f t="shared" si="6"/>
        <v>954</v>
      </c>
      <c r="O78" s="2">
        <v>32</v>
      </c>
      <c r="P78" s="8">
        <f t="shared" si="7"/>
        <v>986</v>
      </c>
      <c r="Q78" s="8">
        <f t="shared" si="8"/>
        <v>53</v>
      </c>
      <c r="R78" s="2" t="s">
        <v>28</v>
      </c>
      <c r="S78" s="9">
        <f t="shared" si="9"/>
        <v>19.72</v>
      </c>
    </row>
    <row r="79" spans="1:19" x14ac:dyDescent="0.3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IFERROR(VLOOKUP('Customer Info'!A71,'Customer Info'!A71:C570,2,FALSE),"Not Found")</f>
        <v>Brooke</v>
      </c>
      <c r="H79" s="6" t="str">
        <f>IFERROR(VLOOKUP('Customer Info'!A71,'Customer Info'!A71:C570,3,FALSE),"Not Found")</f>
        <v>Gillingham</v>
      </c>
      <c r="I79" s="6" t="str">
        <f>IFERROR(VLOOKUP('Customer Info'!A71,'Customer Info'!A71:E570,5,FALSE),"Not Found")</f>
        <v>Sunbury</v>
      </c>
      <c r="J79" s="2">
        <v>8889</v>
      </c>
      <c r="K79" s="2">
        <v>8469</v>
      </c>
      <c r="L79" s="2">
        <v>4</v>
      </c>
      <c r="M79" s="7">
        <f t="shared" si="5"/>
        <v>33876</v>
      </c>
      <c r="N79" s="7">
        <f t="shared" si="6"/>
        <v>35556</v>
      </c>
      <c r="O79" s="2">
        <v>52</v>
      </c>
      <c r="P79" s="8">
        <f t="shared" si="7"/>
        <v>35608</v>
      </c>
      <c r="Q79" s="8">
        <f t="shared" si="8"/>
        <v>27087</v>
      </c>
      <c r="R79" s="2" t="s">
        <v>28</v>
      </c>
      <c r="S79" s="9">
        <f t="shared" si="9"/>
        <v>2492.5600000000004</v>
      </c>
    </row>
    <row r="80" spans="1:19" x14ac:dyDescent="0.3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IFERROR(VLOOKUP('Customer Info'!A72,'Customer Info'!A72:C571,2,FALSE),"Not Found")</f>
        <v>Brooke</v>
      </c>
      <c r="H80" s="6" t="str">
        <f>IFERROR(VLOOKUP('Customer Info'!A72,'Customer Info'!A72:C571,3,FALSE),"Not Found")</f>
        <v>Gillingham</v>
      </c>
      <c r="I80" s="6" t="str">
        <f>IFERROR(VLOOKUP('Customer Info'!A72,'Customer Info'!A72:E571,5,FALSE),"Not Found")</f>
        <v>Geraldton</v>
      </c>
      <c r="J80" s="2">
        <v>1637</v>
      </c>
      <c r="K80" s="2">
        <v>1532</v>
      </c>
      <c r="L80" s="2">
        <v>12</v>
      </c>
      <c r="M80" s="7">
        <f t="shared" si="5"/>
        <v>18384</v>
      </c>
      <c r="N80" s="7">
        <f t="shared" si="6"/>
        <v>19644</v>
      </c>
      <c r="O80" s="2">
        <v>94</v>
      </c>
      <c r="P80" s="8">
        <f t="shared" si="7"/>
        <v>19738</v>
      </c>
      <c r="Q80" s="8">
        <f t="shared" si="8"/>
        <v>18112</v>
      </c>
      <c r="R80" s="2" t="s">
        <v>28</v>
      </c>
      <c r="S80" s="9">
        <f t="shared" si="9"/>
        <v>986.90000000000009</v>
      </c>
    </row>
    <row r="81" spans="1:19" x14ac:dyDescent="0.3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IFERROR(VLOOKUP('Customer Info'!A73,'Customer Info'!A73:C572,2,FALSE),"Not Found")</f>
        <v>Brooke</v>
      </c>
      <c r="H81" s="6" t="str">
        <f>IFERROR(VLOOKUP('Customer Info'!A73,'Customer Info'!A73:C572,3,FALSE),"Not Found")</f>
        <v>Gillingham</v>
      </c>
      <c r="I81" s="6" t="str">
        <f>IFERROR(VLOOKUP('Customer Info'!A73,'Customer Info'!A73:E572,5,FALSE),"Not Found")</f>
        <v>Weimar</v>
      </c>
      <c r="J81" s="2">
        <v>2515</v>
      </c>
      <c r="K81" s="2">
        <v>2397</v>
      </c>
      <c r="L81" s="2">
        <v>7</v>
      </c>
      <c r="M81" s="7">
        <f t="shared" si="5"/>
        <v>16779</v>
      </c>
      <c r="N81" s="7">
        <f t="shared" si="6"/>
        <v>17605</v>
      </c>
      <c r="O81" s="2">
        <v>46</v>
      </c>
      <c r="P81" s="8">
        <f t="shared" si="7"/>
        <v>17651</v>
      </c>
      <c r="Q81" s="8">
        <f t="shared" si="8"/>
        <v>15208</v>
      </c>
      <c r="R81" s="2" t="s">
        <v>56</v>
      </c>
      <c r="S81" s="9">
        <f t="shared" si="9"/>
        <v>882.55000000000007</v>
      </c>
    </row>
    <row r="82" spans="1:19" x14ac:dyDescent="0.3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IFERROR(VLOOKUP('Customer Info'!A74,'Customer Info'!A74:C573,2,FALSE),"Not Found")</f>
        <v>Bruce</v>
      </c>
      <c r="H82" s="6" t="str">
        <f>IFERROR(VLOOKUP('Customer Info'!A74,'Customer Info'!A74:C573,3,FALSE),"Not Found")</f>
        <v>Geld</v>
      </c>
      <c r="I82" s="6" t="str">
        <f>IFERROR(VLOOKUP('Customer Info'!A74,'Customer Info'!A74:E573,5,FALSE),"Not Found")</f>
        <v>Wollongong</v>
      </c>
      <c r="J82" s="2">
        <v>1798</v>
      </c>
      <c r="K82" s="2">
        <v>1666</v>
      </c>
      <c r="L82" s="2">
        <v>2</v>
      </c>
      <c r="M82" s="7">
        <f t="shared" si="5"/>
        <v>3332</v>
      </c>
      <c r="N82" s="7">
        <f t="shared" si="6"/>
        <v>3596</v>
      </c>
      <c r="O82" s="2">
        <v>78</v>
      </c>
      <c r="P82" s="8">
        <f t="shared" si="7"/>
        <v>3674</v>
      </c>
      <c r="Q82" s="8">
        <f t="shared" si="8"/>
        <v>1930</v>
      </c>
      <c r="R82" s="2" t="s">
        <v>50</v>
      </c>
      <c r="S82" s="9">
        <f t="shared" si="9"/>
        <v>73.48</v>
      </c>
    </row>
    <row r="83" spans="1:19" x14ac:dyDescent="0.3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IFERROR(VLOOKUP('Customer Info'!A75,'Customer Info'!A75:C574,2,FALSE),"Not Found")</f>
        <v>Bryan</v>
      </c>
      <c r="H83" s="6" t="str">
        <f>IFERROR(VLOOKUP('Customer Info'!A75,'Customer Info'!A75:C574,3,FALSE),"Not Found")</f>
        <v>Spruell</v>
      </c>
      <c r="I83" s="6" t="str">
        <f>IFERROR(VLOOKUP('Customer Info'!A75,'Customer Info'!A75:E574,5,FALSE),"Not Found")</f>
        <v>Bekasi</v>
      </c>
      <c r="J83" s="2">
        <v>626</v>
      </c>
      <c r="K83" s="2">
        <v>559</v>
      </c>
      <c r="L83" s="2">
        <v>5</v>
      </c>
      <c r="M83" s="7">
        <f t="shared" si="5"/>
        <v>2795</v>
      </c>
      <c r="N83" s="7">
        <f t="shared" si="6"/>
        <v>3130</v>
      </c>
      <c r="O83" s="2">
        <v>29</v>
      </c>
      <c r="P83" s="8">
        <f t="shared" si="7"/>
        <v>3159</v>
      </c>
      <c r="Q83" s="8">
        <f t="shared" si="8"/>
        <v>2571</v>
      </c>
      <c r="R83" s="2" t="s">
        <v>28</v>
      </c>
      <c r="S83" s="9">
        <f t="shared" si="9"/>
        <v>63.18</v>
      </c>
    </row>
    <row r="84" spans="1:19" x14ac:dyDescent="0.3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IFERROR(VLOOKUP('Customer Info'!A76,'Customer Info'!A76:C575,2,FALSE),"Not Found")</f>
        <v>Bryan</v>
      </c>
      <c r="H84" s="6" t="str">
        <f>IFERROR(VLOOKUP('Customer Info'!A76,'Customer Info'!A76:C575,3,FALSE),"Not Found")</f>
        <v>Davis</v>
      </c>
      <c r="I84" s="6" t="str">
        <f>IFERROR(VLOOKUP('Customer Info'!A76,'Customer Info'!A76:E575,5,FALSE),"Not Found")</f>
        <v>Delhi</v>
      </c>
      <c r="J84" s="2">
        <v>1734</v>
      </c>
      <c r="K84" s="2">
        <v>1702</v>
      </c>
      <c r="L84" s="2">
        <v>4</v>
      </c>
      <c r="M84" s="7">
        <f t="shared" si="5"/>
        <v>6808</v>
      </c>
      <c r="N84" s="7">
        <f t="shared" si="6"/>
        <v>6936</v>
      </c>
      <c r="O84" s="2">
        <v>68</v>
      </c>
      <c r="P84" s="8">
        <f t="shared" si="7"/>
        <v>7004</v>
      </c>
      <c r="Q84" s="8">
        <f t="shared" si="8"/>
        <v>5234</v>
      </c>
      <c r="R84" s="2" t="s">
        <v>28</v>
      </c>
      <c r="S84" s="9">
        <f t="shared" si="9"/>
        <v>350.20000000000005</v>
      </c>
    </row>
    <row r="85" spans="1:19" x14ac:dyDescent="0.3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IFERROR(VLOOKUP('Customer Info'!A77,'Customer Info'!A77:C576,2,FALSE),"Not Found")</f>
        <v>Candace</v>
      </c>
      <c r="H85" s="6" t="str">
        <f>IFERROR(VLOOKUP('Customer Info'!A77,'Customer Info'!A77:C576,3,FALSE),"Not Found")</f>
        <v>McMahon</v>
      </c>
      <c r="I85" s="6" t="str">
        <f>IFERROR(VLOOKUP('Customer Info'!A77,'Customer Info'!A77:E576,5,FALSE),"Not Found")</f>
        <v>Canberra</v>
      </c>
      <c r="J85" s="2">
        <v>2960</v>
      </c>
      <c r="K85" s="2">
        <v>2635</v>
      </c>
      <c r="L85" s="2">
        <v>1</v>
      </c>
      <c r="M85" s="7">
        <f t="shared" si="5"/>
        <v>2635</v>
      </c>
      <c r="N85" s="7">
        <f t="shared" si="6"/>
        <v>2960</v>
      </c>
      <c r="O85" s="2">
        <v>52</v>
      </c>
      <c r="P85" s="8">
        <f t="shared" si="7"/>
        <v>3012</v>
      </c>
      <c r="Q85" s="8">
        <f t="shared" si="8"/>
        <v>325</v>
      </c>
      <c r="R85" s="2" t="s">
        <v>28</v>
      </c>
      <c r="S85" s="9">
        <f t="shared" si="9"/>
        <v>60.24</v>
      </c>
    </row>
    <row r="86" spans="1:19" x14ac:dyDescent="0.3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IFERROR(VLOOKUP('Customer Info'!A78,'Customer Info'!A78:C577,2,FALSE),"Not Found")</f>
        <v>Cari</v>
      </c>
      <c r="H86" s="6" t="str">
        <f>IFERROR(VLOOKUP('Customer Info'!A78,'Customer Info'!A78:C577,3,FALSE),"Not Found")</f>
        <v>MacIntyre</v>
      </c>
      <c r="I86" s="6" t="str">
        <f>IFERROR(VLOOKUP('Customer Info'!A78,'Customer Info'!A78:E577,5,FALSE),"Not Found")</f>
        <v>Suzhou</v>
      </c>
      <c r="J86" s="2">
        <v>726</v>
      </c>
      <c r="K86" s="2">
        <v>646</v>
      </c>
      <c r="L86" s="2">
        <v>3</v>
      </c>
      <c r="M86" s="7">
        <f t="shared" si="5"/>
        <v>1938</v>
      </c>
      <c r="N86" s="7">
        <f t="shared" si="6"/>
        <v>2178</v>
      </c>
      <c r="O86" s="2">
        <v>45</v>
      </c>
      <c r="P86" s="8">
        <f t="shared" si="7"/>
        <v>2223</v>
      </c>
      <c r="Q86" s="8">
        <f t="shared" si="8"/>
        <v>1532</v>
      </c>
      <c r="R86" s="2" t="s">
        <v>50</v>
      </c>
      <c r="S86" s="9">
        <f t="shared" si="9"/>
        <v>44.46</v>
      </c>
    </row>
    <row r="87" spans="1:19" x14ac:dyDescent="0.3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IFERROR(VLOOKUP('Customer Info'!A79,'Customer Info'!A79:C578,2,FALSE),"Not Found")</f>
        <v>Cari</v>
      </c>
      <c r="H87" s="6" t="str">
        <f>IFERROR(VLOOKUP('Customer Info'!A79,'Customer Info'!A79:C578,3,FALSE),"Not Found")</f>
        <v>Sayre</v>
      </c>
      <c r="I87" s="6" t="str">
        <f>IFERROR(VLOOKUP('Customer Info'!A79,'Customer Info'!A79:E578,5,FALSE),"Not Found")</f>
        <v>Recklinghausen</v>
      </c>
      <c r="J87" s="2">
        <v>743</v>
      </c>
      <c r="K87" s="2">
        <v>694</v>
      </c>
      <c r="L87" s="2">
        <v>1</v>
      </c>
      <c r="M87" s="7">
        <f t="shared" si="5"/>
        <v>694</v>
      </c>
      <c r="N87" s="7">
        <f t="shared" si="6"/>
        <v>743</v>
      </c>
      <c r="O87" s="2">
        <v>94</v>
      </c>
      <c r="P87" s="8">
        <f t="shared" si="7"/>
        <v>837</v>
      </c>
      <c r="Q87" s="8">
        <f t="shared" si="8"/>
        <v>49</v>
      </c>
      <c r="R87" s="2" t="s">
        <v>50</v>
      </c>
      <c r="S87" s="9">
        <f t="shared" si="9"/>
        <v>16.740000000000002</v>
      </c>
    </row>
    <row r="88" spans="1:19" x14ac:dyDescent="0.3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IFERROR(VLOOKUP('Customer Info'!A80,'Customer Info'!A80:C579,2,FALSE),"Not Found")</f>
        <v>Cari</v>
      </c>
      <c r="H88" s="6" t="str">
        <f>IFERROR(VLOOKUP('Customer Info'!A80,'Customer Info'!A80:C579,3,FALSE),"Not Found")</f>
        <v>Schnelling</v>
      </c>
      <c r="I88" s="6" t="str">
        <f>IFERROR(VLOOKUP('Customer Info'!A80,'Customer Info'!A80:E579,5,FALSE),"Not Found")</f>
        <v>Agra</v>
      </c>
      <c r="J88" s="2">
        <v>4704</v>
      </c>
      <c r="K88" s="2">
        <v>4361</v>
      </c>
      <c r="L88" s="2">
        <v>1</v>
      </c>
      <c r="M88" s="7">
        <f t="shared" si="5"/>
        <v>4361</v>
      </c>
      <c r="N88" s="7">
        <f t="shared" si="6"/>
        <v>4704</v>
      </c>
      <c r="O88" s="2">
        <v>60</v>
      </c>
      <c r="P88" s="8">
        <f t="shared" si="7"/>
        <v>4764</v>
      </c>
      <c r="Q88" s="8">
        <f t="shared" si="8"/>
        <v>343</v>
      </c>
      <c r="R88" s="2" t="s">
        <v>50</v>
      </c>
      <c r="S88" s="9">
        <f t="shared" si="9"/>
        <v>95.28</v>
      </c>
    </row>
    <row r="89" spans="1:19" x14ac:dyDescent="0.3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IFERROR(VLOOKUP('Customer Info'!A81,'Customer Info'!A81:C580,2,FALSE),"Not Found")</f>
        <v>Cari</v>
      </c>
      <c r="H89" s="6" t="str">
        <f>IFERROR(VLOOKUP('Customer Info'!A81,'Customer Info'!A81:C580,3,FALSE),"Not Found")</f>
        <v>MacIntyre</v>
      </c>
      <c r="I89" s="6" t="str">
        <f>IFERROR(VLOOKUP('Customer Info'!A81,'Customer Info'!A81:E580,5,FALSE),"Not Found")</f>
        <v>Freiburg</v>
      </c>
      <c r="J89" s="2">
        <v>4832</v>
      </c>
      <c r="K89" s="2">
        <v>4563</v>
      </c>
      <c r="L89" s="2">
        <v>5</v>
      </c>
      <c r="M89" s="7">
        <f t="shared" si="5"/>
        <v>22815</v>
      </c>
      <c r="N89" s="7">
        <f t="shared" si="6"/>
        <v>24160</v>
      </c>
      <c r="O89" s="2">
        <v>83</v>
      </c>
      <c r="P89" s="8">
        <f t="shared" si="7"/>
        <v>24243</v>
      </c>
      <c r="Q89" s="8">
        <f t="shared" si="8"/>
        <v>19597</v>
      </c>
      <c r="R89" s="2" t="s">
        <v>28</v>
      </c>
      <c r="S89" s="9">
        <f t="shared" si="9"/>
        <v>1212.1500000000001</v>
      </c>
    </row>
    <row r="90" spans="1:19" x14ac:dyDescent="0.3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IFERROR(VLOOKUP('Customer Info'!A82,'Customer Info'!A82:C581,2,FALSE),"Not Found")</f>
        <v>Carl</v>
      </c>
      <c r="H90" s="6" t="str">
        <f>IFERROR(VLOOKUP('Customer Info'!A82,'Customer Info'!A82:C581,3,FALSE),"Not Found")</f>
        <v>Weiss</v>
      </c>
      <c r="I90" s="6" t="str">
        <f>IFERROR(VLOOKUP('Customer Info'!A82,'Customer Info'!A82:E581,5,FALSE),"Not Found")</f>
        <v>Tianjin</v>
      </c>
      <c r="J90" s="2">
        <v>6337</v>
      </c>
      <c r="K90" s="2">
        <v>6215</v>
      </c>
      <c r="L90" s="2">
        <v>2</v>
      </c>
      <c r="M90" s="7">
        <f t="shared" si="5"/>
        <v>12430</v>
      </c>
      <c r="N90" s="7">
        <f t="shared" si="6"/>
        <v>12674</v>
      </c>
      <c r="O90" s="2">
        <v>47</v>
      </c>
      <c r="P90" s="8">
        <f t="shared" si="7"/>
        <v>12721</v>
      </c>
      <c r="Q90" s="8">
        <f t="shared" si="8"/>
        <v>6459</v>
      </c>
      <c r="R90" s="2" t="s">
        <v>56</v>
      </c>
      <c r="S90" s="9">
        <f t="shared" si="9"/>
        <v>636.05000000000007</v>
      </c>
    </row>
    <row r="91" spans="1:19" x14ac:dyDescent="0.3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IFERROR(VLOOKUP('Customer Info'!A83,'Customer Info'!A83:C582,2,FALSE),"Not Found")</f>
        <v>Carl</v>
      </c>
      <c r="H91" s="6" t="str">
        <f>IFERROR(VLOOKUP('Customer Info'!A83,'Customer Info'!A83:C582,3,FALSE),"Not Found")</f>
        <v>Weiss</v>
      </c>
      <c r="I91" s="6" t="str">
        <f>IFERROR(VLOOKUP('Customer Info'!A83,'Customer Info'!A83:E582,5,FALSE),"Not Found")</f>
        <v>Delhi</v>
      </c>
      <c r="J91" s="2">
        <v>918</v>
      </c>
      <c r="K91" s="2">
        <v>859</v>
      </c>
      <c r="L91" s="2">
        <v>1</v>
      </c>
      <c r="M91" s="7">
        <f t="shared" si="5"/>
        <v>859</v>
      </c>
      <c r="N91" s="7">
        <f t="shared" si="6"/>
        <v>918</v>
      </c>
      <c r="O91" s="2">
        <v>53</v>
      </c>
      <c r="P91" s="8">
        <f t="shared" si="7"/>
        <v>971</v>
      </c>
      <c r="Q91" s="8">
        <f t="shared" si="8"/>
        <v>59</v>
      </c>
      <c r="R91" s="2" t="s">
        <v>28</v>
      </c>
      <c r="S91" s="9">
        <f t="shared" si="9"/>
        <v>19.420000000000002</v>
      </c>
    </row>
    <row r="92" spans="1:19" x14ac:dyDescent="0.3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IFERROR(VLOOKUP('Customer Info'!A84,'Customer Info'!A84:C583,2,FALSE),"Not Found")</f>
        <v>Carlos</v>
      </c>
      <c r="H92" s="6" t="str">
        <f>IFERROR(VLOOKUP('Customer Info'!A84,'Customer Info'!A84:C583,3,FALSE),"Not Found")</f>
        <v>Soltero</v>
      </c>
      <c r="I92" s="6" t="str">
        <f>IFERROR(VLOOKUP('Customer Info'!A84,'Customer Info'!A84:E583,5,FALSE),"Not Found")</f>
        <v>Wodonga</v>
      </c>
      <c r="J92" s="2">
        <v>1564</v>
      </c>
      <c r="K92" s="2">
        <v>1420</v>
      </c>
      <c r="L92" s="2">
        <v>2</v>
      </c>
      <c r="M92" s="7">
        <f t="shared" si="5"/>
        <v>2840</v>
      </c>
      <c r="N92" s="7">
        <f t="shared" si="6"/>
        <v>3128</v>
      </c>
      <c r="O92" s="2">
        <v>26</v>
      </c>
      <c r="P92" s="8">
        <f t="shared" si="7"/>
        <v>3154</v>
      </c>
      <c r="Q92" s="8">
        <f t="shared" si="8"/>
        <v>1708</v>
      </c>
      <c r="R92" s="2" t="s">
        <v>28</v>
      </c>
      <c r="S92" s="9">
        <f t="shared" si="9"/>
        <v>63.08</v>
      </c>
    </row>
    <row r="93" spans="1:19" x14ac:dyDescent="0.3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IFERROR(VLOOKUP('Customer Info'!A85,'Customer Info'!A85:C584,2,FALSE),"Not Found")</f>
        <v>Carol</v>
      </c>
      <c r="H93" s="6" t="str">
        <f>IFERROR(VLOOKUP('Customer Info'!A85,'Customer Info'!A85:C584,3,FALSE),"Not Found")</f>
        <v>Triggs</v>
      </c>
      <c r="I93" s="6" t="str">
        <f>IFERROR(VLOOKUP('Customer Info'!A85,'Customer Info'!A85:E584,5,FALSE),"Not Found")</f>
        <v>Durgapur</v>
      </c>
      <c r="J93" s="2">
        <v>80</v>
      </c>
      <c r="K93" s="2">
        <v>75</v>
      </c>
      <c r="L93" s="2">
        <v>2</v>
      </c>
      <c r="M93" s="7">
        <f t="shared" si="5"/>
        <v>150</v>
      </c>
      <c r="N93" s="7">
        <f t="shared" si="6"/>
        <v>160</v>
      </c>
      <c r="O93" s="2">
        <v>10</v>
      </c>
      <c r="P93" s="8">
        <f t="shared" si="7"/>
        <v>170</v>
      </c>
      <c r="Q93" s="8">
        <f t="shared" si="8"/>
        <v>85</v>
      </c>
      <c r="R93" s="2" t="s">
        <v>26</v>
      </c>
      <c r="S93" s="9">
        <f t="shared" si="9"/>
        <v>3.4</v>
      </c>
    </row>
    <row r="94" spans="1:19" x14ac:dyDescent="0.3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IFERROR(VLOOKUP('Customer Info'!A86,'Customer Info'!A86:C585,2,FALSE),"Not Found")</f>
        <v>Carol</v>
      </c>
      <c r="H94" s="6" t="str">
        <f>IFERROR(VLOOKUP('Customer Info'!A86,'Customer Info'!A86:C585,3,FALSE),"Not Found")</f>
        <v>Adams</v>
      </c>
      <c r="I94" s="6" t="str">
        <f>IFERROR(VLOOKUP('Customer Info'!A86,'Customer Info'!A86:E585,5,FALSE),"Not Found")</f>
        <v>Cairns</v>
      </c>
      <c r="J94" s="2">
        <v>29378</v>
      </c>
      <c r="K94" s="2">
        <v>26912</v>
      </c>
      <c r="L94" s="2">
        <v>3</v>
      </c>
      <c r="M94" s="7">
        <f t="shared" si="5"/>
        <v>80736</v>
      </c>
      <c r="N94" s="7">
        <f t="shared" si="6"/>
        <v>88134</v>
      </c>
      <c r="O94" s="2">
        <v>88</v>
      </c>
      <c r="P94" s="8">
        <f t="shared" si="7"/>
        <v>88222</v>
      </c>
      <c r="Q94" s="8">
        <f t="shared" si="8"/>
        <v>61222</v>
      </c>
      <c r="R94" s="2" t="s">
        <v>28</v>
      </c>
      <c r="S94" s="9">
        <f t="shared" si="9"/>
        <v>7939.98</v>
      </c>
    </row>
    <row r="95" spans="1:19" x14ac:dyDescent="0.3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IFERROR(VLOOKUP('Customer Info'!A87,'Customer Info'!A87:C586,2,FALSE),"Not Found")</f>
        <v>Caroline</v>
      </c>
      <c r="H95" s="6" t="str">
        <f>IFERROR(VLOOKUP('Customer Info'!A87,'Customer Info'!A87:C586,3,FALSE),"Not Found")</f>
        <v>Jumper</v>
      </c>
      <c r="I95" s="6" t="str">
        <f>IFERROR(VLOOKUP('Customer Info'!A87,'Customer Info'!A87:E586,5,FALSE),"Not Found")</f>
        <v>Xuzhou</v>
      </c>
      <c r="J95" s="2">
        <v>2333</v>
      </c>
      <c r="K95" s="2">
        <v>2060</v>
      </c>
      <c r="L95" s="2">
        <v>1</v>
      </c>
      <c r="M95" s="7">
        <f t="shared" si="5"/>
        <v>2060</v>
      </c>
      <c r="N95" s="7">
        <f t="shared" si="6"/>
        <v>2333</v>
      </c>
      <c r="O95" s="2">
        <v>68</v>
      </c>
      <c r="P95" s="8">
        <f t="shared" si="7"/>
        <v>2401</v>
      </c>
      <c r="Q95" s="8">
        <f t="shared" si="8"/>
        <v>273</v>
      </c>
      <c r="R95" s="2" t="s">
        <v>50</v>
      </c>
      <c r="S95" s="9">
        <f t="shared" si="9"/>
        <v>48.02</v>
      </c>
    </row>
    <row r="96" spans="1:19" x14ac:dyDescent="0.3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IFERROR(VLOOKUP('Customer Info'!A88,'Customer Info'!A88:C587,2,FALSE),"Not Found")</f>
        <v>Cassandra</v>
      </c>
      <c r="H96" s="6" t="str">
        <f>IFERROR(VLOOKUP('Customer Info'!A88,'Customer Info'!A88:C587,3,FALSE),"Not Found")</f>
        <v>Brandow</v>
      </c>
      <c r="I96" s="6" t="str">
        <f>IFERROR(VLOOKUP('Customer Info'!A88,'Customer Info'!A88:E587,5,FALSE),"Not Found")</f>
        <v>Hamburg</v>
      </c>
      <c r="J96" s="2">
        <v>2310</v>
      </c>
      <c r="K96" s="2">
        <v>2040</v>
      </c>
      <c r="L96" s="2">
        <v>2</v>
      </c>
      <c r="M96" s="7">
        <f t="shared" si="5"/>
        <v>4080</v>
      </c>
      <c r="N96" s="7">
        <f t="shared" si="6"/>
        <v>4620</v>
      </c>
      <c r="O96" s="2">
        <v>28</v>
      </c>
      <c r="P96" s="8">
        <f t="shared" si="7"/>
        <v>4648</v>
      </c>
      <c r="Q96" s="8">
        <f t="shared" si="8"/>
        <v>2580</v>
      </c>
      <c r="R96" s="2" t="s">
        <v>28</v>
      </c>
      <c r="S96" s="9">
        <f t="shared" si="9"/>
        <v>92.960000000000008</v>
      </c>
    </row>
    <row r="97" spans="1:19" x14ac:dyDescent="0.3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IFERROR(VLOOKUP('Customer Info'!A89,'Customer Info'!A89:C588,2,FALSE),"Not Found")</f>
        <v>Catherine</v>
      </c>
      <c r="H97" s="6" t="str">
        <f>IFERROR(VLOOKUP('Customer Info'!A89,'Customer Info'!A89:C588,3,FALSE),"Not Found")</f>
        <v>Glotzbach</v>
      </c>
      <c r="I97" s="6" t="str">
        <f>IFERROR(VLOOKUP('Customer Info'!A89,'Customer Info'!A89:E588,5,FALSE),"Not Found")</f>
        <v>Bochum</v>
      </c>
      <c r="J97" s="2">
        <v>162</v>
      </c>
      <c r="K97" s="2">
        <v>148</v>
      </c>
      <c r="L97" s="2">
        <v>1</v>
      </c>
      <c r="M97" s="7">
        <f t="shared" si="5"/>
        <v>148</v>
      </c>
      <c r="N97" s="7">
        <f t="shared" si="6"/>
        <v>162</v>
      </c>
      <c r="O97" s="2">
        <v>30</v>
      </c>
      <c r="P97" s="8">
        <f t="shared" si="7"/>
        <v>192</v>
      </c>
      <c r="Q97" s="8">
        <f t="shared" si="8"/>
        <v>14</v>
      </c>
      <c r="R97" s="2" t="s">
        <v>50</v>
      </c>
      <c r="S97" s="9">
        <f t="shared" si="9"/>
        <v>3.84</v>
      </c>
    </row>
    <row r="98" spans="1:19" x14ac:dyDescent="0.3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IFERROR(VLOOKUP('Customer Info'!A90,'Customer Info'!A90:C589,2,FALSE),"Not Found")</f>
        <v>Cathy</v>
      </c>
      <c r="H98" s="6" t="str">
        <f>IFERROR(VLOOKUP('Customer Info'!A90,'Customer Info'!A90:C589,3,FALSE),"Not Found")</f>
        <v>Hwang</v>
      </c>
      <c r="I98" s="6" t="str">
        <f>IFERROR(VLOOKUP('Customer Info'!A90,'Customer Info'!A90:E589,5,FALSE),"Not Found")</f>
        <v>Trier</v>
      </c>
      <c r="J98" s="2">
        <v>4846</v>
      </c>
      <c r="K98" s="2">
        <v>4492</v>
      </c>
      <c r="L98" s="2">
        <v>7</v>
      </c>
      <c r="M98" s="7">
        <f t="shared" si="5"/>
        <v>31444</v>
      </c>
      <c r="N98" s="7">
        <f t="shared" si="6"/>
        <v>33922</v>
      </c>
      <c r="O98" s="2">
        <v>59</v>
      </c>
      <c r="P98" s="8">
        <f t="shared" si="7"/>
        <v>33981</v>
      </c>
      <c r="Q98" s="8">
        <f t="shared" si="8"/>
        <v>29430</v>
      </c>
      <c r="R98" s="2" t="s">
        <v>28</v>
      </c>
      <c r="S98" s="9">
        <f t="shared" si="9"/>
        <v>2378.67</v>
      </c>
    </row>
    <row r="99" spans="1:19" x14ac:dyDescent="0.3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>IFERROR(VLOOKUP('Customer Info'!A91,'Customer Info'!A91:C590,2,FALSE),"Not Found")</f>
        <v>Cathy</v>
      </c>
      <c r="H99" s="6" t="str">
        <f>IFERROR(VLOOKUP('Customer Info'!A91,'Customer Info'!A91:C590,3,FALSE),"Not Found")</f>
        <v>Hwang</v>
      </c>
      <c r="I99" s="6" t="str">
        <f>IFERROR(VLOOKUP('Customer Info'!A91,'Customer Info'!A91:E590,5,FALSE),"Not Found")</f>
        <v>Ballarat</v>
      </c>
      <c r="J99" s="2">
        <v>645</v>
      </c>
      <c r="K99" s="2">
        <v>565</v>
      </c>
      <c r="L99" s="2">
        <v>6</v>
      </c>
      <c r="M99" s="7">
        <f t="shared" si="5"/>
        <v>3390</v>
      </c>
      <c r="N99" s="7">
        <f t="shared" si="6"/>
        <v>3870</v>
      </c>
      <c r="O99" s="2">
        <v>93</v>
      </c>
      <c r="P99" s="8">
        <f t="shared" si="7"/>
        <v>3963</v>
      </c>
      <c r="Q99" s="8">
        <f t="shared" si="8"/>
        <v>3305</v>
      </c>
      <c r="R99" s="2" t="s">
        <v>50</v>
      </c>
      <c r="S99" s="9">
        <f t="shared" si="9"/>
        <v>79.260000000000005</v>
      </c>
    </row>
    <row r="100" spans="1:19" x14ac:dyDescent="0.3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>IFERROR(VLOOKUP('Customer Info'!A92,'Customer Info'!A92:C591,2,FALSE),"Not Found")</f>
        <v>Charles</v>
      </c>
      <c r="H100" s="6" t="str">
        <f>IFERROR(VLOOKUP('Customer Info'!A92,'Customer Info'!A92:C591,3,FALSE),"Not Found")</f>
        <v>Sheldon</v>
      </c>
      <c r="I100" s="6" t="str">
        <f>IFERROR(VLOOKUP('Customer Info'!A92,'Customer Info'!A92:E591,5,FALSE),"Not Found")</f>
        <v>Jakarta</v>
      </c>
      <c r="J100" s="2">
        <v>7315</v>
      </c>
      <c r="K100" s="2">
        <v>6967</v>
      </c>
      <c r="L100" s="2">
        <v>4</v>
      </c>
      <c r="M100" s="7">
        <f t="shared" si="5"/>
        <v>27868</v>
      </c>
      <c r="N100" s="7">
        <f t="shared" si="6"/>
        <v>29260</v>
      </c>
      <c r="O100" s="2">
        <v>95</v>
      </c>
      <c r="P100" s="8">
        <f t="shared" si="7"/>
        <v>29355</v>
      </c>
      <c r="Q100" s="8">
        <f t="shared" si="8"/>
        <v>22293</v>
      </c>
      <c r="R100" s="2" t="s">
        <v>28</v>
      </c>
      <c r="S100" s="9">
        <f t="shared" si="9"/>
        <v>2054.8500000000004</v>
      </c>
    </row>
    <row r="101" spans="1:19" x14ac:dyDescent="0.3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IFERROR(VLOOKUP('Customer Info'!A93,'Customer Info'!A93:C592,2,FALSE),"Not Found")</f>
        <v>Charles</v>
      </c>
      <c r="H101" s="6" t="str">
        <f>IFERROR(VLOOKUP('Customer Info'!A93,'Customer Info'!A93:C592,3,FALSE),"Not Found")</f>
        <v>Sheldon</v>
      </c>
      <c r="I101" s="6" t="str">
        <f>IFERROR(VLOOKUP('Customer Info'!A93,'Customer Info'!A93:E592,5,FALSE),"Not Found")</f>
        <v>Brisbane</v>
      </c>
      <c r="J101" s="2">
        <v>1763</v>
      </c>
      <c r="K101" s="2">
        <v>1602</v>
      </c>
      <c r="L101" s="2">
        <v>3</v>
      </c>
      <c r="M101" s="7">
        <f t="shared" si="5"/>
        <v>4806</v>
      </c>
      <c r="N101" s="7">
        <f t="shared" si="6"/>
        <v>5289</v>
      </c>
      <c r="O101" s="2">
        <v>61</v>
      </c>
      <c r="P101" s="8">
        <f t="shared" si="7"/>
        <v>5350</v>
      </c>
      <c r="Q101" s="8">
        <f t="shared" si="8"/>
        <v>3687</v>
      </c>
      <c r="R101" s="2" t="s">
        <v>50</v>
      </c>
      <c r="S101" s="9">
        <f t="shared" si="9"/>
        <v>267.5</v>
      </c>
    </row>
    <row r="102" spans="1:19" x14ac:dyDescent="0.3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IFERROR(VLOOKUP('Customer Info'!A94,'Customer Info'!A94:C593,2,FALSE),"Not Found")</f>
        <v>Charlotte</v>
      </c>
      <c r="H102" s="6" t="str">
        <f>IFERROR(VLOOKUP('Customer Info'!A94,'Customer Info'!A94:C593,3,FALSE),"Not Found")</f>
        <v>Melton</v>
      </c>
      <c r="I102" s="6" t="str">
        <f>IFERROR(VLOOKUP('Customer Info'!A94,'Customer Info'!A94:E593,5,FALSE),"Not Found")</f>
        <v>Canberra</v>
      </c>
      <c r="J102" s="2">
        <v>1358</v>
      </c>
      <c r="K102" s="2">
        <v>1257</v>
      </c>
      <c r="L102" s="2">
        <v>3</v>
      </c>
      <c r="M102" s="7">
        <f t="shared" si="5"/>
        <v>3771</v>
      </c>
      <c r="N102" s="7">
        <f t="shared" si="6"/>
        <v>4074</v>
      </c>
      <c r="O102" s="2">
        <v>29</v>
      </c>
      <c r="P102" s="8">
        <f t="shared" si="7"/>
        <v>4103</v>
      </c>
      <c r="Q102" s="8">
        <f t="shared" si="8"/>
        <v>2817</v>
      </c>
      <c r="R102" s="2" t="s">
        <v>28</v>
      </c>
      <c r="S102" s="9">
        <f t="shared" si="9"/>
        <v>82.06</v>
      </c>
    </row>
    <row r="103" spans="1:19" x14ac:dyDescent="0.3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IFERROR(VLOOKUP('Customer Info'!A95,'Customer Info'!A95:C594,2,FALSE),"Not Found")</f>
        <v>Christina</v>
      </c>
      <c r="H103" s="6" t="str">
        <f>IFERROR(VLOOKUP('Customer Info'!A95,'Customer Info'!A95:C594,3,FALSE),"Not Found")</f>
        <v>VanderZanden</v>
      </c>
      <c r="I103" s="6" t="str">
        <f>IFERROR(VLOOKUP('Customer Info'!A95,'Customer Info'!A95:E594,5,FALSE),"Not Found")</f>
        <v>Gold Coast</v>
      </c>
      <c r="J103" s="2">
        <v>162</v>
      </c>
      <c r="K103" s="2">
        <v>148</v>
      </c>
      <c r="L103" s="2">
        <v>4</v>
      </c>
      <c r="M103" s="7">
        <f t="shared" si="5"/>
        <v>592</v>
      </c>
      <c r="N103" s="7">
        <f t="shared" si="6"/>
        <v>648</v>
      </c>
      <c r="O103" s="2">
        <v>30</v>
      </c>
      <c r="P103" s="8">
        <f t="shared" si="7"/>
        <v>678</v>
      </c>
      <c r="Q103" s="8">
        <f t="shared" si="8"/>
        <v>500</v>
      </c>
      <c r="R103" s="2" t="s">
        <v>28</v>
      </c>
      <c r="S103" s="9">
        <f t="shared" si="9"/>
        <v>13.56</v>
      </c>
    </row>
    <row r="104" spans="1:19" x14ac:dyDescent="0.3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>IFERROR(VLOOKUP('Customer Info'!A96,'Customer Info'!A96:C595,2,FALSE),"Not Found")</f>
        <v>Christine</v>
      </c>
      <c r="H104" s="6" t="str">
        <f>IFERROR(VLOOKUP('Customer Info'!A96,'Customer Info'!A96:C595,3,FALSE),"Not Found")</f>
        <v>Abelman</v>
      </c>
      <c r="I104" s="6" t="str">
        <f>IFERROR(VLOOKUP('Customer Info'!A96,'Customer Info'!A96:E595,5,FALSE),"Not Found")</f>
        <v>Nasik</v>
      </c>
      <c r="J104" s="2">
        <v>542</v>
      </c>
      <c r="K104" s="2">
        <v>492</v>
      </c>
      <c r="L104" s="2">
        <v>3</v>
      </c>
      <c r="M104" s="7">
        <f t="shared" si="5"/>
        <v>1476</v>
      </c>
      <c r="N104" s="7">
        <f t="shared" si="6"/>
        <v>1626</v>
      </c>
      <c r="O104" s="2">
        <v>35</v>
      </c>
      <c r="P104" s="8">
        <f t="shared" si="7"/>
        <v>1661</v>
      </c>
      <c r="Q104" s="8">
        <f t="shared" si="8"/>
        <v>1134</v>
      </c>
      <c r="R104" s="2" t="s">
        <v>28</v>
      </c>
      <c r="S104" s="9">
        <f t="shared" si="9"/>
        <v>33.22</v>
      </c>
    </row>
    <row r="105" spans="1:19" x14ac:dyDescent="0.3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IFERROR(VLOOKUP('Customer Info'!A97,'Customer Info'!A97:C596,2,FALSE),"Not Found")</f>
        <v>Christopher</v>
      </c>
      <c r="H105" s="6" t="str">
        <f>IFERROR(VLOOKUP('Customer Info'!A97,'Customer Info'!A97:C596,3,FALSE),"Not Found")</f>
        <v>Martinez</v>
      </c>
      <c r="I105" s="6" t="str">
        <f>IFERROR(VLOOKUP('Customer Info'!A97,'Customer Info'!A97:E596,5,FALSE),"Not Found")</f>
        <v>Qingdao</v>
      </c>
      <c r="J105" s="2">
        <v>1372</v>
      </c>
      <c r="K105" s="2">
        <v>1308</v>
      </c>
      <c r="L105" s="2">
        <v>4</v>
      </c>
      <c r="M105" s="7">
        <f t="shared" si="5"/>
        <v>5232</v>
      </c>
      <c r="N105" s="7">
        <f t="shared" si="6"/>
        <v>5488</v>
      </c>
      <c r="O105" s="2">
        <v>68</v>
      </c>
      <c r="P105" s="8">
        <f t="shared" si="7"/>
        <v>5556</v>
      </c>
      <c r="Q105" s="8">
        <f t="shared" si="8"/>
        <v>4180</v>
      </c>
      <c r="R105" s="2" t="s">
        <v>28</v>
      </c>
      <c r="S105" s="9">
        <f t="shared" si="9"/>
        <v>277.8</v>
      </c>
    </row>
    <row r="106" spans="1:19" x14ac:dyDescent="0.3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IFERROR(VLOOKUP('Customer Info'!A98,'Customer Info'!A98:C597,2,FALSE),"Not Found")</f>
        <v>Christy</v>
      </c>
      <c r="H106" s="6" t="str">
        <f>IFERROR(VLOOKUP('Customer Info'!A98,'Customer Info'!A98:C597,3,FALSE),"Not Found")</f>
        <v>Brittain</v>
      </c>
      <c r="I106" s="6" t="str">
        <f>IFERROR(VLOOKUP('Customer Info'!A98,'Customer Info'!A98:E597,5,FALSE),"Not Found")</f>
        <v>Depok</v>
      </c>
      <c r="J106" s="2">
        <v>793</v>
      </c>
      <c r="K106" s="2">
        <v>755</v>
      </c>
      <c r="L106" s="2">
        <v>6</v>
      </c>
      <c r="M106" s="7">
        <f t="shared" si="5"/>
        <v>4530</v>
      </c>
      <c r="N106" s="7">
        <f t="shared" si="6"/>
        <v>4758</v>
      </c>
      <c r="O106" s="2">
        <v>93</v>
      </c>
      <c r="P106" s="8">
        <f t="shared" si="7"/>
        <v>4851</v>
      </c>
      <c r="Q106" s="8">
        <f t="shared" si="8"/>
        <v>4003</v>
      </c>
      <c r="R106" s="2" t="s">
        <v>50</v>
      </c>
      <c r="S106" s="9">
        <f t="shared" si="9"/>
        <v>97.02</v>
      </c>
    </row>
    <row r="107" spans="1:19" x14ac:dyDescent="0.3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IFERROR(VLOOKUP('Customer Info'!A99,'Customer Info'!A99:C598,2,FALSE),"Not Found")</f>
        <v>Christy</v>
      </c>
      <c r="H107" s="6" t="str">
        <f>IFERROR(VLOOKUP('Customer Info'!A99,'Customer Info'!A99:C598,3,FALSE),"Not Found")</f>
        <v>Brittain</v>
      </c>
      <c r="I107" s="6" t="str">
        <f>IFERROR(VLOOKUP('Customer Info'!A99,'Customer Info'!A99:E598,5,FALSE),"Not Found")</f>
        <v>Ajmer</v>
      </c>
      <c r="J107" s="2">
        <v>726</v>
      </c>
      <c r="K107" s="2">
        <v>646</v>
      </c>
      <c r="L107" s="2">
        <v>4</v>
      </c>
      <c r="M107" s="7">
        <f t="shared" si="5"/>
        <v>2584</v>
      </c>
      <c r="N107" s="7">
        <f t="shared" si="6"/>
        <v>2904</v>
      </c>
      <c r="O107" s="2">
        <v>58</v>
      </c>
      <c r="P107" s="8">
        <f t="shared" si="7"/>
        <v>2962</v>
      </c>
      <c r="Q107" s="8">
        <f t="shared" si="8"/>
        <v>2258</v>
      </c>
      <c r="R107" s="2" t="s">
        <v>28</v>
      </c>
      <c r="S107" s="9">
        <f t="shared" si="9"/>
        <v>59.24</v>
      </c>
    </row>
    <row r="108" spans="1:19" x14ac:dyDescent="0.3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IFERROR(VLOOKUP('Customer Info'!A100,'Customer Info'!A100:C599,2,FALSE),"Not Found")</f>
        <v>Cindy</v>
      </c>
      <c r="H108" s="6" t="str">
        <f>IFERROR(VLOOKUP('Customer Info'!A100,'Customer Info'!A100:C599,3,FALSE),"Not Found")</f>
        <v>Schnelling</v>
      </c>
      <c r="I108" s="6" t="str">
        <f>IFERROR(VLOOKUP('Customer Info'!A100,'Customer Info'!A100:E599,5,FALSE),"Not Found")</f>
        <v>Balikpapan</v>
      </c>
      <c r="J108" s="2">
        <v>142</v>
      </c>
      <c r="K108" s="2">
        <v>134</v>
      </c>
      <c r="L108" s="2">
        <v>3</v>
      </c>
      <c r="M108" s="7">
        <f t="shared" si="5"/>
        <v>402</v>
      </c>
      <c r="N108" s="7">
        <f t="shared" si="6"/>
        <v>426</v>
      </c>
      <c r="O108" s="2">
        <v>30</v>
      </c>
      <c r="P108" s="8">
        <f t="shared" si="7"/>
        <v>456</v>
      </c>
      <c r="Q108" s="8">
        <f t="shared" si="8"/>
        <v>292</v>
      </c>
      <c r="R108" s="2" t="s">
        <v>50</v>
      </c>
      <c r="S108" s="9">
        <f t="shared" si="9"/>
        <v>9.120000000000001</v>
      </c>
    </row>
    <row r="109" spans="1:19" x14ac:dyDescent="0.3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IFERROR(VLOOKUP('Customer Info'!A101,'Customer Info'!A101:C600,2,FALSE),"Not Found")</f>
        <v>Claire</v>
      </c>
      <c r="H109" s="6" t="str">
        <f>IFERROR(VLOOKUP('Customer Info'!A101,'Customer Info'!A101:C600,3,FALSE),"Not Found")</f>
        <v>Gute</v>
      </c>
      <c r="I109" s="6" t="str">
        <f>IFERROR(VLOOKUP('Customer Info'!A101,'Customer Info'!A101:E600,5,FALSE),"Not Found")</f>
        <v>Shenzhen</v>
      </c>
      <c r="J109" s="2">
        <v>1518</v>
      </c>
      <c r="K109" s="2">
        <v>1392</v>
      </c>
      <c r="L109" s="2">
        <v>7</v>
      </c>
      <c r="M109" s="7">
        <f t="shared" si="5"/>
        <v>9744</v>
      </c>
      <c r="N109" s="7">
        <f t="shared" si="6"/>
        <v>10626</v>
      </c>
      <c r="O109" s="2">
        <v>24</v>
      </c>
      <c r="P109" s="8">
        <f t="shared" si="7"/>
        <v>10650</v>
      </c>
      <c r="Q109" s="8">
        <f t="shared" si="8"/>
        <v>9234</v>
      </c>
      <c r="R109" s="2" t="s">
        <v>26</v>
      </c>
      <c r="S109" s="9">
        <f t="shared" si="9"/>
        <v>532.5</v>
      </c>
    </row>
    <row r="110" spans="1:19" x14ac:dyDescent="0.3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IFERROR(VLOOKUP('Customer Info'!A102,'Customer Info'!A102:C601,2,FALSE),"Not Found")</f>
        <v>Claire</v>
      </c>
      <c r="H110" s="6" t="str">
        <f>IFERROR(VLOOKUP('Customer Info'!A102,'Customer Info'!A102:C601,3,FALSE),"Not Found")</f>
        <v>Gute</v>
      </c>
      <c r="I110" s="6" t="str">
        <f>IFERROR(VLOOKUP('Customer Info'!A102,'Customer Info'!A102:E601,5,FALSE),"Not Found")</f>
        <v>Worms</v>
      </c>
      <c r="J110" s="2">
        <v>2515</v>
      </c>
      <c r="K110" s="2">
        <v>2397</v>
      </c>
      <c r="L110" s="2">
        <v>3</v>
      </c>
      <c r="M110" s="7">
        <f t="shared" si="5"/>
        <v>7191</v>
      </c>
      <c r="N110" s="7">
        <f t="shared" si="6"/>
        <v>7545</v>
      </c>
      <c r="O110" s="2">
        <v>60</v>
      </c>
      <c r="P110" s="8">
        <f t="shared" si="7"/>
        <v>7605</v>
      </c>
      <c r="Q110" s="8">
        <f t="shared" si="8"/>
        <v>5148</v>
      </c>
      <c r="R110" s="2" t="s">
        <v>28</v>
      </c>
      <c r="S110" s="9">
        <f t="shared" si="9"/>
        <v>380.25</v>
      </c>
    </row>
    <row r="111" spans="1:19" x14ac:dyDescent="0.3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IFERROR(VLOOKUP('Customer Info'!A103,'Customer Info'!A103:C602,2,FALSE),"Not Found")</f>
        <v>Claudia</v>
      </c>
      <c r="H111" s="6" t="str">
        <f>IFERROR(VLOOKUP('Customer Info'!A103,'Customer Info'!A103:C602,3,FALSE),"Not Found")</f>
        <v>Bergmann</v>
      </c>
      <c r="I111" s="6" t="str">
        <f>IFERROR(VLOOKUP('Customer Info'!A103,'Customer Info'!A103:E602,5,FALSE),"Not Found")</f>
        <v>Aschaffenburg</v>
      </c>
      <c r="J111" s="2">
        <v>8878</v>
      </c>
      <c r="K111" s="2">
        <v>7914</v>
      </c>
      <c r="L111" s="2">
        <v>2</v>
      </c>
      <c r="M111" s="7">
        <f t="shared" si="5"/>
        <v>15828</v>
      </c>
      <c r="N111" s="7">
        <f t="shared" si="6"/>
        <v>17756</v>
      </c>
      <c r="O111" s="2">
        <v>72</v>
      </c>
      <c r="P111" s="8">
        <f t="shared" si="7"/>
        <v>17828</v>
      </c>
      <c r="Q111" s="8">
        <f t="shared" si="8"/>
        <v>9842</v>
      </c>
      <c r="R111" s="2" t="s">
        <v>28</v>
      </c>
      <c r="S111" s="9">
        <f t="shared" si="9"/>
        <v>891.40000000000009</v>
      </c>
    </row>
    <row r="112" spans="1:19" x14ac:dyDescent="0.3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IFERROR(VLOOKUP('Customer Info'!A104,'Customer Info'!A104:C603,2,FALSE),"Not Found")</f>
        <v>Clay</v>
      </c>
      <c r="H112" s="6" t="str">
        <f>IFERROR(VLOOKUP('Customer Info'!A104,'Customer Info'!A104:C603,3,FALSE),"Not Found")</f>
        <v>Cheatham</v>
      </c>
      <c r="I112" s="6" t="str">
        <f>IFERROR(VLOOKUP('Customer Info'!A104,'Customer Info'!A104:E603,5,FALSE),"Not Found")</f>
        <v>Freiburg</v>
      </c>
      <c r="J112" s="2">
        <v>8651</v>
      </c>
      <c r="K112" s="2">
        <v>8081</v>
      </c>
      <c r="L112" s="2">
        <v>3</v>
      </c>
      <c r="M112" s="7">
        <f t="shared" si="5"/>
        <v>24243</v>
      </c>
      <c r="N112" s="7">
        <f t="shared" si="6"/>
        <v>25953</v>
      </c>
      <c r="O112" s="2">
        <v>66</v>
      </c>
      <c r="P112" s="8">
        <f t="shared" si="7"/>
        <v>26019</v>
      </c>
      <c r="Q112" s="8">
        <f t="shared" si="8"/>
        <v>17872</v>
      </c>
      <c r="R112" s="2" t="s">
        <v>28</v>
      </c>
      <c r="S112" s="9">
        <f t="shared" si="9"/>
        <v>1821.3300000000002</v>
      </c>
    </row>
    <row r="113" spans="1:19" x14ac:dyDescent="0.3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IFERROR(VLOOKUP('Customer Info'!A105,'Customer Info'!A105:C604,2,FALSE),"Not Found")</f>
        <v>Corey</v>
      </c>
      <c r="H113" s="6" t="str">
        <f>IFERROR(VLOOKUP('Customer Info'!A105,'Customer Info'!A105:C604,3,FALSE),"Not Found")</f>
        <v>Lock</v>
      </c>
      <c r="I113" s="6" t="str">
        <f>IFERROR(VLOOKUP('Customer Info'!A105,'Customer Info'!A105:E604,5,FALSE),"Not Found")</f>
        <v>Geelong</v>
      </c>
      <c r="J113" s="2">
        <v>645</v>
      </c>
      <c r="K113" s="2">
        <v>565</v>
      </c>
      <c r="L113" s="2">
        <v>2</v>
      </c>
      <c r="M113" s="7">
        <f t="shared" si="5"/>
        <v>1130</v>
      </c>
      <c r="N113" s="7">
        <f t="shared" si="6"/>
        <v>1290</v>
      </c>
      <c r="O113" s="2">
        <v>91</v>
      </c>
      <c r="P113" s="8">
        <f t="shared" si="7"/>
        <v>1381</v>
      </c>
      <c r="Q113" s="8">
        <f t="shared" si="8"/>
        <v>725</v>
      </c>
      <c r="R113" s="2" t="s">
        <v>50</v>
      </c>
      <c r="S113" s="9">
        <f t="shared" si="9"/>
        <v>27.62</v>
      </c>
    </row>
    <row r="114" spans="1:19" x14ac:dyDescent="0.3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IFERROR(VLOOKUP('Customer Info'!A106,'Customer Info'!A106:C605,2,FALSE),"Not Found")</f>
        <v>Corinna</v>
      </c>
      <c r="H114" s="6" t="str">
        <f>IFERROR(VLOOKUP('Customer Info'!A106,'Customer Info'!A106:C605,3,FALSE),"Not Found")</f>
        <v>Mitchell</v>
      </c>
      <c r="I114" s="6" t="str">
        <f>IFERROR(VLOOKUP('Customer Info'!A106,'Customer Info'!A106:E605,5,FALSE),"Not Found")</f>
        <v>Augsburg</v>
      </c>
      <c r="J114" s="2">
        <v>125</v>
      </c>
      <c r="K114" s="2">
        <v>113</v>
      </c>
      <c r="L114" s="2">
        <v>1</v>
      </c>
      <c r="M114" s="7">
        <f t="shared" si="5"/>
        <v>113</v>
      </c>
      <c r="N114" s="7">
        <f t="shared" si="6"/>
        <v>125</v>
      </c>
      <c r="O114" s="2">
        <v>30</v>
      </c>
      <c r="P114" s="8">
        <f t="shared" si="7"/>
        <v>155</v>
      </c>
      <c r="Q114" s="8">
        <f t="shared" si="8"/>
        <v>12</v>
      </c>
      <c r="R114" s="2" t="s">
        <v>28</v>
      </c>
      <c r="S114" s="9">
        <f t="shared" si="9"/>
        <v>3.1</v>
      </c>
    </row>
    <row r="115" spans="1:19" x14ac:dyDescent="0.3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>IFERROR(VLOOKUP('Customer Info'!A107,'Customer Info'!A107:C606,2,FALSE),"Not Found")</f>
        <v>Craig</v>
      </c>
      <c r="H115" s="6" t="str">
        <f>IFERROR(VLOOKUP('Customer Info'!A107,'Customer Info'!A107:C606,3,FALSE),"Not Found")</f>
        <v>Leslie</v>
      </c>
      <c r="I115" s="6" t="str">
        <f>IFERROR(VLOOKUP('Customer Info'!A107,'Customer Info'!A107:E606,5,FALSE),"Not Found")</f>
        <v>Wetzlar</v>
      </c>
      <c r="J115" s="2">
        <v>139</v>
      </c>
      <c r="K115" s="2">
        <v>130</v>
      </c>
      <c r="L115" s="2">
        <v>2</v>
      </c>
      <c r="M115" s="7">
        <f t="shared" si="5"/>
        <v>260</v>
      </c>
      <c r="N115" s="7">
        <f t="shared" si="6"/>
        <v>278</v>
      </c>
      <c r="O115" s="2">
        <v>30</v>
      </c>
      <c r="P115" s="8">
        <f t="shared" si="7"/>
        <v>308</v>
      </c>
      <c r="Q115" s="8">
        <f t="shared" si="8"/>
        <v>148</v>
      </c>
      <c r="R115" s="2" t="s">
        <v>28</v>
      </c>
      <c r="S115" s="9">
        <f t="shared" si="9"/>
        <v>6.16</v>
      </c>
    </row>
    <row r="116" spans="1:19" x14ac:dyDescent="0.3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IFERROR(VLOOKUP('Customer Info'!A108,'Customer Info'!A108:C607,2,FALSE),"Not Found")</f>
        <v>Craig</v>
      </c>
      <c r="H116" s="6" t="str">
        <f>IFERROR(VLOOKUP('Customer Info'!A108,'Customer Info'!A108:C607,3,FALSE),"Not Found")</f>
        <v>Carroll</v>
      </c>
      <c r="I116" s="6" t="str">
        <f>IFERROR(VLOOKUP('Customer Info'!A108,'Customer Info'!A108:E607,5,FALSE),"Not Found")</f>
        <v>Suzhou</v>
      </c>
      <c r="J116" s="2">
        <v>3256</v>
      </c>
      <c r="K116" s="2">
        <v>2959</v>
      </c>
      <c r="L116" s="2">
        <v>3</v>
      </c>
      <c r="M116" s="7">
        <f t="shared" si="5"/>
        <v>8877</v>
      </c>
      <c r="N116" s="7">
        <f t="shared" si="6"/>
        <v>9768</v>
      </c>
      <c r="O116" s="2">
        <v>90</v>
      </c>
      <c r="P116" s="8">
        <f t="shared" si="7"/>
        <v>9858</v>
      </c>
      <c r="Q116" s="8">
        <f t="shared" si="8"/>
        <v>6809</v>
      </c>
      <c r="R116" s="2" t="s">
        <v>50</v>
      </c>
      <c r="S116" s="9">
        <f t="shared" si="9"/>
        <v>492.90000000000003</v>
      </c>
    </row>
    <row r="117" spans="1:19" x14ac:dyDescent="0.3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>IFERROR(VLOOKUP('Customer Info'!A109,'Customer Info'!A109:C608,2,FALSE),"Not Found")</f>
        <v>Craig</v>
      </c>
      <c r="H117" s="6" t="str">
        <f>IFERROR(VLOOKUP('Customer Info'!A109,'Customer Info'!A109:C608,3,FALSE),"Not Found")</f>
        <v>Yedwab</v>
      </c>
      <c r="I117" s="6" t="str">
        <f>IFERROR(VLOOKUP('Customer Info'!A109,'Customer Info'!A109:E608,5,FALSE),"Not Found")</f>
        <v>Aligarh</v>
      </c>
      <c r="J117" s="2">
        <v>743</v>
      </c>
      <c r="K117" s="2">
        <v>694</v>
      </c>
      <c r="L117" s="2">
        <v>1</v>
      </c>
      <c r="M117" s="7">
        <f t="shared" si="5"/>
        <v>694</v>
      </c>
      <c r="N117" s="7">
        <f t="shared" si="6"/>
        <v>743</v>
      </c>
      <c r="O117" s="2">
        <v>99</v>
      </c>
      <c r="P117" s="8">
        <f t="shared" si="7"/>
        <v>842</v>
      </c>
      <c r="Q117" s="8">
        <f t="shared" si="8"/>
        <v>49</v>
      </c>
      <c r="R117" s="2" t="s">
        <v>28</v>
      </c>
      <c r="S117" s="9">
        <f t="shared" si="9"/>
        <v>16.84</v>
      </c>
    </row>
    <row r="118" spans="1:19" x14ac:dyDescent="0.3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IFERROR(VLOOKUP('Customer Info'!A110,'Customer Info'!A110:C609,2,FALSE),"Not Found")</f>
        <v>Craig</v>
      </c>
      <c r="H118" s="6" t="str">
        <f>IFERROR(VLOOKUP('Customer Info'!A110,'Customer Info'!A110:C609,3,FALSE),"Not Found")</f>
        <v>Carroll</v>
      </c>
      <c r="I118" s="6" t="str">
        <f>IFERROR(VLOOKUP('Customer Info'!A110,'Customer Info'!A110:E609,5,FALSE),"Not Found")</f>
        <v>Augsburg</v>
      </c>
      <c r="J118" s="2">
        <v>1186</v>
      </c>
      <c r="K118" s="2">
        <v>1141</v>
      </c>
      <c r="L118" s="2">
        <v>3</v>
      </c>
      <c r="M118" s="7">
        <f t="shared" si="5"/>
        <v>3423</v>
      </c>
      <c r="N118" s="7">
        <f t="shared" si="6"/>
        <v>3558</v>
      </c>
      <c r="O118" s="2">
        <v>48</v>
      </c>
      <c r="P118" s="8">
        <f t="shared" si="7"/>
        <v>3606</v>
      </c>
      <c r="Q118" s="8">
        <f t="shared" si="8"/>
        <v>2417</v>
      </c>
      <c r="R118" s="2" t="s">
        <v>28</v>
      </c>
      <c r="S118" s="9">
        <f t="shared" si="9"/>
        <v>72.12</v>
      </c>
    </row>
    <row r="119" spans="1:19" x14ac:dyDescent="0.3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IFERROR(VLOOKUP('Customer Info'!A111,'Customer Info'!A111:C610,2,FALSE),"Not Found")</f>
        <v>Craig</v>
      </c>
      <c r="H119" s="6" t="str">
        <f>IFERROR(VLOOKUP('Customer Info'!A111,'Customer Info'!A111:C610,3,FALSE),"Not Found")</f>
        <v>Carreira</v>
      </c>
      <c r="I119" s="6" t="str">
        <f>IFERROR(VLOOKUP('Customer Info'!A111,'Customer Info'!A111:E610,5,FALSE),"Not Found")</f>
        <v>Worms</v>
      </c>
      <c r="J119" s="2">
        <v>2965</v>
      </c>
      <c r="K119" s="2">
        <v>2694</v>
      </c>
      <c r="L119" s="2">
        <v>8</v>
      </c>
      <c r="M119" s="7">
        <f t="shared" si="5"/>
        <v>21552</v>
      </c>
      <c r="N119" s="7">
        <f t="shared" si="6"/>
        <v>23720</v>
      </c>
      <c r="O119" s="2">
        <v>33</v>
      </c>
      <c r="P119" s="8">
        <f t="shared" si="7"/>
        <v>23753</v>
      </c>
      <c r="Q119" s="8">
        <f t="shared" si="8"/>
        <v>21026</v>
      </c>
      <c r="R119" s="2" t="s">
        <v>28</v>
      </c>
      <c r="S119" s="9">
        <f t="shared" si="9"/>
        <v>1187.6500000000001</v>
      </c>
    </row>
    <row r="120" spans="1:19" x14ac:dyDescent="0.3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IFERROR(VLOOKUP('Customer Info'!A112,'Customer Info'!A112:C611,2,FALSE),"Not Found")</f>
        <v>Cynthia</v>
      </c>
      <c r="H120" s="6" t="str">
        <f>IFERROR(VLOOKUP('Customer Info'!A112,'Customer Info'!A112:C611,3,FALSE),"Not Found")</f>
        <v>Delaney</v>
      </c>
      <c r="I120" s="6" t="str">
        <f>IFERROR(VLOOKUP('Customer Info'!A112,'Customer Info'!A112:E611,5,FALSE),"Not Found")</f>
        <v>Wodonga</v>
      </c>
      <c r="J120" s="2">
        <v>60</v>
      </c>
      <c r="K120" s="2">
        <v>58</v>
      </c>
      <c r="L120" s="2">
        <v>1</v>
      </c>
      <c r="M120" s="7">
        <f t="shared" si="5"/>
        <v>58</v>
      </c>
      <c r="N120" s="7">
        <f t="shared" si="6"/>
        <v>60</v>
      </c>
      <c r="O120" s="2">
        <v>10</v>
      </c>
      <c r="P120" s="8">
        <f t="shared" si="7"/>
        <v>70</v>
      </c>
      <c r="Q120" s="8">
        <f t="shared" si="8"/>
        <v>2</v>
      </c>
      <c r="R120" s="2" t="s">
        <v>50</v>
      </c>
      <c r="S120" s="9">
        <f t="shared" si="9"/>
        <v>1.4000000000000001</v>
      </c>
    </row>
    <row r="121" spans="1:19" x14ac:dyDescent="0.3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IFERROR(VLOOKUP('Customer Info'!A113,'Customer Info'!A113:C612,2,FALSE),"Not Found")</f>
        <v>Cynthia</v>
      </c>
      <c r="H121" s="6" t="str">
        <f>IFERROR(VLOOKUP('Customer Info'!A113,'Customer Info'!A113:C612,3,FALSE),"Not Found")</f>
        <v>Delaney</v>
      </c>
      <c r="I121" s="6" t="str">
        <f>IFERROR(VLOOKUP('Customer Info'!A113,'Customer Info'!A113:E612,5,FALSE),"Not Found")</f>
        <v>Gold Coast</v>
      </c>
      <c r="J121" s="2">
        <v>63</v>
      </c>
      <c r="K121" s="2">
        <v>58</v>
      </c>
      <c r="L121" s="2">
        <v>9</v>
      </c>
      <c r="M121" s="7">
        <f t="shared" si="5"/>
        <v>522</v>
      </c>
      <c r="N121" s="7">
        <f t="shared" si="6"/>
        <v>567</v>
      </c>
      <c r="O121" s="2">
        <v>10</v>
      </c>
      <c r="P121" s="8">
        <f t="shared" si="7"/>
        <v>577</v>
      </c>
      <c r="Q121" s="8">
        <f t="shared" si="8"/>
        <v>509</v>
      </c>
      <c r="R121" s="2" t="s">
        <v>28</v>
      </c>
      <c r="S121" s="9">
        <f t="shared" si="9"/>
        <v>11.540000000000001</v>
      </c>
    </row>
    <row r="122" spans="1:19" x14ac:dyDescent="0.3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IFERROR(VLOOKUP('Customer Info'!A114,'Customer Info'!A114:C613,2,FALSE),"Not Found")</f>
        <v>Cyra</v>
      </c>
      <c r="H122" s="6" t="str">
        <f>IFERROR(VLOOKUP('Customer Info'!A114,'Customer Info'!A114:C613,3,FALSE),"Not Found")</f>
        <v>Reiten</v>
      </c>
      <c r="I122" s="6" t="str">
        <f>IFERROR(VLOOKUP('Customer Info'!A114,'Customer Info'!A114:E613,5,FALSE),"Not Found")</f>
        <v>Samarinda</v>
      </c>
      <c r="J122" s="2">
        <v>691</v>
      </c>
      <c r="K122" s="2">
        <v>646</v>
      </c>
      <c r="L122" s="2">
        <v>2</v>
      </c>
      <c r="M122" s="7">
        <f t="shared" si="5"/>
        <v>1292</v>
      </c>
      <c r="N122" s="7">
        <f t="shared" si="6"/>
        <v>1382</v>
      </c>
      <c r="O122" s="2">
        <v>57</v>
      </c>
      <c r="P122" s="8">
        <f t="shared" si="7"/>
        <v>1439</v>
      </c>
      <c r="Q122" s="8">
        <f t="shared" si="8"/>
        <v>736</v>
      </c>
      <c r="R122" s="2" t="s">
        <v>28</v>
      </c>
      <c r="S122" s="9">
        <f t="shared" si="9"/>
        <v>28.78</v>
      </c>
    </row>
    <row r="123" spans="1:19" x14ac:dyDescent="0.3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IFERROR(VLOOKUP('Customer Info'!A115,'Customer Info'!A115:C614,2,FALSE),"Not Found")</f>
        <v>Cyra</v>
      </c>
      <c r="H123" s="6" t="str">
        <f>IFERROR(VLOOKUP('Customer Info'!A115,'Customer Info'!A115:C614,3,FALSE),"Not Found")</f>
        <v>Reiten</v>
      </c>
      <c r="I123" s="6" t="str">
        <f>IFERROR(VLOOKUP('Customer Info'!A115,'Customer Info'!A115:E614,5,FALSE),"Not Found")</f>
        <v>Srinagar</v>
      </c>
      <c r="J123" s="2">
        <v>1587</v>
      </c>
      <c r="K123" s="2">
        <v>1428</v>
      </c>
      <c r="L123" s="2">
        <v>1</v>
      </c>
      <c r="M123" s="7">
        <f t="shared" si="5"/>
        <v>1428</v>
      </c>
      <c r="N123" s="7">
        <f t="shared" si="6"/>
        <v>1587</v>
      </c>
      <c r="O123" s="2">
        <v>81</v>
      </c>
      <c r="P123" s="8">
        <f t="shared" si="7"/>
        <v>1668</v>
      </c>
      <c r="Q123" s="8">
        <f t="shared" si="8"/>
        <v>159</v>
      </c>
      <c r="R123" s="2" t="s">
        <v>26</v>
      </c>
      <c r="S123" s="9">
        <f t="shared" si="9"/>
        <v>33.36</v>
      </c>
    </row>
    <row r="124" spans="1:19" x14ac:dyDescent="0.3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IFERROR(VLOOKUP('Customer Info'!A116,'Customer Info'!A116:C615,2,FALSE),"Not Found")</f>
        <v>Damala</v>
      </c>
      <c r="H124" s="6" t="str">
        <f>IFERROR(VLOOKUP('Customer Info'!A116,'Customer Info'!A116:C615,3,FALSE),"Not Found")</f>
        <v>Kotsonis</v>
      </c>
      <c r="I124" s="6" t="str">
        <f>IFERROR(VLOOKUP('Customer Info'!A116,'Customer Info'!A116:E615,5,FALSE),"Not Found")</f>
        <v>Berlin</v>
      </c>
      <c r="J124" s="2">
        <v>1816</v>
      </c>
      <c r="K124" s="2">
        <v>1699</v>
      </c>
      <c r="L124" s="2">
        <v>2</v>
      </c>
      <c r="M124" s="7">
        <f t="shared" si="5"/>
        <v>3398</v>
      </c>
      <c r="N124" s="7">
        <f t="shared" si="6"/>
        <v>3632</v>
      </c>
      <c r="O124" s="2">
        <v>47</v>
      </c>
      <c r="P124" s="8">
        <f t="shared" si="7"/>
        <v>3679</v>
      </c>
      <c r="Q124" s="8">
        <f t="shared" si="8"/>
        <v>1933</v>
      </c>
      <c r="R124" s="2" t="s">
        <v>26</v>
      </c>
      <c r="S124" s="9">
        <f t="shared" si="9"/>
        <v>73.58</v>
      </c>
    </row>
    <row r="125" spans="1:19" x14ac:dyDescent="0.3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IFERROR(VLOOKUP('Customer Info'!A117,'Customer Info'!A117:C616,2,FALSE),"Not Found")</f>
        <v>Dan</v>
      </c>
      <c r="H125" s="6" t="str">
        <f>IFERROR(VLOOKUP('Customer Info'!A117,'Customer Info'!A117:C616,3,FALSE),"Not Found")</f>
        <v>Campbell</v>
      </c>
      <c r="I125" s="6" t="str">
        <f>IFERROR(VLOOKUP('Customer Info'!A117,'Customer Info'!A117:E616,5,FALSE),"Not Found")</f>
        <v>Perth</v>
      </c>
      <c r="J125" s="2">
        <v>1653</v>
      </c>
      <c r="K125" s="2">
        <v>1560</v>
      </c>
      <c r="L125" s="2">
        <v>2</v>
      </c>
      <c r="M125" s="7">
        <f t="shared" si="5"/>
        <v>3120</v>
      </c>
      <c r="N125" s="7">
        <f t="shared" si="6"/>
        <v>3306</v>
      </c>
      <c r="O125" s="2">
        <v>49</v>
      </c>
      <c r="P125" s="8">
        <f t="shared" si="7"/>
        <v>3355</v>
      </c>
      <c r="Q125" s="8">
        <f t="shared" si="8"/>
        <v>1746</v>
      </c>
      <c r="R125" s="2" t="s">
        <v>28</v>
      </c>
      <c r="S125" s="9">
        <f t="shared" si="9"/>
        <v>67.099999999999994</v>
      </c>
    </row>
    <row r="126" spans="1:19" x14ac:dyDescent="0.3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>IFERROR(VLOOKUP('Customer Info'!A118,'Customer Info'!A118:C617,2,FALSE),"Not Found")</f>
        <v>Dana</v>
      </c>
      <c r="H126" s="6" t="str">
        <f>IFERROR(VLOOKUP('Customer Info'!A118,'Customer Info'!A118:C617,3,FALSE),"Not Found")</f>
        <v>Kaydos</v>
      </c>
      <c r="I126" s="6" t="str">
        <f>IFERROR(VLOOKUP('Customer Info'!A118,'Customer Info'!A118:E617,5,FALSE),"Not Found")</f>
        <v>Nagercoil</v>
      </c>
      <c r="J126" s="2">
        <v>7609</v>
      </c>
      <c r="K126" s="2">
        <v>7248</v>
      </c>
      <c r="L126" s="2">
        <v>4</v>
      </c>
      <c r="M126" s="7">
        <f t="shared" si="5"/>
        <v>28992</v>
      </c>
      <c r="N126" s="7">
        <f t="shared" si="6"/>
        <v>30436</v>
      </c>
      <c r="O126" s="2">
        <v>76</v>
      </c>
      <c r="P126" s="8">
        <f t="shared" si="7"/>
        <v>30512</v>
      </c>
      <c r="Q126" s="8">
        <f t="shared" si="8"/>
        <v>23188</v>
      </c>
      <c r="R126" s="2" t="s">
        <v>28</v>
      </c>
      <c r="S126" s="9">
        <f t="shared" si="9"/>
        <v>2135.84</v>
      </c>
    </row>
    <row r="127" spans="1:19" x14ac:dyDescent="0.3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>IFERROR(VLOOKUP('Customer Info'!A119,'Customer Info'!A119:C618,2,FALSE),"Not Found")</f>
        <v>Daniel</v>
      </c>
      <c r="H127" s="6" t="str">
        <f>IFERROR(VLOOKUP('Customer Info'!A119,'Customer Info'!A119:C618,3,FALSE),"Not Found")</f>
        <v>Raglin</v>
      </c>
      <c r="I127" s="6" t="str">
        <f>IFERROR(VLOOKUP('Customer Info'!A119,'Customer Info'!A119:E618,5,FALSE),"Not Found")</f>
        <v>Gold Coast</v>
      </c>
      <c r="J127" s="2">
        <v>1405</v>
      </c>
      <c r="K127" s="2">
        <v>1287</v>
      </c>
      <c r="L127" s="2">
        <v>2</v>
      </c>
      <c r="M127" s="7">
        <f t="shared" si="5"/>
        <v>2574</v>
      </c>
      <c r="N127" s="7">
        <f t="shared" si="6"/>
        <v>2810</v>
      </c>
      <c r="O127" s="2">
        <v>36</v>
      </c>
      <c r="P127" s="8">
        <f t="shared" si="7"/>
        <v>2846</v>
      </c>
      <c r="Q127" s="8">
        <f t="shared" si="8"/>
        <v>1523</v>
      </c>
      <c r="R127" s="2" t="s">
        <v>28</v>
      </c>
      <c r="S127" s="9">
        <f t="shared" si="9"/>
        <v>56.92</v>
      </c>
    </row>
    <row r="128" spans="1:19" x14ac:dyDescent="0.3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IFERROR(VLOOKUP('Customer Info'!A120,'Customer Info'!A120:C619,2,FALSE),"Not Found")</f>
        <v>Darren</v>
      </c>
      <c r="H128" s="6" t="str">
        <f>IFERROR(VLOOKUP('Customer Info'!A120,'Customer Info'!A120:C619,3,FALSE),"Not Found")</f>
        <v>Koutras</v>
      </c>
      <c r="I128" s="6" t="str">
        <f>IFERROR(VLOOKUP('Customer Info'!A120,'Customer Info'!A120:E619,5,FALSE),"Not Found")</f>
        <v>Pune</v>
      </c>
      <c r="J128" s="2">
        <v>7534</v>
      </c>
      <c r="K128" s="2">
        <v>7106</v>
      </c>
      <c r="L128" s="2">
        <v>12</v>
      </c>
      <c r="M128" s="7">
        <f t="shared" si="5"/>
        <v>85272</v>
      </c>
      <c r="N128" s="7">
        <f t="shared" si="6"/>
        <v>90408</v>
      </c>
      <c r="O128" s="2">
        <v>24</v>
      </c>
      <c r="P128" s="8">
        <f t="shared" si="7"/>
        <v>90432</v>
      </c>
      <c r="Q128" s="8">
        <f t="shared" si="8"/>
        <v>83302</v>
      </c>
      <c r="R128" s="2" t="s">
        <v>26</v>
      </c>
      <c r="S128" s="9">
        <f t="shared" si="9"/>
        <v>8138.88</v>
      </c>
    </row>
    <row r="129" spans="1:19" x14ac:dyDescent="0.3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>IFERROR(VLOOKUP('Customer Info'!A121,'Customer Info'!A121:C620,2,FALSE),"Not Found")</f>
        <v>Darren</v>
      </c>
      <c r="H129" s="6" t="str">
        <f>IFERROR(VLOOKUP('Customer Info'!A121,'Customer Info'!A121:C620,3,FALSE),"Not Found")</f>
        <v>Budd</v>
      </c>
      <c r="I129" s="6" t="str">
        <f>IFERROR(VLOOKUP('Customer Info'!A121,'Customer Info'!A121:E620,5,FALSE),"Not Found")</f>
        <v>Jakarta</v>
      </c>
      <c r="J129" s="2">
        <v>1790</v>
      </c>
      <c r="K129" s="2">
        <v>1706</v>
      </c>
      <c r="L129" s="2">
        <v>1</v>
      </c>
      <c r="M129" s="7">
        <f t="shared" si="5"/>
        <v>1706</v>
      </c>
      <c r="N129" s="7">
        <f t="shared" si="6"/>
        <v>1790</v>
      </c>
      <c r="O129" s="2">
        <v>42</v>
      </c>
      <c r="P129" s="8">
        <f t="shared" si="7"/>
        <v>1832</v>
      </c>
      <c r="Q129" s="8">
        <f t="shared" si="8"/>
        <v>84</v>
      </c>
      <c r="R129" s="2" t="s">
        <v>50</v>
      </c>
      <c r="S129" s="9">
        <f t="shared" si="9"/>
        <v>36.64</v>
      </c>
    </row>
    <row r="130" spans="1:19" x14ac:dyDescent="0.3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IFERROR(VLOOKUP('Customer Info'!A122,'Customer Info'!A122:C621,2,FALSE),"Not Found")</f>
        <v>Darren</v>
      </c>
      <c r="H130" s="6" t="str">
        <f>IFERROR(VLOOKUP('Customer Info'!A122,'Customer Info'!A122:C621,3,FALSE),"Not Found")</f>
        <v>Budd</v>
      </c>
      <c r="I130" s="6" t="str">
        <f>IFERROR(VLOOKUP('Customer Info'!A122,'Customer Info'!A122:E621,5,FALSE),"Not Found")</f>
        <v>Regensburg</v>
      </c>
      <c r="J130" s="2">
        <v>674</v>
      </c>
      <c r="K130" s="2">
        <v>629</v>
      </c>
      <c r="L130" s="2">
        <v>1</v>
      </c>
      <c r="M130" s="7">
        <f t="shared" si="5"/>
        <v>629</v>
      </c>
      <c r="N130" s="7">
        <f t="shared" si="6"/>
        <v>674</v>
      </c>
      <c r="O130" s="2">
        <v>22</v>
      </c>
      <c r="P130" s="8">
        <f t="shared" si="7"/>
        <v>696</v>
      </c>
      <c r="Q130" s="8">
        <f t="shared" si="8"/>
        <v>45</v>
      </c>
      <c r="R130" s="2" t="s">
        <v>28</v>
      </c>
      <c r="S130" s="9">
        <f t="shared" si="9"/>
        <v>13.92</v>
      </c>
    </row>
    <row r="131" spans="1:19" x14ac:dyDescent="0.3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IFERROR(VLOOKUP('Customer Info'!A123,'Customer Info'!A123:C622,2,FALSE),"Not Found")</f>
        <v>Darren</v>
      </c>
      <c r="H131" s="6" t="str">
        <f>IFERROR(VLOOKUP('Customer Info'!A123,'Customer Info'!A123:C622,3,FALSE),"Not Found")</f>
        <v>Powers</v>
      </c>
      <c r="I131" s="6" t="str">
        <f>IFERROR(VLOOKUP('Customer Info'!A123,'Customer Info'!A123:E622,5,FALSE),"Not Found")</f>
        <v>Depok</v>
      </c>
      <c r="J131" s="2">
        <v>171</v>
      </c>
      <c r="K131" s="2">
        <v>153</v>
      </c>
      <c r="L131" s="2">
        <v>3</v>
      </c>
      <c r="M131" s="7">
        <f t="shared" si="5"/>
        <v>459</v>
      </c>
      <c r="N131" s="7">
        <f t="shared" si="6"/>
        <v>513</v>
      </c>
      <c r="O131" s="2">
        <v>30</v>
      </c>
      <c r="P131" s="8">
        <f t="shared" si="7"/>
        <v>543</v>
      </c>
      <c r="Q131" s="8">
        <f t="shared" si="8"/>
        <v>360</v>
      </c>
      <c r="R131" s="2" t="s">
        <v>50</v>
      </c>
      <c r="S131" s="9">
        <f t="shared" si="9"/>
        <v>10.86</v>
      </c>
    </row>
    <row r="132" spans="1:19" x14ac:dyDescent="0.3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IFERROR(VLOOKUP('Customer Info'!A124,'Customer Info'!A124:C623,2,FALSE),"Not Found")</f>
        <v>Darren</v>
      </c>
      <c r="H132" s="6" t="str">
        <f>IFERROR(VLOOKUP('Customer Info'!A124,'Customer Info'!A124:C623,3,FALSE),"Not Found")</f>
        <v>Budd</v>
      </c>
      <c r="I132" s="6" t="str">
        <f>IFERROR(VLOOKUP('Customer Info'!A124,'Customer Info'!A124:E623,5,FALSE),"Not Found")</f>
        <v>Perth</v>
      </c>
      <c r="J132" s="2">
        <v>900</v>
      </c>
      <c r="K132" s="2">
        <v>834</v>
      </c>
      <c r="L132" s="2">
        <v>3</v>
      </c>
      <c r="M132" s="7">
        <f t="shared" si="5"/>
        <v>2502</v>
      </c>
      <c r="N132" s="7">
        <f t="shared" si="6"/>
        <v>2700</v>
      </c>
      <c r="O132" s="2">
        <v>71</v>
      </c>
      <c r="P132" s="8">
        <f t="shared" si="7"/>
        <v>2771</v>
      </c>
      <c r="Q132" s="8">
        <f t="shared" si="8"/>
        <v>1866</v>
      </c>
      <c r="R132" s="2" t="s">
        <v>56</v>
      </c>
      <c r="S132" s="9">
        <f t="shared" si="9"/>
        <v>55.42</v>
      </c>
    </row>
    <row r="133" spans="1:19" x14ac:dyDescent="0.3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IFERROR(VLOOKUP('Customer Info'!A125,'Customer Info'!A125:C624,2,FALSE),"Not Found")</f>
        <v>Darrin</v>
      </c>
      <c r="H133" s="6" t="str">
        <f>IFERROR(VLOOKUP('Customer Info'!A125,'Customer Info'!A125:C624,3,FALSE),"Not Found")</f>
        <v>Sayre</v>
      </c>
      <c r="I133" s="6" t="str">
        <f>IFERROR(VLOOKUP('Customer Info'!A125,'Customer Info'!A125:E624,5,FALSE),"Not Found")</f>
        <v>Duisburg</v>
      </c>
      <c r="J133" s="2">
        <v>1635</v>
      </c>
      <c r="K133" s="2">
        <v>1573</v>
      </c>
      <c r="L133" s="2">
        <v>4</v>
      </c>
      <c r="M133" s="7">
        <f t="shared" si="5"/>
        <v>6292</v>
      </c>
      <c r="N133" s="7">
        <f t="shared" si="6"/>
        <v>6540</v>
      </c>
      <c r="O133" s="2">
        <v>33</v>
      </c>
      <c r="P133" s="8">
        <f t="shared" si="7"/>
        <v>6573</v>
      </c>
      <c r="Q133" s="8">
        <f t="shared" si="8"/>
        <v>4967</v>
      </c>
      <c r="R133" s="2" t="s">
        <v>28</v>
      </c>
      <c r="S133" s="9">
        <f t="shared" si="9"/>
        <v>328.65000000000003</v>
      </c>
    </row>
    <row r="134" spans="1:19" x14ac:dyDescent="0.3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IFERROR(VLOOKUP('Customer Info'!A126,'Customer Info'!A126:C625,2,FALSE),"Not Found")</f>
        <v>Darrin</v>
      </c>
      <c r="H134" s="6" t="str">
        <f>IFERROR(VLOOKUP('Customer Info'!A126,'Customer Info'!A126:C625,3,FALSE),"Not Found")</f>
        <v>Martin</v>
      </c>
      <c r="I134" s="6" t="str">
        <f>IFERROR(VLOOKUP('Customer Info'!A126,'Customer Info'!A126:E625,5,FALSE),"Not Found")</f>
        <v>Berlin</v>
      </c>
      <c r="J134" s="2">
        <v>1882</v>
      </c>
      <c r="K134" s="2">
        <v>1792</v>
      </c>
      <c r="L134" s="2">
        <v>4</v>
      </c>
      <c r="M134" s="7">
        <f t="shared" si="5"/>
        <v>7168</v>
      </c>
      <c r="N134" s="7">
        <f t="shared" si="6"/>
        <v>7528</v>
      </c>
      <c r="O134" s="2">
        <v>44</v>
      </c>
      <c r="P134" s="8">
        <f t="shared" si="7"/>
        <v>7572</v>
      </c>
      <c r="Q134" s="8">
        <f t="shared" si="8"/>
        <v>5736</v>
      </c>
      <c r="R134" s="2" t="s">
        <v>50</v>
      </c>
      <c r="S134" s="9">
        <f t="shared" si="9"/>
        <v>378.6</v>
      </c>
    </row>
    <row r="135" spans="1:19" x14ac:dyDescent="0.3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IFERROR(VLOOKUP('Customer Info'!A127,'Customer Info'!A127:C626,2,FALSE),"Not Found")</f>
        <v>Dave</v>
      </c>
      <c r="H135" s="6" t="str">
        <f>IFERROR(VLOOKUP('Customer Info'!A127,'Customer Info'!A127:C626,3,FALSE),"Not Found")</f>
        <v>Hallsten</v>
      </c>
      <c r="I135" s="6" t="str">
        <f>IFERROR(VLOOKUP('Customer Info'!A127,'Customer Info'!A127:E626,5,FALSE),"Not Found")</f>
        <v>Melbourne</v>
      </c>
      <c r="J135" s="2">
        <v>526</v>
      </c>
      <c r="K135" s="2">
        <v>487</v>
      </c>
      <c r="L135" s="2">
        <v>3</v>
      </c>
      <c r="M135" s="7">
        <f t="shared" si="5"/>
        <v>1461</v>
      </c>
      <c r="N135" s="7">
        <f t="shared" si="6"/>
        <v>1578</v>
      </c>
      <c r="O135" s="2">
        <v>36</v>
      </c>
      <c r="P135" s="8">
        <f t="shared" si="7"/>
        <v>1614</v>
      </c>
      <c r="Q135" s="8">
        <f t="shared" si="8"/>
        <v>1091</v>
      </c>
      <c r="R135" s="2" t="s">
        <v>28</v>
      </c>
      <c r="S135" s="9">
        <f t="shared" si="9"/>
        <v>32.28</v>
      </c>
    </row>
    <row r="136" spans="1:19" x14ac:dyDescent="0.3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>IFERROR(VLOOKUP('Customer Info'!A128,'Customer Info'!A128:C627,2,FALSE),"Not Found")</f>
        <v>Dave</v>
      </c>
      <c r="H136" s="6" t="str">
        <f>IFERROR(VLOOKUP('Customer Info'!A128,'Customer Info'!A128:C627,3,FALSE),"Not Found")</f>
        <v>Poirier</v>
      </c>
      <c r="I136" s="6" t="str">
        <f>IFERROR(VLOOKUP('Customer Info'!A128,'Customer Info'!A128:E627,5,FALSE),"Not Found")</f>
        <v>Suizhou</v>
      </c>
      <c r="J136" s="2">
        <v>3192</v>
      </c>
      <c r="K136" s="2">
        <v>3011</v>
      </c>
      <c r="L136" s="2">
        <v>2</v>
      </c>
      <c r="M136" s="7">
        <f t="shared" si="5"/>
        <v>6022</v>
      </c>
      <c r="N136" s="7">
        <f t="shared" si="6"/>
        <v>6384</v>
      </c>
      <c r="O136" s="2">
        <v>73</v>
      </c>
      <c r="P136" s="8">
        <f t="shared" si="7"/>
        <v>6457</v>
      </c>
      <c r="Q136" s="8">
        <f t="shared" si="8"/>
        <v>3373</v>
      </c>
      <c r="R136" s="2" t="s">
        <v>28</v>
      </c>
      <c r="S136" s="9">
        <f t="shared" si="9"/>
        <v>322.85000000000002</v>
      </c>
    </row>
    <row r="137" spans="1:19" x14ac:dyDescent="0.3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IFERROR(VLOOKUP('Customer Info'!A129,'Customer Info'!A129:C628,2,FALSE),"Not Found")</f>
        <v>Dave</v>
      </c>
      <c r="H137" s="6" t="str">
        <f>IFERROR(VLOOKUP('Customer Info'!A129,'Customer Info'!A129:C628,3,FALSE),"Not Found")</f>
        <v>Poirier</v>
      </c>
      <c r="I137" s="6" t="str">
        <f>IFERROR(VLOOKUP('Customer Info'!A129,'Customer Info'!A129:E628,5,FALSE),"Not Found")</f>
        <v>Changchun</v>
      </c>
      <c r="J137" s="2">
        <v>445</v>
      </c>
      <c r="K137" s="2">
        <v>415</v>
      </c>
      <c r="L137" s="2">
        <v>5</v>
      </c>
      <c r="M137" s="7">
        <f t="shared" si="5"/>
        <v>2075</v>
      </c>
      <c r="N137" s="7">
        <f t="shared" si="6"/>
        <v>2225</v>
      </c>
      <c r="O137" s="2">
        <v>72</v>
      </c>
      <c r="P137" s="8">
        <f t="shared" si="7"/>
        <v>2297</v>
      </c>
      <c r="Q137" s="8">
        <f t="shared" si="8"/>
        <v>1810</v>
      </c>
      <c r="R137" s="2" t="s">
        <v>28</v>
      </c>
      <c r="S137" s="9">
        <f t="shared" si="9"/>
        <v>45.94</v>
      </c>
    </row>
    <row r="138" spans="1:19" x14ac:dyDescent="0.3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IFERROR(VLOOKUP('Customer Info'!A130,'Customer Info'!A130:C629,2,FALSE),"Not Found")</f>
        <v>Dave</v>
      </c>
      <c r="H138" s="6" t="str">
        <f>IFERROR(VLOOKUP('Customer Info'!A130,'Customer Info'!A130:C629,3,FALSE),"Not Found")</f>
        <v>Hallsten</v>
      </c>
      <c r="I138" s="6" t="str">
        <f>IFERROR(VLOOKUP('Customer Info'!A130,'Customer Info'!A130:E629,5,FALSE),"Not Found")</f>
        <v>Coimbatore</v>
      </c>
      <c r="J138" s="2">
        <v>666</v>
      </c>
      <c r="K138" s="2">
        <v>641</v>
      </c>
      <c r="L138" s="2">
        <v>6</v>
      </c>
      <c r="M138" s="7">
        <f t="shared" si="5"/>
        <v>3846</v>
      </c>
      <c r="N138" s="7">
        <f t="shared" si="6"/>
        <v>3996</v>
      </c>
      <c r="O138" s="2">
        <v>23</v>
      </c>
      <c r="P138" s="8">
        <f t="shared" si="7"/>
        <v>4019</v>
      </c>
      <c r="Q138" s="8">
        <f t="shared" si="8"/>
        <v>3355</v>
      </c>
      <c r="R138" s="2" t="s">
        <v>50</v>
      </c>
      <c r="S138" s="9">
        <f t="shared" si="9"/>
        <v>80.38</v>
      </c>
    </row>
    <row r="139" spans="1:19" x14ac:dyDescent="0.3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>IFERROR(VLOOKUP('Customer Info'!A131,'Customer Info'!A131:C630,2,FALSE),"Not Found")</f>
        <v>David</v>
      </c>
      <c r="H139" s="6" t="str">
        <f>IFERROR(VLOOKUP('Customer Info'!A131,'Customer Info'!A131:C630,3,FALSE),"Not Found")</f>
        <v>Smith</v>
      </c>
      <c r="I139" s="6" t="str">
        <f>IFERROR(VLOOKUP('Customer Info'!A131,'Customer Info'!A131:E630,5,FALSE),"Not Found")</f>
        <v>Surat</v>
      </c>
      <c r="J139" s="2">
        <v>877</v>
      </c>
      <c r="K139" s="2">
        <v>788</v>
      </c>
      <c r="L139" s="2">
        <v>3</v>
      </c>
      <c r="M139" s="7">
        <f t="shared" ref="M139:M202" si="10">$K139*$L139</f>
        <v>2364</v>
      </c>
      <c r="N139" s="7">
        <f t="shared" ref="N139:N202" si="11">$J139*$L139</f>
        <v>2631</v>
      </c>
      <c r="O139" s="2">
        <v>81</v>
      </c>
      <c r="P139" s="8">
        <f t="shared" ref="P139:P202" si="12">$N139+$O139</f>
        <v>2712</v>
      </c>
      <c r="Q139" s="8">
        <f t="shared" ref="Q139:Q202" si="13">$N139-$K139</f>
        <v>1843</v>
      </c>
      <c r="R139" s="2" t="s">
        <v>28</v>
      </c>
      <c r="S139" s="9">
        <f t="shared" ref="S139:S202" si="14" xml:space="preserve"> P139 * VLOOKUP(P139, $T$2:$U$6, 2, TRUE)</f>
        <v>54.24</v>
      </c>
    </row>
    <row r="140" spans="1:19" x14ac:dyDescent="0.3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IFERROR(VLOOKUP('Customer Info'!A132,'Customer Info'!A132:C631,2,FALSE),"Not Found")</f>
        <v>David</v>
      </c>
      <c r="H140" s="6" t="str">
        <f>IFERROR(VLOOKUP('Customer Info'!A132,'Customer Info'!A132:C631,3,FALSE),"Not Found")</f>
        <v>Kendrick</v>
      </c>
      <c r="I140" s="6" t="str">
        <f>IFERROR(VLOOKUP('Customer Info'!A132,'Customer Info'!A132:E631,5,FALSE),"Not Found")</f>
        <v>Kunming</v>
      </c>
      <c r="J140" s="2">
        <v>8022</v>
      </c>
      <c r="K140" s="2">
        <v>7868</v>
      </c>
      <c r="L140" s="2">
        <v>2</v>
      </c>
      <c r="M140" s="7">
        <f t="shared" si="10"/>
        <v>15736</v>
      </c>
      <c r="N140" s="7">
        <f t="shared" si="11"/>
        <v>16044</v>
      </c>
      <c r="O140" s="2">
        <v>43</v>
      </c>
      <c r="P140" s="8">
        <f t="shared" si="12"/>
        <v>16087</v>
      </c>
      <c r="Q140" s="8">
        <f t="shared" si="13"/>
        <v>8176</v>
      </c>
      <c r="R140" s="2" t="s">
        <v>50</v>
      </c>
      <c r="S140" s="9">
        <f t="shared" si="14"/>
        <v>804.35</v>
      </c>
    </row>
    <row r="141" spans="1:19" x14ac:dyDescent="0.3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>IFERROR(VLOOKUP('Customer Info'!A133,'Customer Info'!A133:C632,2,FALSE),"Not Found")</f>
        <v>David</v>
      </c>
      <c r="H141" s="6" t="str">
        <f>IFERROR(VLOOKUP('Customer Info'!A133,'Customer Info'!A133:C632,3,FALSE),"Not Found")</f>
        <v>Philippe</v>
      </c>
      <c r="I141" s="6" t="str">
        <f>IFERROR(VLOOKUP('Customer Info'!A133,'Customer Info'!A133:E632,5,FALSE),"Not Found")</f>
        <v>Hamburg</v>
      </c>
      <c r="J141" s="2">
        <v>1718</v>
      </c>
      <c r="K141" s="2">
        <v>1545</v>
      </c>
      <c r="L141" s="2">
        <v>4</v>
      </c>
      <c r="M141" s="7">
        <f t="shared" si="10"/>
        <v>6180</v>
      </c>
      <c r="N141" s="7">
        <f t="shared" si="11"/>
        <v>6872</v>
      </c>
      <c r="O141" s="2">
        <v>54</v>
      </c>
      <c r="P141" s="8">
        <f t="shared" si="12"/>
        <v>6926</v>
      </c>
      <c r="Q141" s="8">
        <f t="shared" si="13"/>
        <v>5327</v>
      </c>
      <c r="R141" s="2" t="s">
        <v>28</v>
      </c>
      <c r="S141" s="9">
        <f t="shared" si="14"/>
        <v>346.3</v>
      </c>
    </row>
    <row r="142" spans="1:19" x14ac:dyDescent="0.3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IFERROR(VLOOKUP('Customer Info'!A134,'Customer Info'!A134:C633,2,FALSE),"Not Found")</f>
        <v>Dean</v>
      </c>
      <c r="H142" s="6" t="str">
        <f>IFERROR(VLOOKUP('Customer Info'!A134,'Customer Info'!A134:C633,3,FALSE),"Not Found")</f>
        <v>Katz</v>
      </c>
      <c r="I142" s="6" t="str">
        <f>IFERROR(VLOOKUP('Customer Info'!A134,'Customer Info'!A134:E633,5,FALSE),"Not Found")</f>
        <v>Changzhou</v>
      </c>
      <c r="J142" s="2">
        <v>666</v>
      </c>
      <c r="K142" s="2">
        <v>641</v>
      </c>
      <c r="L142" s="2">
        <v>6</v>
      </c>
      <c r="M142" s="7">
        <f t="shared" si="10"/>
        <v>3846</v>
      </c>
      <c r="N142" s="7">
        <f t="shared" si="11"/>
        <v>3996</v>
      </c>
      <c r="O142" s="2">
        <v>24</v>
      </c>
      <c r="P142" s="8">
        <f t="shared" si="12"/>
        <v>4020</v>
      </c>
      <c r="Q142" s="8">
        <f t="shared" si="13"/>
        <v>3355</v>
      </c>
      <c r="R142" s="2" t="s">
        <v>50</v>
      </c>
      <c r="S142" s="9">
        <f t="shared" si="14"/>
        <v>80.400000000000006</v>
      </c>
    </row>
    <row r="143" spans="1:19" x14ac:dyDescent="0.3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IFERROR(VLOOKUP('Customer Info'!A135,'Customer Info'!A135:C634,2,FALSE),"Not Found")</f>
        <v>Deanra</v>
      </c>
      <c r="H143" s="6" t="str">
        <f>IFERROR(VLOOKUP('Customer Info'!A135,'Customer Info'!A135:C634,3,FALSE),"Not Found")</f>
        <v>Eno</v>
      </c>
      <c r="I143" s="6" t="str">
        <f>IFERROR(VLOOKUP('Customer Info'!A135,'Customer Info'!A135:E634,5,FALSE),"Not Found")</f>
        <v>Langen</v>
      </c>
      <c r="J143" s="2">
        <v>8351</v>
      </c>
      <c r="K143" s="2">
        <v>8033</v>
      </c>
      <c r="L143" s="2">
        <v>3</v>
      </c>
      <c r="M143" s="7">
        <f t="shared" si="10"/>
        <v>24099</v>
      </c>
      <c r="N143" s="7">
        <f t="shared" si="11"/>
        <v>25053</v>
      </c>
      <c r="O143" s="2">
        <v>84</v>
      </c>
      <c r="P143" s="8">
        <f t="shared" si="12"/>
        <v>25137</v>
      </c>
      <c r="Q143" s="8">
        <f t="shared" si="13"/>
        <v>17020</v>
      </c>
      <c r="R143" s="2" t="s">
        <v>28</v>
      </c>
      <c r="S143" s="9">
        <f t="shared" si="14"/>
        <v>1759.5900000000001</v>
      </c>
    </row>
    <row r="144" spans="1:19" x14ac:dyDescent="0.3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IFERROR(VLOOKUP('Customer Info'!A136,'Customer Info'!A136:C635,2,FALSE),"Not Found")</f>
        <v>Debra</v>
      </c>
      <c r="H144" s="6" t="str">
        <f>IFERROR(VLOOKUP('Customer Info'!A136,'Customer Info'!A136:C635,3,FALSE),"Not Found")</f>
        <v>Catini</v>
      </c>
      <c r="I144" s="6" t="str">
        <f>IFERROR(VLOOKUP('Customer Info'!A136,'Customer Info'!A136:E635,5,FALSE),"Not Found")</f>
        <v>Zhengzhou</v>
      </c>
      <c r="J144" s="2">
        <v>8026</v>
      </c>
      <c r="K144" s="2">
        <v>7572</v>
      </c>
      <c r="L144" s="2">
        <v>4</v>
      </c>
      <c r="M144" s="7">
        <f t="shared" si="10"/>
        <v>30288</v>
      </c>
      <c r="N144" s="7">
        <f t="shared" si="11"/>
        <v>32104</v>
      </c>
      <c r="O144" s="2">
        <v>87</v>
      </c>
      <c r="P144" s="8">
        <f t="shared" si="12"/>
        <v>32191</v>
      </c>
      <c r="Q144" s="8">
        <f t="shared" si="13"/>
        <v>24532</v>
      </c>
      <c r="R144" s="2" t="s">
        <v>26</v>
      </c>
      <c r="S144" s="9">
        <f t="shared" si="14"/>
        <v>2253.3700000000003</v>
      </c>
    </row>
    <row r="145" spans="1:19" x14ac:dyDescent="0.3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>IFERROR(VLOOKUP('Customer Info'!A137,'Customer Info'!A137:C636,2,FALSE),"Not Found")</f>
        <v>Debra</v>
      </c>
      <c r="H145" s="6" t="str">
        <f>IFERROR(VLOOKUP('Customer Info'!A137,'Customer Info'!A137:C636,3,FALSE),"Not Found")</f>
        <v>Catini</v>
      </c>
      <c r="I145" s="6" t="str">
        <f>IFERROR(VLOOKUP('Customer Info'!A137,'Customer Info'!A137:E636,5,FALSE),"Not Found")</f>
        <v>Brisbane</v>
      </c>
      <c r="J145" s="2">
        <v>1564</v>
      </c>
      <c r="K145" s="2">
        <v>1420</v>
      </c>
      <c r="L145" s="2">
        <v>5</v>
      </c>
      <c r="M145" s="7">
        <f t="shared" si="10"/>
        <v>7100</v>
      </c>
      <c r="N145" s="7">
        <f t="shared" si="11"/>
        <v>7820</v>
      </c>
      <c r="O145" s="2">
        <v>41</v>
      </c>
      <c r="P145" s="8">
        <f t="shared" si="12"/>
        <v>7861</v>
      </c>
      <c r="Q145" s="8">
        <f t="shared" si="13"/>
        <v>6400</v>
      </c>
      <c r="R145" s="2" t="s">
        <v>28</v>
      </c>
      <c r="S145" s="9">
        <f t="shared" si="14"/>
        <v>393.05</v>
      </c>
    </row>
    <row r="146" spans="1:19" x14ac:dyDescent="0.3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IFERROR(VLOOKUP('Customer Info'!A138,'Customer Info'!A138:C637,2,FALSE),"Not Found")</f>
        <v>Deirdre</v>
      </c>
      <c r="H146" s="6" t="str">
        <f>IFERROR(VLOOKUP('Customer Info'!A138,'Customer Info'!A138:C637,3,FALSE),"Not Found")</f>
        <v>Greer</v>
      </c>
      <c r="I146" s="6" t="str">
        <f>IFERROR(VLOOKUP('Customer Info'!A138,'Customer Info'!A138:E637,5,FALSE),"Not Found")</f>
        <v>Perth</v>
      </c>
      <c r="J146" s="2">
        <v>511</v>
      </c>
      <c r="K146" s="2">
        <v>468</v>
      </c>
      <c r="L146" s="2">
        <v>5</v>
      </c>
      <c r="M146" s="7">
        <f t="shared" si="10"/>
        <v>2340</v>
      </c>
      <c r="N146" s="7">
        <f t="shared" si="11"/>
        <v>2555</v>
      </c>
      <c r="O146" s="2">
        <v>52</v>
      </c>
      <c r="P146" s="8">
        <f t="shared" si="12"/>
        <v>2607</v>
      </c>
      <c r="Q146" s="8">
        <f t="shared" si="13"/>
        <v>2087</v>
      </c>
      <c r="R146" s="2" t="s">
        <v>28</v>
      </c>
      <c r="S146" s="9">
        <f t="shared" si="14"/>
        <v>52.14</v>
      </c>
    </row>
    <row r="147" spans="1:19" x14ac:dyDescent="0.3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>IFERROR(VLOOKUP('Customer Info'!A139,'Customer Info'!A139:C638,2,FALSE),"Not Found")</f>
        <v>Deirdre</v>
      </c>
      <c r="H147" s="6" t="str">
        <f>IFERROR(VLOOKUP('Customer Info'!A139,'Customer Info'!A139:C638,3,FALSE),"Not Found")</f>
        <v>Greer</v>
      </c>
      <c r="I147" s="6" t="str">
        <f>IFERROR(VLOOKUP('Customer Info'!A139,'Customer Info'!A139:E638,5,FALSE),"Not Found")</f>
        <v>Bandung</v>
      </c>
      <c r="J147" s="2">
        <v>2042</v>
      </c>
      <c r="K147" s="2">
        <v>1965</v>
      </c>
      <c r="L147" s="2">
        <v>3</v>
      </c>
      <c r="M147" s="7">
        <f t="shared" si="10"/>
        <v>5895</v>
      </c>
      <c r="N147" s="7">
        <f t="shared" si="11"/>
        <v>6126</v>
      </c>
      <c r="O147" s="2">
        <v>66</v>
      </c>
      <c r="P147" s="8">
        <f t="shared" si="12"/>
        <v>6192</v>
      </c>
      <c r="Q147" s="8">
        <f t="shared" si="13"/>
        <v>4161</v>
      </c>
      <c r="R147" s="2" t="s">
        <v>50</v>
      </c>
      <c r="S147" s="9">
        <f t="shared" si="14"/>
        <v>309.60000000000002</v>
      </c>
    </row>
    <row r="148" spans="1:19" x14ac:dyDescent="0.3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IFERROR(VLOOKUP('Customer Info'!A140,'Customer Info'!A140:C639,2,FALSE),"Not Found")</f>
        <v>Delfina</v>
      </c>
      <c r="H148" s="6" t="str">
        <f>IFERROR(VLOOKUP('Customer Info'!A140,'Customer Info'!A140:C639,3,FALSE),"Not Found")</f>
        <v>Latchford</v>
      </c>
      <c r="I148" s="6" t="str">
        <f>IFERROR(VLOOKUP('Customer Info'!A140,'Customer Info'!A140:E639,5,FALSE),"Not Found")</f>
        <v>Yogyakarta</v>
      </c>
      <c r="J148" s="2">
        <v>8738</v>
      </c>
      <c r="K148" s="2">
        <v>8162</v>
      </c>
      <c r="L148" s="2">
        <v>3</v>
      </c>
      <c r="M148" s="7">
        <f t="shared" si="10"/>
        <v>24486</v>
      </c>
      <c r="N148" s="7">
        <f t="shared" si="11"/>
        <v>26214</v>
      </c>
      <c r="O148" s="2">
        <v>97</v>
      </c>
      <c r="P148" s="8">
        <f t="shared" si="12"/>
        <v>26311</v>
      </c>
      <c r="Q148" s="8">
        <f t="shared" si="13"/>
        <v>18052</v>
      </c>
      <c r="R148" s="2" t="s">
        <v>26</v>
      </c>
      <c r="S148" s="9">
        <f t="shared" si="14"/>
        <v>1841.7700000000002</v>
      </c>
    </row>
    <row r="149" spans="1:19" x14ac:dyDescent="0.3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>IFERROR(VLOOKUP('Customer Info'!A141,'Customer Info'!A141:C640,2,FALSE),"Not Found")</f>
        <v>Denise</v>
      </c>
      <c r="H149" s="6" t="str">
        <f>IFERROR(VLOOKUP('Customer Info'!A141,'Customer Info'!A141:C640,3,FALSE),"Not Found")</f>
        <v>Leinenbach</v>
      </c>
      <c r="I149" s="6" t="str">
        <f>IFERROR(VLOOKUP('Customer Info'!A141,'Customer Info'!A141:E640,5,FALSE),"Not Found")</f>
        <v>Bhiwandi</v>
      </c>
      <c r="J149" s="2">
        <v>6337</v>
      </c>
      <c r="K149" s="2">
        <v>6215</v>
      </c>
      <c r="L149" s="2">
        <v>1</v>
      </c>
      <c r="M149" s="7">
        <f t="shared" si="10"/>
        <v>6215</v>
      </c>
      <c r="N149" s="7">
        <f t="shared" si="11"/>
        <v>6337</v>
      </c>
      <c r="O149" s="2">
        <v>75</v>
      </c>
      <c r="P149" s="8">
        <f t="shared" si="12"/>
        <v>6412</v>
      </c>
      <c r="Q149" s="8">
        <f t="shared" si="13"/>
        <v>122</v>
      </c>
      <c r="R149" s="2" t="s">
        <v>28</v>
      </c>
      <c r="S149" s="9">
        <f t="shared" si="14"/>
        <v>320.60000000000002</v>
      </c>
    </row>
    <row r="150" spans="1:19" x14ac:dyDescent="0.3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>IFERROR(VLOOKUP('Customer Info'!A142,'Customer Info'!A142:C641,2,FALSE),"Not Found")</f>
        <v>Dennis</v>
      </c>
      <c r="H150" s="6" t="str">
        <f>IFERROR(VLOOKUP('Customer Info'!A142,'Customer Info'!A142:C641,3,FALSE),"Not Found")</f>
        <v>Pardue</v>
      </c>
      <c r="I150" s="6" t="str">
        <f>IFERROR(VLOOKUP('Customer Info'!A142,'Customer Info'!A142:E641,5,FALSE),"Not Found")</f>
        <v>Wollongong</v>
      </c>
      <c r="J150" s="2">
        <v>1605</v>
      </c>
      <c r="K150" s="2">
        <v>1530</v>
      </c>
      <c r="L150" s="2">
        <v>7</v>
      </c>
      <c r="M150" s="7">
        <f t="shared" si="10"/>
        <v>10710</v>
      </c>
      <c r="N150" s="7">
        <f t="shared" si="11"/>
        <v>11235</v>
      </c>
      <c r="O150" s="2">
        <v>47</v>
      </c>
      <c r="P150" s="8">
        <f t="shared" si="12"/>
        <v>11282</v>
      </c>
      <c r="Q150" s="8">
        <f t="shared" si="13"/>
        <v>9705</v>
      </c>
      <c r="R150" s="2" t="s">
        <v>28</v>
      </c>
      <c r="S150" s="9">
        <f t="shared" si="14"/>
        <v>564.1</v>
      </c>
    </row>
    <row r="151" spans="1:19" x14ac:dyDescent="0.3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IFERROR(VLOOKUP('Customer Info'!A143,'Customer Info'!A143:C642,2,FALSE),"Not Found")</f>
        <v>Dennis</v>
      </c>
      <c r="H151" s="6" t="str">
        <f>IFERROR(VLOOKUP('Customer Info'!A143,'Customer Info'!A143:C642,3,FALSE),"Not Found")</f>
        <v>Pardue</v>
      </c>
      <c r="I151" s="6" t="str">
        <f>IFERROR(VLOOKUP('Customer Info'!A143,'Customer Info'!A143:E642,5,FALSE),"Not Found")</f>
        <v>Townsville</v>
      </c>
      <c r="J151" s="2">
        <v>2706</v>
      </c>
      <c r="K151" s="2">
        <v>2553</v>
      </c>
      <c r="L151" s="2">
        <v>5</v>
      </c>
      <c r="M151" s="7">
        <f t="shared" si="10"/>
        <v>12765</v>
      </c>
      <c r="N151" s="7">
        <f t="shared" si="11"/>
        <v>13530</v>
      </c>
      <c r="O151" s="2">
        <v>39</v>
      </c>
      <c r="P151" s="8">
        <f t="shared" si="12"/>
        <v>13569</v>
      </c>
      <c r="Q151" s="8">
        <f t="shared" si="13"/>
        <v>10977</v>
      </c>
      <c r="R151" s="2" t="s">
        <v>50</v>
      </c>
      <c r="S151" s="9">
        <f t="shared" si="14"/>
        <v>678.45</v>
      </c>
    </row>
    <row r="152" spans="1:19" x14ac:dyDescent="0.3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IFERROR(VLOOKUP('Customer Info'!A144,'Customer Info'!A144:C643,2,FALSE),"Not Found")</f>
        <v>Dennis</v>
      </c>
      <c r="H152" s="6" t="str">
        <f>IFERROR(VLOOKUP('Customer Info'!A144,'Customer Info'!A144:C643,3,FALSE),"Not Found")</f>
        <v>Pardue</v>
      </c>
      <c r="I152" s="6" t="str">
        <f>IFERROR(VLOOKUP('Customer Info'!A144,'Customer Info'!A144:E643,5,FALSE),"Not Found")</f>
        <v>Pekalongan</v>
      </c>
      <c r="J152" s="2">
        <v>3017</v>
      </c>
      <c r="K152" s="2">
        <v>2825</v>
      </c>
      <c r="L152" s="2">
        <v>1</v>
      </c>
      <c r="M152" s="7">
        <f t="shared" si="10"/>
        <v>2825</v>
      </c>
      <c r="N152" s="7">
        <f t="shared" si="11"/>
        <v>3017</v>
      </c>
      <c r="O152" s="2">
        <v>93</v>
      </c>
      <c r="P152" s="8">
        <f t="shared" si="12"/>
        <v>3110</v>
      </c>
      <c r="Q152" s="8">
        <f t="shared" si="13"/>
        <v>192</v>
      </c>
      <c r="R152" s="2" t="s">
        <v>28</v>
      </c>
      <c r="S152" s="9">
        <f t="shared" si="14"/>
        <v>62.2</v>
      </c>
    </row>
    <row r="153" spans="1:19" x14ac:dyDescent="0.3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IFERROR(VLOOKUP('Customer Info'!A145,'Customer Info'!A145:C644,2,FALSE),"Not Found")</f>
        <v>Denny</v>
      </c>
      <c r="H153" s="6" t="str">
        <f>IFERROR(VLOOKUP('Customer Info'!A145,'Customer Info'!A145:C644,3,FALSE),"Not Found")</f>
        <v>Ordway</v>
      </c>
      <c r="I153" s="6" t="str">
        <f>IFERROR(VLOOKUP('Customer Info'!A145,'Customer Info'!A145:E644,5,FALSE),"Not Found")</f>
        <v>Berlin</v>
      </c>
      <c r="J153" s="2">
        <v>2829</v>
      </c>
      <c r="K153" s="2">
        <v>2596</v>
      </c>
      <c r="L153" s="2">
        <v>2</v>
      </c>
      <c r="M153" s="7">
        <f t="shared" si="10"/>
        <v>5192</v>
      </c>
      <c r="N153" s="7">
        <f t="shared" si="11"/>
        <v>5658</v>
      </c>
      <c r="O153" s="2">
        <v>26</v>
      </c>
      <c r="P153" s="8">
        <f t="shared" si="12"/>
        <v>5684</v>
      </c>
      <c r="Q153" s="8">
        <f t="shared" si="13"/>
        <v>3062</v>
      </c>
      <c r="R153" s="2" t="s">
        <v>28</v>
      </c>
      <c r="S153" s="9">
        <f t="shared" si="14"/>
        <v>284.2</v>
      </c>
    </row>
    <row r="154" spans="1:19" x14ac:dyDescent="0.3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>IFERROR(VLOOKUP('Customer Info'!A146,'Customer Info'!A146:C645,2,FALSE),"Not Found")</f>
        <v>Dianna</v>
      </c>
      <c r="H154" s="6" t="str">
        <f>IFERROR(VLOOKUP('Customer Info'!A146,'Customer Info'!A146:C645,3,FALSE),"Not Found")</f>
        <v>Wilson</v>
      </c>
      <c r="I154" s="6" t="str">
        <f>IFERROR(VLOOKUP('Customer Info'!A146,'Customer Info'!A146:E645,5,FALSE),"Not Found")</f>
        <v>Gold Coast</v>
      </c>
      <c r="J154" s="2">
        <v>886</v>
      </c>
      <c r="K154" s="2">
        <v>796</v>
      </c>
      <c r="L154" s="2">
        <v>2</v>
      </c>
      <c r="M154" s="7">
        <f t="shared" si="10"/>
        <v>1592</v>
      </c>
      <c r="N154" s="7">
        <f t="shared" si="11"/>
        <v>1772</v>
      </c>
      <c r="O154" s="2">
        <v>72</v>
      </c>
      <c r="P154" s="8">
        <f t="shared" si="12"/>
        <v>1844</v>
      </c>
      <c r="Q154" s="8">
        <f t="shared" si="13"/>
        <v>976</v>
      </c>
      <c r="R154" s="2" t="s">
        <v>28</v>
      </c>
      <c r="S154" s="9">
        <f t="shared" si="14"/>
        <v>36.880000000000003</v>
      </c>
    </row>
    <row r="155" spans="1:19" x14ac:dyDescent="0.3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IFERROR(VLOOKUP('Customer Info'!A147,'Customer Info'!A147:C646,2,FALSE),"Not Found")</f>
        <v>Dianna</v>
      </c>
      <c r="H155" s="6" t="str">
        <f>IFERROR(VLOOKUP('Customer Info'!A147,'Customer Info'!A147:C646,3,FALSE),"Not Found")</f>
        <v>Vittorini</v>
      </c>
      <c r="I155" s="6" t="str">
        <f>IFERROR(VLOOKUP('Customer Info'!A147,'Customer Info'!A147:E646,5,FALSE),"Not Found")</f>
        <v>Gold Coast</v>
      </c>
      <c r="J155" s="2">
        <v>2249</v>
      </c>
      <c r="K155" s="2">
        <v>2102</v>
      </c>
      <c r="L155" s="2">
        <v>4</v>
      </c>
      <c r="M155" s="7">
        <f t="shared" si="10"/>
        <v>8408</v>
      </c>
      <c r="N155" s="7">
        <f t="shared" si="11"/>
        <v>8996</v>
      </c>
      <c r="O155" s="2">
        <v>32</v>
      </c>
      <c r="P155" s="8">
        <f t="shared" si="12"/>
        <v>9028</v>
      </c>
      <c r="Q155" s="8">
        <f t="shared" si="13"/>
        <v>6894</v>
      </c>
      <c r="R155" s="2" t="s">
        <v>28</v>
      </c>
      <c r="S155" s="9">
        <f t="shared" si="14"/>
        <v>451.40000000000003</v>
      </c>
    </row>
    <row r="156" spans="1:19" x14ac:dyDescent="0.3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IFERROR(VLOOKUP('Customer Info'!A148,'Customer Info'!A148:C647,2,FALSE),"Not Found")</f>
        <v>Dianna</v>
      </c>
      <c r="H156" s="6" t="str">
        <f>IFERROR(VLOOKUP('Customer Info'!A148,'Customer Info'!A148:C647,3,FALSE),"Not Found")</f>
        <v>Wilson</v>
      </c>
      <c r="I156" s="6" t="str">
        <f>IFERROR(VLOOKUP('Customer Info'!A148,'Customer Info'!A148:E647,5,FALSE),"Not Found")</f>
        <v>Pematangsiantar</v>
      </c>
      <c r="J156" s="2">
        <v>3321</v>
      </c>
      <c r="K156" s="2">
        <v>2989</v>
      </c>
      <c r="L156" s="2">
        <v>4</v>
      </c>
      <c r="M156" s="7">
        <f t="shared" si="10"/>
        <v>11956</v>
      </c>
      <c r="N156" s="7">
        <f t="shared" si="11"/>
        <v>13284</v>
      </c>
      <c r="O156" s="2">
        <v>99</v>
      </c>
      <c r="P156" s="8">
        <f t="shared" si="12"/>
        <v>13383</v>
      </c>
      <c r="Q156" s="8">
        <f t="shared" si="13"/>
        <v>10295</v>
      </c>
      <c r="R156" s="2" t="s">
        <v>50</v>
      </c>
      <c r="S156" s="9">
        <f t="shared" si="14"/>
        <v>669.15000000000009</v>
      </c>
    </row>
    <row r="157" spans="1:19" x14ac:dyDescent="0.3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IFERROR(VLOOKUP('Customer Info'!A149,'Customer Info'!A149:C648,2,FALSE),"Not Found")</f>
        <v>Dianna</v>
      </c>
      <c r="H157" s="6" t="str">
        <f>IFERROR(VLOOKUP('Customer Info'!A149,'Customer Info'!A149:C648,3,FALSE),"Not Found")</f>
        <v>Vittorini</v>
      </c>
      <c r="I157" s="6" t="str">
        <f>IFERROR(VLOOKUP('Customer Info'!A149,'Customer Info'!A149:E648,5,FALSE),"Not Found")</f>
        <v>Cottbus</v>
      </c>
      <c r="J157" s="2">
        <v>7212</v>
      </c>
      <c r="K157" s="2">
        <v>6737</v>
      </c>
      <c r="L157" s="2">
        <v>6</v>
      </c>
      <c r="M157" s="7">
        <f t="shared" si="10"/>
        <v>40422</v>
      </c>
      <c r="N157" s="7">
        <f t="shared" si="11"/>
        <v>43272</v>
      </c>
      <c r="O157" s="2">
        <v>42</v>
      </c>
      <c r="P157" s="8">
        <f t="shared" si="12"/>
        <v>43314</v>
      </c>
      <c r="Q157" s="8">
        <f t="shared" si="13"/>
        <v>36535</v>
      </c>
      <c r="R157" s="2" t="s">
        <v>28</v>
      </c>
      <c r="S157" s="9">
        <f t="shared" si="14"/>
        <v>3031.9800000000005</v>
      </c>
    </row>
    <row r="158" spans="1:19" x14ac:dyDescent="0.3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IFERROR(VLOOKUP('Customer Info'!A150,'Customer Info'!A150:C649,2,FALSE),"Not Found")</f>
        <v>Dionis</v>
      </c>
      <c r="H158" s="6" t="str">
        <f>IFERROR(VLOOKUP('Customer Info'!A150,'Customer Info'!A150:C649,3,FALSE),"Not Found")</f>
        <v>Lloyd</v>
      </c>
      <c r="I158" s="6" t="str">
        <f>IFERROR(VLOOKUP('Customer Info'!A150,'Customer Info'!A150:E649,5,FALSE),"Not Found")</f>
        <v>Kamarhati</v>
      </c>
      <c r="J158" s="2">
        <v>2244</v>
      </c>
      <c r="K158" s="2">
        <v>2143</v>
      </c>
      <c r="L158" s="2">
        <v>3</v>
      </c>
      <c r="M158" s="7">
        <f t="shared" si="10"/>
        <v>6429</v>
      </c>
      <c r="N158" s="7">
        <f t="shared" si="11"/>
        <v>6732</v>
      </c>
      <c r="O158" s="2">
        <v>23</v>
      </c>
      <c r="P158" s="8">
        <f t="shared" si="12"/>
        <v>6755</v>
      </c>
      <c r="Q158" s="8">
        <f t="shared" si="13"/>
        <v>4589</v>
      </c>
      <c r="R158" s="2" t="s">
        <v>50</v>
      </c>
      <c r="S158" s="9">
        <f t="shared" si="14"/>
        <v>337.75</v>
      </c>
    </row>
    <row r="159" spans="1:19" x14ac:dyDescent="0.3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>IFERROR(VLOOKUP('Customer Info'!A151,'Customer Info'!A151:C650,2,FALSE),"Not Found")</f>
        <v>Don</v>
      </c>
      <c r="H159" s="6" t="str">
        <f>IFERROR(VLOOKUP('Customer Info'!A151,'Customer Info'!A151:C650,3,FALSE),"Not Found")</f>
        <v>Weiss</v>
      </c>
      <c r="I159" s="6" t="str">
        <f>IFERROR(VLOOKUP('Customer Info'!A151,'Customer Info'!A151:E650,5,FALSE),"Not Found")</f>
        <v>Sydney</v>
      </c>
      <c r="J159" s="2">
        <v>68</v>
      </c>
      <c r="K159" s="2">
        <v>63</v>
      </c>
      <c r="L159" s="2">
        <v>3</v>
      </c>
      <c r="M159" s="7">
        <f t="shared" si="10"/>
        <v>189</v>
      </c>
      <c r="N159" s="7">
        <f t="shared" si="11"/>
        <v>204</v>
      </c>
      <c r="O159" s="2">
        <v>10</v>
      </c>
      <c r="P159" s="8">
        <f t="shared" si="12"/>
        <v>214</v>
      </c>
      <c r="Q159" s="8">
        <f t="shared" si="13"/>
        <v>141</v>
      </c>
      <c r="R159" s="2" t="s">
        <v>28</v>
      </c>
      <c r="S159" s="9">
        <f t="shared" si="14"/>
        <v>4.28</v>
      </c>
    </row>
    <row r="160" spans="1:19" x14ac:dyDescent="0.3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IFERROR(VLOOKUP('Customer Info'!A152,'Customer Info'!A152:C651,2,FALSE),"Not Found")</f>
        <v>Dorothy</v>
      </c>
      <c r="H160" s="6" t="str">
        <f>IFERROR(VLOOKUP('Customer Info'!A152,'Customer Info'!A152:C651,3,FALSE),"Not Found")</f>
        <v>Wardle</v>
      </c>
      <c r="I160" s="6" t="str">
        <f>IFERROR(VLOOKUP('Customer Info'!A152,'Customer Info'!A152:E651,5,FALSE),"Not Found")</f>
        <v>Sydney</v>
      </c>
      <c r="J160" s="2">
        <v>1983</v>
      </c>
      <c r="K160" s="2">
        <v>1908</v>
      </c>
      <c r="L160" s="2">
        <v>6</v>
      </c>
      <c r="M160" s="7">
        <f t="shared" si="10"/>
        <v>11448</v>
      </c>
      <c r="N160" s="7">
        <f t="shared" si="11"/>
        <v>11898</v>
      </c>
      <c r="O160" s="2">
        <v>53</v>
      </c>
      <c r="P160" s="8">
        <f t="shared" si="12"/>
        <v>11951</v>
      </c>
      <c r="Q160" s="8">
        <f t="shared" si="13"/>
        <v>9990</v>
      </c>
      <c r="R160" s="2" t="s">
        <v>50</v>
      </c>
      <c r="S160" s="9">
        <f t="shared" si="14"/>
        <v>597.55000000000007</v>
      </c>
    </row>
    <row r="161" spans="1:19" x14ac:dyDescent="0.3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>IFERROR(VLOOKUP('Customer Info'!A153,'Customer Info'!A153:C652,2,FALSE),"Not Found")</f>
        <v>Dorothy</v>
      </c>
      <c r="H161" s="6" t="str">
        <f>IFERROR(VLOOKUP('Customer Info'!A153,'Customer Info'!A153:C652,3,FALSE),"Not Found")</f>
        <v>Badders</v>
      </c>
      <c r="I161" s="6" t="str">
        <f>IFERROR(VLOOKUP('Customer Info'!A153,'Customer Info'!A153:E652,5,FALSE),"Not Found")</f>
        <v>Nanning</v>
      </c>
      <c r="J161" s="2">
        <v>1518</v>
      </c>
      <c r="K161" s="2">
        <v>1392</v>
      </c>
      <c r="L161" s="2">
        <v>1</v>
      </c>
      <c r="M161" s="7">
        <f t="shared" si="10"/>
        <v>1392</v>
      </c>
      <c r="N161" s="7">
        <f t="shared" si="11"/>
        <v>1518</v>
      </c>
      <c r="O161" s="2">
        <v>74</v>
      </c>
      <c r="P161" s="8">
        <f t="shared" si="12"/>
        <v>1592</v>
      </c>
      <c r="Q161" s="8">
        <f t="shared" si="13"/>
        <v>126</v>
      </c>
      <c r="R161" s="2" t="s">
        <v>28</v>
      </c>
      <c r="S161" s="9">
        <f t="shared" si="14"/>
        <v>31.84</v>
      </c>
    </row>
    <row r="162" spans="1:19" x14ac:dyDescent="0.3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>IFERROR(VLOOKUP('Customer Info'!A154,'Customer Info'!A154:C653,2,FALSE),"Not Found")</f>
        <v>Duane</v>
      </c>
      <c r="H162" s="6" t="str">
        <f>IFERROR(VLOOKUP('Customer Info'!A154,'Customer Info'!A154:C653,3,FALSE),"Not Found")</f>
        <v>Benoit</v>
      </c>
      <c r="I162" s="6" t="str">
        <f>IFERROR(VLOOKUP('Customer Info'!A154,'Customer Info'!A154:E653,5,FALSE),"Not Found")</f>
        <v>Tamworth</v>
      </c>
      <c r="J162" s="2">
        <v>626</v>
      </c>
      <c r="K162" s="2">
        <v>559</v>
      </c>
      <c r="L162" s="2">
        <v>3</v>
      </c>
      <c r="M162" s="7">
        <f t="shared" si="10"/>
        <v>1677</v>
      </c>
      <c r="N162" s="7">
        <f t="shared" si="11"/>
        <v>1878</v>
      </c>
      <c r="O162" s="2">
        <v>62</v>
      </c>
      <c r="P162" s="8">
        <f t="shared" si="12"/>
        <v>1940</v>
      </c>
      <c r="Q162" s="8">
        <f t="shared" si="13"/>
        <v>1319</v>
      </c>
      <c r="R162" s="2" t="s">
        <v>50</v>
      </c>
      <c r="S162" s="9">
        <f t="shared" si="14"/>
        <v>38.800000000000004</v>
      </c>
    </row>
    <row r="163" spans="1:19" x14ac:dyDescent="0.3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>IFERROR(VLOOKUP('Customer Info'!A155,'Customer Info'!A155:C654,2,FALSE),"Not Found")</f>
        <v>Duane</v>
      </c>
      <c r="H163" s="6" t="str">
        <f>IFERROR(VLOOKUP('Customer Info'!A155,'Customer Info'!A155:C654,3,FALSE),"Not Found")</f>
        <v>Huffman</v>
      </c>
      <c r="I163" s="6" t="str">
        <f>IFERROR(VLOOKUP('Customer Info'!A155,'Customer Info'!A155:E654,5,FALSE),"Not Found")</f>
        <v>Jakarta</v>
      </c>
      <c r="J163" s="2">
        <v>77</v>
      </c>
      <c r="K163" s="2">
        <v>73</v>
      </c>
      <c r="L163" s="2">
        <v>4</v>
      </c>
      <c r="M163" s="7">
        <f t="shared" si="10"/>
        <v>292</v>
      </c>
      <c r="N163" s="7">
        <f t="shared" si="11"/>
        <v>308</v>
      </c>
      <c r="O163" s="2">
        <v>10</v>
      </c>
      <c r="P163" s="8">
        <f t="shared" si="12"/>
        <v>318</v>
      </c>
      <c r="Q163" s="8">
        <f t="shared" si="13"/>
        <v>235</v>
      </c>
      <c r="R163" s="2" t="s">
        <v>28</v>
      </c>
      <c r="S163" s="9">
        <f t="shared" si="14"/>
        <v>6.36</v>
      </c>
    </row>
    <row r="164" spans="1:19" x14ac:dyDescent="0.3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IFERROR(VLOOKUP('Customer Info'!A156,'Customer Info'!A156:C655,2,FALSE),"Not Found")</f>
        <v>Duane</v>
      </c>
      <c r="H164" s="6" t="str">
        <f>IFERROR(VLOOKUP('Customer Info'!A156,'Customer Info'!A156:C655,3,FALSE),"Not Found")</f>
        <v>Huffman</v>
      </c>
      <c r="I164" s="6" t="str">
        <f>IFERROR(VLOOKUP('Customer Info'!A156,'Customer Info'!A156:E655,5,FALSE),"Not Found")</f>
        <v>Perth</v>
      </c>
      <c r="J164" s="2">
        <v>142</v>
      </c>
      <c r="K164" s="2">
        <v>134</v>
      </c>
      <c r="L164" s="2">
        <v>1</v>
      </c>
      <c r="M164" s="7">
        <f t="shared" si="10"/>
        <v>134</v>
      </c>
      <c r="N164" s="7">
        <f t="shared" si="11"/>
        <v>142</v>
      </c>
      <c r="O164" s="2">
        <v>30</v>
      </c>
      <c r="P164" s="8">
        <f t="shared" si="12"/>
        <v>172</v>
      </c>
      <c r="Q164" s="8">
        <f t="shared" si="13"/>
        <v>8</v>
      </c>
      <c r="R164" s="2" t="s">
        <v>28</v>
      </c>
      <c r="S164" s="9">
        <f t="shared" si="14"/>
        <v>3.44</v>
      </c>
    </row>
    <row r="165" spans="1:19" x14ac:dyDescent="0.3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IFERROR(VLOOKUP('Customer Info'!A157,'Customer Info'!A157:C656,2,FALSE),"Not Found")</f>
        <v>Duane</v>
      </c>
      <c r="H165" s="6" t="str">
        <f>IFERROR(VLOOKUP('Customer Info'!A157,'Customer Info'!A157:C656,3,FALSE),"Not Found")</f>
        <v>Noonan</v>
      </c>
      <c r="I165" s="6" t="str">
        <f>IFERROR(VLOOKUP('Customer Info'!A157,'Customer Info'!A157:E656,5,FALSE),"Not Found")</f>
        <v>Durg</v>
      </c>
      <c r="J165" s="2">
        <v>4904</v>
      </c>
      <c r="K165" s="2">
        <v>4499</v>
      </c>
      <c r="L165" s="2">
        <v>4</v>
      </c>
      <c r="M165" s="7">
        <f t="shared" si="10"/>
        <v>17996</v>
      </c>
      <c r="N165" s="7">
        <f t="shared" si="11"/>
        <v>19616</v>
      </c>
      <c r="O165" s="2">
        <v>28</v>
      </c>
      <c r="P165" s="8">
        <f t="shared" si="12"/>
        <v>19644</v>
      </c>
      <c r="Q165" s="8">
        <f t="shared" si="13"/>
        <v>15117</v>
      </c>
      <c r="R165" s="2" t="s">
        <v>28</v>
      </c>
      <c r="S165" s="9">
        <f t="shared" si="14"/>
        <v>982.2</v>
      </c>
    </row>
    <row r="166" spans="1:19" x14ac:dyDescent="0.3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>IFERROR(VLOOKUP('Customer Info'!A158,'Customer Info'!A158:C657,2,FALSE),"Not Found")</f>
        <v>Ed</v>
      </c>
      <c r="H166" s="6" t="str">
        <f>IFERROR(VLOOKUP('Customer Info'!A158,'Customer Info'!A158:C657,3,FALSE),"Not Found")</f>
        <v>Braxton</v>
      </c>
      <c r="I166" s="6" t="str">
        <f>IFERROR(VLOOKUP('Customer Info'!A158,'Customer Info'!A158:E657,5,FALSE),"Not Found")</f>
        <v>Bhatpara</v>
      </c>
      <c r="J166" s="2">
        <v>7534</v>
      </c>
      <c r="K166" s="2">
        <v>7106</v>
      </c>
      <c r="L166" s="2">
        <v>7</v>
      </c>
      <c r="M166" s="7">
        <f t="shared" si="10"/>
        <v>49742</v>
      </c>
      <c r="N166" s="7">
        <f t="shared" si="11"/>
        <v>52738</v>
      </c>
      <c r="O166" s="2">
        <v>54</v>
      </c>
      <c r="P166" s="8">
        <f t="shared" si="12"/>
        <v>52792</v>
      </c>
      <c r="Q166" s="8">
        <f t="shared" si="13"/>
        <v>45632</v>
      </c>
      <c r="R166" s="2" t="s">
        <v>28</v>
      </c>
      <c r="S166" s="9">
        <f t="shared" si="14"/>
        <v>4751.28</v>
      </c>
    </row>
    <row r="167" spans="1:19" x14ac:dyDescent="0.3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IFERROR(VLOOKUP('Customer Info'!A159,'Customer Info'!A159:C658,2,FALSE),"Not Found")</f>
        <v>Eileen</v>
      </c>
      <c r="H167" s="6" t="str">
        <f>IFERROR(VLOOKUP('Customer Info'!A159,'Customer Info'!A159:C658,3,FALSE),"Not Found")</f>
        <v>Kiefer</v>
      </c>
      <c r="I167" s="6" t="str">
        <f>IFERROR(VLOOKUP('Customer Info'!A159,'Customer Info'!A159:E658,5,FALSE),"Not Found")</f>
        <v>Hamm</v>
      </c>
      <c r="J167" s="2">
        <v>2627</v>
      </c>
      <c r="K167" s="2">
        <v>2528</v>
      </c>
      <c r="L167" s="2">
        <v>6</v>
      </c>
      <c r="M167" s="7">
        <f t="shared" si="10"/>
        <v>15168</v>
      </c>
      <c r="N167" s="7">
        <f t="shared" si="11"/>
        <v>15762</v>
      </c>
      <c r="O167" s="2">
        <v>41</v>
      </c>
      <c r="P167" s="8">
        <f t="shared" si="12"/>
        <v>15803</v>
      </c>
      <c r="Q167" s="8">
        <f t="shared" si="13"/>
        <v>13234</v>
      </c>
      <c r="R167" s="2" t="s">
        <v>26</v>
      </c>
      <c r="S167" s="9">
        <f t="shared" si="14"/>
        <v>790.15000000000009</v>
      </c>
    </row>
    <row r="168" spans="1:19" x14ac:dyDescent="0.3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IFERROR(VLOOKUP('Customer Info'!A160,'Customer Info'!A160:C659,2,FALSE),"Not Found")</f>
        <v>Eileen</v>
      </c>
      <c r="H168" s="6" t="str">
        <f>IFERROR(VLOOKUP('Customer Info'!A160,'Customer Info'!A160:C659,3,FALSE),"Not Found")</f>
        <v>Kiefer</v>
      </c>
      <c r="I168" s="6" t="str">
        <f>IFERROR(VLOOKUP('Customer Info'!A160,'Customer Info'!A160:E659,5,FALSE),"Not Found")</f>
        <v>Cologne</v>
      </c>
      <c r="J168" s="2">
        <v>2747</v>
      </c>
      <c r="K168" s="2">
        <v>2545</v>
      </c>
      <c r="L168" s="2">
        <v>9</v>
      </c>
      <c r="M168" s="7">
        <f t="shared" si="10"/>
        <v>22905</v>
      </c>
      <c r="N168" s="7">
        <f t="shared" si="11"/>
        <v>24723</v>
      </c>
      <c r="O168" s="2">
        <v>76</v>
      </c>
      <c r="P168" s="8">
        <f t="shared" si="12"/>
        <v>24799</v>
      </c>
      <c r="Q168" s="8">
        <f t="shared" si="13"/>
        <v>22178</v>
      </c>
      <c r="R168" s="2" t="s">
        <v>28</v>
      </c>
      <c r="S168" s="9">
        <f t="shared" si="14"/>
        <v>1239.95</v>
      </c>
    </row>
    <row r="169" spans="1:19" x14ac:dyDescent="0.3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IFERROR(VLOOKUP('Customer Info'!A161,'Customer Info'!A161:C660,2,FALSE),"Not Found")</f>
        <v>Elpida</v>
      </c>
      <c r="H169" s="6" t="str">
        <f>IFERROR(VLOOKUP('Customer Info'!A161,'Customer Info'!A161:C660,3,FALSE),"Not Found")</f>
        <v>Rittenbach</v>
      </c>
      <c r="I169" s="6" t="str">
        <f>IFERROR(VLOOKUP('Customer Info'!A161,'Customer Info'!A161:E660,5,FALSE),"Not Found")</f>
        <v>Melbourne</v>
      </c>
      <c r="J169" s="2">
        <v>914</v>
      </c>
      <c r="K169" s="2">
        <v>830</v>
      </c>
      <c r="L169" s="2">
        <v>4</v>
      </c>
      <c r="M169" s="7">
        <f t="shared" si="10"/>
        <v>3320</v>
      </c>
      <c r="N169" s="7">
        <f t="shared" si="11"/>
        <v>3656</v>
      </c>
      <c r="O169" s="2">
        <v>36</v>
      </c>
      <c r="P169" s="8">
        <f t="shared" si="12"/>
        <v>3692</v>
      </c>
      <c r="Q169" s="8">
        <f t="shared" si="13"/>
        <v>2826</v>
      </c>
      <c r="R169" s="2" t="s">
        <v>28</v>
      </c>
      <c r="S169" s="9">
        <f t="shared" si="14"/>
        <v>73.84</v>
      </c>
    </row>
    <row r="170" spans="1:19" x14ac:dyDescent="0.3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>IFERROR(VLOOKUP('Customer Info'!A162,'Customer Info'!A162:C661,2,FALSE),"Not Found")</f>
        <v>Emily</v>
      </c>
      <c r="H170" s="6" t="str">
        <f>IFERROR(VLOOKUP('Customer Info'!A162,'Customer Info'!A162:C661,3,FALSE),"Not Found")</f>
        <v>Burns</v>
      </c>
      <c r="I170" s="6" t="str">
        <f>IFERROR(VLOOKUP('Customer Info'!A162,'Customer Info'!A162:E661,5,FALSE),"Not Found")</f>
        <v>Adelaide</v>
      </c>
      <c r="J170" s="2">
        <v>825</v>
      </c>
      <c r="K170" s="2">
        <v>793</v>
      </c>
      <c r="L170" s="2">
        <v>1</v>
      </c>
      <c r="M170" s="7">
        <f t="shared" si="10"/>
        <v>793</v>
      </c>
      <c r="N170" s="7">
        <f t="shared" si="11"/>
        <v>825</v>
      </c>
      <c r="O170" s="2">
        <v>36</v>
      </c>
      <c r="P170" s="8">
        <f t="shared" si="12"/>
        <v>861</v>
      </c>
      <c r="Q170" s="8">
        <f t="shared" si="13"/>
        <v>32</v>
      </c>
      <c r="R170" s="2" t="s">
        <v>50</v>
      </c>
      <c r="S170" s="9">
        <f t="shared" si="14"/>
        <v>17.22</v>
      </c>
    </row>
    <row r="171" spans="1:19" x14ac:dyDescent="0.3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>IFERROR(VLOOKUP('Customer Info'!A163,'Customer Info'!A163:C662,2,FALSE),"Not Found")</f>
        <v>Emily</v>
      </c>
      <c r="H171" s="6" t="str">
        <f>IFERROR(VLOOKUP('Customer Info'!A163,'Customer Info'!A163:C662,3,FALSE),"Not Found")</f>
        <v>Ducich</v>
      </c>
      <c r="I171" s="6" t="str">
        <f>IFERROR(VLOOKUP('Customer Info'!A163,'Customer Info'!A163:E662,5,FALSE),"Not Found")</f>
        <v>Lohne</v>
      </c>
      <c r="J171" s="2">
        <v>8752</v>
      </c>
      <c r="K171" s="2">
        <v>7877</v>
      </c>
      <c r="L171" s="2">
        <v>2</v>
      </c>
      <c r="M171" s="7">
        <f t="shared" si="10"/>
        <v>15754</v>
      </c>
      <c r="N171" s="7">
        <f t="shared" si="11"/>
        <v>17504</v>
      </c>
      <c r="O171" s="2">
        <v>69</v>
      </c>
      <c r="P171" s="8">
        <f t="shared" si="12"/>
        <v>17573</v>
      </c>
      <c r="Q171" s="8">
        <f t="shared" si="13"/>
        <v>9627</v>
      </c>
      <c r="R171" s="2" t="s">
        <v>28</v>
      </c>
      <c r="S171" s="9">
        <f t="shared" si="14"/>
        <v>878.65000000000009</v>
      </c>
    </row>
    <row r="172" spans="1:19" x14ac:dyDescent="0.3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IFERROR(VLOOKUP('Customer Info'!A164,'Customer Info'!A164:C663,2,FALSE),"Not Found")</f>
        <v>Emily</v>
      </c>
      <c r="H172" s="6" t="str">
        <f>IFERROR(VLOOKUP('Customer Info'!A164,'Customer Info'!A164:C663,3,FALSE),"Not Found")</f>
        <v>Grady</v>
      </c>
      <c r="I172" s="6" t="str">
        <f>IFERROR(VLOOKUP('Customer Info'!A164,'Customer Info'!A164:E663,5,FALSE),"Not Found")</f>
        <v>Pimpri</v>
      </c>
      <c r="J172" s="2">
        <v>1081</v>
      </c>
      <c r="K172" s="2">
        <v>983</v>
      </c>
      <c r="L172" s="2">
        <v>1</v>
      </c>
      <c r="M172" s="7">
        <f t="shared" si="10"/>
        <v>983</v>
      </c>
      <c r="N172" s="7">
        <f t="shared" si="11"/>
        <v>1081</v>
      </c>
      <c r="O172" s="2">
        <v>67</v>
      </c>
      <c r="P172" s="8">
        <f t="shared" si="12"/>
        <v>1148</v>
      </c>
      <c r="Q172" s="8">
        <f t="shared" si="13"/>
        <v>98</v>
      </c>
      <c r="R172" s="2" t="s">
        <v>50</v>
      </c>
      <c r="S172" s="9">
        <f t="shared" si="14"/>
        <v>22.96</v>
      </c>
    </row>
    <row r="173" spans="1:19" x14ac:dyDescent="0.3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>IFERROR(VLOOKUP('Customer Info'!A165,'Customer Info'!A165:C664,2,FALSE),"Not Found")</f>
        <v>Emily</v>
      </c>
      <c r="H173" s="6" t="str">
        <f>IFERROR(VLOOKUP('Customer Info'!A165,'Customer Info'!A165:C664,3,FALSE),"Not Found")</f>
        <v>Burns</v>
      </c>
      <c r="I173" s="6" t="str">
        <f>IFERROR(VLOOKUP('Customer Info'!A165,'Customer Info'!A165:E664,5,FALSE),"Not Found")</f>
        <v>Nasik</v>
      </c>
      <c r="J173" s="2">
        <v>2540</v>
      </c>
      <c r="K173" s="2">
        <v>2397</v>
      </c>
      <c r="L173" s="2">
        <v>4</v>
      </c>
      <c r="M173" s="7">
        <f t="shared" si="10"/>
        <v>9588</v>
      </c>
      <c r="N173" s="7">
        <f t="shared" si="11"/>
        <v>10160</v>
      </c>
      <c r="O173" s="2">
        <v>92</v>
      </c>
      <c r="P173" s="8">
        <f t="shared" si="12"/>
        <v>10252</v>
      </c>
      <c r="Q173" s="8">
        <f t="shared" si="13"/>
        <v>7763</v>
      </c>
      <c r="R173" s="2" t="s">
        <v>28</v>
      </c>
      <c r="S173" s="9">
        <f t="shared" si="14"/>
        <v>512.6</v>
      </c>
    </row>
    <row r="174" spans="1:19" x14ac:dyDescent="0.3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IFERROR(VLOOKUP('Customer Info'!A166,'Customer Info'!A166:C665,2,FALSE),"Not Found")</f>
        <v>Emily</v>
      </c>
      <c r="H174" s="6" t="str">
        <f>IFERROR(VLOOKUP('Customer Info'!A166,'Customer Info'!A166:C665,3,FALSE),"Not Found")</f>
        <v>Burns</v>
      </c>
      <c r="I174" s="6" t="str">
        <f>IFERROR(VLOOKUP('Customer Info'!A166,'Customer Info'!A166:E665,5,FALSE),"Not Found")</f>
        <v>Chennai</v>
      </c>
      <c r="J174" s="2">
        <v>37949</v>
      </c>
      <c r="K174" s="2">
        <v>34816</v>
      </c>
      <c r="L174" s="2">
        <v>2</v>
      </c>
      <c r="M174" s="7">
        <f t="shared" si="10"/>
        <v>69632</v>
      </c>
      <c r="N174" s="7">
        <f t="shared" si="11"/>
        <v>75898</v>
      </c>
      <c r="O174" s="2">
        <v>92</v>
      </c>
      <c r="P174" s="8">
        <f t="shared" si="12"/>
        <v>75990</v>
      </c>
      <c r="Q174" s="8">
        <f t="shared" si="13"/>
        <v>41082</v>
      </c>
      <c r="R174" s="2" t="s">
        <v>28</v>
      </c>
      <c r="S174" s="9">
        <f t="shared" si="14"/>
        <v>6839.0999999999995</v>
      </c>
    </row>
    <row r="175" spans="1:19" x14ac:dyDescent="0.3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IFERROR(VLOOKUP('Customer Info'!A167,'Customer Info'!A167:C666,2,FALSE),"Not Found")</f>
        <v>Eric</v>
      </c>
      <c r="H175" s="6" t="str">
        <f>IFERROR(VLOOKUP('Customer Info'!A167,'Customer Info'!A167:C666,3,FALSE),"Not Found")</f>
        <v>Barreto</v>
      </c>
      <c r="I175" s="6" t="str">
        <f>IFERROR(VLOOKUP('Customer Info'!A167,'Customer Info'!A167:E666,5,FALSE),"Not Found")</f>
        <v>Liaoyang</v>
      </c>
      <c r="J175" s="2">
        <v>194</v>
      </c>
      <c r="K175" s="2">
        <v>176</v>
      </c>
      <c r="L175" s="2">
        <v>4</v>
      </c>
      <c r="M175" s="7">
        <f t="shared" si="10"/>
        <v>704</v>
      </c>
      <c r="N175" s="7">
        <f t="shared" si="11"/>
        <v>776</v>
      </c>
      <c r="O175" s="2">
        <v>30</v>
      </c>
      <c r="P175" s="8">
        <f t="shared" si="12"/>
        <v>806</v>
      </c>
      <c r="Q175" s="8">
        <f t="shared" si="13"/>
        <v>600</v>
      </c>
      <c r="R175" s="2" t="s">
        <v>50</v>
      </c>
      <c r="S175" s="9">
        <f t="shared" si="14"/>
        <v>16.12</v>
      </c>
    </row>
    <row r="176" spans="1:19" x14ac:dyDescent="0.3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>IFERROR(VLOOKUP('Customer Info'!A168,'Customer Info'!A168:C667,2,FALSE),"Not Found")</f>
        <v>Erica</v>
      </c>
      <c r="H176" s="6" t="str">
        <f>IFERROR(VLOOKUP('Customer Info'!A168,'Customer Info'!A168:C667,3,FALSE),"Not Found")</f>
        <v>Smith</v>
      </c>
      <c r="I176" s="6" t="str">
        <f>IFERROR(VLOOKUP('Customer Info'!A168,'Customer Info'!A168:E667,5,FALSE),"Not Found")</f>
        <v>Halle</v>
      </c>
      <c r="J176" s="2">
        <v>2271</v>
      </c>
      <c r="K176" s="2">
        <v>2144</v>
      </c>
      <c r="L176" s="2">
        <v>1</v>
      </c>
      <c r="M176" s="7">
        <f t="shared" si="10"/>
        <v>2144</v>
      </c>
      <c r="N176" s="7">
        <f t="shared" si="11"/>
        <v>2271</v>
      </c>
      <c r="O176" s="2">
        <v>50</v>
      </c>
      <c r="P176" s="8">
        <f t="shared" si="12"/>
        <v>2321</v>
      </c>
      <c r="Q176" s="8">
        <f t="shared" si="13"/>
        <v>127</v>
      </c>
      <c r="R176" s="2" t="s">
        <v>28</v>
      </c>
      <c r="S176" s="9">
        <f t="shared" si="14"/>
        <v>46.42</v>
      </c>
    </row>
    <row r="177" spans="1:19" x14ac:dyDescent="0.3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>IFERROR(VLOOKUP('Customer Info'!A169,'Customer Info'!A169:C668,2,FALSE),"Not Found")</f>
        <v>Erica</v>
      </c>
      <c r="H177" s="6" t="str">
        <f>IFERROR(VLOOKUP('Customer Info'!A169,'Customer Info'!A169:C668,3,FALSE),"Not Found")</f>
        <v>Hackney</v>
      </c>
      <c r="I177" s="6" t="str">
        <f>IFERROR(VLOOKUP('Customer Info'!A169,'Customer Info'!A169:E668,5,FALSE),"Not Found")</f>
        <v>Adelaide</v>
      </c>
      <c r="J177" s="2">
        <v>285</v>
      </c>
      <c r="K177" s="2">
        <v>259</v>
      </c>
      <c r="L177" s="2">
        <v>2</v>
      </c>
      <c r="M177" s="7">
        <f t="shared" si="10"/>
        <v>518</v>
      </c>
      <c r="N177" s="7">
        <f t="shared" si="11"/>
        <v>570</v>
      </c>
      <c r="O177" s="2">
        <v>25</v>
      </c>
      <c r="P177" s="8">
        <f t="shared" si="12"/>
        <v>595</v>
      </c>
      <c r="Q177" s="8">
        <f t="shared" si="13"/>
        <v>311</v>
      </c>
      <c r="R177" s="2" t="s">
        <v>50</v>
      </c>
      <c r="S177" s="9">
        <f t="shared" si="14"/>
        <v>11.9</v>
      </c>
    </row>
    <row r="178" spans="1:19" x14ac:dyDescent="0.3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IFERROR(VLOOKUP('Customer Info'!A170,'Customer Info'!A170:C669,2,FALSE),"Not Found")</f>
        <v>Erica</v>
      </c>
      <c r="H178" s="6" t="str">
        <f>IFERROR(VLOOKUP('Customer Info'!A170,'Customer Info'!A170:C669,3,FALSE),"Not Found")</f>
        <v>Hernandez</v>
      </c>
      <c r="I178" s="6" t="str">
        <f>IFERROR(VLOOKUP('Customer Info'!A170,'Customer Info'!A170:E669,5,FALSE),"Not Found")</f>
        <v>Gold Coast</v>
      </c>
      <c r="J178" s="2">
        <v>1113</v>
      </c>
      <c r="K178" s="2">
        <v>1040</v>
      </c>
      <c r="L178" s="2">
        <v>3</v>
      </c>
      <c r="M178" s="7">
        <f t="shared" si="10"/>
        <v>3120</v>
      </c>
      <c r="N178" s="7">
        <f t="shared" si="11"/>
        <v>3339</v>
      </c>
      <c r="O178" s="2">
        <v>92</v>
      </c>
      <c r="P178" s="8">
        <f t="shared" si="12"/>
        <v>3431</v>
      </c>
      <c r="Q178" s="8">
        <f t="shared" si="13"/>
        <v>2299</v>
      </c>
      <c r="R178" s="2" t="s">
        <v>26</v>
      </c>
      <c r="S178" s="9">
        <f t="shared" si="14"/>
        <v>68.62</v>
      </c>
    </row>
    <row r="179" spans="1:19" x14ac:dyDescent="0.3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>IFERROR(VLOOKUP('Customer Info'!A171,'Customer Info'!A171:C670,2,FALSE),"Not Found")</f>
        <v>Erica</v>
      </c>
      <c r="H179" s="6" t="str">
        <f>IFERROR(VLOOKUP('Customer Info'!A171,'Customer Info'!A171:C670,3,FALSE),"Not Found")</f>
        <v>Hackney</v>
      </c>
      <c r="I179" s="6" t="str">
        <f>IFERROR(VLOOKUP('Customer Info'!A171,'Customer Info'!A171:E670,5,FALSE),"Not Found")</f>
        <v>Perth</v>
      </c>
      <c r="J179" s="2">
        <v>1859</v>
      </c>
      <c r="K179" s="2">
        <v>1755</v>
      </c>
      <c r="L179" s="2">
        <v>3</v>
      </c>
      <c r="M179" s="7">
        <f t="shared" si="10"/>
        <v>5265</v>
      </c>
      <c r="N179" s="7">
        <f t="shared" si="11"/>
        <v>5577</v>
      </c>
      <c r="O179" s="2">
        <v>66</v>
      </c>
      <c r="P179" s="8">
        <f t="shared" si="12"/>
        <v>5643</v>
      </c>
      <c r="Q179" s="8">
        <f t="shared" si="13"/>
        <v>3822</v>
      </c>
      <c r="R179" s="2" t="s">
        <v>28</v>
      </c>
      <c r="S179" s="9">
        <f t="shared" si="14"/>
        <v>282.15000000000003</v>
      </c>
    </row>
    <row r="180" spans="1:19" x14ac:dyDescent="0.3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IFERROR(VLOOKUP('Customer Info'!A172,'Customer Info'!A172:C671,2,FALSE),"Not Found")</f>
        <v>Erin</v>
      </c>
      <c r="H180" s="6" t="str">
        <f>IFERROR(VLOOKUP('Customer Info'!A172,'Customer Info'!A172:C671,3,FALSE),"Not Found")</f>
        <v>Smith</v>
      </c>
      <c r="I180" s="6" t="str">
        <f>IFERROR(VLOOKUP('Customer Info'!A172,'Customer Info'!A172:E671,5,FALSE),"Not Found")</f>
        <v>Yuci</v>
      </c>
      <c r="J180" s="2">
        <v>177</v>
      </c>
      <c r="K180" s="2">
        <v>169</v>
      </c>
      <c r="L180" s="2">
        <v>4</v>
      </c>
      <c r="M180" s="7">
        <f t="shared" si="10"/>
        <v>676</v>
      </c>
      <c r="N180" s="7">
        <f t="shared" si="11"/>
        <v>708</v>
      </c>
      <c r="O180" s="2">
        <v>30</v>
      </c>
      <c r="P180" s="8">
        <f t="shared" si="12"/>
        <v>738</v>
      </c>
      <c r="Q180" s="8">
        <f t="shared" si="13"/>
        <v>539</v>
      </c>
      <c r="R180" s="2" t="s">
        <v>28</v>
      </c>
      <c r="S180" s="9">
        <f t="shared" si="14"/>
        <v>14.76</v>
      </c>
    </row>
    <row r="181" spans="1:19" x14ac:dyDescent="0.3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>IFERROR(VLOOKUP('Customer Info'!A173,'Customer Info'!A173:C672,2,FALSE),"Not Found")</f>
        <v>Erin</v>
      </c>
      <c r="H181" s="6" t="str">
        <f>IFERROR(VLOOKUP('Customer Info'!A173,'Customer Info'!A173:C672,3,FALSE),"Not Found")</f>
        <v>Smith</v>
      </c>
      <c r="I181" s="6" t="str">
        <f>IFERROR(VLOOKUP('Customer Info'!A173,'Customer Info'!A173:E672,5,FALSE),"Not Found")</f>
        <v>Bremen</v>
      </c>
      <c r="J181" s="2">
        <v>6768</v>
      </c>
      <c r="K181" s="2">
        <v>6512</v>
      </c>
      <c r="L181" s="2">
        <v>3</v>
      </c>
      <c r="M181" s="7">
        <f t="shared" si="10"/>
        <v>19536</v>
      </c>
      <c r="N181" s="7">
        <f t="shared" si="11"/>
        <v>20304</v>
      </c>
      <c r="O181" s="2">
        <v>20</v>
      </c>
      <c r="P181" s="8">
        <f t="shared" si="12"/>
        <v>20324</v>
      </c>
      <c r="Q181" s="8">
        <f t="shared" si="13"/>
        <v>13792</v>
      </c>
      <c r="R181" s="2" t="s">
        <v>50</v>
      </c>
      <c r="S181" s="9">
        <f t="shared" si="14"/>
        <v>1016.2</v>
      </c>
    </row>
    <row r="182" spans="1:19" x14ac:dyDescent="0.3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IFERROR(VLOOKUP('Customer Info'!A174,'Customer Info'!A174:C673,2,FALSE),"Not Found")</f>
        <v>Eugene</v>
      </c>
      <c r="H182" s="6" t="str">
        <f>IFERROR(VLOOKUP('Customer Info'!A174,'Customer Info'!A174:C673,3,FALSE),"Not Found")</f>
        <v>Moren</v>
      </c>
      <c r="I182" s="6" t="str">
        <f>IFERROR(VLOOKUP('Customer Info'!A174,'Customer Info'!A174:E673,5,FALSE),"Not Found")</f>
        <v>Patiala</v>
      </c>
      <c r="J182" s="2">
        <v>139</v>
      </c>
      <c r="K182" s="2">
        <v>130</v>
      </c>
      <c r="L182" s="2">
        <v>5</v>
      </c>
      <c r="M182" s="7">
        <f t="shared" si="10"/>
        <v>650</v>
      </c>
      <c r="N182" s="7">
        <f t="shared" si="11"/>
        <v>695</v>
      </c>
      <c r="O182" s="2">
        <v>30</v>
      </c>
      <c r="P182" s="8">
        <f t="shared" si="12"/>
        <v>725</v>
      </c>
      <c r="Q182" s="8">
        <f t="shared" si="13"/>
        <v>565</v>
      </c>
      <c r="R182" s="2" t="s">
        <v>50</v>
      </c>
      <c r="S182" s="9">
        <f t="shared" si="14"/>
        <v>14.5</v>
      </c>
    </row>
    <row r="183" spans="1:19" x14ac:dyDescent="0.3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IFERROR(VLOOKUP('Customer Info'!A175,'Customer Info'!A175:C674,2,FALSE),"Not Found")</f>
        <v>Eugene</v>
      </c>
      <c r="H183" s="6" t="str">
        <f>IFERROR(VLOOKUP('Customer Info'!A175,'Customer Info'!A175:C674,3,FALSE),"Not Found")</f>
        <v>Hildebrand</v>
      </c>
      <c r="I183" s="6" t="str">
        <f>IFERROR(VLOOKUP('Customer Info'!A175,'Customer Info'!A175:E674,5,FALSE),"Not Found")</f>
        <v>Liaocheng</v>
      </c>
      <c r="J183" s="2">
        <v>1605</v>
      </c>
      <c r="K183" s="2">
        <v>1487</v>
      </c>
      <c r="L183" s="2">
        <v>1</v>
      </c>
      <c r="M183" s="7">
        <f t="shared" si="10"/>
        <v>1487</v>
      </c>
      <c r="N183" s="7">
        <f t="shared" si="11"/>
        <v>1605</v>
      </c>
      <c r="O183" s="2">
        <v>91</v>
      </c>
      <c r="P183" s="8">
        <f t="shared" si="12"/>
        <v>1696</v>
      </c>
      <c r="Q183" s="8">
        <f t="shared" si="13"/>
        <v>118</v>
      </c>
      <c r="R183" s="2" t="s">
        <v>28</v>
      </c>
      <c r="S183" s="9">
        <f t="shared" si="14"/>
        <v>33.92</v>
      </c>
    </row>
    <row r="184" spans="1:19" x14ac:dyDescent="0.3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>IFERROR(VLOOKUP('Customer Info'!A176,'Customer Info'!A176:C675,2,FALSE),"Not Found")</f>
        <v>Eugene</v>
      </c>
      <c r="H184" s="6" t="str">
        <f>IFERROR(VLOOKUP('Customer Info'!A176,'Customer Info'!A176:C675,3,FALSE),"Not Found")</f>
        <v>Hildebrand</v>
      </c>
      <c r="I184" s="6" t="str">
        <f>IFERROR(VLOOKUP('Customer Info'!A176,'Customer Info'!A176:E675,5,FALSE),"Not Found")</f>
        <v>Coffs Harbour</v>
      </c>
      <c r="J184" s="2">
        <v>1901</v>
      </c>
      <c r="K184" s="2">
        <v>1810</v>
      </c>
      <c r="L184" s="2">
        <v>3</v>
      </c>
      <c r="M184" s="7">
        <f t="shared" si="10"/>
        <v>5430</v>
      </c>
      <c r="N184" s="7">
        <f t="shared" si="11"/>
        <v>5703</v>
      </c>
      <c r="O184" s="2">
        <v>68</v>
      </c>
      <c r="P184" s="8">
        <f t="shared" si="12"/>
        <v>5771</v>
      </c>
      <c r="Q184" s="8">
        <f t="shared" si="13"/>
        <v>3893</v>
      </c>
      <c r="R184" s="2" t="s">
        <v>50</v>
      </c>
      <c r="S184" s="9">
        <f t="shared" si="14"/>
        <v>288.55</v>
      </c>
    </row>
    <row r="185" spans="1:19" x14ac:dyDescent="0.3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IFERROR(VLOOKUP('Customer Info'!A177,'Customer Info'!A177:C676,2,FALSE),"Not Found")</f>
        <v>Eugene</v>
      </c>
      <c r="H185" s="6" t="str">
        <f>IFERROR(VLOOKUP('Customer Info'!A177,'Customer Info'!A177:C676,3,FALSE),"Not Found")</f>
        <v>Barchas</v>
      </c>
      <c r="I185" s="6" t="str">
        <f>IFERROR(VLOOKUP('Customer Info'!A177,'Customer Info'!A177:E676,5,FALSE),"Not Found")</f>
        <v>Aksu</v>
      </c>
      <c r="J185" s="2">
        <v>978</v>
      </c>
      <c r="K185" s="2">
        <v>922</v>
      </c>
      <c r="L185" s="2">
        <v>3</v>
      </c>
      <c r="M185" s="7">
        <f t="shared" si="10"/>
        <v>2766</v>
      </c>
      <c r="N185" s="7">
        <f t="shared" si="11"/>
        <v>2934</v>
      </c>
      <c r="O185" s="2">
        <v>75</v>
      </c>
      <c r="P185" s="8">
        <f t="shared" si="12"/>
        <v>3009</v>
      </c>
      <c r="Q185" s="8">
        <f t="shared" si="13"/>
        <v>2012</v>
      </c>
      <c r="R185" s="2" t="s">
        <v>28</v>
      </c>
      <c r="S185" s="9">
        <f t="shared" si="14"/>
        <v>60.18</v>
      </c>
    </row>
    <row r="186" spans="1:19" x14ac:dyDescent="0.3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>IFERROR(VLOOKUP('Customer Info'!A178,'Customer Info'!A178:C677,2,FALSE),"Not Found")</f>
        <v>Eugene</v>
      </c>
      <c r="H186" s="6" t="str">
        <f>IFERROR(VLOOKUP('Customer Info'!A178,'Customer Info'!A178:C677,3,FALSE),"Not Found")</f>
        <v>Hildebrand</v>
      </c>
      <c r="I186" s="6" t="str">
        <f>IFERROR(VLOOKUP('Customer Info'!A178,'Customer Info'!A178:E677,5,FALSE),"Not Found")</f>
        <v>Sindelfingen</v>
      </c>
      <c r="J186" s="2">
        <v>6768</v>
      </c>
      <c r="K186" s="2">
        <v>6512</v>
      </c>
      <c r="L186" s="2">
        <v>2</v>
      </c>
      <c r="M186" s="7">
        <f t="shared" si="10"/>
        <v>13024</v>
      </c>
      <c r="N186" s="7">
        <f t="shared" si="11"/>
        <v>13536</v>
      </c>
      <c r="O186" s="2">
        <v>69</v>
      </c>
      <c r="P186" s="8">
        <f t="shared" si="12"/>
        <v>13605</v>
      </c>
      <c r="Q186" s="8">
        <f t="shared" si="13"/>
        <v>7024</v>
      </c>
      <c r="R186" s="2" t="s">
        <v>26</v>
      </c>
      <c r="S186" s="9">
        <f t="shared" si="14"/>
        <v>680.25</v>
      </c>
    </row>
    <row r="187" spans="1:19" x14ac:dyDescent="0.3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>IFERROR(VLOOKUP('Customer Info'!A179,'Customer Info'!A179:C678,2,FALSE),"Not Found")</f>
        <v>Evan</v>
      </c>
      <c r="H187" s="6" t="str">
        <f>IFERROR(VLOOKUP('Customer Info'!A179,'Customer Info'!A179:C678,3,FALSE),"Not Found")</f>
        <v>Bailliet</v>
      </c>
      <c r="I187" s="6" t="str">
        <f>IFERROR(VLOOKUP('Customer Info'!A179,'Customer Info'!A179:E678,5,FALSE),"Not Found")</f>
        <v>Brisbane</v>
      </c>
      <c r="J187" s="2">
        <v>220</v>
      </c>
      <c r="K187" s="2">
        <v>206</v>
      </c>
      <c r="L187" s="2">
        <v>5</v>
      </c>
      <c r="M187" s="7">
        <f t="shared" si="10"/>
        <v>1030</v>
      </c>
      <c r="N187" s="7">
        <f t="shared" si="11"/>
        <v>1100</v>
      </c>
      <c r="O187" s="2">
        <v>68</v>
      </c>
      <c r="P187" s="8">
        <f t="shared" si="12"/>
        <v>1168</v>
      </c>
      <c r="Q187" s="8">
        <f t="shared" si="13"/>
        <v>894</v>
      </c>
      <c r="R187" s="2" t="s">
        <v>56</v>
      </c>
      <c r="S187" s="9">
        <f t="shared" si="14"/>
        <v>23.36</v>
      </c>
    </row>
    <row r="188" spans="1:19" x14ac:dyDescent="0.3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IFERROR(VLOOKUP('Customer Info'!A180,'Customer Info'!A180:C679,2,FALSE),"Not Found")</f>
        <v>Evan</v>
      </c>
      <c r="H188" s="6" t="str">
        <f>IFERROR(VLOOKUP('Customer Info'!A180,'Customer Info'!A180:C679,3,FALSE),"Not Found")</f>
        <v>Bailliet</v>
      </c>
      <c r="I188" s="6" t="str">
        <f>IFERROR(VLOOKUP('Customer Info'!A180,'Customer Info'!A180:E679,5,FALSE),"Not Found")</f>
        <v>Sydney</v>
      </c>
      <c r="J188" s="2">
        <v>7232</v>
      </c>
      <c r="K188" s="2">
        <v>6753</v>
      </c>
      <c r="L188" s="2">
        <v>3</v>
      </c>
      <c r="M188" s="7">
        <f t="shared" si="10"/>
        <v>20259</v>
      </c>
      <c r="N188" s="7">
        <f t="shared" si="11"/>
        <v>21696</v>
      </c>
      <c r="O188" s="2">
        <v>90</v>
      </c>
      <c r="P188" s="8">
        <f t="shared" si="12"/>
        <v>21786</v>
      </c>
      <c r="Q188" s="8">
        <f t="shared" si="13"/>
        <v>14943</v>
      </c>
      <c r="R188" s="2" t="s">
        <v>28</v>
      </c>
      <c r="S188" s="9">
        <f t="shared" si="14"/>
        <v>1089.3</v>
      </c>
    </row>
    <row r="189" spans="1:19" x14ac:dyDescent="0.3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>IFERROR(VLOOKUP('Customer Info'!A181,'Customer Info'!A181:C680,2,FALSE),"Not Found")</f>
        <v>Evan</v>
      </c>
      <c r="H189" s="6" t="str">
        <f>IFERROR(VLOOKUP('Customer Info'!A181,'Customer Info'!A181:C680,3,FALSE),"Not Found")</f>
        <v>Henry</v>
      </c>
      <c r="I189" s="6" t="str">
        <f>IFERROR(VLOOKUP('Customer Info'!A181,'Customer Info'!A181:E680,5,FALSE),"Not Found")</f>
        <v>Zhoukou</v>
      </c>
      <c r="J189" s="2">
        <v>131</v>
      </c>
      <c r="K189" s="2">
        <v>124</v>
      </c>
      <c r="L189" s="2">
        <v>1</v>
      </c>
      <c r="M189" s="7">
        <f t="shared" si="10"/>
        <v>124</v>
      </c>
      <c r="N189" s="7">
        <f t="shared" si="11"/>
        <v>131</v>
      </c>
      <c r="O189" s="2">
        <v>30</v>
      </c>
      <c r="P189" s="8">
        <f t="shared" si="12"/>
        <v>161</v>
      </c>
      <c r="Q189" s="8">
        <f t="shared" si="13"/>
        <v>7</v>
      </c>
      <c r="R189" s="2" t="s">
        <v>50</v>
      </c>
      <c r="S189" s="9">
        <f t="shared" si="14"/>
        <v>3.22</v>
      </c>
    </row>
    <row r="190" spans="1:19" x14ac:dyDescent="0.3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IFERROR(VLOOKUP('Customer Info'!A182,'Customer Info'!A182:C681,2,FALSE),"Not Found")</f>
        <v>Filia</v>
      </c>
      <c r="H190" s="6" t="str">
        <f>IFERROR(VLOOKUP('Customer Info'!A182,'Customer Info'!A182:C681,3,FALSE),"Not Found")</f>
        <v>McAdams</v>
      </c>
      <c r="I190" s="6" t="str">
        <f>IFERROR(VLOOKUP('Customer Info'!A182,'Customer Info'!A182:E681,5,FALSE),"Not Found")</f>
        <v>Lucknow</v>
      </c>
      <c r="J190" s="2">
        <v>2526</v>
      </c>
      <c r="K190" s="2">
        <v>2408</v>
      </c>
      <c r="L190" s="2">
        <v>4</v>
      </c>
      <c r="M190" s="7">
        <f t="shared" si="10"/>
        <v>9632</v>
      </c>
      <c r="N190" s="7">
        <f t="shared" si="11"/>
        <v>10104</v>
      </c>
      <c r="O190" s="2">
        <v>50</v>
      </c>
      <c r="P190" s="8">
        <f t="shared" si="12"/>
        <v>10154</v>
      </c>
      <c r="Q190" s="8">
        <f t="shared" si="13"/>
        <v>7696</v>
      </c>
      <c r="R190" s="2" t="s">
        <v>28</v>
      </c>
      <c r="S190" s="9">
        <f t="shared" si="14"/>
        <v>507.70000000000005</v>
      </c>
    </row>
    <row r="191" spans="1:19" x14ac:dyDescent="0.3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IFERROR(VLOOKUP('Customer Info'!A183,'Customer Info'!A183:C682,2,FALSE),"Not Found")</f>
        <v>Frank</v>
      </c>
      <c r="H191" s="6" t="str">
        <f>IFERROR(VLOOKUP('Customer Info'!A183,'Customer Info'!A183:C682,3,FALSE),"Not Found")</f>
        <v>Hawley</v>
      </c>
      <c r="I191" s="6" t="str">
        <f>IFERROR(VLOOKUP('Customer Info'!A183,'Customer Info'!A183:E682,5,FALSE),"Not Found")</f>
        <v>Gold Coast</v>
      </c>
      <c r="J191" s="2">
        <v>4002</v>
      </c>
      <c r="K191" s="2">
        <v>3744</v>
      </c>
      <c r="L191" s="2">
        <v>6</v>
      </c>
      <c r="M191" s="7">
        <f t="shared" si="10"/>
        <v>22464</v>
      </c>
      <c r="N191" s="7">
        <f t="shared" si="11"/>
        <v>24012</v>
      </c>
      <c r="O191" s="2">
        <v>58</v>
      </c>
      <c r="P191" s="8">
        <f t="shared" si="12"/>
        <v>24070</v>
      </c>
      <c r="Q191" s="8">
        <f t="shared" si="13"/>
        <v>20268</v>
      </c>
      <c r="R191" s="2" t="s">
        <v>26</v>
      </c>
      <c r="S191" s="9">
        <f t="shared" si="14"/>
        <v>1203.5</v>
      </c>
    </row>
    <row r="192" spans="1:19" x14ac:dyDescent="0.3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>IFERROR(VLOOKUP('Customer Info'!A184,'Customer Info'!A184:C683,2,FALSE),"Not Found")</f>
        <v>Fred</v>
      </c>
      <c r="H192" s="6" t="str">
        <f>IFERROR(VLOOKUP('Customer Info'!A184,'Customer Info'!A184:C683,3,FALSE),"Not Found")</f>
        <v>Hopkins</v>
      </c>
      <c r="I192" s="6" t="str">
        <f>IFERROR(VLOOKUP('Customer Info'!A184,'Customer Info'!A184:E683,5,FALSE),"Not Found")</f>
        <v>Sydney</v>
      </c>
      <c r="J192" s="2">
        <v>2787</v>
      </c>
      <c r="K192" s="2">
        <v>2681</v>
      </c>
      <c r="L192" s="2">
        <v>7</v>
      </c>
      <c r="M192" s="7">
        <f t="shared" si="10"/>
        <v>18767</v>
      </c>
      <c r="N192" s="7">
        <f t="shared" si="11"/>
        <v>19509</v>
      </c>
      <c r="O192" s="2">
        <v>78</v>
      </c>
      <c r="P192" s="8">
        <f t="shared" si="12"/>
        <v>19587</v>
      </c>
      <c r="Q192" s="8">
        <f t="shared" si="13"/>
        <v>16828</v>
      </c>
      <c r="R192" s="2" t="s">
        <v>28</v>
      </c>
      <c r="S192" s="9">
        <f t="shared" si="14"/>
        <v>979.35</v>
      </c>
    </row>
    <row r="193" spans="1:19" x14ac:dyDescent="0.3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IFERROR(VLOOKUP('Customer Info'!A185,'Customer Info'!A185:C684,2,FALSE),"Not Found")</f>
        <v>Fred</v>
      </c>
      <c r="H193" s="6" t="str">
        <f>IFERROR(VLOOKUP('Customer Info'!A185,'Customer Info'!A185:C684,3,FALSE),"Not Found")</f>
        <v>Wasserman</v>
      </c>
      <c r="I193" s="6" t="str">
        <f>IFERROR(VLOOKUP('Customer Info'!A185,'Customer Info'!A185:E684,5,FALSE),"Not Found")</f>
        <v>Willich</v>
      </c>
      <c r="J193" s="2">
        <v>1809</v>
      </c>
      <c r="K193" s="2">
        <v>1691</v>
      </c>
      <c r="L193" s="2">
        <v>4</v>
      </c>
      <c r="M193" s="7">
        <f t="shared" si="10"/>
        <v>6764</v>
      </c>
      <c r="N193" s="7">
        <f t="shared" si="11"/>
        <v>7236</v>
      </c>
      <c r="O193" s="2">
        <v>63</v>
      </c>
      <c r="P193" s="8">
        <f t="shared" si="12"/>
        <v>7299</v>
      </c>
      <c r="Q193" s="8">
        <f t="shared" si="13"/>
        <v>5545</v>
      </c>
      <c r="R193" s="2" t="s">
        <v>28</v>
      </c>
      <c r="S193" s="9">
        <f t="shared" si="14"/>
        <v>364.95000000000005</v>
      </c>
    </row>
    <row r="194" spans="1:19" x14ac:dyDescent="0.3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>IFERROR(VLOOKUP('Customer Info'!A186,'Customer Info'!A186:C685,2,FALSE),"Not Found")</f>
        <v>Gary</v>
      </c>
      <c r="H194" s="6" t="str">
        <f>IFERROR(VLOOKUP('Customer Info'!A186,'Customer Info'!A186:C685,3,FALSE),"Not Found")</f>
        <v>Hansen</v>
      </c>
      <c r="I194" s="6" t="str">
        <f>IFERROR(VLOOKUP('Customer Info'!A186,'Customer Info'!A186:E685,5,FALSE),"Not Found")</f>
        <v>Dewas</v>
      </c>
      <c r="J194" s="2">
        <v>4904</v>
      </c>
      <c r="K194" s="2">
        <v>4499</v>
      </c>
      <c r="L194" s="2">
        <v>4</v>
      </c>
      <c r="M194" s="7">
        <f t="shared" si="10"/>
        <v>17996</v>
      </c>
      <c r="N194" s="7">
        <f t="shared" si="11"/>
        <v>19616</v>
      </c>
      <c r="O194" s="2">
        <v>81</v>
      </c>
      <c r="P194" s="8">
        <f t="shared" si="12"/>
        <v>19697</v>
      </c>
      <c r="Q194" s="8">
        <f t="shared" si="13"/>
        <v>15117</v>
      </c>
      <c r="R194" s="2" t="s">
        <v>28</v>
      </c>
      <c r="S194" s="9">
        <f t="shared" si="14"/>
        <v>984.85</v>
      </c>
    </row>
    <row r="195" spans="1:19" x14ac:dyDescent="0.3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IFERROR(VLOOKUP('Customer Info'!A187,'Customer Info'!A187:C686,2,FALSE),"Not Found")</f>
        <v>Gary</v>
      </c>
      <c r="H195" s="6" t="str">
        <f>IFERROR(VLOOKUP('Customer Info'!A187,'Customer Info'!A187:C686,3,FALSE),"Not Found")</f>
        <v>Zandusky</v>
      </c>
      <c r="I195" s="6" t="str">
        <f>IFERROR(VLOOKUP('Customer Info'!A187,'Customer Info'!A187:E686,5,FALSE),"Not Found")</f>
        <v>Aligarh</v>
      </c>
      <c r="J195" s="2">
        <v>992</v>
      </c>
      <c r="K195" s="2">
        <v>928</v>
      </c>
      <c r="L195" s="2">
        <v>8</v>
      </c>
      <c r="M195" s="7">
        <f t="shared" si="10"/>
        <v>7424</v>
      </c>
      <c r="N195" s="7">
        <f t="shared" si="11"/>
        <v>7936</v>
      </c>
      <c r="O195" s="2">
        <v>33</v>
      </c>
      <c r="P195" s="8">
        <f t="shared" si="12"/>
        <v>7969</v>
      </c>
      <c r="Q195" s="8">
        <f t="shared" si="13"/>
        <v>7008</v>
      </c>
      <c r="R195" s="2" t="s">
        <v>50</v>
      </c>
      <c r="S195" s="9">
        <f t="shared" si="14"/>
        <v>398.45000000000005</v>
      </c>
    </row>
    <row r="196" spans="1:19" x14ac:dyDescent="0.3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IFERROR(VLOOKUP('Customer Info'!A188,'Customer Info'!A188:C687,2,FALSE),"Not Found")</f>
        <v>Gary</v>
      </c>
      <c r="H196" s="6" t="str">
        <f>IFERROR(VLOOKUP('Customer Info'!A188,'Customer Info'!A188:C687,3,FALSE),"Not Found")</f>
        <v>Zandusky</v>
      </c>
      <c r="I196" s="6" t="str">
        <f>IFERROR(VLOOKUP('Customer Info'!A188,'Customer Info'!A188:E687,5,FALSE),"Not Found")</f>
        <v>Gold Coast</v>
      </c>
      <c r="J196" s="2">
        <v>288</v>
      </c>
      <c r="K196" s="2">
        <v>264</v>
      </c>
      <c r="L196" s="2">
        <v>3</v>
      </c>
      <c r="M196" s="7">
        <f t="shared" si="10"/>
        <v>792</v>
      </c>
      <c r="N196" s="7">
        <f t="shared" si="11"/>
        <v>864</v>
      </c>
      <c r="O196" s="2">
        <v>30</v>
      </c>
      <c r="P196" s="8">
        <f t="shared" si="12"/>
        <v>894</v>
      </c>
      <c r="Q196" s="8">
        <f t="shared" si="13"/>
        <v>600</v>
      </c>
      <c r="R196" s="2" t="s">
        <v>28</v>
      </c>
      <c r="S196" s="9">
        <f t="shared" si="14"/>
        <v>17.88</v>
      </c>
    </row>
    <row r="197" spans="1:19" x14ac:dyDescent="0.3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IFERROR(VLOOKUP('Customer Info'!A189,'Customer Info'!A189:C688,2,FALSE),"Not Found")</f>
        <v>Gary</v>
      </c>
      <c r="H197" s="6" t="str">
        <f>IFERROR(VLOOKUP('Customer Info'!A189,'Customer Info'!A189:C688,3,FALSE),"Not Found")</f>
        <v>Mitchum</v>
      </c>
      <c r="I197" s="6" t="str">
        <f>IFERROR(VLOOKUP('Customer Info'!A189,'Customer Info'!A189:E688,5,FALSE),"Not Found")</f>
        <v>Mildura</v>
      </c>
      <c r="J197" s="2">
        <v>5836</v>
      </c>
      <c r="K197" s="2">
        <v>5457</v>
      </c>
      <c r="L197" s="2">
        <v>5</v>
      </c>
      <c r="M197" s="7">
        <f t="shared" si="10"/>
        <v>27285</v>
      </c>
      <c r="N197" s="7">
        <f t="shared" si="11"/>
        <v>29180</v>
      </c>
      <c r="O197" s="2">
        <v>74</v>
      </c>
      <c r="P197" s="8">
        <f t="shared" si="12"/>
        <v>29254</v>
      </c>
      <c r="Q197" s="8">
        <f t="shared" si="13"/>
        <v>23723</v>
      </c>
      <c r="R197" s="2" t="s">
        <v>50</v>
      </c>
      <c r="S197" s="9">
        <f t="shared" si="14"/>
        <v>2047.7800000000002</v>
      </c>
    </row>
    <row r="198" spans="1:19" x14ac:dyDescent="0.3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>IFERROR(VLOOKUP('Customer Info'!A190,'Customer Info'!A190:C689,2,FALSE),"Not Found")</f>
        <v>George</v>
      </c>
      <c r="H198" s="6" t="str">
        <f>IFERROR(VLOOKUP('Customer Info'!A190,'Customer Info'!A190:C689,3,FALSE),"Not Found")</f>
        <v>Ashbrook</v>
      </c>
      <c r="I198" s="6" t="str">
        <f>IFERROR(VLOOKUP('Customer Info'!A190,'Customer Info'!A190:E689,5,FALSE),"Not Found")</f>
        <v>Jakarta</v>
      </c>
      <c r="J198" s="2">
        <v>2078</v>
      </c>
      <c r="K198" s="2">
        <v>1871</v>
      </c>
      <c r="L198" s="2">
        <v>3</v>
      </c>
      <c r="M198" s="7">
        <f t="shared" si="10"/>
        <v>5613</v>
      </c>
      <c r="N198" s="7">
        <f t="shared" si="11"/>
        <v>6234</v>
      </c>
      <c r="O198" s="2">
        <v>77</v>
      </c>
      <c r="P198" s="8">
        <f t="shared" si="12"/>
        <v>6311</v>
      </c>
      <c r="Q198" s="8">
        <f t="shared" si="13"/>
        <v>4363</v>
      </c>
      <c r="R198" s="2" t="s">
        <v>50</v>
      </c>
      <c r="S198" s="9">
        <f t="shared" si="14"/>
        <v>315.55</v>
      </c>
    </row>
    <row r="199" spans="1:19" x14ac:dyDescent="0.3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IFERROR(VLOOKUP('Customer Info'!A191,'Customer Info'!A191:C690,2,FALSE),"Not Found")</f>
        <v>Georgia</v>
      </c>
      <c r="H199" s="6" t="str">
        <f>IFERROR(VLOOKUP('Customer Info'!A191,'Customer Info'!A191:C690,3,FALSE),"Not Found")</f>
        <v>Rosenberg</v>
      </c>
      <c r="I199" s="6" t="str">
        <f>IFERROR(VLOOKUP('Customer Info'!A191,'Customer Info'!A191:E690,5,FALSE),"Not Found")</f>
        <v>Srinagar</v>
      </c>
      <c r="J199" s="2">
        <v>61</v>
      </c>
      <c r="K199" s="2">
        <v>57</v>
      </c>
      <c r="L199" s="2">
        <v>2</v>
      </c>
      <c r="M199" s="7">
        <f t="shared" si="10"/>
        <v>114</v>
      </c>
      <c r="N199" s="7">
        <f t="shared" si="11"/>
        <v>122</v>
      </c>
      <c r="O199" s="2">
        <v>10</v>
      </c>
      <c r="P199" s="8">
        <f t="shared" si="12"/>
        <v>132</v>
      </c>
      <c r="Q199" s="8">
        <f t="shared" si="13"/>
        <v>65</v>
      </c>
      <c r="R199" s="2" t="s">
        <v>28</v>
      </c>
      <c r="S199" s="9">
        <f t="shared" si="14"/>
        <v>2.64</v>
      </c>
    </row>
    <row r="200" spans="1:19" x14ac:dyDescent="0.3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IFERROR(VLOOKUP('Customer Info'!A192,'Customer Info'!A192:C691,2,FALSE),"Not Found")</f>
        <v>Giulietta</v>
      </c>
      <c r="H200" s="6" t="str">
        <f>IFERROR(VLOOKUP('Customer Info'!A192,'Customer Info'!A192:C691,3,FALSE),"Not Found")</f>
        <v>Weimer</v>
      </c>
      <c r="I200" s="6" t="str">
        <f>IFERROR(VLOOKUP('Customer Info'!A192,'Customer Info'!A192:E691,5,FALSE),"Not Found")</f>
        <v>Suihua</v>
      </c>
      <c r="J200" s="2">
        <v>63</v>
      </c>
      <c r="K200" s="2">
        <v>58</v>
      </c>
      <c r="L200" s="2">
        <v>6</v>
      </c>
      <c r="M200" s="7">
        <f t="shared" si="10"/>
        <v>348</v>
      </c>
      <c r="N200" s="7">
        <f t="shared" si="11"/>
        <v>378</v>
      </c>
      <c r="O200" s="2">
        <v>10</v>
      </c>
      <c r="P200" s="8">
        <f t="shared" si="12"/>
        <v>388</v>
      </c>
      <c r="Q200" s="8">
        <f t="shared" si="13"/>
        <v>320</v>
      </c>
      <c r="R200" s="2" t="s">
        <v>26</v>
      </c>
      <c r="S200" s="9">
        <f t="shared" si="14"/>
        <v>7.76</v>
      </c>
    </row>
    <row r="201" spans="1:19" x14ac:dyDescent="0.3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>IFERROR(VLOOKUP('Customer Info'!A193,'Customer Info'!A193:C692,2,FALSE),"Not Found")</f>
        <v>Greg</v>
      </c>
      <c r="H201" s="6" t="str">
        <f>IFERROR(VLOOKUP('Customer Info'!A193,'Customer Info'!A193:C692,3,FALSE),"Not Found")</f>
        <v>Tran</v>
      </c>
      <c r="I201" s="6" t="str">
        <f>IFERROR(VLOOKUP('Customer Info'!A193,'Customer Info'!A193:E692,5,FALSE),"Not Found")</f>
        <v>Recklinghausen</v>
      </c>
      <c r="J201" s="2">
        <v>2857</v>
      </c>
      <c r="K201" s="2">
        <v>2622</v>
      </c>
      <c r="L201" s="2">
        <v>2</v>
      </c>
      <c r="M201" s="7">
        <f t="shared" si="10"/>
        <v>5244</v>
      </c>
      <c r="N201" s="7">
        <f t="shared" si="11"/>
        <v>5714</v>
      </c>
      <c r="O201" s="2">
        <v>76</v>
      </c>
      <c r="P201" s="8">
        <f t="shared" si="12"/>
        <v>5790</v>
      </c>
      <c r="Q201" s="8">
        <f t="shared" si="13"/>
        <v>3092</v>
      </c>
      <c r="R201" s="2" t="s">
        <v>28</v>
      </c>
      <c r="S201" s="9">
        <f t="shared" si="14"/>
        <v>289.5</v>
      </c>
    </row>
    <row r="202" spans="1:19" x14ac:dyDescent="0.3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IFERROR(VLOOKUP('Customer Info'!A194,'Customer Info'!A194:C693,2,FALSE),"Not Found")</f>
        <v>Greg</v>
      </c>
      <c r="H202" s="6" t="str">
        <f>IFERROR(VLOOKUP('Customer Info'!A194,'Customer Info'!A194:C693,3,FALSE),"Not Found")</f>
        <v>Hansen</v>
      </c>
      <c r="I202" s="6" t="str">
        <f>IFERROR(VLOOKUP('Customer Info'!A194,'Customer Info'!A194:E693,5,FALSE),"Not Found")</f>
        <v>Canberra</v>
      </c>
      <c r="J202" s="2">
        <v>1734</v>
      </c>
      <c r="K202" s="2">
        <v>1702</v>
      </c>
      <c r="L202" s="2">
        <v>7</v>
      </c>
      <c r="M202" s="7">
        <f t="shared" si="10"/>
        <v>11914</v>
      </c>
      <c r="N202" s="7">
        <f t="shared" si="11"/>
        <v>12138</v>
      </c>
      <c r="O202" s="2">
        <v>31</v>
      </c>
      <c r="P202" s="8">
        <f t="shared" si="12"/>
        <v>12169</v>
      </c>
      <c r="Q202" s="8">
        <f t="shared" si="13"/>
        <v>10436</v>
      </c>
      <c r="R202" s="2" t="s">
        <v>28</v>
      </c>
      <c r="S202" s="9">
        <f t="shared" si="14"/>
        <v>608.45000000000005</v>
      </c>
    </row>
    <row r="203" spans="1:19" x14ac:dyDescent="0.3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>IFERROR(VLOOKUP('Customer Info'!A195,'Customer Info'!A195:C694,2,FALSE),"Not Found")</f>
        <v>Guy</v>
      </c>
      <c r="H203" s="6" t="str">
        <f>IFERROR(VLOOKUP('Customer Info'!A195,'Customer Info'!A195:C694,3,FALSE),"Not Found")</f>
        <v>Phonely</v>
      </c>
      <c r="I203" s="6" t="str">
        <f>IFERROR(VLOOKUP('Customer Info'!A195,'Customer Info'!A195:E694,5,FALSE),"Not Found")</f>
        <v>Jodhpur</v>
      </c>
      <c r="J203" s="2">
        <v>2242</v>
      </c>
      <c r="K203" s="2">
        <v>2075</v>
      </c>
      <c r="L203" s="2">
        <v>4</v>
      </c>
      <c r="M203" s="7">
        <f t="shared" ref="M203:M266" si="15">$K203*$L203</f>
        <v>8300</v>
      </c>
      <c r="N203" s="7">
        <f t="shared" ref="N203:N266" si="16">$J203*$L203</f>
        <v>8968</v>
      </c>
      <c r="O203" s="2">
        <v>94</v>
      </c>
      <c r="P203" s="8">
        <f t="shared" ref="P203:P266" si="17">$N203+$O203</f>
        <v>9062</v>
      </c>
      <c r="Q203" s="8">
        <f t="shared" ref="Q203:Q266" si="18">$N203-$K203</f>
        <v>6893</v>
      </c>
      <c r="R203" s="2" t="s">
        <v>28</v>
      </c>
      <c r="S203" s="9">
        <f t="shared" ref="S203:S266" si="19" xml:space="preserve"> P203 * VLOOKUP(P203, $T$2:$U$6, 2, TRUE)</f>
        <v>453.1</v>
      </c>
    </row>
    <row r="204" spans="1:19" x14ac:dyDescent="0.3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IFERROR(VLOOKUP('Customer Info'!A196,'Customer Info'!A196:C695,2,FALSE),"Not Found")</f>
        <v>Hallie</v>
      </c>
      <c r="H204" s="6" t="str">
        <f>IFERROR(VLOOKUP('Customer Info'!A196,'Customer Info'!A196:C695,3,FALSE),"Not Found")</f>
        <v>Redmond</v>
      </c>
      <c r="I204" s="6" t="str">
        <f>IFERROR(VLOOKUP('Customer Info'!A196,'Customer Info'!A196:E695,5,FALSE),"Not Found")</f>
        <v>Caloundra</v>
      </c>
      <c r="J204" s="2">
        <v>1321</v>
      </c>
      <c r="K204" s="2">
        <v>1211</v>
      </c>
      <c r="L204" s="2">
        <v>9</v>
      </c>
      <c r="M204" s="7">
        <f t="shared" si="15"/>
        <v>10899</v>
      </c>
      <c r="N204" s="7">
        <f t="shared" si="16"/>
        <v>11889</v>
      </c>
      <c r="O204" s="2">
        <v>82</v>
      </c>
      <c r="P204" s="8">
        <f t="shared" si="17"/>
        <v>11971</v>
      </c>
      <c r="Q204" s="8">
        <f t="shared" si="18"/>
        <v>10678</v>
      </c>
      <c r="R204" s="2" t="s">
        <v>28</v>
      </c>
      <c r="S204" s="9">
        <f t="shared" si="19"/>
        <v>598.55000000000007</v>
      </c>
    </row>
    <row r="205" spans="1:19" x14ac:dyDescent="0.3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>IFERROR(VLOOKUP('Customer Info'!A197,'Customer Info'!A197:C696,2,FALSE),"Not Found")</f>
        <v>Harold</v>
      </c>
      <c r="H205" s="6" t="str">
        <f>IFERROR(VLOOKUP('Customer Info'!A197,'Customer Info'!A197:C696,3,FALSE),"Not Found")</f>
        <v>Pawlan</v>
      </c>
      <c r="I205" s="6" t="str">
        <f>IFERROR(VLOOKUP('Customer Info'!A197,'Customer Info'!A197:E696,5,FALSE),"Not Found")</f>
        <v>Banda Aceh</v>
      </c>
      <c r="J205" s="2">
        <v>8889</v>
      </c>
      <c r="K205" s="2">
        <v>8469</v>
      </c>
      <c r="L205" s="2">
        <v>2</v>
      </c>
      <c r="M205" s="7">
        <f t="shared" si="15"/>
        <v>16938</v>
      </c>
      <c r="N205" s="7">
        <f t="shared" si="16"/>
        <v>17778</v>
      </c>
      <c r="O205" s="2">
        <v>22</v>
      </c>
      <c r="P205" s="8">
        <f t="shared" si="17"/>
        <v>17800</v>
      </c>
      <c r="Q205" s="8">
        <f t="shared" si="18"/>
        <v>9309</v>
      </c>
      <c r="R205" s="2" t="s">
        <v>26</v>
      </c>
      <c r="S205" s="9">
        <f t="shared" si="19"/>
        <v>890</v>
      </c>
    </row>
    <row r="206" spans="1:19" x14ac:dyDescent="0.3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IFERROR(VLOOKUP('Customer Info'!A198,'Customer Info'!A198:C697,2,FALSE),"Not Found")</f>
        <v>Harold</v>
      </c>
      <c r="H206" s="6" t="str">
        <f>IFERROR(VLOOKUP('Customer Info'!A198,'Customer Info'!A198:C697,3,FALSE),"Not Found")</f>
        <v>Dahlen</v>
      </c>
      <c r="I206" s="6" t="str">
        <f>IFERROR(VLOOKUP('Customer Info'!A198,'Customer Info'!A198:E697,5,FALSE),"Not Found")</f>
        <v>Melbourne</v>
      </c>
      <c r="J206" s="2">
        <v>726</v>
      </c>
      <c r="K206" s="2">
        <v>646</v>
      </c>
      <c r="L206" s="2">
        <v>6</v>
      </c>
      <c r="M206" s="7">
        <f t="shared" si="15"/>
        <v>3876</v>
      </c>
      <c r="N206" s="7">
        <f t="shared" si="16"/>
        <v>4356</v>
      </c>
      <c r="O206" s="2">
        <v>99</v>
      </c>
      <c r="P206" s="8">
        <f t="shared" si="17"/>
        <v>4455</v>
      </c>
      <c r="Q206" s="8">
        <f t="shared" si="18"/>
        <v>3710</v>
      </c>
      <c r="R206" s="2" t="s">
        <v>50</v>
      </c>
      <c r="S206" s="9">
        <f t="shared" si="19"/>
        <v>89.100000000000009</v>
      </c>
    </row>
    <row r="207" spans="1:19" x14ac:dyDescent="0.3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IFERROR(VLOOKUP('Customer Info'!A199,'Customer Info'!A199:C698,2,FALSE),"Not Found")</f>
        <v>Harold</v>
      </c>
      <c r="H207" s="6" t="str">
        <f>IFERROR(VLOOKUP('Customer Info'!A199,'Customer Info'!A199:C698,3,FALSE),"Not Found")</f>
        <v>Engle</v>
      </c>
      <c r="I207" s="6" t="str">
        <f>IFERROR(VLOOKUP('Customer Info'!A199,'Customer Info'!A199:E698,5,FALSE),"Not Found")</f>
        <v>Chennai</v>
      </c>
      <c r="J207" s="2">
        <v>8738</v>
      </c>
      <c r="K207" s="2">
        <v>8162</v>
      </c>
      <c r="L207" s="2">
        <v>2</v>
      </c>
      <c r="M207" s="7">
        <f t="shared" si="15"/>
        <v>16324</v>
      </c>
      <c r="N207" s="7">
        <f t="shared" si="16"/>
        <v>17476</v>
      </c>
      <c r="O207" s="2">
        <v>91</v>
      </c>
      <c r="P207" s="8">
        <f t="shared" si="17"/>
        <v>17567</v>
      </c>
      <c r="Q207" s="8">
        <f t="shared" si="18"/>
        <v>9314</v>
      </c>
      <c r="R207" s="2" t="s">
        <v>50</v>
      </c>
      <c r="S207" s="9">
        <f t="shared" si="19"/>
        <v>878.35</v>
      </c>
    </row>
    <row r="208" spans="1:19" x14ac:dyDescent="0.3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>IFERROR(VLOOKUP('Customer Info'!A200,'Customer Info'!A200:C699,2,FALSE),"Not Found")</f>
        <v>Harold</v>
      </c>
      <c r="H208" s="6" t="str">
        <f>IFERROR(VLOOKUP('Customer Info'!A200,'Customer Info'!A200:C699,3,FALSE),"Not Found")</f>
        <v>Dahlen</v>
      </c>
      <c r="I208" s="6" t="str">
        <f>IFERROR(VLOOKUP('Customer Info'!A200,'Customer Info'!A200:E699,5,FALSE),"Not Found")</f>
        <v>Jakarta</v>
      </c>
      <c r="J208" s="2">
        <v>531</v>
      </c>
      <c r="K208" s="2">
        <v>487</v>
      </c>
      <c r="L208" s="2">
        <v>7</v>
      </c>
      <c r="M208" s="7">
        <f t="shared" si="15"/>
        <v>3409</v>
      </c>
      <c r="N208" s="7">
        <f t="shared" si="16"/>
        <v>3717</v>
      </c>
      <c r="O208" s="2">
        <v>85</v>
      </c>
      <c r="P208" s="8">
        <f t="shared" si="17"/>
        <v>3802</v>
      </c>
      <c r="Q208" s="8">
        <f t="shared" si="18"/>
        <v>3230</v>
      </c>
      <c r="R208" s="2" t="s">
        <v>50</v>
      </c>
      <c r="S208" s="9">
        <f t="shared" si="19"/>
        <v>76.040000000000006</v>
      </c>
    </row>
    <row r="209" spans="1:19" x14ac:dyDescent="0.3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IFERROR(VLOOKUP('Customer Info'!A201,'Customer Info'!A201:C700,2,FALSE),"Not Found")</f>
        <v>Harry</v>
      </c>
      <c r="H209" s="6" t="str">
        <f>IFERROR(VLOOKUP('Customer Info'!A201,'Customer Info'!A201:C700,3,FALSE),"Not Found")</f>
        <v>Marie</v>
      </c>
      <c r="I209" s="6" t="str">
        <f>IFERROR(VLOOKUP('Customer Info'!A201,'Customer Info'!A201:E700,5,FALSE),"Not Found")</f>
        <v>Dortmund</v>
      </c>
      <c r="J209" s="2">
        <v>2155</v>
      </c>
      <c r="K209" s="2">
        <v>2014</v>
      </c>
      <c r="L209" s="2">
        <v>9</v>
      </c>
      <c r="M209" s="7">
        <f t="shared" si="15"/>
        <v>18126</v>
      </c>
      <c r="N209" s="7">
        <f t="shared" si="16"/>
        <v>19395</v>
      </c>
      <c r="O209" s="2">
        <v>91</v>
      </c>
      <c r="P209" s="8">
        <f t="shared" si="17"/>
        <v>19486</v>
      </c>
      <c r="Q209" s="8">
        <f t="shared" si="18"/>
        <v>17381</v>
      </c>
      <c r="R209" s="2" t="s">
        <v>28</v>
      </c>
      <c r="S209" s="9">
        <f t="shared" si="19"/>
        <v>974.30000000000007</v>
      </c>
    </row>
    <row r="210" spans="1:19" x14ac:dyDescent="0.3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IFERROR(VLOOKUP('Customer Info'!A202,'Customer Info'!A202:C701,2,FALSE),"Not Found")</f>
        <v>Harry</v>
      </c>
      <c r="H210" s="6" t="str">
        <f>IFERROR(VLOOKUP('Customer Info'!A202,'Customer Info'!A202:C701,3,FALSE),"Not Found")</f>
        <v>Marie</v>
      </c>
      <c r="I210" s="6" t="str">
        <f>IFERROR(VLOOKUP('Customer Info'!A202,'Customer Info'!A202:E701,5,FALSE),"Not Found")</f>
        <v>Mataram</v>
      </c>
      <c r="J210" s="2">
        <v>9033</v>
      </c>
      <c r="K210" s="2">
        <v>8132</v>
      </c>
      <c r="L210" s="2">
        <v>2</v>
      </c>
      <c r="M210" s="7">
        <f t="shared" si="15"/>
        <v>16264</v>
      </c>
      <c r="N210" s="7">
        <f t="shared" si="16"/>
        <v>18066</v>
      </c>
      <c r="O210" s="2">
        <v>98</v>
      </c>
      <c r="P210" s="8">
        <f t="shared" si="17"/>
        <v>18164</v>
      </c>
      <c r="Q210" s="8">
        <f t="shared" si="18"/>
        <v>9934</v>
      </c>
      <c r="R210" s="2" t="s">
        <v>28</v>
      </c>
      <c r="S210" s="9">
        <f t="shared" si="19"/>
        <v>908.2</v>
      </c>
    </row>
    <row r="211" spans="1:19" x14ac:dyDescent="0.3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IFERROR(VLOOKUP('Customer Info'!A203,'Customer Info'!A203:C702,2,FALSE),"Not Found")</f>
        <v>Heather</v>
      </c>
      <c r="H211" s="6" t="str">
        <f>IFERROR(VLOOKUP('Customer Info'!A203,'Customer Info'!A203:C702,3,FALSE),"Not Found")</f>
        <v>Kirkland</v>
      </c>
      <c r="I211" s="6" t="str">
        <f>IFERROR(VLOOKUP('Customer Info'!A203,'Customer Info'!A203:E702,5,FALSE),"Not Found")</f>
        <v>Townsville</v>
      </c>
      <c r="J211" s="2">
        <v>495</v>
      </c>
      <c r="K211" s="2">
        <v>458</v>
      </c>
      <c r="L211" s="2">
        <v>2</v>
      </c>
      <c r="M211" s="7">
        <f t="shared" si="15"/>
        <v>916</v>
      </c>
      <c r="N211" s="7">
        <f t="shared" si="16"/>
        <v>990</v>
      </c>
      <c r="O211" s="2">
        <v>40</v>
      </c>
      <c r="P211" s="8">
        <f t="shared" si="17"/>
        <v>1030</v>
      </c>
      <c r="Q211" s="8">
        <f t="shared" si="18"/>
        <v>532</v>
      </c>
      <c r="R211" s="2" t="s">
        <v>26</v>
      </c>
      <c r="S211" s="9">
        <f t="shared" si="19"/>
        <v>20.6</v>
      </c>
    </row>
    <row r="212" spans="1:19" x14ac:dyDescent="0.3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IFERROR(VLOOKUP('Customer Info'!A204,'Customer Info'!A204:C703,2,FALSE),"Not Found")</f>
        <v>Heather</v>
      </c>
      <c r="H212" s="6" t="str">
        <f>IFERROR(VLOOKUP('Customer Info'!A204,'Customer Info'!A204:C703,3,FALSE),"Not Found")</f>
        <v>Kirkland</v>
      </c>
      <c r="I212" s="6" t="str">
        <f>IFERROR(VLOOKUP('Customer Info'!A204,'Customer Info'!A204:E703,5,FALSE),"Not Found")</f>
        <v>Luoyang</v>
      </c>
      <c r="J212" s="2">
        <v>765</v>
      </c>
      <c r="K212" s="2">
        <v>701</v>
      </c>
      <c r="L212" s="2">
        <v>2</v>
      </c>
      <c r="M212" s="7">
        <f t="shared" si="15"/>
        <v>1402</v>
      </c>
      <c r="N212" s="7">
        <f t="shared" si="16"/>
        <v>1530</v>
      </c>
      <c r="O212" s="2">
        <v>83</v>
      </c>
      <c r="P212" s="8">
        <f t="shared" si="17"/>
        <v>1613</v>
      </c>
      <c r="Q212" s="8">
        <f t="shared" si="18"/>
        <v>829</v>
      </c>
      <c r="R212" s="2" t="s">
        <v>28</v>
      </c>
      <c r="S212" s="9">
        <f t="shared" si="19"/>
        <v>32.26</v>
      </c>
    </row>
    <row r="213" spans="1:19" x14ac:dyDescent="0.3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IFERROR(VLOOKUP('Customer Info'!A205,'Customer Info'!A205:C704,2,FALSE),"Not Found")</f>
        <v>Helen</v>
      </c>
      <c r="H213" s="6" t="str">
        <f>IFERROR(VLOOKUP('Customer Info'!A205,'Customer Info'!A205:C704,3,FALSE),"Not Found")</f>
        <v>Abelman</v>
      </c>
      <c r="I213" s="6" t="str">
        <f>IFERROR(VLOOKUP('Customer Info'!A205,'Customer Info'!A205:E704,5,FALSE),"Not Found")</f>
        <v>Berlin</v>
      </c>
      <c r="J213" s="2">
        <v>68</v>
      </c>
      <c r="K213" s="2">
        <v>63</v>
      </c>
      <c r="L213" s="2">
        <v>2</v>
      </c>
      <c r="M213" s="7">
        <f t="shared" si="15"/>
        <v>126</v>
      </c>
      <c r="N213" s="7">
        <f t="shared" si="16"/>
        <v>136</v>
      </c>
      <c r="O213" s="2">
        <v>10</v>
      </c>
      <c r="P213" s="8">
        <f t="shared" si="17"/>
        <v>146</v>
      </c>
      <c r="Q213" s="8">
        <f t="shared" si="18"/>
        <v>73</v>
      </c>
      <c r="R213" s="2" t="s">
        <v>50</v>
      </c>
      <c r="S213" s="9">
        <f t="shared" si="19"/>
        <v>2.92</v>
      </c>
    </row>
    <row r="214" spans="1:19" x14ac:dyDescent="0.3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IFERROR(VLOOKUP('Customer Info'!A206,'Customer Info'!A206:C705,2,FALSE),"Not Found")</f>
        <v>Helen</v>
      </c>
      <c r="H214" s="6" t="str">
        <f>IFERROR(VLOOKUP('Customer Info'!A206,'Customer Info'!A206:C705,3,FALSE),"Not Found")</f>
        <v>Abelman</v>
      </c>
      <c r="I214" s="6" t="str">
        <f>IFERROR(VLOOKUP('Customer Info'!A206,'Customer Info'!A206:E705,5,FALSE),"Not Found")</f>
        <v>Munich</v>
      </c>
      <c r="J214" s="2">
        <v>7534</v>
      </c>
      <c r="K214" s="2">
        <v>7106</v>
      </c>
      <c r="L214" s="2">
        <v>4</v>
      </c>
      <c r="M214" s="7">
        <f t="shared" si="15"/>
        <v>28424</v>
      </c>
      <c r="N214" s="7">
        <f t="shared" si="16"/>
        <v>30136</v>
      </c>
      <c r="O214" s="2">
        <v>48</v>
      </c>
      <c r="P214" s="8">
        <f t="shared" si="17"/>
        <v>30184</v>
      </c>
      <c r="Q214" s="8">
        <f t="shared" si="18"/>
        <v>23030</v>
      </c>
      <c r="R214" s="2" t="s">
        <v>50</v>
      </c>
      <c r="S214" s="9">
        <f t="shared" si="19"/>
        <v>2112.88</v>
      </c>
    </row>
    <row r="215" spans="1:19" x14ac:dyDescent="0.3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IFERROR(VLOOKUP('Customer Info'!A207,'Customer Info'!A207:C706,2,FALSE),"Not Found")</f>
        <v>Helen</v>
      </c>
      <c r="H215" s="6" t="str">
        <f>IFERROR(VLOOKUP('Customer Info'!A207,'Customer Info'!A207:C706,3,FALSE),"Not Found")</f>
        <v>Abelman</v>
      </c>
      <c r="I215" s="6" t="str">
        <f>IFERROR(VLOOKUP('Customer Info'!A207,'Customer Info'!A207:E706,5,FALSE),"Not Found")</f>
        <v>Mangalore</v>
      </c>
      <c r="J215" s="2">
        <v>3341</v>
      </c>
      <c r="K215" s="2">
        <v>3152</v>
      </c>
      <c r="L215" s="2">
        <v>2</v>
      </c>
      <c r="M215" s="7">
        <f t="shared" si="15"/>
        <v>6304</v>
      </c>
      <c r="N215" s="7">
        <f t="shared" si="16"/>
        <v>6682</v>
      </c>
      <c r="O215" s="2">
        <v>92</v>
      </c>
      <c r="P215" s="8">
        <f t="shared" si="17"/>
        <v>6774</v>
      </c>
      <c r="Q215" s="8">
        <f t="shared" si="18"/>
        <v>3530</v>
      </c>
      <c r="R215" s="2" t="s">
        <v>28</v>
      </c>
      <c r="S215" s="9">
        <f t="shared" si="19"/>
        <v>338.70000000000005</v>
      </c>
    </row>
    <row r="216" spans="1:19" x14ac:dyDescent="0.3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>IFERROR(VLOOKUP('Customer Info'!A208,'Customer Info'!A208:C707,2,FALSE),"Not Found")</f>
        <v>Hilary</v>
      </c>
      <c r="H216" s="6" t="str">
        <f>IFERROR(VLOOKUP('Customer Info'!A208,'Customer Info'!A208:C707,3,FALSE),"Not Found")</f>
        <v>Holden</v>
      </c>
      <c r="I216" s="6" t="str">
        <f>IFERROR(VLOOKUP('Customer Info'!A208,'Customer Info'!A208:E707,5,FALSE),"Not Found")</f>
        <v>Mysore</v>
      </c>
      <c r="J216" s="2">
        <v>914</v>
      </c>
      <c r="K216" s="2">
        <v>830</v>
      </c>
      <c r="L216" s="2">
        <v>8</v>
      </c>
      <c r="M216" s="7">
        <f t="shared" si="15"/>
        <v>6640</v>
      </c>
      <c r="N216" s="7">
        <f t="shared" si="16"/>
        <v>7312</v>
      </c>
      <c r="O216" s="2">
        <v>88</v>
      </c>
      <c r="P216" s="8">
        <f t="shared" si="17"/>
        <v>7400</v>
      </c>
      <c r="Q216" s="8">
        <f t="shared" si="18"/>
        <v>6482</v>
      </c>
      <c r="R216" s="2" t="s">
        <v>28</v>
      </c>
      <c r="S216" s="9">
        <f t="shared" si="19"/>
        <v>370</v>
      </c>
    </row>
    <row r="217" spans="1:19" x14ac:dyDescent="0.3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IFERROR(VLOOKUP('Customer Info'!A209,'Customer Info'!A209:C708,2,FALSE),"Not Found")</f>
        <v>Hunter</v>
      </c>
      <c r="H217" s="6" t="str">
        <f>IFERROR(VLOOKUP('Customer Info'!A209,'Customer Info'!A209:C708,3,FALSE),"Not Found")</f>
        <v>Glantz</v>
      </c>
      <c r="I217" s="6" t="str">
        <f>IFERROR(VLOOKUP('Customer Info'!A209,'Customer Info'!A209:E708,5,FALSE),"Not Found")</f>
        <v>Panihati</v>
      </c>
      <c r="J217" s="2">
        <v>666</v>
      </c>
      <c r="K217" s="2">
        <v>641</v>
      </c>
      <c r="L217" s="2">
        <v>2</v>
      </c>
      <c r="M217" s="7">
        <f t="shared" si="15"/>
        <v>1282</v>
      </c>
      <c r="N217" s="7">
        <f t="shared" si="16"/>
        <v>1332</v>
      </c>
      <c r="O217" s="2">
        <v>45</v>
      </c>
      <c r="P217" s="8">
        <f t="shared" si="17"/>
        <v>1377</v>
      </c>
      <c r="Q217" s="8">
        <f t="shared" si="18"/>
        <v>691</v>
      </c>
      <c r="R217" s="2" t="s">
        <v>28</v>
      </c>
      <c r="S217" s="9">
        <f t="shared" si="19"/>
        <v>27.54</v>
      </c>
    </row>
    <row r="218" spans="1:19" x14ac:dyDescent="0.3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>IFERROR(VLOOKUP('Customer Info'!A210,'Customer Info'!A210:C709,2,FALSE),"Not Found")</f>
        <v>Hunter</v>
      </c>
      <c r="H218" s="6" t="str">
        <f>IFERROR(VLOOKUP('Customer Info'!A210,'Customer Info'!A210:C709,3,FALSE),"Not Found")</f>
        <v>Lopez</v>
      </c>
      <c r="I218" s="6" t="str">
        <f>IFERROR(VLOOKUP('Customer Info'!A210,'Customer Info'!A210:E709,5,FALSE),"Not Found")</f>
        <v>Wollongong</v>
      </c>
      <c r="J218" s="2">
        <v>445</v>
      </c>
      <c r="K218" s="2">
        <v>415</v>
      </c>
      <c r="L218" s="2">
        <v>2</v>
      </c>
      <c r="M218" s="7">
        <f t="shared" si="15"/>
        <v>830</v>
      </c>
      <c r="N218" s="7">
        <f t="shared" si="16"/>
        <v>890</v>
      </c>
      <c r="O218" s="2">
        <v>92</v>
      </c>
      <c r="P218" s="8">
        <f t="shared" si="17"/>
        <v>982</v>
      </c>
      <c r="Q218" s="8">
        <f t="shared" si="18"/>
        <v>475</v>
      </c>
      <c r="R218" s="2" t="s">
        <v>28</v>
      </c>
      <c r="S218" s="9">
        <f t="shared" si="19"/>
        <v>19.64</v>
      </c>
    </row>
    <row r="219" spans="1:19" x14ac:dyDescent="0.3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IFERROR(VLOOKUP('Customer Info'!A211,'Customer Info'!A211:C710,2,FALSE),"Not Found")</f>
        <v>Hunter</v>
      </c>
      <c r="H219" s="6" t="str">
        <f>IFERROR(VLOOKUP('Customer Info'!A211,'Customer Info'!A211:C710,3,FALSE),"Not Found")</f>
        <v>Lopez</v>
      </c>
      <c r="I219" s="6" t="str">
        <f>IFERROR(VLOOKUP('Customer Info'!A211,'Customer Info'!A211:E710,5,FALSE),"Not Found")</f>
        <v>Cuttack</v>
      </c>
      <c r="J219" s="2">
        <v>1113</v>
      </c>
      <c r="K219" s="2">
        <v>1040</v>
      </c>
      <c r="L219" s="2">
        <v>2</v>
      </c>
      <c r="M219" s="7">
        <f t="shared" si="15"/>
        <v>2080</v>
      </c>
      <c r="N219" s="7">
        <f t="shared" si="16"/>
        <v>2226</v>
      </c>
      <c r="O219" s="2">
        <v>93</v>
      </c>
      <c r="P219" s="8">
        <f t="shared" si="17"/>
        <v>2319</v>
      </c>
      <c r="Q219" s="8">
        <f t="shared" si="18"/>
        <v>1186</v>
      </c>
      <c r="R219" s="2" t="s">
        <v>28</v>
      </c>
      <c r="S219" s="9">
        <f t="shared" si="19"/>
        <v>46.38</v>
      </c>
    </row>
    <row r="220" spans="1:19" x14ac:dyDescent="0.3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IFERROR(VLOOKUP('Customer Info'!A212,'Customer Info'!A212:C711,2,FALSE),"Not Found")</f>
        <v>Hunter</v>
      </c>
      <c r="H220" s="6" t="str">
        <f>IFERROR(VLOOKUP('Customer Info'!A212,'Customer Info'!A212:C711,3,FALSE),"Not Found")</f>
        <v>Lopez</v>
      </c>
      <c r="I220" s="6" t="str">
        <f>IFERROR(VLOOKUP('Customer Info'!A212,'Customer Info'!A212:E711,5,FALSE),"Not Found")</f>
        <v>Pekanbaru</v>
      </c>
      <c r="J220" s="2">
        <v>2296</v>
      </c>
      <c r="K220" s="2">
        <v>2146</v>
      </c>
      <c r="L220" s="2">
        <v>3</v>
      </c>
      <c r="M220" s="7">
        <f t="shared" si="15"/>
        <v>6438</v>
      </c>
      <c r="N220" s="7">
        <f t="shared" si="16"/>
        <v>6888</v>
      </c>
      <c r="O220" s="2">
        <v>23</v>
      </c>
      <c r="P220" s="8">
        <f t="shared" si="17"/>
        <v>6911</v>
      </c>
      <c r="Q220" s="8">
        <f t="shared" si="18"/>
        <v>4742</v>
      </c>
      <c r="R220" s="2" t="s">
        <v>50</v>
      </c>
      <c r="S220" s="9">
        <f t="shared" si="19"/>
        <v>345.55</v>
      </c>
    </row>
    <row r="221" spans="1:19" x14ac:dyDescent="0.3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IFERROR(VLOOKUP('Customer Info'!A213,'Customer Info'!A213:C712,2,FALSE),"Not Found")</f>
        <v>Ionia</v>
      </c>
      <c r="H221" s="6" t="str">
        <f>IFERROR(VLOOKUP('Customer Info'!A213,'Customer Info'!A213:C712,3,FALSE),"Not Found")</f>
        <v>McGrath</v>
      </c>
      <c r="I221" s="6" t="str">
        <f>IFERROR(VLOOKUP('Customer Info'!A213,'Customer Info'!A213:E712,5,FALSE),"Not Found")</f>
        <v>Dormagen</v>
      </c>
      <c r="J221" s="2">
        <v>2088</v>
      </c>
      <c r="K221" s="2">
        <v>1970</v>
      </c>
      <c r="L221" s="2">
        <v>3</v>
      </c>
      <c r="M221" s="7">
        <f t="shared" si="15"/>
        <v>5910</v>
      </c>
      <c r="N221" s="7">
        <f t="shared" si="16"/>
        <v>6264</v>
      </c>
      <c r="O221" s="2">
        <v>74</v>
      </c>
      <c r="P221" s="8">
        <f t="shared" si="17"/>
        <v>6338</v>
      </c>
      <c r="Q221" s="8">
        <f t="shared" si="18"/>
        <v>4294</v>
      </c>
      <c r="R221" s="2" t="s">
        <v>50</v>
      </c>
      <c r="S221" s="9">
        <f t="shared" si="19"/>
        <v>316.90000000000003</v>
      </c>
    </row>
    <row r="222" spans="1:19" x14ac:dyDescent="0.3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IFERROR(VLOOKUP('Customer Info'!A214,'Customer Info'!A214:C713,2,FALSE),"Not Found")</f>
        <v>Irene</v>
      </c>
      <c r="H222" s="6" t="str">
        <f>IFERROR(VLOOKUP('Customer Info'!A214,'Customer Info'!A214:C713,3,FALSE),"Not Found")</f>
        <v>Maddox</v>
      </c>
      <c r="I222" s="6" t="str">
        <f>IFERROR(VLOOKUP('Customer Info'!A214,'Customer Info'!A214:E713,5,FALSE),"Not Found")</f>
        <v>Bhavnagar</v>
      </c>
      <c r="J222" s="2">
        <v>140</v>
      </c>
      <c r="K222" s="2">
        <v>137</v>
      </c>
      <c r="L222" s="2">
        <v>6</v>
      </c>
      <c r="M222" s="7">
        <f t="shared" si="15"/>
        <v>822</v>
      </c>
      <c r="N222" s="7">
        <f t="shared" si="16"/>
        <v>840</v>
      </c>
      <c r="O222" s="2">
        <v>30</v>
      </c>
      <c r="P222" s="8">
        <f t="shared" si="17"/>
        <v>870</v>
      </c>
      <c r="Q222" s="8">
        <f t="shared" si="18"/>
        <v>703</v>
      </c>
      <c r="R222" s="2" t="s">
        <v>50</v>
      </c>
      <c r="S222" s="9">
        <f t="shared" si="19"/>
        <v>17.400000000000002</v>
      </c>
    </row>
    <row r="223" spans="1:19" x14ac:dyDescent="0.3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IFERROR(VLOOKUP('Customer Info'!A215,'Customer Info'!A215:C714,2,FALSE),"Not Found")</f>
        <v>Ivan</v>
      </c>
      <c r="H223" s="6" t="str">
        <f>IFERROR(VLOOKUP('Customer Info'!A215,'Customer Info'!A215:C714,3,FALSE),"Not Found")</f>
        <v>Gibson</v>
      </c>
      <c r="I223" s="6" t="str">
        <f>IFERROR(VLOOKUP('Customer Info'!A215,'Customer Info'!A215:E714,5,FALSE),"Not Found")</f>
        <v>Shanghai</v>
      </c>
      <c r="J223" s="2">
        <v>1518</v>
      </c>
      <c r="K223" s="2">
        <v>1392</v>
      </c>
      <c r="L223" s="2">
        <v>2</v>
      </c>
      <c r="M223" s="7">
        <f t="shared" si="15"/>
        <v>2784</v>
      </c>
      <c r="N223" s="7">
        <f t="shared" si="16"/>
        <v>3036</v>
      </c>
      <c r="O223" s="2">
        <v>100</v>
      </c>
      <c r="P223" s="8">
        <f t="shared" si="17"/>
        <v>3136</v>
      </c>
      <c r="Q223" s="8">
        <f t="shared" si="18"/>
        <v>1644</v>
      </c>
      <c r="R223" s="2" t="s">
        <v>28</v>
      </c>
      <c r="S223" s="9">
        <f t="shared" si="19"/>
        <v>62.72</v>
      </c>
    </row>
    <row r="224" spans="1:19" x14ac:dyDescent="0.3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IFERROR(VLOOKUP('Customer Info'!A216,'Customer Info'!A216:C715,2,FALSE),"Not Found")</f>
        <v>Ivan</v>
      </c>
      <c r="H224" s="6" t="str">
        <f>IFERROR(VLOOKUP('Customer Info'!A216,'Customer Info'!A216:C715,3,FALSE),"Not Found")</f>
        <v>Gibson</v>
      </c>
      <c r="I224" s="6" t="str">
        <f>IFERROR(VLOOKUP('Customer Info'!A216,'Customer Info'!A216:E715,5,FALSE),"Not Found")</f>
        <v>Perth</v>
      </c>
      <c r="J224" s="2">
        <v>2627</v>
      </c>
      <c r="K224" s="2">
        <v>2528</v>
      </c>
      <c r="L224" s="2">
        <v>4</v>
      </c>
      <c r="M224" s="7">
        <f t="shared" si="15"/>
        <v>10112</v>
      </c>
      <c r="N224" s="7">
        <f t="shared" si="16"/>
        <v>10508</v>
      </c>
      <c r="O224" s="2">
        <v>100</v>
      </c>
      <c r="P224" s="8">
        <f t="shared" si="17"/>
        <v>10608</v>
      </c>
      <c r="Q224" s="8">
        <f t="shared" si="18"/>
        <v>7980</v>
      </c>
      <c r="R224" s="2" t="s">
        <v>28</v>
      </c>
      <c r="S224" s="9">
        <f t="shared" si="19"/>
        <v>530.4</v>
      </c>
    </row>
    <row r="225" spans="1:19" x14ac:dyDescent="0.3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>IFERROR(VLOOKUP('Customer Info'!A217,'Customer Info'!A217:C716,2,FALSE),"Not Found")</f>
        <v>Jack</v>
      </c>
      <c r="H225" s="6" t="str">
        <f>IFERROR(VLOOKUP('Customer Info'!A217,'Customer Info'!A217:C716,3,FALSE),"Not Found")</f>
        <v>Garza</v>
      </c>
      <c r="I225" s="6" t="str">
        <f>IFERROR(VLOOKUP('Customer Info'!A217,'Customer Info'!A217:E716,5,FALSE),"Not Found")</f>
        <v>Taiyuan</v>
      </c>
      <c r="J225" s="2">
        <v>128</v>
      </c>
      <c r="K225" s="2">
        <v>115</v>
      </c>
      <c r="L225" s="2">
        <v>2</v>
      </c>
      <c r="M225" s="7">
        <f t="shared" si="15"/>
        <v>230</v>
      </c>
      <c r="N225" s="7">
        <f t="shared" si="16"/>
        <v>256</v>
      </c>
      <c r="O225" s="2">
        <v>30</v>
      </c>
      <c r="P225" s="8">
        <f t="shared" si="17"/>
        <v>286</v>
      </c>
      <c r="Q225" s="8">
        <f t="shared" si="18"/>
        <v>141</v>
      </c>
      <c r="R225" s="2" t="s">
        <v>28</v>
      </c>
      <c r="S225" s="9">
        <f t="shared" si="19"/>
        <v>5.72</v>
      </c>
    </row>
    <row r="226" spans="1:19" x14ac:dyDescent="0.3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IFERROR(VLOOKUP('Customer Info'!A218,'Customer Info'!A218:C717,2,FALSE),"Not Found")</f>
        <v>Jack</v>
      </c>
      <c r="H226" s="6" t="str">
        <f>IFERROR(VLOOKUP('Customer Info'!A218,'Customer Info'!A218:C717,3,FALSE),"Not Found")</f>
        <v>Lebron</v>
      </c>
      <c r="I226" s="6" t="str">
        <f>IFERROR(VLOOKUP('Customer Info'!A218,'Customer Info'!A218:E717,5,FALSE),"Not Found")</f>
        <v>Erftstadt</v>
      </c>
      <c r="J226" s="2">
        <v>3192</v>
      </c>
      <c r="K226" s="2">
        <v>3011</v>
      </c>
      <c r="L226" s="2">
        <v>7</v>
      </c>
      <c r="M226" s="7">
        <f t="shared" si="15"/>
        <v>21077</v>
      </c>
      <c r="N226" s="7">
        <f t="shared" si="16"/>
        <v>22344</v>
      </c>
      <c r="O226" s="2">
        <v>24</v>
      </c>
      <c r="P226" s="8">
        <f t="shared" si="17"/>
        <v>22368</v>
      </c>
      <c r="Q226" s="8">
        <f t="shared" si="18"/>
        <v>19333</v>
      </c>
      <c r="R226" s="2" t="s">
        <v>28</v>
      </c>
      <c r="S226" s="9">
        <f t="shared" si="19"/>
        <v>1118.4000000000001</v>
      </c>
    </row>
    <row r="227" spans="1:19" x14ac:dyDescent="0.3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IFERROR(VLOOKUP('Customer Info'!A219,'Customer Info'!A219:C718,2,FALSE),"Not Found")</f>
        <v>Jack</v>
      </c>
      <c r="H227" s="6" t="str">
        <f>IFERROR(VLOOKUP('Customer Info'!A219,'Customer Info'!A219:C718,3,FALSE),"Not Found")</f>
        <v>Lebron</v>
      </c>
      <c r="I227" s="6" t="str">
        <f>IFERROR(VLOOKUP('Customer Info'!A219,'Customer Info'!A219:E718,5,FALSE),"Not Found")</f>
        <v>Bremen</v>
      </c>
      <c r="J227" s="2">
        <v>119</v>
      </c>
      <c r="K227" s="2">
        <v>112</v>
      </c>
      <c r="L227" s="2">
        <v>2</v>
      </c>
      <c r="M227" s="7">
        <f t="shared" si="15"/>
        <v>224</v>
      </c>
      <c r="N227" s="7">
        <f t="shared" si="16"/>
        <v>238</v>
      </c>
      <c r="O227" s="2">
        <v>30</v>
      </c>
      <c r="P227" s="8">
        <f t="shared" si="17"/>
        <v>268</v>
      </c>
      <c r="Q227" s="8">
        <f t="shared" si="18"/>
        <v>126</v>
      </c>
      <c r="R227" s="2" t="s">
        <v>28</v>
      </c>
      <c r="S227" s="9">
        <f t="shared" si="19"/>
        <v>5.36</v>
      </c>
    </row>
    <row r="228" spans="1:19" x14ac:dyDescent="0.3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IFERROR(VLOOKUP('Customer Info'!A220,'Customer Info'!A220:C719,2,FALSE),"Not Found")</f>
        <v>Jack</v>
      </c>
      <c r="H228" s="6" t="str">
        <f>IFERROR(VLOOKUP('Customer Info'!A220,'Customer Info'!A220:C719,3,FALSE),"Not Found")</f>
        <v>Garza</v>
      </c>
      <c r="I228" s="6" t="str">
        <f>IFERROR(VLOOKUP('Customer Info'!A220,'Customer Info'!A220:E719,5,FALSE),"Not Found")</f>
        <v>Oldenburg</v>
      </c>
      <c r="J228" s="2">
        <v>2644</v>
      </c>
      <c r="K228" s="2">
        <v>2425</v>
      </c>
      <c r="L228" s="2">
        <v>3</v>
      </c>
      <c r="M228" s="7">
        <f t="shared" si="15"/>
        <v>7275</v>
      </c>
      <c r="N228" s="7">
        <f t="shared" si="16"/>
        <v>7932</v>
      </c>
      <c r="O228" s="2">
        <v>84</v>
      </c>
      <c r="P228" s="8">
        <f t="shared" si="17"/>
        <v>8016</v>
      </c>
      <c r="Q228" s="8">
        <f t="shared" si="18"/>
        <v>5507</v>
      </c>
      <c r="R228" s="2" t="s">
        <v>28</v>
      </c>
      <c r="S228" s="9">
        <f t="shared" si="19"/>
        <v>400.8</v>
      </c>
    </row>
    <row r="229" spans="1:19" x14ac:dyDescent="0.3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IFERROR(VLOOKUP('Customer Info'!A221,'Customer Info'!A221:C720,2,FALSE),"Not Found")</f>
        <v>Jack</v>
      </c>
      <c r="H229" s="6" t="str">
        <f>IFERROR(VLOOKUP('Customer Info'!A221,'Customer Info'!A221:C720,3,FALSE),"Not Found")</f>
        <v>O'Briant</v>
      </c>
      <c r="I229" s="6" t="str">
        <f>IFERROR(VLOOKUP('Customer Info'!A221,'Customer Info'!A221:E720,5,FALSE),"Not Found")</f>
        <v>Jammu</v>
      </c>
      <c r="J229" s="2">
        <v>142</v>
      </c>
      <c r="K229" s="2">
        <v>134</v>
      </c>
      <c r="L229" s="2">
        <v>6</v>
      </c>
      <c r="M229" s="7">
        <f t="shared" si="15"/>
        <v>804</v>
      </c>
      <c r="N229" s="7">
        <f t="shared" si="16"/>
        <v>852</v>
      </c>
      <c r="O229" s="2">
        <v>30</v>
      </c>
      <c r="P229" s="8">
        <f t="shared" si="17"/>
        <v>882</v>
      </c>
      <c r="Q229" s="8">
        <f t="shared" si="18"/>
        <v>718</v>
      </c>
      <c r="R229" s="2" t="s">
        <v>28</v>
      </c>
      <c r="S229" s="9">
        <f t="shared" si="19"/>
        <v>17.64</v>
      </c>
    </row>
    <row r="230" spans="1:19" x14ac:dyDescent="0.3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>IFERROR(VLOOKUP('Customer Info'!A222,'Customer Info'!A222:C721,2,FALSE),"Not Found")</f>
        <v>James</v>
      </c>
      <c r="H230" s="6" t="str">
        <f>IFERROR(VLOOKUP('Customer Info'!A222,'Customer Info'!A222:C721,3,FALSE),"Not Found")</f>
        <v>Lanier</v>
      </c>
      <c r="I230" s="6" t="str">
        <f>IFERROR(VLOOKUP('Customer Info'!A222,'Customer Info'!A222:E721,5,FALSE),"Not Found")</f>
        <v>Dortmund</v>
      </c>
      <c r="J230" s="2">
        <v>3108</v>
      </c>
      <c r="K230" s="2">
        <v>2882</v>
      </c>
      <c r="L230" s="2">
        <v>6</v>
      </c>
      <c r="M230" s="7">
        <f t="shared" si="15"/>
        <v>17292</v>
      </c>
      <c r="N230" s="7">
        <f t="shared" si="16"/>
        <v>18648</v>
      </c>
      <c r="O230" s="2">
        <v>74</v>
      </c>
      <c r="P230" s="8">
        <f t="shared" si="17"/>
        <v>18722</v>
      </c>
      <c r="Q230" s="8">
        <f t="shared" si="18"/>
        <v>15766</v>
      </c>
      <c r="R230" s="2" t="s">
        <v>28</v>
      </c>
      <c r="S230" s="9">
        <f t="shared" si="19"/>
        <v>936.1</v>
      </c>
    </row>
    <row r="231" spans="1:19" x14ac:dyDescent="0.3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>IFERROR(VLOOKUP('Customer Info'!A223,'Customer Info'!A223:C722,2,FALSE),"Not Found")</f>
        <v>Jas</v>
      </c>
      <c r="H231" s="6" t="str">
        <f>IFERROR(VLOOKUP('Customer Info'!A223,'Customer Info'!A223:C722,3,FALSE),"Not Found")</f>
        <v>O'Carroll</v>
      </c>
      <c r="I231" s="6" t="str">
        <f>IFERROR(VLOOKUP('Customer Info'!A223,'Customer Info'!A223:E722,5,FALSE),"Not Found")</f>
        <v>Essen</v>
      </c>
      <c r="J231" s="2">
        <v>2627</v>
      </c>
      <c r="K231" s="2">
        <v>2528</v>
      </c>
      <c r="L231" s="2">
        <v>2</v>
      </c>
      <c r="M231" s="7">
        <f t="shared" si="15"/>
        <v>5056</v>
      </c>
      <c r="N231" s="7">
        <f t="shared" si="16"/>
        <v>5254</v>
      </c>
      <c r="O231" s="2">
        <v>67</v>
      </c>
      <c r="P231" s="8">
        <f t="shared" si="17"/>
        <v>5321</v>
      </c>
      <c r="Q231" s="8">
        <f t="shared" si="18"/>
        <v>2726</v>
      </c>
      <c r="R231" s="2" t="s">
        <v>28</v>
      </c>
      <c r="S231" s="9">
        <f t="shared" si="19"/>
        <v>266.05</v>
      </c>
    </row>
    <row r="232" spans="1:19" x14ac:dyDescent="0.3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>IFERROR(VLOOKUP('Customer Info'!A224,'Customer Info'!A224:C723,2,FALSE),"Not Found")</f>
        <v>Jason</v>
      </c>
      <c r="H232" s="6" t="str">
        <f>IFERROR(VLOOKUP('Customer Info'!A224,'Customer Info'!A224:C723,3,FALSE),"Not Found")</f>
        <v>Gross</v>
      </c>
      <c r="I232" s="6" t="str">
        <f>IFERROR(VLOOKUP('Customer Info'!A224,'Customer Info'!A224:E723,5,FALSE),"Not Found")</f>
        <v>Sydney</v>
      </c>
      <c r="J232" s="2">
        <v>1809</v>
      </c>
      <c r="K232" s="2">
        <v>1691</v>
      </c>
      <c r="L232" s="2">
        <v>2</v>
      </c>
      <c r="M232" s="7">
        <f t="shared" si="15"/>
        <v>3382</v>
      </c>
      <c r="N232" s="7">
        <f t="shared" si="16"/>
        <v>3618</v>
      </c>
      <c r="O232" s="2">
        <v>70</v>
      </c>
      <c r="P232" s="8">
        <f t="shared" si="17"/>
        <v>3688</v>
      </c>
      <c r="Q232" s="8">
        <f t="shared" si="18"/>
        <v>1927</v>
      </c>
      <c r="R232" s="2" t="s">
        <v>56</v>
      </c>
      <c r="S232" s="9">
        <f t="shared" si="19"/>
        <v>73.760000000000005</v>
      </c>
    </row>
    <row r="233" spans="1:19" x14ac:dyDescent="0.3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IFERROR(VLOOKUP('Customer Info'!A225,'Customer Info'!A225:C724,2,FALSE),"Not Found")</f>
        <v>Jenna</v>
      </c>
      <c r="H233" s="6" t="str">
        <f>IFERROR(VLOOKUP('Customer Info'!A225,'Customer Info'!A225:C724,3,FALSE),"Not Found")</f>
        <v>Caffey</v>
      </c>
      <c r="I233" s="6" t="str">
        <f>IFERROR(VLOOKUP('Customer Info'!A225,'Customer Info'!A225:E724,5,FALSE),"Not Found")</f>
        <v>Kanpur</v>
      </c>
      <c r="J233" s="2">
        <v>1916</v>
      </c>
      <c r="K233" s="2">
        <v>1844</v>
      </c>
      <c r="L233" s="2">
        <v>8</v>
      </c>
      <c r="M233" s="7">
        <f t="shared" si="15"/>
        <v>14752</v>
      </c>
      <c r="N233" s="7">
        <f t="shared" si="16"/>
        <v>15328</v>
      </c>
      <c r="O233" s="2">
        <v>24</v>
      </c>
      <c r="P233" s="8">
        <f t="shared" si="17"/>
        <v>15352</v>
      </c>
      <c r="Q233" s="8">
        <f t="shared" si="18"/>
        <v>13484</v>
      </c>
      <c r="R233" s="2" t="s">
        <v>28</v>
      </c>
      <c r="S233" s="9">
        <f t="shared" si="19"/>
        <v>767.6</v>
      </c>
    </row>
    <row r="234" spans="1:19" x14ac:dyDescent="0.3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>IFERROR(VLOOKUP('Customer Info'!A226,'Customer Info'!A226:C725,2,FALSE),"Not Found")</f>
        <v>Jennifer</v>
      </c>
      <c r="H234" s="6" t="str">
        <f>IFERROR(VLOOKUP('Customer Info'!A226,'Customer Info'!A226:C725,3,FALSE),"Not Found")</f>
        <v>Jackson</v>
      </c>
      <c r="I234" s="6" t="str">
        <f>IFERROR(VLOOKUP('Customer Info'!A226,'Customer Info'!A226:E725,5,FALSE),"Not Found")</f>
        <v>Queanbeyan</v>
      </c>
      <c r="J234" s="2">
        <v>142</v>
      </c>
      <c r="K234" s="2">
        <v>134</v>
      </c>
      <c r="L234" s="2">
        <v>2</v>
      </c>
      <c r="M234" s="7">
        <f t="shared" si="15"/>
        <v>268</v>
      </c>
      <c r="N234" s="7">
        <f t="shared" si="16"/>
        <v>284</v>
      </c>
      <c r="O234" s="2">
        <v>30</v>
      </c>
      <c r="P234" s="8">
        <f t="shared" si="17"/>
        <v>314</v>
      </c>
      <c r="Q234" s="8">
        <f t="shared" si="18"/>
        <v>150</v>
      </c>
      <c r="R234" s="2" t="s">
        <v>28</v>
      </c>
      <c r="S234" s="9">
        <f t="shared" si="19"/>
        <v>6.28</v>
      </c>
    </row>
    <row r="235" spans="1:19" x14ac:dyDescent="0.3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IFERROR(VLOOKUP('Customer Info'!A227,'Customer Info'!A227:C726,2,FALSE),"Not Found")</f>
        <v>Jennifer</v>
      </c>
      <c r="H235" s="6" t="str">
        <f>IFERROR(VLOOKUP('Customer Info'!A227,'Customer Info'!A227:C726,3,FALSE),"Not Found")</f>
        <v>Halladay</v>
      </c>
      <c r="I235" s="6" t="str">
        <f>IFERROR(VLOOKUP('Customer Info'!A227,'Customer Info'!A227:E726,5,FALSE),"Not Found")</f>
        <v>Krefeld</v>
      </c>
      <c r="J235" s="2">
        <v>1703</v>
      </c>
      <c r="K235" s="2">
        <v>1639</v>
      </c>
      <c r="L235" s="2">
        <v>1</v>
      </c>
      <c r="M235" s="7">
        <f t="shared" si="15"/>
        <v>1639</v>
      </c>
      <c r="N235" s="7">
        <f t="shared" si="16"/>
        <v>1703</v>
      </c>
      <c r="O235" s="2">
        <v>41</v>
      </c>
      <c r="P235" s="8">
        <f t="shared" si="17"/>
        <v>1744</v>
      </c>
      <c r="Q235" s="8">
        <f t="shared" si="18"/>
        <v>64</v>
      </c>
      <c r="R235" s="2" t="s">
        <v>28</v>
      </c>
      <c r="S235" s="9">
        <f t="shared" si="19"/>
        <v>34.880000000000003</v>
      </c>
    </row>
    <row r="236" spans="1:19" x14ac:dyDescent="0.3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IFERROR(VLOOKUP('Customer Info'!A228,'Customer Info'!A228:C727,2,FALSE),"Not Found")</f>
        <v>Jennifer</v>
      </c>
      <c r="H236" s="6" t="str">
        <f>IFERROR(VLOOKUP('Customer Info'!A228,'Customer Info'!A228:C727,3,FALSE),"Not Found")</f>
        <v>Halladay</v>
      </c>
      <c r="I236" s="6" t="str">
        <f>IFERROR(VLOOKUP('Customer Info'!A228,'Customer Info'!A228:E727,5,FALSE),"Not Found")</f>
        <v>Bielefeld</v>
      </c>
      <c r="J236" s="2">
        <v>2310</v>
      </c>
      <c r="K236" s="2">
        <v>2040</v>
      </c>
      <c r="L236" s="2">
        <v>2</v>
      </c>
      <c r="M236" s="7">
        <f t="shared" si="15"/>
        <v>4080</v>
      </c>
      <c r="N236" s="7">
        <f t="shared" si="16"/>
        <v>4620</v>
      </c>
      <c r="O236" s="2">
        <v>78</v>
      </c>
      <c r="P236" s="8">
        <f t="shared" si="17"/>
        <v>4698</v>
      </c>
      <c r="Q236" s="8">
        <f t="shared" si="18"/>
        <v>2580</v>
      </c>
      <c r="R236" s="2" t="s">
        <v>50</v>
      </c>
      <c r="S236" s="9">
        <f t="shared" si="19"/>
        <v>93.960000000000008</v>
      </c>
    </row>
    <row r="237" spans="1:19" x14ac:dyDescent="0.3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>IFERROR(VLOOKUP('Customer Info'!A229,'Customer Info'!A229:C728,2,FALSE),"Not Found")</f>
        <v>Jeremy</v>
      </c>
      <c r="H237" s="6" t="str">
        <f>IFERROR(VLOOKUP('Customer Info'!A229,'Customer Info'!A229:C728,3,FALSE),"Not Found")</f>
        <v>Ellison</v>
      </c>
      <c r="I237" s="6" t="str">
        <f>IFERROR(VLOOKUP('Customer Info'!A229,'Customer Info'!A229:E728,5,FALSE),"Not Found")</f>
        <v>Faridabad</v>
      </c>
      <c r="J237" s="2">
        <v>2874</v>
      </c>
      <c r="K237" s="2">
        <v>2583</v>
      </c>
      <c r="L237" s="2">
        <v>2</v>
      </c>
      <c r="M237" s="7">
        <f t="shared" si="15"/>
        <v>5166</v>
      </c>
      <c r="N237" s="7">
        <f t="shared" si="16"/>
        <v>5748</v>
      </c>
      <c r="O237" s="2">
        <v>64</v>
      </c>
      <c r="P237" s="8">
        <f t="shared" si="17"/>
        <v>5812</v>
      </c>
      <c r="Q237" s="8">
        <f t="shared" si="18"/>
        <v>3165</v>
      </c>
      <c r="R237" s="2" t="s">
        <v>28</v>
      </c>
      <c r="S237" s="9">
        <f t="shared" si="19"/>
        <v>290.60000000000002</v>
      </c>
    </row>
    <row r="238" spans="1:19" x14ac:dyDescent="0.3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>IFERROR(VLOOKUP('Customer Info'!A230,'Customer Info'!A230:C729,2,FALSE),"Not Found")</f>
        <v>Jeremy</v>
      </c>
      <c r="H238" s="6" t="str">
        <f>IFERROR(VLOOKUP('Customer Info'!A230,'Customer Info'!A230:C729,3,FALSE),"Not Found")</f>
        <v>Ellison</v>
      </c>
      <c r="I238" s="6" t="str">
        <f>IFERROR(VLOOKUP('Customer Info'!A230,'Customer Info'!A230:E729,5,FALSE),"Not Found")</f>
        <v>Jammu</v>
      </c>
      <c r="J238" s="2">
        <v>1246</v>
      </c>
      <c r="K238" s="2">
        <v>1164</v>
      </c>
      <c r="L238" s="2">
        <v>2</v>
      </c>
      <c r="M238" s="7">
        <f t="shared" si="15"/>
        <v>2328</v>
      </c>
      <c r="N238" s="7">
        <f t="shared" si="16"/>
        <v>2492</v>
      </c>
      <c r="O238" s="2">
        <v>27</v>
      </c>
      <c r="P238" s="8">
        <f t="shared" si="17"/>
        <v>2519</v>
      </c>
      <c r="Q238" s="8">
        <f t="shared" si="18"/>
        <v>1328</v>
      </c>
      <c r="R238" s="2" t="s">
        <v>26</v>
      </c>
      <c r="S238" s="9">
        <f t="shared" si="19"/>
        <v>50.38</v>
      </c>
    </row>
    <row r="239" spans="1:19" x14ac:dyDescent="0.3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IFERROR(VLOOKUP('Customer Info'!A231,'Customer Info'!A231:C730,2,FALSE),"Not Found")</f>
        <v>Jessica</v>
      </c>
      <c r="H239" s="6" t="str">
        <f>IFERROR(VLOOKUP('Customer Info'!A231,'Customer Info'!A231:C730,3,FALSE),"Not Found")</f>
        <v>Myrick</v>
      </c>
      <c r="I239" s="6" t="str">
        <f>IFERROR(VLOOKUP('Customer Info'!A231,'Customer Info'!A231:E730,5,FALSE),"Not Found")</f>
        <v>Krefeld</v>
      </c>
      <c r="J239" s="2">
        <v>62</v>
      </c>
      <c r="K239" s="2">
        <v>58</v>
      </c>
      <c r="L239" s="2">
        <v>5</v>
      </c>
      <c r="M239" s="7">
        <f t="shared" si="15"/>
        <v>290</v>
      </c>
      <c r="N239" s="7">
        <f t="shared" si="16"/>
        <v>310</v>
      </c>
      <c r="O239" s="2">
        <v>10</v>
      </c>
      <c r="P239" s="8">
        <f t="shared" si="17"/>
        <v>320</v>
      </c>
      <c r="Q239" s="8">
        <f t="shared" si="18"/>
        <v>252</v>
      </c>
      <c r="R239" s="2" t="s">
        <v>50</v>
      </c>
      <c r="S239" s="9">
        <f t="shared" si="19"/>
        <v>6.4</v>
      </c>
    </row>
    <row r="240" spans="1:19" x14ac:dyDescent="0.3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>IFERROR(VLOOKUP('Customer Info'!A232,'Customer Info'!A232:C731,2,FALSE),"Not Found")</f>
        <v>Jessica</v>
      </c>
      <c r="H240" s="6" t="str">
        <f>IFERROR(VLOOKUP('Customer Info'!A232,'Customer Info'!A232:C731,3,FALSE),"Not Found")</f>
        <v>Myrick</v>
      </c>
      <c r="I240" s="6" t="str">
        <f>IFERROR(VLOOKUP('Customer Info'!A232,'Customer Info'!A232:E731,5,FALSE),"Not Found")</f>
        <v>Jakarta</v>
      </c>
      <c r="J240" s="2">
        <v>1447</v>
      </c>
      <c r="K240" s="2">
        <v>1326</v>
      </c>
      <c r="L240" s="2">
        <v>5</v>
      </c>
      <c r="M240" s="7">
        <f t="shared" si="15"/>
        <v>6630</v>
      </c>
      <c r="N240" s="7">
        <f t="shared" si="16"/>
        <v>7235</v>
      </c>
      <c r="O240" s="2">
        <v>94</v>
      </c>
      <c r="P240" s="8">
        <f t="shared" si="17"/>
        <v>7329</v>
      </c>
      <c r="Q240" s="8">
        <f t="shared" si="18"/>
        <v>5909</v>
      </c>
      <c r="R240" s="2" t="s">
        <v>28</v>
      </c>
      <c r="S240" s="9">
        <f t="shared" si="19"/>
        <v>366.45000000000005</v>
      </c>
    </row>
    <row r="241" spans="1:19" x14ac:dyDescent="0.3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IFERROR(VLOOKUP('Customer Info'!A233,'Customer Info'!A233:C732,2,FALSE),"Not Found")</f>
        <v>Jesus</v>
      </c>
      <c r="H241" s="6" t="str">
        <f>IFERROR(VLOOKUP('Customer Info'!A233,'Customer Info'!A233:C732,3,FALSE),"Not Found")</f>
        <v>Ocampo</v>
      </c>
      <c r="I241" s="6" t="str">
        <f>IFERROR(VLOOKUP('Customer Info'!A233,'Customer Info'!A233:E732,5,FALSE),"Not Found")</f>
        <v>Herten</v>
      </c>
      <c r="J241" s="2">
        <v>185</v>
      </c>
      <c r="K241" s="2">
        <v>174</v>
      </c>
      <c r="L241" s="2">
        <v>7</v>
      </c>
      <c r="M241" s="7">
        <f t="shared" si="15"/>
        <v>1218</v>
      </c>
      <c r="N241" s="7">
        <f t="shared" si="16"/>
        <v>1295</v>
      </c>
      <c r="O241" s="2">
        <v>30</v>
      </c>
      <c r="P241" s="8">
        <f t="shared" si="17"/>
        <v>1325</v>
      </c>
      <c r="Q241" s="8">
        <f t="shared" si="18"/>
        <v>1121</v>
      </c>
      <c r="R241" s="2" t="s">
        <v>50</v>
      </c>
      <c r="S241" s="9">
        <f t="shared" si="19"/>
        <v>26.5</v>
      </c>
    </row>
    <row r="242" spans="1:19" x14ac:dyDescent="0.3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IFERROR(VLOOKUP('Customer Info'!A234,'Customer Info'!A234:C733,2,FALSE),"Not Found")</f>
        <v>Jill</v>
      </c>
      <c r="H242" s="6" t="str">
        <f>IFERROR(VLOOKUP('Customer Info'!A234,'Customer Info'!A234:C733,3,FALSE),"Not Found")</f>
        <v>Fjeld</v>
      </c>
      <c r="I242" s="6" t="str">
        <f>IFERROR(VLOOKUP('Customer Info'!A234,'Customer Info'!A234:E733,5,FALSE),"Not Found")</f>
        <v>Wollongong</v>
      </c>
      <c r="J242" s="2">
        <v>3192</v>
      </c>
      <c r="K242" s="2">
        <v>3011</v>
      </c>
      <c r="L242" s="2">
        <v>4</v>
      </c>
      <c r="M242" s="7">
        <f t="shared" si="15"/>
        <v>12044</v>
      </c>
      <c r="N242" s="7">
        <f t="shared" si="16"/>
        <v>12768</v>
      </c>
      <c r="O242" s="2">
        <v>72</v>
      </c>
      <c r="P242" s="8">
        <f t="shared" si="17"/>
        <v>12840</v>
      </c>
      <c r="Q242" s="8">
        <f t="shared" si="18"/>
        <v>9757</v>
      </c>
      <c r="R242" s="2" t="s">
        <v>28</v>
      </c>
      <c r="S242" s="9">
        <f t="shared" si="19"/>
        <v>642</v>
      </c>
    </row>
    <row r="243" spans="1:19" x14ac:dyDescent="0.3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>IFERROR(VLOOKUP('Customer Info'!A235,'Customer Info'!A235:C734,2,FALSE),"Not Found")</f>
        <v>Jill</v>
      </c>
      <c r="H243" s="6" t="str">
        <f>IFERROR(VLOOKUP('Customer Info'!A235,'Customer Info'!A235:C734,3,FALSE),"Not Found")</f>
        <v>Stevenson</v>
      </c>
      <c r="I243" s="6" t="str">
        <f>IFERROR(VLOOKUP('Customer Info'!A235,'Customer Info'!A235:E734,5,FALSE),"Not Found")</f>
        <v>Bengbu</v>
      </c>
      <c r="J243" s="2">
        <v>8738</v>
      </c>
      <c r="K243" s="2">
        <v>8162</v>
      </c>
      <c r="L243" s="2">
        <v>1</v>
      </c>
      <c r="M243" s="7">
        <f t="shared" si="15"/>
        <v>8162</v>
      </c>
      <c r="N243" s="7">
        <f t="shared" si="16"/>
        <v>8738</v>
      </c>
      <c r="O243" s="2">
        <v>28</v>
      </c>
      <c r="P243" s="8">
        <f t="shared" si="17"/>
        <v>8766</v>
      </c>
      <c r="Q243" s="8">
        <f t="shared" si="18"/>
        <v>576</v>
      </c>
      <c r="R243" s="2" t="s">
        <v>28</v>
      </c>
      <c r="S243" s="9">
        <f t="shared" si="19"/>
        <v>438.3</v>
      </c>
    </row>
    <row r="244" spans="1:19" x14ac:dyDescent="0.3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>IFERROR(VLOOKUP('Customer Info'!A236,'Customer Info'!A236:C735,2,FALSE),"Not Found")</f>
        <v>Jim</v>
      </c>
      <c r="H244" s="6" t="str">
        <f>IFERROR(VLOOKUP('Customer Info'!A236,'Customer Info'!A236:C735,3,FALSE),"Not Found")</f>
        <v>Epp</v>
      </c>
      <c r="I244" s="6" t="str">
        <f>IFERROR(VLOOKUP('Customer Info'!A236,'Customer Info'!A236:E735,5,FALSE),"Not Found")</f>
        <v>Qingdao</v>
      </c>
      <c r="J244" s="2">
        <v>674</v>
      </c>
      <c r="K244" s="2">
        <v>629</v>
      </c>
      <c r="L244" s="2">
        <v>5</v>
      </c>
      <c r="M244" s="7">
        <f t="shared" si="15"/>
        <v>3145</v>
      </c>
      <c r="N244" s="7">
        <f t="shared" si="16"/>
        <v>3370</v>
      </c>
      <c r="O244" s="2">
        <v>29</v>
      </c>
      <c r="P244" s="8">
        <f t="shared" si="17"/>
        <v>3399</v>
      </c>
      <c r="Q244" s="8">
        <f t="shared" si="18"/>
        <v>2741</v>
      </c>
      <c r="R244" s="2" t="s">
        <v>28</v>
      </c>
      <c r="S244" s="9">
        <f t="shared" si="19"/>
        <v>67.98</v>
      </c>
    </row>
    <row r="245" spans="1:19" x14ac:dyDescent="0.3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IFERROR(VLOOKUP('Customer Info'!A237,'Customer Info'!A237:C736,2,FALSE),"Not Found")</f>
        <v>Jim</v>
      </c>
      <c r="H245" s="6" t="str">
        <f>IFERROR(VLOOKUP('Customer Info'!A237,'Customer Info'!A237:C736,3,FALSE),"Not Found")</f>
        <v>Karlsson</v>
      </c>
      <c r="I245" s="6" t="str">
        <f>IFERROR(VLOOKUP('Customer Info'!A237,'Customer Info'!A237:E736,5,FALSE),"Not Found")</f>
        <v>Geelong</v>
      </c>
      <c r="J245" s="2">
        <v>2478</v>
      </c>
      <c r="K245" s="2">
        <v>2406</v>
      </c>
      <c r="L245" s="2">
        <v>2</v>
      </c>
      <c r="M245" s="7">
        <f t="shared" si="15"/>
        <v>4812</v>
      </c>
      <c r="N245" s="7">
        <f t="shared" si="16"/>
        <v>4956</v>
      </c>
      <c r="O245" s="2">
        <v>98</v>
      </c>
      <c r="P245" s="8">
        <f t="shared" si="17"/>
        <v>5054</v>
      </c>
      <c r="Q245" s="8">
        <f t="shared" si="18"/>
        <v>2550</v>
      </c>
      <c r="R245" s="2" t="s">
        <v>28</v>
      </c>
      <c r="S245" s="9">
        <f t="shared" si="19"/>
        <v>252.70000000000002</v>
      </c>
    </row>
    <row r="246" spans="1:19" x14ac:dyDescent="0.3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>IFERROR(VLOOKUP('Customer Info'!A238,'Customer Info'!A238:C737,2,FALSE),"Not Found")</f>
        <v>Jim</v>
      </c>
      <c r="H246" s="6" t="str">
        <f>IFERROR(VLOOKUP('Customer Info'!A238,'Customer Info'!A238:C737,3,FALSE),"Not Found")</f>
        <v>Epp</v>
      </c>
      <c r="I246" s="6" t="str">
        <f>IFERROR(VLOOKUP('Customer Info'!A238,'Customer Info'!A238:E737,5,FALSE),"Not Found")</f>
        <v>Jingmen</v>
      </c>
      <c r="J246" s="2">
        <v>8619</v>
      </c>
      <c r="K246" s="2">
        <v>7759</v>
      </c>
      <c r="L246" s="2">
        <v>2</v>
      </c>
      <c r="M246" s="7">
        <f t="shared" si="15"/>
        <v>15518</v>
      </c>
      <c r="N246" s="7">
        <f t="shared" si="16"/>
        <v>17238</v>
      </c>
      <c r="O246" s="2">
        <v>58</v>
      </c>
      <c r="P246" s="8">
        <f t="shared" si="17"/>
        <v>17296</v>
      </c>
      <c r="Q246" s="8">
        <f t="shared" si="18"/>
        <v>9479</v>
      </c>
      <c r="R246" s="2" t="s">
        <v>28</v>
      </c>
      <c r="S246" s="9">
        <f t="shared" si="19"/>
        <v>864.80000000000007</v>
      </c>
    </row>
    <row r="247" spans="1:19" x14ac:dyDescent="0.3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>IFERROR(VLOOKUP('Customer Info'!A239,'Customer Info'!A239:C738,2,FALSE),"Not Found")</f>
        <v>Joel</v>
      </c>
      <c r="H247" s="6" t="str">
        <f>IFERROR(VLOOKUP('Customer Info'!A239,'Customer Info'!A239:C738,3,FALSE),"Not Found")</f>
        <v>Eaton</v>
      </c>
      <c r="I247" s="6" t="str">
        <f>IFERROR(VLOOKUP('Customer Info'!A239,'Customer Info'!A239:E738,5,FALSE),"Not Found")</f>
        <v>Nuremberg</v>
      </c>
      <c r="J247" s="2">
        <v>8738</v>
      </c>
      <c r="K247" s="2">
        <v>8162</v>
      </c>
      <c r="L247" s="2">
        <v>4</v>
      </c>
      <c r="M247" s="7">
        <f t="shared" si="15"/>
        <v>32648</v>
      </c>
      <c r="N247" s="7">
        <f t="shared" si="16"/>
        <v>34952</v>
      </c>
      <c r="O247" s="2">
        <v>66</v>
      </c>
      <c r="P247" s="8">
        <f t="shared" si="17"/>
        <v>35018</v>
      </c>
      <c r="Q247" s="8">
        <f t="shared" si="18"/>
        <v>26790</v>
      </c>
      <c r="R247" s="2" t="s">
        <v>28</v>
      </c>
      <c r="S247" s="9">
        <f t="shared" si="19"/>
        <v>2451.2600000000002</v>
      </c>
    </row>
    <row r="248" spans="1:19" x14ac:dyDescent="0.3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>IFERROR(VLOOKUP('Customer Info'!A240,'Customer Info'!A240:C739,2,FALSE),"Not Found")</f>
        <v>John</v>
      </c>
      <c r="H248" s="6" t="str">
        <f>IFERROR(VLOOKUP('Customer Info'!A240,'Customer Info'!A240:C739,3,FALSE),"Not Found")</f>
        <v>Lucas</v>
      </c>
      <c r="I248" s="6" t="str">
        <f>IFERROR(VLOOKUP('Customer Info'!A240,'Customer Info'!A240:E739,5,FALSE),"Not Found")</f>
        <v>Beijing</v>
      </c>
      <c r="J248" s="2">
        <v>142</v>
      </c>
      <c r="K248" s="2">
        <v>134</v>
      </c>
      <c r="L248" s="2">
        <v>2</v>
      </c>
      <c r="M248" s="7">
        <f t="shared" si="15"/>
        <v>268</v>
      </c>
      <c r="N248" s="7">
        <f t="shared" si="16"/>
        <v>284</v>
      </c>
      <c r="O248" s="2">
        <v>30</v>
      </c>
      <c r="P248" s="8">
        <f t="shared" si="17"/>
        <v>314</v>
      </c>
      <c r="Q248" s="8">
        <f t="shared" si="18"/>
        <v>150</v>
      </c>
      <c r="R248" s="2" t="s">
        <v>50</v>
      </c>
      <c r="S248" s="9">
        <f t="shared" si="19"/>
        <v>6.28</v>
      </c>
    </row>
    <row r="249" spans="1:19" x14ac:dyDescent="0.3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>IFERROR(VLOOKUP('Customer Info'!A241,'Customer Info'!A241:C740,2,FALSE),"Not Found")</f>
        <v>John</v>
      </c>
      <c r="H249" s="6" t="str">
        <f>IFERROR(VLOOKUP('Customer Info'!A241,'Customer Info'!A241:C740,3,FALSE),"Not Found")</f>
        <v>Grady</v>
      </c>
      <c r="I249" s="6" t="str">
        <f>IFERROR(VLOOKUP('Customer Info'!A241,'Customer Info'!A241:E740,5,FALSE),"Not Found")</f>
        <v>Mianyang</v>
      </c>
      <c r="J249" s="2">
        <v>516</v>
      </c>
      <c r="K249" s="2">
        <v>473</v>
      </c>
      <c r="L249" s="2">
        <v>2</v>
      </c>
      <c r="M249" s="7">
        <f t="shared" si="15"/>
        <v>946</v>
      </c>
      <c r="N249" s="7">
        <f t="shared" si="16"/>
        <v>1032</v>
      </c>
      <c r="O249" s="2">
        <v>59</v>
      </c>
      <c r="P249" s="8">
        <f t="shared" si="17"/>
        <v>1091</v>
      </c>
      <c r="Q249" s="8">
        <f t="shared" si="18"/>
        <v>559</v>
      </c>
      <c r="R249" s="2" t="s">
        <v>28</v>
      </c>
      <c r="S249" s="9">
        <f t="shared" si="19"/>
        <v>21.82</v>
      </c>
    </row>
    <row r="250" spans="1:19" x14ac:dyDescent="0.3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>IFERROR(VLOOKUP('Customer Info'!A242,'Customer Info'!A242:C741,2,FALSE),"Not Found")</f>
        <v>John</v>
      </c>
      <c r="H250" s="6" t="str">
        <f>IFERROR(VLOOKUP('Customer Info'!A242,'Customer Info'!A242:C741,3,FALSE),"Not Found")</f>
        <v>Huston</v>
      </c>
      <c r="I250" s="6" t="str">
        <f>IFERROR(VLOOKUP('Customer Info'!A242,'Customer Info'!A242:E741,5,FALSE),"Not Found")</f>
        <v>Jena</v>
      </c>
      <c r="J250" s="2">
        <v>2155</v>
      </c>
      <c r="K250" s="2">
        <v>2014</v>
      </c>
      <c r="L250" s="2">
        <v>3</v>
      </c>
      <c r="M250" s="7">
        <f t="shared" si="15"/>
        <v>6042</v>
      </c>
      <c r="N250" s="7">
        <f t="shared" si="16"/>
        <v>6465</v>
      </c>
      <c r="O250" s="2">
        <v>44</v>
      </c>
      <c r="P250" s="8">
        <f t="shared" si="17"/>
        <v>6509</v>
      </c>
      <c r="Q250" s="8">
        <f t="shared" si="18"/>
        <v>4451</v>
      </c>
      <c r="R250" s="2" t="s">
        <v>28</v>
      </c>
      <c r="S250" s="9">
        <f t="shared" si="19"/>
        <v>325.45000000000005</v>
      </c>
    </row>
    <row r="251" spans="1:19" x14ac:dyDescent="0.3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IFERROR(VLOOKUP('Customer Info'!A243,'Customer Info'!A243:C742,2,FALSE),"Not Found")</f>
        <v>John</v>
      </c>
      <c r="H251" s="6" t="str">
        <f>IFERROR(VLOOKUP('Customer Info'!A243,'Customer Info'!A243:C742,3,FALSE),"Not Found")</f>
        <v>Castell</v>
      </c>
      <c r="I251" s="6" t="str">
        <f>IFERROR(VLOOKUP('Customer Info'!A243,'Customer Info'!A243:E742,5,FALSE),"Not Found")</f>
        <v>Jakarta</v>
      </c>
      <c r="J251" s="2">
        <v>187</v>
      </c>
      <c r="K251" s="2">
        <v>176</v>
      </c>
      <c r="L251" s="2">
        <v>3</v>
      </c>
      <c r="M251" s="7">
        <f t="shared" si="15"/>
        <v>528</v>
      </c>
      <c r="N251" s="7">
        <f t="shared" si="16"/>
        <v>561</v>
      </c>
      <c r="O251" s="2">
        <v>30</v>
      </c>
      <c r="P251" s="8">
        <f t="shared" si="17"/>
        <v>591</v>
      </c>
      <c r="Q251" s="8">
        <f t="shared" si="18"/>
        <v>385</v>
      </c>
      <c r="R251" s="2" t="s">
        <v>28</v>
      </c>
      <c r="S251" s="9">
        <f t="shared" si="19"/>
        <v>11.82</v>
      </c>
    </row>
    <row r="252" spans="1:19" x14ac:dyDescent="0.3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IFERROR(VLOOKUP('Customer Info'!A244,'Customer Info'!A244:C743,2,FALSE),"Not Found")</f>
        <v>John</v>
      </c>
      <c r="H252" s="6" t="str">
        <f>IFERROR(VLOOKUP('Customer Info'!A244,'Customer Info'!A244:C743,3,FALSE),"Not Found")</f>
        <v>Grady</v>
      </c>
      <c r="I252" s="6" t="str">
        <f>IFERROR(VLOOKUP('Customer Info'!A244,'Customer Info'!A244:E743,5,FALSE),"Not Found")</f>
        <v>Queanbeyan</v>
      </c>
      <c r="J252" s="2">
        <v>1968</v>
      </c>
      <c r="K252" s="2">
        <v>1821</v>
      </c>
      <c r="L252" s="2">
        <v>6</v>
      </c>
      <c r="M252" s="7">
        <f t="shared" si="15"/>
        <v>10926</v>
      </c>
      <c r="N252" s="7">
        <f t="shared" si="16"/>
        <v>11808</v>
      </c>
      <c r="O252" s="2">
        <v>79</v>
      </c>
      <c r="P252" s="8">
        <f t="shared" si="17"/>
        <v>11887</v>
      </c>
      <c r="Q252" s="8">
        <f t="shared" si="18"/>
        <v>9987</v>
      </c>
      <c r="R252" s="2" t="s">
        <v>28</v>
      </c>
      <c r="S252" s="9">
        <f t="shared" si="19"/>
        <v>594.35</v>
      </c>
    </row>
    <row r="253" spans="1:19" x14ac:dyDescent="0.3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>IFERROR(VLOOKUP('Customer Info'!A245,'Customer Info'!A245:C744,2,FALSE),"Not Found")</f>
        <v>Jonathan</v>
      </c>
      <c r="H253" s="6" t="str">
        <f>IFERROR(VLOOKUP('Customer Info'!A245,'Customer Info'!A245:C744,3,FALSE),"Not Found")</f>
        <v>Howell</v>
      </c>
      <c r="I253" s="6" t="str">
        <f>IFERROR(VLOOKUP('Customer Info'!A245,'Customer Info'!A245:E744,5,FALSE),"Not Found")</f>
        <v>Guangshui</v>
      </c>
      <c r="J253" s="2">
        <v>71</v>
      </c>
      <c r="K253" s="2">
        <v>64</v>
      </c>
      <c r="L253" s="2">
        <v>5</v>
      </c>
      <c r="M253" s="7">
        <f t="shared" si="15"/>
        <v>320</v>
      </c>
      <c r="N253" s="7">
        <f t="shared" si="16"/>
        <v>355</v>
      </c>
      <c r="O253" s="2">
        <v>10</v>
      </c>
      <c r="P253" s="8">
        <f t="shared" si="17"/>
        <v>365</v>
      </c>
      <c r="Q253" s="8">
        <f t="shared" si="18"/>
        <v>291</v>
      </c>
      <c r="R253" s="2" t="s">
        <v>28</v>
      </c>
      <c r="S253" s="9">
        <f t="shared" si="19"/>
        <v>7.3</v>
      </c>
    </row>
    <row r="254" spans="1:19" x14ac:dyDescent="0.3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IFERROR(VLOOKUP('Customer Info'!A246,'Customer Info'!A246:C745,2,FALSE),"Not Found")</f>
        <v>Joy</v>
      </c>
      <c r="H254" s="6" t="str">
        <f>IFERROR(VLOOKUP('Customer Info'!A246,'Customer Info'!A246:C745,3,FALSE),"Not Found")</f>
        <v>Bell</v>
      </c>
      <c r="I254" s="6" t="str">
        <f>IFERROR(VLOOKUP('Customer Info'!A246,'Customer Info'!A246:E745,5,FALSE),"Not Found")</f>
        <v>Tongchuan</v>
      </c>
      <c r="J254" s="2">
        <v>210</v>
      </c>
      <c r="K254" s="2">
        <v>193</v>
      </c>
      <c r="L254" s="2">
        <v>3</v>
      </c>
      <c r="M254" s="7">
        <f t="shared" si="15"/>
        <v>579</v>
      </c>
      <c r="N254" s="7">
        <f t="shared" si="16"/>
        <v>630</v>
      </c>
      <c r="O254" s="2">
        <v>49</v>
      </c>
      <c r="P254" s="8">
        <f t="shared" si="17"/>
        <v>679</v>
      </c>
      <c r="Q254" s="8">
        <f t="shared" si="18"/>
        <v>437</v>
      </c>
      <c r="R254" s="2" t="s">
        <v>56</v>
      </c>
      <c r="S254" s="9">
        <f t="shared" si="19"/>
        <v>13.58</v>
      </c>
    </row>
    <row r="255" spans="1:19" x14ac:dyDescent="0.3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IFERROR(VLOOKUP('Customer Info'!A247,'Customer Info'!A247:C746,2,FALSE),"Not Found")</f>
        <v>Joy</v>
      </c>
      <c r="H255" s="6" t="str">
        <f>IFERROR(VLOOKUP('Customer Info'!A247,'Customer Info'!A247:C746,3,FALSE),"Not Found")</f>
        <v>Bell</v>
      </c>
      <c r="I255" s="6" t="str">
        <f>IFERROR(VLOOKUP('Customer Info'!A247,'Customer Info'!A247:E746,5,FALSE),"Not Found")</f>
        <v>Vijayawada</v>
      </c>
      <c r="J255" s="2">
        <v>214</v>
      </c>
      <c r="K255" s="2">
        <v>200</v>
      </c>
      <c r="L255" s="2">
        <v>3</v>
      </c>
      <c r="M255" s="7">
        <f t="shared" si="15"/>
        <v>600</v>
      </c>
      <c r="N255" s="7">
        <f t="shared" si="16"/>
        <v>642</v>
      </c>
      <c r="O255" s="2">
        <v>90</v>
      </c>
      <c r="P255" s="8">
        <f t="shared" si="17"/>
        <v>732</v>
      </c>
      <c r="Q255" s="8">
        <f t="shared" si="18"/>
        <v>442</v>
      </c>
      <c r="R255" s="2" t="s">
        <v>28</v>
      </c>
      <c r="S255" s="9">
        <f t="shared" si="19"/>
        <v>14.64</v>
      </c>
    </row>
    <row r="256" spans="1:19" x14ac:dyDescent="0.3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IFERROR(VLOOKUP('Customer Info'!A248,'Customer Info'!A248:C747,2,FALSE),"Not Found")</f>
        <v>Joy</v>
      </c>
      <c r="H256" s="6" t="str">
        <f>IFERROR(VLOOKUP('Customer Info'!A248,'Customer Info'!A248:C747,3,FALSE),"Not Found")</f>
        <v>Daniels</v>
      </c>
      <c r="I256" s="6" t="str">
        <f>IFERROR(VLOOKUP('Customer Info'!A248,'Customer Info'!A248:E747,5,FALSE),"Not Found")</f>
        <v>Cairns</v>
      </c>
      <c r="J256" s="2">
        <v>210</v>
      </c>
      <c r="K256" s="2">
        <v>193</v>
      </c>
      <c r="L256" s="2">
        <v>6</v>
      </c>
      <c r="M256" s="7">
        <f t="shared" si="15"/>
        <v>1158</v>
      </c>
      <c r="N256" s="7">
        <f t="shared" si="16"/>
        <v>1260</v>
      </c>
      <c r="O256" s="2">
        <v>32</v>
      </c>
      <c r="P256" s="8">
        <f t="shared" si="17"/>
        <v>1292</v>
      </c>
      <c r="Q256" s="8">
        <f t="shared" si="18"/>
        <v>1067</v>
      </c>
      <c r="R256" s="2" t="s">
        <v>50</v>
      </c>
      <c r="S256" s="9">
        <f t="shared" si="19"/>
        <v>25.84</v>
      </c>
    </row>
    <row r="257" spans="1:19" x14ac:dyDescent="0.3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IFERROR(VLOOKUP('Customer Info'!A249,'Customer Info'!A249:C748,2,FALSE),"Not Found")</f>
        <v>Julia</v>
      </c>
      <c r="H257" s="6" t="str">
        <f>IFERROR(VLOOKUP('Customer Info'!A249,'Customer Info'!A249:C748,3,FALSE),"Not Found")</f>
        <v>Barnett</v>
      </c>
      <c r="I257" s="6" t="str">
        <f>IFERROR(VLOOKUP('Customer Info'!A249,'Customer Info'!A249:E748,5,FALSE),"Not Found")</f>
        <v>Zhuhai</v>
      </c>
      <c r="J257" s="2">
        <v>2960</v>
      </c>
      <c r="K257" s="2">
        <v>2635</v>
      </c>
      <c r="L257" s="2">
        <v>3</v>
      </c>
      <c r="M257" s="7">
        <f t="shared" si="15"/>
        <v>7905</v>
      </c>
      <c r="N257" s="7">
        <f t="shared" si="16"/>
        <v>8880</v>
      </c>
      <c r="O257" s="2">
        <v>83</v>
      </c>
      <c r="P257" s="8">
        <f t="shared" si="17"/>
        <v>8963</v>
      </c>
      <c r="Q257" s="8">
        <f t="shared" si="18"/>
        <v>6245</v>
      </c>
      <c r="R257" s="2" t="s">
        <v>50</v>
      </c>
      <c r="S257" s="9">
        <f t="shared" si="19"/>
        <v>448.15000000000003</v>
      </c>
    </row>
    <row r="258" spans="1:19" x14ac:dyDescent="0.3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IFERROR(VLOOKUP('Customer Info'!A250,'Customer Info'!A250:C749,2,FALSE),"Not Found")</f>
        <v>Julia</v>
      </c>
      <c r="H258" s="6" t="str">
        <f>IFERROR(VLOOKUP('Customer Info'!A250,'Customer Info'!A250:C749,3,FALSE),"Not Found")</f>
        <v>Dunbar</v>
      </c>
      <c r="I258" s="6" t="str">
        <f>IFERROR(VLOOKUP('Customer Info'!A250,'Customer Info'!A250:E749,5,FALSE),"Not Found")</f>
        <v>Melbourne</v>
      </c>
      <c r="J258" s="2">
        <v>3108</v>
      </c>
      <c r="K258" s="2">
        <v>2882</v>
      </c>
      <c r="L258" s="2">
        <v>7</v>
      </c>
      <c r="M258" s="7">
        <f t="shared" si="15"/>
        <v>20174</v>
      </c>
      <c r="N258" s="7">
        <f t="shared" si="16"/>
        <v>21756</v>
      </c>
      <c r="O258" s="2">
        <v>74</v>
      </c>
      <c r="P258" s="8">
        <f t="shared" si="17"/>
        <v>21830</v>
      </c>
      <c r="Q258" s="8">
        <f t="shared" si="18"/>
        <v>18874</v>
      </c>
      <c r="R258" s="2" t="s">
        <v>28</v>
      </c>
      <c r="S258" s="9">
        <f t="shared" si="19"/>
        <v>1091.5</v>
      </c>
    </row>
    <row r="259" spans="1:19" x14ac:dyDescent="0.3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IFERROR(VLOOKUP('Customer Info'!A251,'Customer Info'!A251:C750,2,FALSE),"Not Found")</f>
        <v>Julia</v>
      </c>
      <c r="H259" s="6" t="str">
        <f>IFERROR(VLOOKUP('Customer Info'!A251,'Customer Info'!A251:C750,3,FALSE),"Not Found")</f>
        <v>Dunbar</v>
      </c>
      <c r="I259" s="6" t="str">
        <f>IFERROR(VLOOKUP('Customer Info'!A251,'Customer Info'!A251:E750,5,FALSE),"Not Found")</f>
        <v>Cologne</v>
      </c>
      <c r="J259" s="2">
        <v>2921</v>
      </c>
      <c r="K259" s="2">
        <v>2809</v>
      </c>
      <c r="L259" s="2">
        <v>2</v>
      </c>
      <c r="M259" s="7">
        <f t="shared" si="15"/>
        <v>5618</v>
      </c>
      <c r="N259" s="7">
        <f t="shared" si="16"/>
        <v>5842</v>
      </c>
      <c r="O259" s="2">
        <v>25</v>
      </c>
      <c r="P259" s="8">
        <f t="shared" si="17"/>
        <v>5867</v>
      </c>
      <c r="Q259" s="8">
        <f t="shared" si="18"/>
        <v>3033</v>
      </c>
      <c r="R259" s="2" t="s">
        <v>28</v>
      </c>
      <c r="S259" s="9">
        <f t="shared" si="19"/>
        <v>293.35000000000002</v>
      </c>
    </row>
    <row r="260" spans="1:19" x14ac:dyDescent="0.3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IFERROR(VLOOKUP('Customer Info'!A252,'Customer Info'!A252:C751,2,FALSE),"Not Found")</f>
        <v>Julie</v>
      </c>
      <c r="H260" s="6" t="str">
        <f>IFERROR(VLOOKUP('Customer Info'!A252,'Customer Info'!A252:C751,3,FALSE),"Not Found")</f>
        <v>Prescott</v>
      </c>
      <c r="I260" s="6" t="str">
        <f>IFERROR(VLOOKUP('Customer Info'!A252,'Customer Info'!A252:E751,5,FALSE),"Not Found")</f>
        <v>Norderstedt</v>
      </c>
      <c r="J260" s="2">
        <v>6611</v>
      </c>
      <c r="K260" s="2">
        <v>5943</v>
      </c>
      <c r="L260" s="2">
        <v>2</v>
      </c>
      <c r="M260" s="7">
        <f t="shared" si="15"/>
        <v>11886</v>
      </c>
      <c r="N260" s="7">
        <f t="shared" si="16"/>
        <v>13222</v>
      </c>
      <c r="O260" s="2">
        <v>38</v>
      </c>
      <c r="P260" s="8">
        <f t="shared" si="17"/>
        <v>13260</v>
      </c>
      <c r="Q260" s="8">
        <f t="shared" si="18"/>
        <v>7279</v>
      </c>
      <c r="R260" s="2" t="s">
        <v>28</v>
      </c>
      <c r="S260" s="9">
        <f t="shared" si="19"/>
        <v>663</v>
      </c>
    </row>
    <row r="261" spans="1:19" x14ac:dyDescent="0.3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IFERROR(VLOOKUP('Customer Info'!A253,'Customer Info'!A253:C752,2,FALSE),"Not Found")</f>
        <v>Julie</v>
      </c>
      <c r="H261" s="6" t="str">
        <f>IFERROR(VLOOKUP('Customer Info'!A253,'Customer Info'!A253:C752,3,FALSE),"Not Found")</f>
        <v>Creighton</v>
      </c>
      <c r="I261" s="6" t="str">
        <f>IFERROR(VLOOKUP('Customer Info'!A253,'Customer Info'!A253:E752,5,FALSE),"Not Found")</f>
        <v>Ballarat</v>
      </c>
      <c r="J261" s="2">
        <v>809</v>
      </c>
      <c r="K261" s="2">
        <v>770</v>
      </c>
      <c r="L261" s="2">
        <v>1</v>
      </c>
      <c r="M261" s="7">
        <f t="shared" si="15"/>
        <v>770</v>
      </c>
      <c r="N261" s="7">
        <f t="shared" si="16"/>
        <v>809</v>
      </c>
      <c r="O261" s="2">
        <v>35</v>
      </c>
      <c r="P261" s="8">
        <f t="shared" si="17"/>
        <v>844</v>
      </c>
      <c r="Q261" s="8">
        <f t="shared" si="18"/>
        <v>39</v>
      </c>
      <c r="R261" s="2" t="s">
        <v>26</v>
      </c>
      <c r="S261" s="9">
        <f t="shared" si="19"/>
        <v>16.88</v>
      </c>
    </row>
    <row r="262" spans="1:19" x14ac:dyDescent="0.3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IFERROR(VLOOKUP('Customer Info'!A254,'Customer Info'!A254:C753,2,FALSE),"Not Found")</f>
        <v>Julie</v>
      </c>
      <c r="H262" s="6" t="str">
        <f>IFERROR(VLOOKUP('Customer Info'!A254,'Customer Info'!A254:C753,3,FALSE),"Not Found")</f>
        <v>Creighton</v>
      </c>
      <c r="I262" s="6" t="str">
        <f>IFERROR(VLOOKUP('Customer Info'!A254,'Customer Info'!A254:E753,5,FALSE),"Not Found")</f>
        <v>Bandung</v>
      </c>
      <c r="J262" s="2">
        <v>21143</v>
      </c>
      <c r="K262" s="2">
        <v>18848</v>
      </c>
      <c r="L262" s="2">
        <v>2</v>
      </c>
      <c r="M262" s="7">
        <f t="shared" si="15"/>
        <v>37696</v>
      </c>
      <c r="N262" s="7">
        <f t="shared" si="16"/>
        <v>42286</v>
      </c>
      <c r="O262" s="2">
        <v>35</v>
      </c>
      <c r="P262" s="8">
        <f t="shared" si="17"/>
        <v>42321</v>
      </c>
      <c r="Q262" s="8">
        <f t="shared" si="18"/>
        <v>23438</v>
      </c>
      <c r="R262" s="2" t="s">
        <v>28</v>
      </c>
      <c r="S262" s="9">
        <f t="shared" si="19"/>
        <v>2962.4700000000003</v>
      </c>
    </row>
    <row r="263" spans="1:19" x14ac:dyDescent="0.3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>IFERROR(VLOOKUP('Customer Info'!A255,'Customer Info'!A255:C754,2,FALSE),"Not Found")</f>
        <v>Justin</v>
      </c>
      <c r="H263" s="6" t="str">
        <f>IFERROR(VLOOKUP('Customer Info'!A255,'Customer Info'!A255:C754,3,FALSE),"Not Found")</f>
        <v>Deggeller</v>
      </c>
      <c r="I263" s="6" t="str">
        <f>IFERROR(VLOOKUP('Customer Info'!A255,'Customer Info'!A255:E754,5,FALSE),"Not Found")</f>
        <v>Gawler</v>
      </c>
      <c r="J263" s="2">
        <v>2958</v>
      </c>
      <c r="K263" s="2">
        <v>2743</v>
      </c>
      <c r="L263" s="2">
        <v>2</v>
      </c>
      <c r="M263" s="7">
        <f t="shared" si="15"/>
        <v>5486</v>
      </c>
      <c r="N263" s="7">
        <f t="shared" si="16"/>
        <v>5916</v>
      </c>
      <c r="O263" s="2">
        <v>89</v>
      </c>
      <c r="P263" s="8">
        <f t="shared" si="17"/>
        <v>6005</v>
      </c>
      <c r="Q263" s="8">
        <f t="shared" si="18"/>
        <v>3173</v>
      </c>
      <c r="R263" s="2" t="s">
        <v>28</v>
      </c>
      <c r="S263" s="9">
        <f t="shared" si="19"/>
        <v>300.25</v>
      </c>
    </row>
    <row r="264" spans="1:19" x14ac:dyDescent="0.3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>IFERROR(VLOOKUP('Customer Info'!A256,'Customer Info'!A256:C755,2,FALSE),"Not Found")</f>
        <v>Justin</v>
      </c>
      <c r="H264" s="6" t="str">
        <f>IFERROR(VLOOKUP('Customer Info'!A256,'Customer Info'!A256:C755,3,FALSE),"Not Found")</f>
        <v>Hirsh</v>
      </c>
      <c r="I264" s="6" t="str">
        <f>IFERROR(VLOOKUP('Customer Info'!A256,'Customer Info'!A256:E755,5,FALSE),"Not Found")</f>
        <v>Surakarta</v>
      </c>
      <c r="J264" s="2">
        <v>1983</v>
      </c>
      <c r="K264" s="2">
        <v>1908</v>
      </c>
      <c r="L264" s="2">
        <v>1</v>
      </c>
      <c r="M264" s="7">
        <f t="shared" si="15"/>
        <v>1908</v>
      </c>
      <c r="N264" s="7">
        <f t="shared" si="16"/>
        <v>1983</v>
      </c>
      <c r="O264" s="2">
        <v>63</v>
      </c>
      <c r="P264" s="8">
        <f t="shared" si="17"/>
        <v>2046</v>
      </c>
      <c r="Q264" s="8">
        <f t="shared" si="18"/>
        <v>75</v>
      </c>
      <c r="R264" s="2" t="s">
        <v>26</v>
      </c>
      <c r="S264" s="9">
        <f t="shared" si="19"/>
        <v>40.92</v>
      </c>
    </row>
    <row r="265" spans="1:19" x14ac:dyDescent="0.3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>IFERROR(VLOOKUP('Customer Info'!A257,'Customer Info'!A257:C756,2,FALSE),"Not Found")</f>
        <v>Justin</v>
      </c>
      <c r="H265" s="6" t="str">
        <f>IFERROR(VLOOKUP('Customer Info'!A257,'Customer Info'!A257:C756,3,FALSE),"Not Found")</f>
        <v>Hirsh</v>
      </c>
      <c r="I265" s="6" t="str">
        <f>IFERROR(VLOOKUP('Customer Info'!A257,'Customer Info'!A257:E756,5,FALSE),"Not Found")</f>
        <v>Shangzhi</v>
      </c>
      <c r="J265" s="2">
        <v>1845</v>
      </c>
      <c r="K265" s="2">
        <v>1742</v>
      </c>
      <c r="L265" s="2">
        <v>8</v>
      </c>
      <c r="M265" s="7">
        <f t="shared" si="15"/>
        <v>13936</v>
      </c>
      <c r="N265" s="7">
        <f t="shared" si="16"/>
        <v>14760</v>
      </c>
      <c r="O265" s="2">
        <v>99</v>
      </c>
      <c r="P265" s="8">
        <f t="shared" si="17"/>
        <v>14859</v>
      </c>
      <c r="Q265" s="8">
        <f t="shared" si="18"/>
        <v>13018</v>
      </c>
      <c r="R265" s="2" t="s">
        <v>28</v>
      </c>
      <c r="S265" s="9">
        <f t="shared" si="19"/>
        <v>742.95</v>
      </c>
    </row>
    <row r="266" spans="1:19" x14ac:dyDescent="0.3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>IFERROR(VLOOKUP('Customer Info'!A258,'Customer Info'!A258:C757,2,FALSE),"Not Found")</f>
        <v>Karen</v>
      </c>
      <c r="H266" s="6" t="str">
        <f>IFERROR(VLOOKUP('Customer Info'!A258,'Customer Info'!A258:C757,3,FALSE),"Not Found")</f>
        <v>Daniels</v>
      </c>
      <c r="I266" s="6" t="str">
        <f>IFERROR(VLOOKUP('Customer Info'!A258,'Customer Info'!A258:E757,5,FALSE),"Not Found")</f>
        <v>Jiutai</v>
      </c>
      <c r="J266" s="2">
        <v>119</v>
      </c>
      <c r="K266" s="2">
        <v>112</v>
      </c>
      <c r="L266" s="2">
        <v>2</v>
      </c>
      <c r="M266" s="7">
        <f t="shared" si="15"/>
        <v>224</v>
      </c>
      <c r="N266" s="7">
        <f t="shared" si="16"/>
        <v>238</v>
      </c>
      <c r="O266" s="2">
        <v>30</v>
      </c>
      <c r="P266" s="8">
        <f t="shared" si="17"/>
        <v>268</v>
      </c>
      <c r="Q266" s="8">
        <f t="shared" si="18"/>
        <v>126</v>
      </c>
      <c r="R266" s="2" t="s">
        <v>28</v>
      </c>
      <c r="S266" s="9">
        <f t="shared" si="19"/>
        <v>5.36</v>
      </c>
    </row>
    <row r="267" spans="1:19" x14ac:dyDescent="0.3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IFERROR(VLOOKUP('Customer Info'!A259,'Customer Info'!A259:C758,2,FALSE),"Not Found")</f>
        <v>Katherine</v>
      </c>
      <c r="H267" s="6" t="str">
        <f>IFERROR(VLOOKUP('Customer Info'!A259,'Customer Info'!A259:C758,3,FALSE),"Not Found")</f>
        <v>Murray</v>
      </c>
      <c r="I267" s="6" t="str">
        <f>IFERROR(VLOOKUP('Customer Info'!A259,'Customer Info'!A259:E758,5,FALSE),"Not Found")</f>
        <v>Sydney</v>
      </c>
      <c r="J267" s="2">
        <v>9214</v>
      </c>
      <c r="K267" s="2">
        <v>8295</v>
      </c>
      <c r="L267" s="2">
        <v>4</v>
      </c>
      <c r="M267" s="7">
        <f t="shared" ref="M267:M330" si="20">$K267*$L267</f>
        <v>33180</v>
      </c>
      <c r="N267" s="7">
        <f t="shared" ref="N267:N330" si="21">$J267*$L267</f>
        <v>36856</v>
      </c>
      <c r="O267" s="2">
        <v>97</v>
      </c>
      <c r="P267" s="8">
        <f t="shared" ref="P267:P330" si="22">$N267+$O267</f>
        <v>36953</v>
      </c>
      <c r="Q267" s="8">
        <f t="shared" ref="Q267:Q330" si="23">$N267-$K267</f>
        <v>28561</v>
      </c>
      <c r="R267" s="2" t="s">
        <v>28</v>
      </c>
      <c r="S267" s="9">
        <f t="shared" ref="S267:S330" si="24" xml:space="preserve"> P267 * VLOOKUP(P267, $T$2:$U$6, 2, TRUE)</f>
        <v>2586.71</v>
      </c>
    </row>
    <row r="268" spans="1:19" x14ac:dyDescent="0.3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IFERROR(VLOOKUP('Customer Info'!A260,'Customer Info'!A260:C759,2,FALSE),"Not Found")</f>
        <v>Katrina</v>
      </c>
      <c r="H268" s="6" t="str">
        <f>IFERROR(VLOOKUP('Customer Info'!A260,'Customer Info'!A260:C759,3,FALSE),"Not Found")</f>
        <v>Bavinger</v>
      </c>
      <c r="I268" s="6" t="str">
        <f>IFERROR(VLOOKUP('Customer Info'!A260,'Customer Info'!A260:E759,5,FALSE),"Not Found")</f>
        <v>Melbourne</v>
      </c>
      <c r="J268" s="2">
        <v>1528</v>
      </c>
      <c r="K268" s="2">
        <v>1348</v>
      </c>
      <c r="L268" s="2">
        <v>3</v>
      </c>
      <c r="M268" s="7">
        <f t="shared" si="20"/>
        <v>4044</v>
      </c>
      <c r="N268" s="7">
        <f t="shared" si="21"/>
        <v>4584</v>
      </c>
      <c r="O268" s="2">
        <v>44</v>
      </c>
      <c r="P268" s="8">
        <f t="shared" si="22"/>
        <v>4628</v>
      </c>
      <c r="Q268" s="8">
        <f t="shared" si="23"/>
        <v>3236</v>
      </c>
      <c r="R268" s="2" t="s">
        <v>28</v>
      </c>
      <c r="S268" s="9">
        <f t="shared" si="24"/>
        <v>92.56</v>
      </c>
    </row>
    <row r="269" spans="1:19" x14ac:dyDescent="0.3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>IFERROR(VLOOKUP('Customer Info'!A261,'Customer Info'!A261:C760,2,FALSE),"Not Found")</f>
        <v>Kean</v>
      </c>
      <c r="H269" s="6" t="str">
        <f>IFERROR(VLOOKUP('Customer Info'!A261,'Customer Info'!A261:C760,3,FALSE),"Not Found")</f>
        <v>Thornton</v>
      </c>
      <c r="I269" s="6" t="str">
        <f>IFERROR(VLOOKUP('Customer Info'!A261,'Customer Info'!A261:E760,5,FALSE),"Not Found")</f>
        <v>Melbourne</v>
      </c>
      <c r="J269" s="2">
        <v>4737</v>
      </c>
      <c r="K269" s="2">
        <v>4473</v>
      </c>
      <c r="L269" s="2">
        <v>1</v>
      </c>
      <c r="M269" s="7">
        <f t="shared" si="20"/>
        <v>4473</v>
      </c>
      <c r="N269" s="7">
        <f t="shared" si="21"/>
        <v>4737</v>
      </c>
      <c r="O269" s="2">
        <v>41</v>
      </c>
      <c r="P269" s="8">
        <f t="shared" si="22"/>
        <v>4778</v>
      </c>
      <c r="Q269" s="8">
        <f t="shared" si="23"/>
        <v>264</v>
      </c>
      <c r="R269" s="2" t="s">
        <v>28</v>
      </c>
      <c r="S269" s="9">
        <f t="shared" si="24"/>
        <v>95.56</v>
      </c>
    </row>
    <row r="270" spans="1:19" x14ac:dyDescent="0.3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IFERROR(VLOOKUP('Customer Info'!A262,'Customer Info'!A262:C761,2,FALSE),"Not Found")</f>
        <v>Kean</v>
      </c>
      <c r="H270" s="6" t="str">
        <f>IFERROR(VLOOKUP('Customer Info'!A262,'Customer Info'!A262:C761,3,FALSE),"Not Found")</f>
        <v>Takahito</v>
      </c>
      <c r="I270" s="6" t="str">
        <f>IFERROR(VLOOKUP('Customer Info'!A262,'Customer Info'!A262:E761,5,FALSE),"Not Found")</f>
        <v>Jakarta</v>
      </c>
      <c r="J270" s="2">
        <v>4577</v>
      </c>
      <c r="K270" s="2">
        <v>4285</v>
      </c>
      <c r="L270" s="2">
        <v>7</v>
      </c>
      <c r="M270" s="7">
        <f t="shared" si="20"/>
        <v>29995</v>
      </c>
      <c r="N270" s="7">
        <f t="shared" si="21"/>
        <v>32039</v>
      </c>
      <c r="O270" s="2">
        <v>24</v>
      </c>
      <c r="P270" s="8">
        <f t="shared" si="22"/>
        <v>32063</v>
      </c>
      <c r="Q270" s="8">
        <f t="shared" si="23"/>
        <v>27754</v>
      </c>
      <c r="R270" s="2" t="s">
        <v>50</v>
      </c>
      <c r="S270" s="9">
        <f t="shared" si="24"/>
        <v>2244.4100000000003</v>
      </c>
    </row>
    <row r="271" spans="1:19" x14ac:dyDescent="0.3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>IFERROR(VLOOKUP('Customer Info'!A263,'Customer Info'!A263:C762,2,FALSE),"Not Found")</f>
        <v>Kean</v>
      </c>
      <c r="H271" s="6" t="str">
        <f>IFERROR(VLOOKUP('Customer Info'!A263,'Customer Info'!A263:C762,3,FALSE),"Not Found")</f>
        <v>Thornton</v>
      </c>
      <c r="I271" s="6" t="str">
        <f>IFERROR(VLOOKUP('Customer Info'!A263,'Customer Info'!A263:E762,5,FALSE),"Not Found")</f>
        <v>Brisbane</v>
      </c>
      <c r="J271" s="2">
        <v>6864</v>
      </c>
      <c r="K271" s="2">
        <v>6667</v>
      </c>
      <c r="L271" s="2">
        <v>3</v>
      </c>
      <c r="M271" s="7">
        <f t="shared" si="20"/>
        <v>20001</v>
      </c>
      <c r="N271" s="7">
        <f t="shared" si="21"/>
        <v>20592</v>
      </c>
      <c r="O271" s="2">
        <v>21</v>
      </c>
      <c r="P271" s="8">
        <f t="shared" si="22"/>
        <v>20613</v>
      </c>
      <c r="Q271" s="8">
        <f t="shared" si="23"/>
        <v>13925</v>
      </c>
      <c r="R271" s="2" t="s">
        <v>56</v>
      </c>
      <c r="S271" s="9">
        <f t="shared" si="24"/>
        <v>1030.6500000000001</v>
      </c>
    </row>
    <row r="272" spans="1:19" x14ac:dyDescent="0.3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IFERROR(VLOOKUP('Customer Info'!A264,'Customer Info'!A264:C763,2,FALSE),"Not Found")</f>
        <v>Keith</v>
      </c>
      <c r="H272" s="6" t="str">
        <f>IFERROR(VLOOKUP('Customer Info'!A264,'Customer Info'!A264:C763,3,FALSE),"Not Found")</f>
        <v>Herrera</v>
      </c>
      <c r="I272" s="6" t="str">
        <f>IFERROR(VLOOKUP('Customer Info'!A264,'Customer Info'!A264:E763,5,FALSE),"Not Found")</f>
        <v>Jakarta</v>
      </c>
      <c r="J272" s="2">
        <v>8026</v>
      </c>
      <c r="K272" s="2">
        <v>7572</v>
      </c>
      <c r="L272" s="2">
        <v>5</v>
      </c>
      <c r="M272" s="7">
        <f t="shared" si="20"/>
        <v>37860</v>
      </c>
      <c r="N272" s="7">
        <f t="shared" si="21"/>
        <v>40130</v>
      </c>
      <c r="O272" s="2">
        <v>86</v>
      </c>
      <c r="P272" s="8">
        <f t="shared" si="22"/>
        <v>40216</v>
      </c>
      <c r="Q272" s="8">
        <f t="shared" si="23"/>
        <v>32558</v>
      </c>
      <c r="R272" s="2" t="s">
        <v>50</v>
      </c>
      <c r="S272" s="9">
        <f t="shared" si="24"/>
        <v>2815.1200000000003</v>
      </c>
    </row>
    <row r="273" spans="1:19" x14ac:dyDescent="0.3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IFERROR(VLOOKUP('Customer Info'!A265,'Customer Info'!A265:C764,2,FALSE),"Not Found")</f>
        <v>Kelly</v>
      </c>
      <c r="H273" s="6" t="str">
        <f>IFERROR(VLOOKUP('Customer Info'!A265,'Customer Info'!A265:C764,3,FALSE),"Not Found")</f>
        <v>Collister</v>
      </c>
      <c r="I273" s="6" t="str">
        <f>IFERROR(VLOOKUP('Customer Info'!A265,'Customer Info'!A265:E764,5,FALSE),"Not Found")</f>
        <v>Sydney</v>
      </c>
      <c r="J273" s="2">
        <v>1048</v>
      </c>
      <c r="K273" s="2">
        <v>979</v>
      </c>
      <c r="L273" s="2">
        <v>7</v>
      </c>
      <c r="M273" s="7">
        <f t="shared" si="20"/>
        <v>6853</v>
      </c>
      <c r="N273" s="7">
        <f t="shared" si="21"/>
        <v>7336</v>
      </c>
      <c r="O273" s="2">
        <v>33</v>
      </c>
      <c r="P273" s="8">
        <f t="shared" si="22"/>
        <v>7369</v>
      </c>
      <c r="Q273" s="8">
        <f t="shared" si="23"/>
        <v>6357</v>
      </c>
      <c r="R273" s="2" t="s">
        <v>56</v>
      </c>
      <c r="S273" s="9">
        <f t="shared" si="24"/>
        <v>368.45000000000005</v>
      </c>
    </row>
    <row r="274" spans="1:19" x14ac:dyDescent="0.3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>IFERROR(VLOOKUP('Customer Info'!A266,'Customer Info'!A266:C765,2,FALSE),"Not Found")</f>
        <v>Kelly</v>
      </c>
      <c r="H274" s="6" t="str">
        <f>IFERROR(VLOOKUP('Customer Info'!A266,'Customer Info'!A266:C765,3,FALSE),"Not Found")</f>
        <v>Williams</v>
      </c>
      <c r="I274" s="6" t="str">
        <f>IFERROR(VLOOKUP('Customer Info'!A266,'Customer Info'!A266:E765,5,FALSE),"Not Found")</f>
        <v>Palu</v>
      </c>
      <c r="J274" s="2">
        <v>8351</v>
      </c>
      <c r="K274" s="2">
        <v>8033</v>
      </c>
      <c r="L274" s="2">
        <v>4</v>
      </c>
      <c r="M274" s="7">
        <f t="shared" si="20"/>
        <v>32132</v>
      </c>
      <c r="N274" s="7">
        <f t="shared" si="21"/>
        <v>33404</v>
      </c>
      <c r="O274" s="2">
        <v>27</v>
      </c>
      <c r="P274" s="8">
        <f t="shared" si="22"/>
        <v>33431</v>
      </c>
      <c r="Q274" s="8">
        <f t="shared" si="23"/>
        <v>25371</v>
      </c>
      <c r="R274" s="2" t="s">
        <v>28</v>
      </c>
      <c r="S274" s="9">
        <f t="shared" si="24"/>
        <v>2340.17</v>
      </c>
    </row>
    <row r="275" spans="1:19" x14ac:dyDescent="0.3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>IFERROR(VLOOKUP('Customer Info'!A267,'Customer Info'!A267:C766,2,FALSE),"Not Found")</f>
        <v>Kelly</v>
      </c>
      <c r="H275" s="6" t="str">
        <f>IFERROR(VLOOKUP('Customer Info'!A267,'Customer Info'!A267:C766,3,FALSE),"Not Found")</f>
        <v>Williams</v>
      </c>
      <c r="I275" s="6" t="str">
        <f>IFERROR(VLOOKUP('Customer Info'!A267,'Customer Info'!A267:E766,5,FALSE),"Not Found")</f>
        <v>Sydney</v>
      </c>
      <c r="J275" s="2">
        <v>8665</v>
      </c>
      <c r="K275" s="2">
        <v>7723</v>
      </c>
      <c r="L275" s="2">
        <v>1</v>
      </c>
      <c r="M275" s="7">
        <f t="shared" si="20"/>
        <v>7723</v>
      </c>
      <c r="N275" s="7">
        <f t="shared" si="21"/>
        <v>8665</v>
      </c>
      <c r="O275" s="2">
        <v>60</v>
      </c>
      <c r="P275" s="8">
        <f t="shared" si="22"/>
        <v>8725</v>
      </c>
      <c r="Q275" s="8">
        <f t="shared" si="23"/>
        <v>942</v>
      </c>
      <c r="R275" s="2" t="s">
        <v>50</v>
      </c>
      <c r="S275" s="9">
        <f t="shared" si="24"/>
        <v>436.25</v>
      </c>
    </row>
    <row r="276" spans="1:19" x14ac:dyDescent="0.3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IFERROR(VLOOKUP('Customer Info'!A268,'Customer Info'!A268:C767,2,FALSE),"Not Found")</f>
        <v>Kelly</v>
      </c>
      <c r="H276" s="6" t="str">
        <f>IFERROR(VLOOKUP('Customer Info'!A268,'Customer Info'!A268:C767,3,FALSE),"Not Found")</f>
        <v>Collister</v>
      </c>
      <c r="I276" s="6" t="str">
        <f>IFERROR(VLOOKUP('Customer Info'!A268,'Customer Info'!A268:E767,5,FALSE),"Not Found")</f>
        <v>Tangshan</v>
      </c>
      <c r="J276" s="2">
        <v>170</v>
      </c>
      <c r="K276" s="2">
        <v>160</v>
      </c>
      <c r="L276" s="2">
        <v>4</v>
      </c>
      <c r="M276" s="7">
        <f t="shared" si="20"/>
        <v>640</v>
      </c>
      <c r="N276" s="7">
        <f t="shared" si="21"/>
        <v>680</v>
      </c>
      <c r="O276" s="2">
        <v>30</v>
      </c>
      <c r="P276" s="8">
        <f t="shared" si="22"/>
        <v>710</v>
      </c>
      <c r="Q276" s="8">
        <f t="shared" si="23"/>
        <v>520</v>
      </c>
      <c r="R276" s="2" t="s">
        <v>50</v>
      </c>
      <c r="S276" s="9">
        <f t="shared" si="24"/>
        <v>14.200000000000001</v>
      </c>
    </row>
    <row r="277" spans="1:19" x14ac:dyDescent="0.3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>IFERROR(VLOOKUP('Customer Info'!A269,'Customer Info'!A269:C768,2,FALSE),"Not Found")</f>
        <v>Ken</v>
      </c>
      <c r="H277" s="6" t="str">
        <f>IFERROR(VLOOKUP('Customer Info'!A269,'Customer Info'!A269:C768,3,FALSE),"Not Found")</f>
        <v>Heidel</v>
      </c>
      <c r="I277" s="6" t="str">
        <f>IFERROR(VLOOKUP('Customer Info'!A269,'Customer Info'!A269:E768,5,FALSE),"Not Found")</f>
        <v>Tegal</v>
      </c>
      <c r="J277" s="2">
        <v>3256</v>
      </c>
      <c r="K277" s="2">
        <v>2959</v>
      </c>
      <c r="L277" s="2">
        <v>5</v>
      </c>
      <c r="M277" s="7">
        <f t="shared" si="20"/>
        <v>14795</v>
      </c>
      <c r="N277" s="7">
        <f t="shared" si="21"/>
        <v>16280</v>
      </c>
      <c r="O277" s="2">
        <v>70</v>
      </c>
      <c r="P277" s="8">
        <f t="shared" si="22"/>
        <v>16350</v>
      </c>
      <c r="Q277" s="8">
        <f t="shared" si="23"/>
        <v>13321</v>
      </c>
      <c r="R277" s="2" t="s">
        <v>50</v>
      </c>
      <c r="S277" s="9">
        <f t="shared" si="24"/>
        <v>817.5</v>
      </c>
    </row>
    <row r="278" spans="1:19" x14ac:dyDescent="0.3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>IFERROR(VLOOKUP('Customer Info'!A270,'Customer Info'!A270:C769,2,FALSE),"Not Found")</f>
        <v>Kristen</v>
      </c>
      <c r="H278" s="6" t="str">
        <f>IFERROR(VLOOKUP('Customer Info'!A270,'Customer Info'!A270:C769,3,FALSE),"Not Found")</f>
        <v>Hastings</v>
      </c>
      <c r="I278" s="6" t="str">
        <f>IFERROR(VLOOKUP('Customer Info'!A270,'Customer Info'!A270:E769,5,FALSE),"Not Found")</f>
        <v>Shihezi</v>
      </c>
      <c r="J278" s="2">
        <v>131</v>
      </c>
      <c r="K278" s="2">
        <v>124</v>
      </c>
      <c r="L278" s="2">
        <v>3</v>
      </c>
      <c r="M278" s="7">
        <f t="shared" si="20"/>
        <v>372</v>
      </c>
      <c r="N278" s="7">
        <f t="shared" si="21"/>
        <v>393</v>
      </c>
      <c r="O278" s="2">
        <v>30</v>
      </c>
      <c r="P278" s="8">
        <f t="shared" si="22"/>
        <v>423</v>
      </c>
      <c r="Q278" s="8">
        <f t="shared" si="23"/>
        <v>269</v>
      </c>
      <c r="R278" s="2" t="s">
        <v>50</v>
      </c>
      <c r="S278" s="9">
        <f t="shared" si="24"/>
        <v>8.4600000000000009</v>
      </c>
    </row>
    <row r="279" spans="1:19" x14ac:dyDescent="0.3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>IFERROR(VLOOKUP('Customer Info'!A271,'Customer Info'!A271:C770,2,FALSE),"Not Found")</f>
        <v>Kristina</v>
      </c>
      <c r="H279" s="6" t="str">
        <f>IFERROR(VLOOKUP('Customer Info'!A271,'Customer Info'!A271:C770,3,FALSE),"Not Found")</f>
        <v>Nunn</v>
      </c>
      <c r="I279" s="6" t="str">
        <f>IFERROR(VLOOKUP('Customer Info'!A271,'Customer Info'!A271:E770,5,FALSE),"Not Found")</f>
        <v>Jakarta</v>
      </c>
      <c r="J279" s="2">
        <v>2466</v>
      </c>
      <c r="K279" s="2">
        <v>2350</v>
      </c>
      <c r="L279" s="2">
        <v>3</v>
      </c>
      <c r="M279" s="7">
        <f t="shared" si="20"/>
        <v>7050</v>
      </c>
      <c r="N279" s="7">
        <f t="shared" si="21"/>
        <v>7398</v>
      </c>
      <c r="O279" s="2">
        <v>81</v>
      </c>
      <c r="P279" s="8">
        <f t="shared" si="22"/>
        <v>7479</v>
      </c>
      <c r="Q279" s="8">
        <f t="shared" si="23"/>
        <v>5048</v>
      </c>
      <c r="R279" s="2" t="s">
        <v>50</v>
      </c>
      <c r="S279" s="9">
        <f t="shared" si="24"/>
        <v>373.95000000000005</v>
      </c>
    </row>
    <row r="280" spans="1:19" x14ac:dyDescent="0.3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>IFERROR(VLOOKUP('Customer Info'!A272,'Customer Info'!A272:C771,2,FALSE),"Not Found")</f>
        <v>Kristina</v>
      </c>
      <c r="H280" s="6" t="str">
        <f>IFERROR(VLOOKUP('Customer Info'!A272,'Customer Info'!A272:C771,3,FALSE),"Not Found")</f>
        <v>Nunn</v>
      </c>
      <c r="I280" s="6" t="str">
        <f>IFERROR(VLOOKUP('Customer Info'!A272,'Customer Info'!A272:E771,5,FALSE),"Not Found")</f>
        <v>Sydney</v>
      </c>
      <c r="J280" s="2">
        <v>1058</v>
      </c>
      <c r="K280" s="2">
        <v>989</v>
      </c>
      <c r="L280" s="2">
        <v>5</v>
      </c>
      <c r="M280" s="7">
        <f t="shared" si="20"/>
        <v>4945</v>
      </c>
      <c r="N280" s="7">
        <f t="shared" si="21"/>
        <v>5290</v>
      </c>
      <c r="O280" s="2">
        <v>83</v>
      </c>
      <c r="P280" s="8">
        <f t="shared" si="22"/>
        <v>5373</v>
      </c>
      <c r="Q280" s="8">
        <f t="shared" si="23"/>
        <v>4301</v>
      </c>
      <c r="R280" s="2" t="s">
        <v>26</v>
      </c>
      <c r="S280" s="9">
        <f t="shared" si="24"/>
        <v>268.65000000000003</v>
      </c>
    </row>
    <row r="281" spans="1:19" x14ac:dyDescent="0.3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>IFERROR(VLOOKUP('Customer Info'!A273,'Customer Info'!A273:C772,2,FALSE),"Not Found")</f>
        <v>Kunst</v>
      </c>
      <c r="H281" s="6" t="str">
        <f>IFERROR(VLOOKUP('Customer Info'!A273,'Customer Info'!A273:C772,3,FALSE),"Not Found")</f>
        <v>Miller</v>
      </c>
      <c r="I281" s="6" t="str">
        <f>IFERROR(VLOOKUP('Customer Info'!A273,'Customer Info'!A273:E772,5,FALSE),"Not Found")</f>
        <v>Jakarta</v>
      </c>
      <c r="J281" s="2">
        <v>81</v>
      </c>
      <c r="K281" s="2">
        <v>77</v>
      </c>
      <c r="L281" s="2">
        <v>2</v>
      </c>
      <c r="M281" s="7">
        <f t="shared" si="20"/>
        <v>154</v>
      </c>
      <c r="N281" s="7">
        <f t="shared" si="21"/>
        <v>162</v>
      </c>
      <c r="O281" s="2">
        <v>10</v>
      </c>
      <c r="P281" s="8">
        <f t="shared" si="22"/>
        <v>172</v>
      </c>
      <c r="Q281" s="8">
        <f t="shared" si="23"/>
        <v>85</v>
      </c>
      <c r="R281" s="2" t="s">
        <v>26</v>
      </c>
      <c r="S281" s="9">
        <f t="shared" si="24"/>
        <v>3.44</v>
      </c>
    </row>
    <row r="282" spans="1:19" x14ac:dyDescent="0.3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>IFERROR(VLOOKUP('Customer Info'!A274,'Customer Info'!A274:C773,2,FALSE),"Not Found")</f>
        <v>Larry</v>
      </c>
      <c r="H282" s="6" t="str">
        <f>IFERROR(VLOOKUP('Customer Info'!A274,'Customer Info'!A274:C773,3,FALSE),"Not Found")</f>
        <v>Blacks</v>
      </c>
      <c r="I282" s="6" t="str">
        <f>IFERROR(VLOOKUP('Customer Info'!A274,'Customer Info'!A274:E773,5,FALSE),"Not Found")</f>
        <v>Shangyu</v>
      </c>
      <c r="J282" s="2">
        <v>2200</v>
      </c>
      <c r="K282" s="2">
        <v>2020</v>
      </c>
      <c r="L282" s="2">
        <v>4</v>
      </c>
      <c r="M282" s="7">
        <f t="shared" si="20"/>
        <v>8080</v>
      </c>
      <c r="N282" s="7">
        <f t="shared" si="21"/>
        <v>8800</v>
      </c>
      <c r="O282" s="2">
        <v>72</v>
      </c>
      <c r="P282" s="8">
        <f t="shared" si="22"/>
        <v>8872</v>
      </c>
      <c r="Q282" s="8">
        <f t="shared" si="23"/>
        <v>6780</v>
      </c>
      <c r="R282" s="2" t="s">
        <v>50</v>
      </c>
      <c r="S282" s="9">
        <f t="shared" si="24"/>
        <v>443.6</v>
      </c>
    </row>
    <row r="283" spans="1:19" x14ac:dyDescent="0.3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IFERROR(VLOOKUP('Customer Info'!A275,'Customer Info'!A275:C774,2,FALSE),"Not Found")</f>
        <v>Laura</v>
      </c>
      <c r="H283" s="6" t="str">
        <f>IFERROR(VLOOKUP('Customer Info'!A275,'Customer Info'!A275:C774,3,FALSE),"Not Found")</f>
        <v>Armstrong</v>
      </c>
      <c r="I283" s="6" t="str">
        <f>IFERROR(VLOOKUP('Customer Info'!A275,'Customer Info'!A275:E774,5,FALSE),"Not Found")</f>
        <v>Torquay</v>
      </c>
      <c r="J283" s="2">
        <v>1447</v>
      </c>
      <c r="K283" s="2">
        <v>1326</v>
      </c>
      <c r="L283" s="2">
        <v>3</v>
      </c>
      <c r="M283" s="7">
        <f t="shared" si="20"/>
        <v>3978</v>
      </c>
      <c r="N283" s="7">
        <f t="shared" si="21"/>
        <v>4341</v>
      </c>
      <c r="O283" s="2">
        <v>79</v>
      </c>
      <c r="P283" s="8">
        <f t="shared" si="22"/>
        <v>4420</v>
      </c>
      <c r="Q283" s="8">
        <f t="shared" si="23"/>
        <v>3015</v>
      </c>
      <c r="R283" s="2" t="s">
        <v>50</v>
      </c>
      <c r="S283" s="9">
        <f t="shared" si="24"/>
        <v>88.4</v>
      </c>
    </row>
    <row r="284" spans="1:19" x14ac:dyDescent="0.3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IFERROR(VLOOKUP('Customer Info'!A276,'Customer Info'!A276:C775,2,FALSE),"Not Found")</f>
        <v>Laurel</v>
      </c>
      <c r="H284" s="6" t="str">
        <f>IFERROR(VLOOKUP('Customer Info'!A276,'Customer Info'!A276:C775,3,FALSE),"Not Found")</f>
        <v>Elliston</v>
      </c>
      <c r="I284" s="6" t="str">
        <f>IFERROR(VLOOKUP('Customer Info'!A276,'Customer Info'!A276:E775,5,FALSE),"Not Found")</f>
        <v>Herten</v>
      </c>
      <c r="J284" s="2">
        <v>7315</v>
      </c>
      <c r="K284" s="2">
        <v>6967</v>
      </c>
      <c r="L284" s="2">
        <v>1</v>
      </c>
      <c r="M284" s="7">
        <f t="shared" si="20"/>
        <v>6967</v>
      </c>
      <c r="N284" s="7">
        <f t="shared" si="21"/>
        <v>7315</v>
      </c>
      <c r="O284" s="2">
        <v>84</v>
      </c>
      <c r="P284" s="8">
        <f t="shared" si="22"/>
        <v>7399</v>
      </c>
      <c r="Q284" s="8">
        <f t="shared" si="23"/>
        <v>348</v>
      </c>
      <c r="R284" s="2" t="s">
        <v>50</v>
      </c>
      <c r="S284" s="9">
        <f t="shared" si="24"/>
        <v>369.95000000000005</v>
      </c>
    </row>
    <row r="285" spans="1:19" x14ac:dyDescent="0.3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IFERROR(VLOOKUP('Customer Info'!A277,'Customer Info'!A277:C776,2,FALSE),"Not Found")</f>
        <v>Laurel</v>
      </c>
      <c r="H285" s="6" t="str">
        <f>IFERROR(VLOOKUP('Customer Info'!A277,'Customer Info'!A277:C776,3,FALSE),"Not Found")</f>
        <v>Workman</v>
      </c>
      <c r="I285" s="6" t="str">
        <f>IFERROR(VLOOKUP('Customer Info'!A277,'Customer Info'!A277:E776,5,FALSE),"Not Found")</f>
        <v>Dongguan</v>
      </c>
      <c r="J285" s="2">
        <v>400</v>
      </c>
      <c r="K285" s="2">
        <v>360</v>
      </c>
      <c r="L285" s="2">
        <v>6</v>
      </c>
      <c r="M285" s="7">
        <f t="shared" si="20"/>
        <v>2160</v>
      </c>
      <c r="N285" s="7">
        <f t="shared" si="21"/>
        <v>2400</v>
      </c>
      <c r="O285" s="2">
        <v>79</v>
      </c>
      <c r="P285" s="8">
        <f t="shared" si="22"/>
        <v>2479</v>
      </c>
      <c r="Q285" s="8">
        <f t="shared" si="23"/>
        <v>2040</v>
      </c>
      <c r="R285" s="2" t="s">
        <v>26</v>
      </c>
      <c r="S285" s="9">
        <f t="shared" si="24"/>
        <v>49.58</v>
      </c>
    </row>
    <row r="286" spans="1:19" x14ac:dyDescent="0.3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IFERROR(VLOOKUP('Customer Info'!A278,'Customer Info'!A278:C777,2,FALSE),"Not Found")</f>
        <v>Laurel</v>
      </c>
      <c r="H286" s="6" t="str">
        <f>IFERROR(VLOOKUP('Customer Info'!A278,'Customer Info'!A278:C777,3,FALSE),"Not Found")</f>
        <v>Beltran</v>
      </c>
      <c r="I286" s="6" t="str">
        <f>IFERROR(VLOOKUP('Customer Info'!A278,'Customer Info'!A278:E777,5,FALSE),"Not Found")</f>
        <v>Melbourne</v>
      </c>
      <c r="J286" s="2">
        <v>2250</v>
      </c>
      <c r="K286" s="2">
        <v>2207</v>
      </c>
      <c r="L286" s="2">
        <v>2</v>
      </c>
      <c r="M286" s="7">
        <f t="shared" si="20"/>
        <v>4414</v>
      </c>
      <c r="N286" s="7">
        <f t="shared" si="21"/>
        <v>4500</v>
      </c>
      <c r="O286" s="2">
        <v>85</v>
      </c>
      <c r="P286" s="8">
        <f t="shared" si="22"/>
        <v>4585</v>
      </c>
      <c r="Q286" s="8">
        <f t="shared" si="23"/>
        <v>2293</v>
      </c>
      <c r="R286" s="2" t="s">
        <v>28</v>
      </c>
      <c r="S286" s="9">
        <f t="shared" si="24"/>
        <v>91.7</v>
      </c>
    </row>
    <row r="287" spans="1:19" x14ac:dyDescent="0.3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>IFERROR(VLOOKUP('Customer Info'!A279,'Customer Info'!A279:C778,2,FALSE),"Not Found")</f>
        <v>Laurel</v>
      </c>
      <c r="H287" s="6" t="str">
        <f>IFERROR(VLOOKUP('Customer Info'!A279,'Customer Info'!A279:C778,3,FALSE),"Not Found")</f>
        <v>Beltran</v>
      </c>
      <c r="I287" s="6" t="str">
        <f>IFERROR(VLOOKUP('Customer Info'!A279,'Customer Info'!A279:E778,5,FALSE),"Not Found")</f>
        <v>Bonn</v>
      </c>
      <c r="J287" s="2">
        <v>135</v>
      </c>
      <c r="K287" s="2">
        <v>129</v>
      </c>
      <c r="L287" s="2">
        <v>2</v>
      </c>
      <c r="M287" s="7">
        <f t="shared" si="20"/>
        <v>258</v>
      </c>
      <c r="N287" s="7">
        <f t="shared" si="21"/>
        <v>270</v>
      </c>
      <c r="O287" s="2">
        <v>30</v>
      </c>
      <c r="P287" s="8">
        <f t="shared" si="22"/>
        <v>300</v>
      </c>
      <c r="Q287" s="8">
        <f t="shared" si="23"/>
        <v>141</v>
      </c>
      <c r="R287" s="2" t="s">
        <v>50</v>
      </c>
      <c r="S287" s="9">
        <f t="shared" si="24"/>
        <v>6</v>
      </c>
    </row>
    <row r="288" spans="1:19" x14ac:dyDescent="0.3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IFERROR(VLOOKUP('Customer Info'!A280,'Customer Info'!A280:C779,2,FALSE),"Not Found")</f>
        <v>Laurel</v>
      </c>
      <c r="H288" s="6" t="str">
        <f>IFERROR(VLOOKUP('Customer Info'!A280,'Customer Info'!A280:C779,3,FALSE),"Not Found")</f>
        <v>Elliston</v>
      </c>
      <c r="I288" s="6" t="str">
        <f>IFERROR(VLOOKUP('Customer Info'!A280,'Customer Info'!A280:E779,5,FALSE),"Not Found")</f>
        <v>Tasikmalaya</v>
      </c>
      <c r="J288" s="2">
        <v>6481</v>
      </c>
      <c r="K288" s="2">
        <v>5884</v>
      </c>
      <c r="L288" s="2">
        <v>1</v>
      </c>
      <c r="M288" s="7">
        <f t="shared" si="20"/>
        <v>5884</v>
      </c>
      <c r="N288" s="7">
        <f t="shared" si="21"/>
        <v>6481</v>
      </c>
      <c r="O288" s="2">
        <v>93</v>
      </c>
      <c r="P288" s="8">
        <f t="shared" si="22"/>
        <v>6574</v>
      </c>
      <c r="Q288" s="8">
        <f t="shared" si="23"/>
        <v>597</v>
      </c>
      <c r="R288" s="2" t="s">
        <v>28</v>
      </c>
      <c r="S288" s="9">
        <f t="shared" si="24"/>
        <v>328.70000000000005</v>
      </c>
    </row>
    <row r="289" spans="1:19" x14ac:dyDescent="0.3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>IFERROR(VLOOKUP('Customer Info'!A281,'Customer Info'!A281:C780,2,FALSE),"Not Found")</f>
        <v>Laurel</v>
      </c>
      <c r="H289" s="6" t="str">
        <f>IFERROR(VLOOKUP('Customer Info'!A281,'Customer Info'!A281:C780,3,FALSE),"Not Found")</f>
        <v>Beltran</v>
      </c>
      <c r="I289" s="6" t="str">
        <f>IFERROR(VLOOKUP('Customer Info'!A281,'Customer Info'!A281:E780,5,FALSE),"Not Found")</f>
        <v>Wuppertal</v>
      </c>
      <c r="J289" s="2">
        <v>992</v>
      </c>
      <c r="K289" s="2">
        <v>928</v>
      </c>
      <c r="L289" s="2">
        <v>14</v>
      </c>
      <c r="M289" s="7">
        <f t="shared" si="20"/>
        <v>12992</v>
      </c>
      <c r="N289" s="7">
        <f t="shared" si="21"/>
        <v>13888</v>
      </c>
      <c r="O289" s="2">
        <v>99</v>
      </c>
      <c r="P289" s="8">
        <f t="shared" si="22"/>
        <v>13987</v>
      </c>
      <c r="Q289" s="8">
        <f t="shared" si="23"/>
        <v>12960</v>
      </c>
      <c r="R289" s="2" t="s">
        <v>28</v>
      </c>
      <c r="S289" s="9">
        <f t="shared" si="24"/>
        <v>699.35</v>
      </c>
    </row>
    <row r="290" spans="1:19" x14ac:dyDescent="0.3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>IFERROR(VLOOKUP('Customer Info'!A282,'Customer Info'!A282:C781,2,FALSE),"Not Found")</f>
        <v>Laurel</v>
      </c>
      <c r="H290" s="6" t="str">
        <f>IFERROR(VLOOKUP('Customer Info'!A282,'Customer Info'!A282:C781,3,FALSE),"Not Found")</f>
        <v>Workman</v>
      </c>
      <c r="I290" s="6" t="str">
        <f>IFERROR(VLOOKUP('Customer Info'!A282,'Customer Info'!A282:E781,5,FALSE),"Not Found")</f>
        <v>Leipzig</v>
      </c>
      <c r="J290" s="2">
        <v>2965</v>
      </c>
      <c r="K290" s="2">
        <v>2694</v>
      </c>
      <c r="L290" s="2">
        <v>3</v>
      </c>
      <c r="M290" s="7">
        <f t="shared" si="20"/>
        <v>8082</v>
      </c>
      <c r="N290" s="7">
        <f t="shared" si="21"/>
        <v>8895</v>
      </c>
      <c r="O290" s="2">
        <v>89</v>
      </c>
      <c r="P290" s="8">
        <f t="shared" si="22"/>
        <v>8984</v>
      </c>
      <c r="Q290" s="8">
        <f t="shared" si="23"/>
        <v>6201</v>
      </c>
      <c r="R290" s="2" t="s">
        <v>28</v>
      </c>
      <c r="S290" s="9">
        <f t="shared" si="24"/>
        <v>449.20000000000005</v>
      </c>
    </row>
    <row r="291" spans="1:19" x14ac:dyDescent="0.3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>IFERROR(VLOOKUP('Customer Info'!A283,'Customer Info'!A283:C782,2,FALSE),"Not Found")</f>
        <v>Linda</v>
      </c>
      <c r="H291" s="6" t="str">
        <f>IFERROR(VLOOKUP('Customer Info'!A283,'Customer Info'!A283:C782,3,FALSE),"Not Found")</f>
        <v>Southworth</v>
      </c>
      <c r="I291" s="6" t="str">
        <f>IFERROR(VLOOKUP('Customer Info'!A283,'Customer Info'!A283:E782,5,FALSE),"Not Found")</f>
        <v>Brisbane</v>
      </c>
      <c r="J291" s="2">
        <v>1878</v>
      </c>
      <c r="K291" s="2">
        <v>1790</v>
      </c>
      <c r="L291" s="2">
        <v>9</v>
      </c>
      <c r="M291" s="7">
        <f t="shared" si="20"/>
        <v>16110</v>
      </c>
      <c r="N291" s="7">
        <f t="shared" si="21"/>
        <v>16902</v>
      </c>
      <c r="O291" s="2">
        <v>24</v>
      </c>
      <c r="P291" s="8">
        <f t="shared" si="22"/>
        <v>16926</v>
      </c>
      <c r="Q291" s="8">
        <f t="shared" si="23"/>
        <v>15112</v>
      </c>
      <c r="R291" s="2" t="s">
        <v>50</v>
      </c>
      <c r="S291" s="9">
        <f t="shared" si="24"/>
        <v>846.30000000000007</v>
      </c>
    </row>
    <row r="292" spans="1:19" x14ac:dyDescent="0.3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>IFERROR(VLOOKUP('Customer Info'!A284,'Customer Info'!A284:C783,2,FALSE),"Not Found")</f>
        <v>Lindsay</v>
      </c>
      <c r="H292" s="6" t="str">
        <f>IFERROR(VLOOKUP('Customer Info'!A284,'Customer Info'!A284:C783,3,FALSE),"Not Found")</f>
        <v>Castell</v>
      </c>
      <c r="I292" s="6" t="str">
        <f>IFERROR(VLOOKUP('Customer Info'!A284,'Customer Info'!A284:E783,5,FALSE),"Not Found")</f>
        <v>Depok</v>
      </c>
      <c r="J292" s="2">
        <v>2790</v>
      </c>
      <c r="K292" s="2">
        <v>2557</v>
      </c>
      <c r="L292" s="2">
        <v>1</v>
      </c>
      <c r="M292" s="7">
        <f t="shared" si="20"/>
        <v>2557</v>
      </c>
      <c r="N292" s="7">
        <f t="shared" si="21"/>
        <v>2790</v>
      </c>
      <c r="O292" s="2">
        <v>80</v>
      </c>
      <c r="P292" s="8">
        <f t="shared" si="22"/>
        <v>2870</v>
      </c>
      <c r="Q292" s="8">
        <f t="shared" si="23"/>
        <v>233</v>
      </c>
      <c r="R292" s="2" t="s">
        <v>28</v>
      </c>
      <c r="S292" s="9">
        <f t="shared" si="24"/>
        <v>57.4</v>
      </c>
    </row>
    <row r="293" spans="1:19" x14ac:dyDescent="0.3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IFERROR(VLOOKUP('Customer Info'!A285,'Customer Info'!A285:C784,2,FALSE),"Not Found")</f>
        <v>Lindsay</v>
      </c>
      <c r="H293" s="6" t="str">
        <f>IFERROR(VLOOKUP('Customer Info'!A285,'Customer Info'!A285:C784,3,FALSE),"Not Found")</f>
        <v>Williams</v>
      </c>
      <c r="I293" s="6" t="str">
        <f>IFERROR(VLOOKUP('Customer Info'!A285,'Customer Info'!A285:E784,5,FALSE),"Not Found")</f>
        <v>Akola</v>
      </c>
      <c r="J293" s="2">
        <v>2466</v>
      </c>
      <c r="K293" s="2">
        <v>2327</v>
      </c>
      <c r="L293" s="2">
        <v>4</v>
      </c>
      <c r="M293" s="7">
        <f t="shared" si="20"/>
        <v>9308</v>
      </c>
      <c r="N293" s="7">
        <f t="shared" si="21"/>
        <v>9864</v>
      </c>
      <c r="O293" s="2">
        <v>34</v>
      </c>
      <c r="P293" s="8">
        <f t="shared" si="22"/>
        <v>9898</v>
      </c>
      <c r="Q293" s="8">
        <f t="shared" si="23"/>
        <v>7537</v>
      </c>
      <c r="R293" s="2" t="s">
        <v>28</v>
      </c>
      <c r="S293" s="9">
        <f t="shared" si="24"/>
        <v>494.90000000000003</v>
      </c>
    </row>
    <row r="294" spans="1:19" x14ac:dyDescent="0.3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IFERROR(VLOOKUP('Customer Info'!A286,'Customer Info'!A286:C785,2,FALSE),"Not Found")</f>
        <v>Lindsay</v>
      </c>
      <c r="H294" s="6" t="str">
        <f>IFERROR(VLOOKUP('Customer Info'!A286,'Customer Info'!A286:C785,3,FALSE),"Not Found")</f>
        <v>Shagiari</v>
      </c>
      <c r="I294" s="6" t="str">
        <f>IFERROR(VLOOKUP('Customer Info'!A286,'Customer Info'!A286:E785,5,FALSE),"Not Found")</f>
        <v>Canberra</v>
      </c>
      <c r="J294" s="2">
        <v>139</v>
      </c>
      <c r="K294" s="2">
        <v>130</v>
      </c>
      <c r="L294" s="2">
        <v>2</v>
      </c>
      <c r="M294" s="7">
        <f t="shared" si="20"/>
        <v>260</v>
      </c>
      <c r="N294" s="7">
        <f t="shared" si="21"/>
        <v>278</v>
      </c>
      <c r="O294" s="2">
        <v>30</v>
      </c>
      <c r="P294" s="8">
        <f t="shared" si="22"/>
        <v>308</v>
      </c>
      <c r="Q294" s="8">
        <f t="shared" si="23"/>
        <v>148</v>
      </c>
      <c r="R294" s="2" t="s">
        <v>28</v>
      </c>
      <c r="S294" s="9">
        <f t="shared" si="24"/>
        <v>6.16</v>
      </c>
    </row>
    <row r="295" spans="1:19" x14ac:dyDescent="0.3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IFERROR(VLOOKUP('Customer Info'!A287,'Customer Info'!A287:C786,2,FALSE),"Not Found")</f>
        <v>Lisa</v>
      </c>
      <c r="H295" s="6" t="str">
        <f>IFERROR(VLOOKUP('Customer Info'!A287,'Customer Info'!A287:C786,3,FALSE),"Not Found")</f>
        <v>Ryan</v>
      </c>
      <c r="I295" s="6" t="str">
        <f>IFERROR(VLOOKUP('Customer Info'!A287,'Customer Info'!A287:E786,5,FALSE),"Not Found")</f>
        <v>Berlin</v>
      </c>
      <c r="J295" s="2">
        <v>2960</v>
      </c>
      <c r="K295" s="2">
        <v>2635</v>
      </c>
      <c r="L295" s="2">
        <v>2</v>
      </c>
      <c r="M295" s="7">
        <f t="shared" si="20"/>
        <v>5270</v>
      </c>
      <c r="N295" s="7">
        <f t="shared" si="21"/>
        <v>5920</v>
      </c>
      <c r="O295" s="2">
        <v>73</v>
      </c>
      <c r="P295" s="8">
        <f t="shared" si="22"/>
        <v>5993</v>
      </c>
      <c r="Q295" s="8">
        <f t="shared" si="23"/>
        <v>3285</v>
      </c>
      <c r="R295" s="2" t="s">
        <v>28</v>
      </c>
      <c r="S295" s="9">
        <f t="shared" si="24"/>
        <v>299.65000000000003</v>
      </c>
    </row>
    <row r="296" spans="1:19" x14ac:dyDescent="0.3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>IFERROR(VLOOKUP('Customer Info'!A288,'Customer Info'!A288:C787,2,FALSE),"Not Found")</f>
        <v>Lisa</v>
      </c>
      <c r="H296" s="6" t="str">
        <f>IFERROR(VLOOKUP('Customer Info'!A288,'Customer Info'!A288:C787,3,FALSE),"Not Found")</f>
        <v>Ryan</v>
      </c>
      <c r="I296" s="6" t="str">
        <f>IFERROR(VLOOKUP('Customer Info'!A288,'Customer Info'!A288:E787,5,FALSE),"Not Found")</f>
        <v>Townsville</v>
      </c>
      <c r="J296" s="2">
        <v>1621</v>
      </c>
      <c r="K296" s="2">
        <v>1545</v>
      </c>
      <c r="L296" s="2">
        <v>6</v>
      </c>
      <c r="M296" s="7">
        <f t="shared" si="20"/>
        <v>9270</v>
      </c>
      <c r="N296" s="7">
        <f t="shared" si="21"/>
        <v>9726</v>
      </c>
      <c r="O296" s="2">
        <v>74</v>
      </c>
      <c r="P296" s="8">
        <f t="shared" si="22"/>
        <v>9800</v>
      </c>
      <c r="Q296" s="8">
        <f t="shared" si="23"/>
        <v>8181</v>
      </c>
      <c r="R296" s="2" t="s">
        <v>28</v>
      </c>
      <c r="S296" s="9">
        <f t="shared" si="24"/>
        <v>490</v>
      </c>
    </row>
    <row r="297" spans="1:19" x14ac:dyDescent="0.3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IFERROR(VLOOKUP('Customer Info'!A289,'Customer Info'!A289:C788,2,FALSE),"Not Found")</f>
        <v>Lisa</v>
      </c>
      <c r="H297" s="6" t="str">
        <f>IFERROR(VLOOKUP('Customer Info'!A289,'Customer Info'!A289:C788,3,FALSE),"Not Found")</f>
        <v>DeCherney</v>
      </c>
      <c r="I297" s="6" t="str">
        <f>IFERROR(VLOOKUP('Customer Info'!A289,'Customer Info'!A289:E788,5,FALSE),"Not Found")</f>
        <v>Ningbo</v>
      </c>
      <c r="J297" s="2">
        <v>2540</v>
      </c>
      <c r="K297" s="2">
        <v>2397</v>
      </c>
      <c r="L297" s="2">
        <v>3</v>
      </c>
      <c r="M297" s="7">
        <f t="shared" si="20"/>
        <v>7191</v>
      </c>
      <c r="N297" s="7">
        <f t="shared" si="21"/>
        <v>7620</v>
      </c>
      <c r="O297" s="2">
        <v>56</v>
      </c>
      <c r="P297" s="8">
        <f t="shared" si="22"/>
        <v>7676</v>
      </c>
      <c r="Q297" s="8">
        <f t="shared" si="23"/>
        <v>5223</v>
      </c>
      <c r="R297" s="2" t="s">
        <v>28</v>
      </c>
      <c r="S297" s="9">
        <f t="shared" si="24"/>
        <v>383.8</v>
      </c>
    </row>
    <row r="298" spans="1:19" x14ac:dyDescent="0.3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IFERROR(VLOOKUP('Customer Info'!A290,'Customer Info'!A290:C789,2,FALSE),"Not Found")</f>
        <v>Lisa</v>
      </c>
      <c r="H298" s="6" t="str">
        <f>IFERROR(VLOOKUP('Customer Info'!A290,'Customer Info'!A290:C789,3,FALSE),"Not Found")</f>
        <v>DeCherney</v>
      </c>
      <c r="I298" s="6" t="str">
        <f>IFERROR(VLOOKUP('Customer Info'!A290,'Customer Info'!A290:E789,5,FALSE),"Not Found")</f>
        <v>Sydney</v>
      </c>
      <c r="J298" s="2">
        <v>542</v>
      </c>
      <c r="K298" s="2">
        <v>492</v>
      </c>
      <c r="L298" s="2">
        <v>3</v>
      </c>
      <c r="M298" s="7">
        <f t="shared" si="20"/>
        <v>1476</v>
      </c>
      <c r="N298" s="7">
        <f t="shared" si="21"/>
        <v>1626</v>
      </c>
      <c r="O298" s="2">
        <v>45</v>
      </c>
      <c r="P298" s="8">
        <f t="shared" si="22"/>
        <v>1671</v>
      </c>
      <c r="Q298" s="8">
        <f t="shared" si="23"/>
        <v>1134</v>
      </c>
      <c r="R298" s="2" t="s">
        <v>28</v>
      </c>
      <c r="S298" s="9">
        <f t="shared" si="24"/>
        <v>33.42</v>
      </c>
    </row>
    <row r="299" spans="1:19" x14ac:dyDescent="0.3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IFERROR(VLOOKUP('Customer Info'!A291,'Customer Info'!A291:C790,2,FALSE),"Not Found")</f>
        <v>Liz</v>
      </c>
      <c r="H299" s="6" t="str">
        <f>IFERROR(VLOOKUP('Customer Info'!A291,'Customer Info'!A291:C790,3,FALSE),"Not Found")</f>
        <v>Pelletier</v>
      </c>
      <c r="I299" s="6" t="str">
        <f>IFERROR(VLOOKUP('Customer Info'!A291,'Customer Info'!A291:E790,5,FALSE),"Not Found")</f>
        <v>Zigong</v>
      </c>
      <c r="J299" s="2">
        <v>140</v>
      </c>
      <c r="K299" s="2">
        <v>137</v>
      </c>
      <c r="L299" s="2">
        <v>1</v>
      </c>
      <c r="M299" s="7">
        <f t="shared" si="20"/>
        <v>137</v>
      </c>
      <c r="N299" s="7">
        <f t="shared" si="21"/>
        <v>140</v>
      </c>
      <c r="O299" s="2">
        <v>30</v>
      </c>
      <c r="P299" s="8">
        <f t="shared" si="22"/>
        <v>170</v>
      </c>
      <c r="Q299" s="8">
        <f t="shared" si="23"/>
        <v>3</v>
      </c>
      <c r="R299" s="2" t="s">
        <v>28</v>
      </c>
      <c r="S299" s="9">
        <f t="shared" si="24"/>
        <v>3.4</v>
      </c>
    </row>
    <row r="300" spans="1:19" x14ac:dyDescent="0.3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>IFERROR(VLOOKUP('Customer Info'!A292,'Customer Info'!A292:C791,2,FALSE),"Not Found")</f>
        <v>Liz</v>
      </c>
      <c r="H300" s="6" t="str">
        <f>IFERROR(VLOOKUP('Customer Info'!A292,'Customer Info'!A292:C791,3,FALSE),"Not Found")</f>
        <v>Carlisle</v>
      </c>
      <c r="I300" s="6" t="str">
        <f>IFERROR(VLOOKUP('Customer Info'!A292,'Customer Info'!A292:E791,5,FALSE),"Not Found")</f>
        <v>Luoyang</v>
      </c>
      <c r="J300" s="2">
        <v>2747</v>
      </c>
      <c r="K300" s="2">
        <v>2545</v>
      </c>
      <c r="L300" s="2">
        <v>1</v>
      </c>
      <c r="M300" s="7">
        <f t="shared" si="20"/>
        <v>2545</v>
      </c>
      <c r="N300" s="7">
        <f t="shared" si="21"/>
        <v>2747</v>
      </c>
      <c r="O300" s="2">
        <v>83</v>
      </c>
      <c r="P300" s="8">
        <f t="shared" si="22"/>
        <v>2830</v>
      </c>
      <c r="Q300" s="8">
        <f t="shared" si="23"/>
        <v>202</v>
      </c>
      <c r="R300" s="2" t="s">
        <v>28</v>
      </c>
      <c r="S300" s="9">
        <f t="shared" si="24"/>
        <v>56.6</v>
      </c>
    </row>
    <row r="301" spans="1:19" x14ac:dyDescent="0.3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IFERROR(VLOOKUP('Customer Info'!A293,'Customer Info'!A293:C792,2,FALSE),"Not Found")</f>
        <v>Logan</v>
      </c>
      <c r="H301" s="6" t="str">
        <f>IFERROR(VLOOKUP('Customer Info'!A293,'Customer Info'!A293:C792,3,FALSE),"Not Found")</f>
        <v>Haushalter</v>
      </c>
      <c r="I301" s="6" t="str">
        <f>IFERROR(VLOOKUP('Customer Info'!A293,'Customer Info'!A293:E792,5,FALSE),"Not Found")</f>
        <v>Canberra</v>
      </c>
      <c r="J301" s="2">
        <v>5848</v>
      </c>
      <c r="K301" s="2">
        <v>5214</v>
      </c>
      <c r="L301" s="2">
        <v>4</v>
      </c>
      <c r="M301" s="7">
        <f t="shared" si="20"/>
        <v>20856</v>
      </c>
      <c r="N301" s="7">
        <f t="shared" si="21"/>
        <v>23392</v>
      </c>
      <c r="O301" s="2">
        <v>35</v>
      </c>
      <c r="P301" s="8">
        <f t="shared" si="22"/>
        <v>23427</v>
      </c>
      <c r="Q301" s="8">
        <f t="shared" si="23"/>
        <v>18178</v>
      </c>
      <c r="R301" s="2" t="s">
        <v>28</v>
      </c>
      <c r="S301" s="9">
        <f t="shared" si="24"/>
        <v>1171.3500000000001</v>
      </c>
    </row>
    <row r="302" spans="1:19" x14ac:dyDescent="0.3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>IFERROR(VLOOKUP('Customer Info'!A294,'Customer Info'!A294:C793,2,FALSE),"Not Found")</f>
        <v>Logan</v>
      </c>
      <c r="H302" s="6" t="str">
        <f>IFERROR(VLOOKUP('Customer Info'!A294,'Customer Info'!A294:C793,3,FALSE),"Not Found")</f>
        <v>Currie</v>
      </c>
      <c r="I302" s="6" t="str">
        <f>IFERROR(VLOOKUP('Customer Info'!A294,'Customer Info'!A294:E793,5,FALSE),"Not Found")</f>
        <v>Gold Coast</v>
      </c>
      <c r="J302" s="2">
        <v>8967</v>
      </c>
      <c r="K302" s="2">
        <v>8151</v>
      </c>
      <c r="L302" s="2">
        <v>2</v>
      </c>
      <c r="M302" s="7">
        <f t="shared" si="20"/>
        <v>16302</v>
      </c>
      <c r="N302" s="7">
        <f t="shared" si="21"/>
        <v>17934</v>
      </c>
      <c r="O302" s="2">
        <v>51</v>
      </c>
      <c r="P302" s="8">
        <f t="shared" si="22"/>
        <v>17985</v>
      </c>
      <c r="Q302" s="8">
        <f t="shared" si="23"/>
        <v>9783</v>
      </c>
      <c r="R302" s="2" t="s">
        <v>28</v>
      </c>
      <c r="S302" s="9">
        <f t="shared" si="24"/>
        <v>899.25</v>
      </c>
    </row>
    <row r="303" spans="1:19" x14ac:dyDescent="0.3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>IFERROR(VLOOKUP('Customer Info'!A295,'Customer Info'!A295:C794,2,FALSE),"Not Found")</f>
        <v>Logan</v>
      </c>
      <c r="H303" s="6" t="str">
        <f>IFERROR(VLOOKUP('Customer Info'!A295,'Customer Info'!A295:C794,3,FALSE),"Not Found")</f>
        <v>Currie</v>
      </c>
      <c r="I303" s="6" t="str">
        <f>IFERROR(VLOOKUP('Customer Info'!A295,'Customer Info'!A295:E794,5,FALSE),"Not Found")</f>
        <v>Amravati</v>
      </c>
      <c r="J303" s="2">
        <v>1364</v>
      </c>
      <c r="K303" s="2">
        <v>1274</v>
      </c>
      <c r="L303" s="2">
        <v>2</v>
      </c>
      <c r="M303" s="7">
        <f t="shared" si="20"/>
        <v>2548</v>
      </c>
      <c r="N303" s="7">
        <f t="shared" si="21"/>
        <v>2728</v>
      </c>
      <c r="O303" s="2">
        <v>48</v>
      </c>
      <c r="P303" s="8">
        <f t="shared" si="22"/>
        <v>2776</v>
      </c>
      <c r="Q303" s="8">
        <f t="shared" si="23"/>
        <v>1454</v>
      </c>
      <c r="R303" s="2" t="s">
        <v>28</v>
      </c>
      <c r="S303" s="9">
        <f t="shared" si="24"/>
        <v>55.52</v>
      </c>
    </row>
    <row r="304" spans="1:19" x14ac:dyDescent="0.3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>IFERROR(VLOOKUP('Customer Info'!A296,'Customer Info'!A296:C795,2,FALSE),"Not Found")</f>
        <v>Logan</v>
      </c>
      <c r="H304" s="6" t="str">
        <f>IFERROR(VLOOKUP('Customer Info'!A296,'Customer Info'!A296:C795,3,FALSE),"Not Found")</f>
        <v>Currie</v>
      </c>
      <c r="I304" s="6" t="str">
        <f>IFERROR(VLOOKUP('Customer Info'!A296,'Customer Info'!A296:E795,5,FALSE),"Not Found")</f>
        <v>Anshan</v>
      </c>
      <c r="J304" s="2">
        <v>2951</v>
      </c>
      <c r="K304" s="2">
        <v>2786</v>
      </c>
      <c r="L304" s="2">
        <v>6</v>
      </c>
      <c r="M304" s="7">
        <f t="shared" si="20"/>
        <v>16716</v>
      </c>
      <c r="N304" s="7">
        <f t="shared" si="21"/>
        <v>17706</v>
      </c>
      <c r="O304" s="2">
        <v>85</v>
      </c>
      <c r="P304" s="8">
        <f t="shared" si="22"/>
        <v>17791</v>
      </c>
      <c r="Q304" s="8">
        <f t="shared" si="23"/>
        <v>14920</v>
      </c>
      <c r="R304" s="2" t="s">
        <v>50</v>
      </c>
      <c r="S304" s="9">
        <f t="shared" si="24"/>
        <v>889.55000000000007</v>
      </c>
    </row>
    <row r="305" spans="1:19" x14ac:dyDescent="0.3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>IFERROR(VLOOKUP('Customer Info'!A297,'Customer Info'!A297:C796,2,FALSE),"Not Found")</f>
        <v>Lynn</v>
      </c>
      <c r="H305" s="6" t="str">
        <f>IFERROR(VLOOKUP('Customer Info'!A297,'Customer Info'!A297:C796,3,FALSE),"Not Found")</f>
        <v>Smith</v>
      </c>
      <c r="I305" s="6" t="str">
        <f>IFERROR(VLOOKUP('Customer Info'!A297,'Customer Info'!A297:E796,5,FALSE),"Not Found")</f>
        <v>Kanpur</v>
      </c>
      <c r="J305" s="2">
        <v>1321</v>
      </c>
      <c r="K305" s="2">
        <v>1211</v>
      </c>
      <c r="L305" s="2">
        <v>4</v>
      </c>
      <c r="M305" s="7">
        <f t="shared" si="20"/>
        <v>4844</v>
      </c>
      <c r="N305" s="7">
        <f t="shared" si="21"/>
        <v>5284</v>
      </c>
      <c r="O305" s="2">
        <v>67</v>
      </c>
      <c r="P305" s="8">
        <f t="shared" si="22"/>
        <v>5351</v>
      </c>
      <c r="Q305" s="8">
        <f t="shared" si="23"/>
        <v>4073</v>
      </c>
      <c r="R305" s="2" t="s">
        <v>28</v>
      </c>
      <c r="S305" s="9">
        <f t="shared" si="24"/>
        <v>267.55</v>
      </c>
    </row>
    <row r="306" spans="1:19" x14ac:dyDescent="0.3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IFERROR(VLOOKUP('Customer Info'!A298,'Customer Info'!A298:C797,2,FALSE),"Not Found")</f>
        <v>Lynn</v>
      </c>
      <c r="H306" s="6" t="str">
        <f>IFERROR(VLOOKUP('Customer Info'!A298,'Customer Info'!A298:C797,3,FALSE),"Not Found")</f>
        <v>Smith</v>
      </c>
      <c r="I306" s="6" t="str">
        <f>IFERROR(VLOOKUP('Customer Info'!A298,'Customer Info'!A298:E797,5,FALSE),"Not Found")</f>
        <v>Guiping</v>
      </c>
      <c r="J306" s="2">
        <v>2271</v>
      </c>
      <c r="K306" s="2">
        <v>2144</v>
      </c>
      <c r="L306" s="2">
        <v>5</v>
      </c>
      <c r="M306" s="7">
        <f t="shared" si="20"/>
        <v>10720</v>
      </c>
      <c r="N306" s="7">
        <f t="shared" si="21"/>
        <v>11355</v>
      </c>
      <c r="O306" s="2">
        <v>85</v>
      </c>
      <c r="P306" s="8">
        <f t="shared" si="22"/>
        <v>11440</v>
      </c>
      <c r="Q306" s="8">
        <f t="shared" si="23"/>
        <v>9211</v>
      </c>
      <c r="R306" s="2" t="s">
        <v>28</v>
      </c>
      <c r="S306" s="9">
        <f t="shared" si="24"/>
        <v>572</v>
      </c>
    </row>
    <row r="307" spans="1:19" x14ac:dyDescent="0.3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IFERROR(VLOOKUP('Customer Info'!A299,'Customer Info'!A299:C798,2,FALSE),"Not Found")</f>
        <v>Magdelene</v>
      </c>
      <c r="H307" s="6" t="str">
        <f>IFERROR(VLOOKUP('Customer Info'!A299,'Customer Info'!A299:C798,3,FALSE),"Not Found")</f>
        <v>Morse</v>
      </c>
      <c r="I307" s="6" t="str">
        <f>IFERROR(VLOOKUP('Customer Info'!A299,'Customer Info'!A299:E798,5,FALSE),"Not Found")</f>
        <v>Berlin</v>
      </c>
      <c r="J307" s="2">
        <v>78</v>
      </c>
      <c r="K307" s="2">
        <v>74</v>
      </c>
      <c r="L307" s="2">
        <v>2</v>
      </c>
      <c r="M307" s="7">
        <f t="shared" si="20"/>
        <v>148</v>
      </c>
      <c r="N307" s="7">
        <f t="shared" si="21"/>
        <v>156</v>
      </c>
      <c r="O307" s="2">
        <v>10</v>
      </c>
      <c r="P307" s="8">
        <f t="shared" si="22"/>
        <v>166</v>
      </c>
      <c r="Q307" s="8">
        <f t="shared" si="23"/>
        <v>82</v>
      </c>
      <c r="R307" s="2" t="s">
        <v>50</v>
      </c>
      <c r="S307" s="9">
        <f t="shared" si="24"/>
        <v>3.3200000000000003</v>
      </c>
    </row>
    <row r="308" spans="1:19" x14ac:dyDescent="0.3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>IFERROR(VLOOKUP('Customer Info'!A300,'Customer Info'!A300:C799,2,FALSE),"Not Found")</f>
        <v>Marc</v>
      </c>
      <c r="H308" s="6" t="str">
        <f>IFERROR(VLOOKUP('Customer Info'!A300,'Customer Info'!A300:C799,3,FALSE),"Not Found")</f>
        <v>Harrigan</v>
      </c>
      <c r="I308" s="6" t="str">
        <f>IFERROR(VLOOKUP('Customer Info'!A300,'Customer Info'!A300:E799,5,FALSE),"Not Found")</f>
        <v>Bogor</v>
      </c>
      <c r="J308" s="2">
        <v>1482</v>
      </c>
      <c r="K308" s="2">
        <v>1453</v>
      </c>
      <c r="L308" s="2">
        <v>5</v>
      </c>
      <c r="M308" s="7">
        <f t="shared" si="20"/>
        <v>7265</v>
      </c>
      <c r="N308" s="7">
        <f t="shared" si="21"/>
        <v>7410</v>
      </c>
      <c r="O308" s="2">
        <v>57</v>
      </c>
      <c r="P308" s="8">
        <f t="shared" si="22"/>
        <v>7467</v>
      </c>
      <c r="Q308" s="8">
        <f t="shared" si="23"/>
        <v>5957</v>
      </c>
      <c r="R308" s="2" t="s">
        <v>50</v>
      </c>
      <c r="S308" s="9">
        <f t="shared" si="24"/>
        <v>373.35</v>
      </c>
    </row>
    <row r="309" spans="1:19" x14ac:dyDescent="0.3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>IFERROR(VLOOKUP('Customer Info'!A301,'Customer Info'!A301:C800,2,FALSE),"Not Found")</f>
        <v>Maribeth</v>
      </c>
      <c r="H309" s="6" t="str">
        <f>IFERROR(VLOOKUP('Customer Info'!A301,'Customer Info'!A301:C800,3,FALSE),"Not Found")</f>
        <v>Dona</v>
      </c>
      <c r="I309" s="6" t="str">
        <f>IFERROR(VLOOKUP('Customer Info'!A301,'Customer Info'!A301:E800,5,FALSE),"Not Found")</f>
        <v>Adelaide</v>
      </c>
      <c r="J309" s="2">
        <v>2228</v>
      </c>
      <c r="K309" s="2">
        <v>2143</v>
      </c>
      <c r="L309" s="2">
        <v>5</v>
      </c>
      <c r="M309" s="7">
        <f t="shared" si="20"/>
        <v>10715</v>
      </c>
      <c r="N309" s="7">
        <f t="shared" si="21"/>
        <v>11140</v>
      </c>
      <c r="O309" s="2">
        <v>67</v>
      </c>
      <c r="P309" s="8">
        <f t="shared" si="22"/>
        <v>11207</v>
      </c>
      <c r="Q309" s="8">
        <f t="shared" si="23"/>
        <v>8997</v>
      </c>
      <c r="R309" s="2" t="s">
        <v>26</v>
      </c>
      <c r="S309" s="9">
        <f t="shared" si="24"/>
        <v>560.35</v>
      </c>
    </row>
    <row r="310" spans="1:19" x14ac:dyDescent="0.3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IFERROR(VLOOKUP('Customer Info'!A302,'Customer Info'!A302:C801,2,FALSE),"Not Found")</f>
        <v>Marina</v>
      </c>
      <c r="H310" s="6" t="str">
        <f>IFERROR(VLOOKUP('Customer Info'!A302,'Customer Info'!A302:C801,3,FALSE),"Not Found")</f>
        <v>Lichtenstein</v>
      </c>
      <c r="I310" s="6" t="str">
        <f>IFERROR(VLOOKUP('Customer Info'!A302,'Customer Info'!A302:E801,5,FALSE),"Not Found")</f>
        <v>Denpasar</v>
      </c>
      <c r="J310" s="2">
        <v>144</v>
      </c>
      <c r="K310" s="2">
        <v>132</v>
      </c>
      <c r="L310" s="2">
        <v>5</v>
      </c>
      <c r="M310" s="7">
        <f t="shared" si="20"/>
        <v>660</v>
      </c>
      <c r="N310" s="7">
        <f t="shared" si="21"/>
        <v>720</v>
      </c>
      <c r="O310" s="2">
        <v>30</v>
      </c>
      <c r="P310" s="8">
        <f t="shared" si="22"/>
        <v>750</v>
      </c>
      <c r="Q310" s="8">
        <f t="shared" si="23"/>
        <v>588</v>
      </c>
      <c r="R310" s="2" t="s">
        <v>26</v>
      </c>
      <c r="S310" s="9">
        <f t="shared" si="24"/>
        <v>15</v>
      </c>
    </row>
    <row r="311" spans="1:19" x14ac:dyDescent="0.3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IFERROR(VLOOKUP('Customer Info'!A303,'Customer Info'!A303:C802,2,FALSE),"Not Found")</f>
        <v>Mark</v>
      </c>
      <c r="H311" s="6" t="str">
        <f>IFERROR(VLOOKUP('Customer Info'!A303,'Customer Info'!A303:C802,3,FALSE),"Not Found")</f>
        <v>Packer</v>
      </c>
      <c r="I311" s="6" t="str">
        <f>IFERROR(VLOOKUP('Customer Info'!A303,'Customer Info'!A303:E802,5,FALSE),"Not Found")</f>
        <v>Perth</v>
      </c>
      <c r="J311" s="2">
        <v>1210</v>
      </c>
      <c r="K311" s="2">
        <v>1164</v>
      </c>
      <c r="L311" s="2">
        <v>5</v>
      </c>
      <c r="M311" s="7">
        <f t="shared" si="20"/>
        <v>5820</v>
      </c>
      <c r="N311" s="7">
        <f t="shared" si="21"/>
        <v>6050</v>
      </c>
      <c r="O311" s="2">
        <v>64</v>
      </c>
      <c r="P311" s="8">
        <f t="shared" si="22"/>
        <v>6114</v>
      </c>
      <c r="Q311" s="8">
        <f t="shared" si="23"/>
        <v>4886</v>
      </c>
      <c r="R311" s="2" t="s">
        <v>50</v>
      </c>
      <c r="S311" s="9">
        <f t="shared" si="24"/>
        <v>305.7</v>
      </c>
    </row>
    <row r="312" spans="1:19" x14ac:dyDescent="0.3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IFERROR(VLOOKUP('Customer Info'!A304,'Customer Info'!A304:C803,2,FALSE),"Not Found")</f>
        <v>Mark</v>
      </c>
      <c r="H312" s="6" t="str">
        <f>IFERROR(VLOOKUP('Customer Info'!A304,'Customer Info'!A304:C803,3,FALSE),"Not Found")</f>
        <v>Cousins</v>
      </c>
      <c r="I312" s="6" t="str">
        <f>IFERROR(VLOOKUP('Customer Info'!A304,'Customer Info'!A304:E803,5,FALSE),"Not Found")</f>
        <v>Karimnagar</v>
      </c>
      <c r="J312" s="2">
        <v>531</v>
      </c>
      <c r="K312" s="2">
        <v>487</v>
      </c>
      <c r="L312" s="2">
        <v>3</v>
      </c>
      <c r="M312" s="7">
        <f t="shared" si="20"/>
        <v>1461</v>
      </c>
      <c r="N312" s="7">
        <f t="shared" si="21"/>
        <v>1593</v>
      </c>
      <c r="O312" s="2">
        <v>62</v>
      </c>
      <c r="P312" s="8">
        <f t="shared" si="22"/>
        <v>1655</v>
      </c>
      <c r="Q312" s="8">
        <f t="shared" si="23"/>
        <v>1106</v>
      </c>
      <c r="R312" s="2" t="s">
        <v>28</v>
      </c>
      <c r="S312" s="9">
        <f t="shared" si="24"/>
        <v>33.1</v>
      </c>
    </row>
    <row r="313" spans="1:19" x14ac:dyDescent="0.3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>IFERROR(VLOOKUP('Customer Info'!A305,'Customer Info'!A305:C804,2,FALSE),"Not Found")</f>
        <v>MaryBeth</v>
      </c>
      <c r="H313" s="6" t="str">
        <f>IFERROR(VLOOKUP('Customer Info'!A305,'Customer Info'!A305:C804,3,FALSE),"Not Found")</f>
        <v>Skach</v>
      </c>
      <c r="I313" s="6" t="str">
        <f>IFERROR(VLOOKUP('Customer Info'!A305,'Customer Info'!A305:E804,5,FALSE),"Not Found")</f>
        <v>Licheng</v>
      </c>
      <c r="J313" s="2">
        <v>2250</v>
      </c>
      <c r="K313" s="2">
        <v>2207</v>
      </c>
      <c r="L313" s="2">
        <v>6</v>
      </c>
      <c r="M313" s="7">
        <f t="shared" si="20"/>
        <v>13242</v>
      </c>
      <c r="N313" s="7">
        <f t="shared" si="21"/>
        <v>13500</v>
      </c>
      <c r="O313" s="2">
        <v>75</v>
      </c>
      <c r="P313" s="8">
        <f t="shared" si="22"/>
        <v>13575</v>
      </c>
      <c r="Q313" s="8">
        <f t="shared" si="23"/>
        <v>11293</v>
      </c>
      <c r="R313" s="2" t="s">
        <v>28</v>
      </c>
      <c r="S313" s="9">
        <f t="shared" si="24"/>
        <v>678.75</v>
      </c>
    </row>
    <row r="314" spans="1:19" x14ac:dyDescent="0.3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>IFERROR(VLOOKUP('Customer Info'!A306,'Customer Info'!A306:C805,2,FALSE),"Not Found")</f>
        <v>Matt</v>
      </c>
      <c r="H314" s="6" t="str">
        <f>IFERROR(VLOOKUP('Customer Info'!A306,'Customer Info'!A306:C805,3,FALSE),"Not Found")</f>
        <v>Collins</v>
      </c>
      <c r="I314" s="6" t="str">
        <f>IFERROR(VLOOKUP('Customer Info'!A306,'Customer Info'!A306:E805,5,FALSE),"Not Found")</f>
        <v>Mumbai</v>
      </c>
      <c r="J314" s="2">
        <v>2907</v>
      </c>
      <c r="K314" s="2">
        <v>2667</v>
      </c>
      <c r="L314" s="2">
        <v>1</v>
      </c>
      <c r="M314" s="7">
        <f t="shared" si="20"/>
        <v>2667</v>
      </c>
      <c r="N314" s="7">
        <f t="shared" si="21"/>
        <v>2907</v>
      </c>
      <c r="O314" s="2">
        <v>80</v>
      </c>
      <c r="P314" s="8">
        <f t="shared" si="22"/>
        <v>2987</v>
      </c>
      <c r="Q314" s="8">
        <f t="shared" si="23"/>
        <v>240</v>
      </c>
      <c r="R314" s="2" t="s">
        <v>50</v>
      </c>
      <c r="S314" s="9">
        <f t="shared" si="24"/>
        <v>59.74</v>
      </c>
    </row>
    <row r="315" spans="1:19" x14ac:dyDescent="0.3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>IFERROR(VLOOKUP('Customer Info'!A307,'Customer Info'!A307:C806,2,FALSE),"Not Found")</f>
        <v>Maureen</v>
      </c>
      <c r="H315" s="6" t="str">
        <f>IFERROR(VLOOKUP('Customer Info'!A307,'Customer Info'!A307:C806,3,FALSE),"Not Found")</f>
        <v>Gastineau</v>
      </c>
      <c r="I315" s="6" t="str">
        <f>IFERROR(VLOOKUP('Customer Info'!A307,'Customer Info'!A307:E806,5,FALSE),"Not Found")</f>
        <v>Melton</v>
      </c>
      <c r="J315" s="2">
        <v>1146</v>
      </c>
      <c r="K315" s="2">
        <v>1061</v>
      </c>
      <c r="L315" s="2">
        <v>7</v>
      </c>
      <c r="M315" s="7">
        <f t="shared" si="20"/>
        <v>7427</v>
      </c>
      <c r="N315" s="7">
        <f t="shared" si="21"/>
        <v>8022</v>
      </c>
      <c r="O315" s="2">
        <v>65</v>
      </c>
      <c r="P315" s="8">
        <f t="shared" si="22"/>
        <v>8087</v>
      </c>
      <c r="Q315" s="8">
        <f t="shared" si="23"/>
        <v>6961</v>
      </c>
      <c r="R315" s="2" t="s">
        <v>28</v>
      </c>
      <c r="S315" s="9">
        <f t="shared" si="24"/>
        <v>404.35</v>
      </c>
    </row>
    <row r="316" spans="1:19" x14ac:dyDescent="0.3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>IFERROR(VLOOKUP('Customer Info'!A308,'Customer Info'!A308:C807,2,FALSE),"Not Found")</f>
        <v>Maureen</v>
      </c>
      <c r="H316" s="6" t="str">
        <f>IFERROR(VLOOKUP('Customer Info'!A308,'Customer Info'!A308:C807,3,FALSE),"Not Found")</f>
        <v>Fritzler</v>
      </c>
      <c r="I316" s="6" t="str">
        <f>IFERROR(VLOOKUP('Customer Info'!A308,'Customer Info'!A308:E807,5,FALSE),"Not Found")</f>
        <v>BadenBaden</v>
      </c>
      <c r="J316" s="2">
        <v>2808</v>
      </c>
      <c r="K316" s="2">
        <v>2674</v>
      </c>
      <c r="L316" s="2">
        <v>3</v>
      </c>
      <c r="M316" s="7">
        <f t="shared" si="20"/>
        <v>8022</v>
      </c>
      <c r="N316" s="7">
        <f t="shared" si="21"/>
        <v>8424</v>
      </c>
      <c r="O316" s="2">
        <v>59</v>
      </c>
      <c r="P316" s="8">
        <f t="shared" si="22"/>
        <v>8483</v>
      </c>
      <c r="Q316" s="8">
        <f t="shared" si="23"/>
        <v>5750</v>
      </c>
      <c r="R316" s="2" t="s">
        <v>50</v>
      </c>
      <c r="S316" s="9">
        <f t="shared" si="24"/>
        <v>424.15000000000003</v>
      </c>
    </row>
    <row r="317" spans="1:19" x14ac:dyDescent="0.3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IFERROR(VLOOKUP('Customer Info'!A309,'Customer Info'!A309:C808,2,FALSE),"Not Found")</f>
        <v>Max</v>
      </c>
      <c r="H317" s="6" t="str">
        <f>IFERROR(VLOOKUP('Customer Info'!A309,'Customer Info'!A309:C808,3,FALSE),"Not Found")</f>
        <v>Ludwig</v>
      </c>
      <c r="I317" s="6" t="str">
        <f>IFERROR(VLOOKUP('Customer Info'!A309,'Customer Info'!A309:E808,5,FALSE),"Not Found")</f>
        <v>Cirebon</v>
      </c>
      <c r="J317" s="2">
        <v>4832</v>
      </c>
      <c r="K317" s="2">
        <v>4563</v>
      </c>
      <c r="L317" s="2">
        <v>3</v>
      </c>
      <c r="M317" s="7">
        <f t="shared" si="20"/>
        <v>13689</v>
      </c>
      <c r="N317" s="7">
        <f t="shared" si="21"/>
        <v>14496</v>
      </c>
      <c r="O317" s="2">
        <v>98</v>
      </c>
      <c r="P317" s="8">
        <f t="shared" si="22"/>
        <v>14594</v>
      </c>
      <c r="Q317" s="8">
        <f t="shared" si="23"/>
        <v>9933</v>
      </c>
      <c r="R317" s="2" t="s">
        <v>50</v>
      </c>
      <c r="S317" s="9">
        <f t="shared" si="24"/>
        <v>729.7</v>
      </c>
    </row>
    <row r="318" spans="1:19" x14ac:dyDescent="0.3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IFERROR(VLOOKUP('Customer Info'!A310,'Customer Info'!A310:C809,2,FALSE),"Not Found")</f>
        <v>Max</v>
      </c>
      <c r="H318" s="6" t="str">
        <f>IFERROR(VLOOKUP('Customer Info'!A310,'Customer Info'!A310:C809,3,FALSE),"Not Found")</f>
        <v>Ludwig</v>
      </c>
      <c r="I318" s="6" t="str">
        <f>IFERROR(VLOOKUP('Customer Info'!A310,'Customer Info'!A310:E809,5,FALSE),"Not Found")</f>
        <v>Newcastle</v>
      </c>
      <c r="J318" s="2">
        <v>1718</v>
      </c>
      <c r="K318" s="2">
        <v>1545</v>
      </c>
      <c r="L318" s="2">
        <v>9</v>
      </c>
      <c r="M318" s="7">
        <f t="shared" si="20"/>
        <v>13905</v>
      </c>
      <c r="N318" s="7">
        <f t="shared" si="21"/>
        <v>15462</v>
      </c>
      <c r="O318" s="2">
        <v>90</v>
      </c>
      <c r="P318" s="8">
        <f t="shared" si="22"/>
        <v>15552</v>
      </c>
      <c r="Q318" s="8">
        <f t="shared" si="23"/>
        <v>13917</v>
      </c>
      <c r="R318" s="2" t="s">
        <v>50</v>
      </c>
      <c r="S318" s="9">
        <f t="shared" si="24"/>
        <v>777.6</v>
      </c>
    </row>
    <row r="319" spans="1:19" x14ac:dyDescent="0.3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IFERROR(VLOOKUP('Customer Info'!A311,'Customer Info'!A311:C810,2,FALSE),"Not Found")</f>
        <v>Max</v>
      </c>
      <c r="H319" s="6" t="str">
        <f>IFERROR(VLOOKUP('Customer Info'!A311,'Customer Info'!A311:C810,3,FALSE),"Not Found")</f>
        <v>Jones</v>
      </c>
      <c r="I319" s="6" t="str">
        <f>IFERROR(VLOOKUP('Customer Info'!A311,'Customer Info'!A311:E810,5,FALSE),"Not Found")</f>
        <v>Yuncheng</v>
      </c>
      <c r="J319" s="2">
        <v>2155</v>
      </c>
      <c r="K319" s="2">
        <v>2014</v>
      </c>
      <c r="L319" s="2">
        <v>3</v>
      </c>
      <c r="M319" s="7">
        <f t="shared" si="20"/>
        <v>6042</v>
      </c>
      <c r="N319" s="7">
        <f t="shared" si="21"/>
        <v>6465</v>
      </c>
      <c r="O319" s="2">
        <v>50</v>
      </c>
      <c r="P319" s="8">
        <f t="shared" si="22"/>
        <v>6515</v>
      </c>
      <c r="Q319" s="8">
        <f t="shared" si="23"/>
        <v>4451</v>
      </c>
      <c r="R319" s="2" t="s">
        <v>28</v>
      </c>
      <c r="S319" s="9">
        <f t="shared" si="24"/>
        <v>325.75</v>
      </c>
    </row>
    <row r="320" spans="1:19" x14ac:dyDescent="0.3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IFERROR(VLOOKUP('Customer Info'!A312,'Customer Info'!A312:C811,2,FALSE),"Not Found")</f>
        <v>Meg</v>
      </c>
      <c r="H320" s="6" t="str">
        <f>IFERROR(VLOOKUP('Customer Info'!A312,'Customer Info'!A312:C811,3,FALSE),"Not Found")</f>
        <v>Tillman</v>
      </c>
      <c r="I320" s="6" t="str">
        <f>IFERROR(VLOOKUP('Customer Info'!A312,'Customer Info'!A312:E811,5,FALSE),"Not Found")</f>
        <v>Melbourne</v>
      </c>
      <c r="J320" s="2">
        <v>8187</v>
      </c>
      <c r="K320" s="2">
        <v>7799</v>
      </c>
      <c r="L320" s="2">
        <v>3</v>
      </c>
      <c r="M320" s="7">
        <f t="shared" si="20"/>
        <v>23397</v>
      </c>
      <c r="N320" s="7">
        <f t="shared" si="21"/>
        <v>24561</v>
      </c>
      <c r="O320" s="2">
        <v>74</v>
      </c>
      <c r="P320" s="8">
        <f t="shared" si="22"/>
        <v>24635</v>
      </c>
      <c r="Q320" s="8">
        <f t="shared" si="23"/>
        <v>16762</v>
      </c>
      <c r="R320" s="2" t="s">
        <v>50</v>
      </c>
      <c r="S320" s="9">
        <f t="shared" si="24"/>
        <v>1231.75</v>
      </c>
    </row>
    <row r="321" spans="1:19" x14ac:dyDescent="0.3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IFERROR(VLOOKUP('Customer Info'!A313,'Customer Info'!A313:C812,2,FALSE),"Not Found")</f>
        <v>Meg</v>
      </c>
      <c r="H321" s="6" t="str">
        <f>IFERROR(VLOOKUP('Customer Info'!A313,'Customer Info'!A313:C812,3,FALSE),"Not Found")</f>
        <v>Tillman</v>
      </c>
      <c r="I321" s="6" t="str">
        <f>IFERROR(VLOOKUP('Customer Info'!A313,'Customer Info'!A313:E812,5,FALSE),"Not Found")</f>
        <v>Bangalore</v>
      </c>
      <c r="J321" s="2">
        <v>2843</v>
      </c>
      <c r="K321" s="2">
        <v>2735</v>
      </c>
      <c r="L321" s="2">
        <v>1</v>
      </c>
      <c r="M321" s="7">
        <f t="shared" si="20"/>
        <v>2735</v>
      </c>
      <c r="N321" s="7">
        <f t="shared" si="21"/>
        <v>2843</v>
      </c>
      <c r="O321" s="2">
        <v>23</v>
      </c>
      <c r="P321" s="8">
        <f t="shared" si="22"/>
        <v>2866</v>
      </c>
      <c r="Q321" s="8">
        <f t="shared" si="23"/>
        <v>108</v>
      </c>
      <c r="R321" s="2" t="s">
        <v>28</v>
      </c>
      <c r="S321" s="9">
        <f t="shared" si="24"/>
        <v>57.32</v>
      </c>
    </row>
    <row r="322" spans="1:19" x14ac:dyDescent="0.3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IFERROR(VLOOKUP('Customer Info'!A314,'Customer Info'!A314:C813,2,FALSE),"Not Found")</f>
        <v>Melanie</v>
      </c>
      <c r="H322" s="6" t="str">
        <f>IFERROR(VLOOKUP('Customer Info'!A314,'Customer Info'!A314:C813,3,FALSE),"Not Found")</f>
        <v>Seite</v>
      </c>
      <c r="I322" s="6" t="str">
        <f>IFERROR(VLOOKUP('Customer Info'!A314,'Customer Info'!A314:E813,5,FALSE),"Not Found")</f>
        <v>Xining</v>
      </c>
      <c r="J322" s="2">
        <v>2921</v>
      </c>
      <c r="K322" s="2">
        <v>2809</v>
      </c>
      <c r="L322" s="2">
        <v>7</v>
      </c>
      <c r="M322" s="7">
        <f t="shared" si="20"/>
        <v>19663</v>
      </c>
      <c r="N322" s="7">
        <f t="shared" si="21"/>
        <v>20447</v>
      </c>
      <c r="O322" s="2">
        <v>87</v>
      </c>
      <c r="P322" s="8">
        <f t="shared" si="22"/>
        <v>20534</v>
      </c>
      <c r="Q322" s="8">
        <f t="shared" si="23"/>
        <v>17638</v>
      </c>
      <c r="R322" s="2" t="s">
        <v>26</v>
      </c>
      <c r="S322" s="9">
        <f t="shared" si="24"/>
        <v>1026.7</v>
      </c>
    </row>
    <row r="323" spans="1:19" x14ac:dyDescent="0.3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IFERROR(VLOOKUP('Customer Info'!A315,'Customer Info'!A315:C814,2,FALSE),"Not Found")</f>
        <v>Michael</v>
      </c>
      <c r="H323" s="6" t="str">
        <f>IFERROR(VLOOKUP('Customer Info'!A315,'Customer Info'!A315:C814,3,FALSE),"Not Found")</f>
        <v>Granlund</v>
      </c>
      <c r="I323" s="6" t="str">
        <f>IFERROR(VLOOKUP('Customer Info'!A315,'Customer Info'!A315:E814,5,FALSE),"Not Found")</f>
        <v>Sydney</v>
      </c>
      <c r="J323" s="2">
        <v>61</v>
      </c>
      <c r="K323" s="2">
        <v>56</v>
      </c>
      <c r="L323" s="2">
        <v>2</v>
      </c>
      <c r="M323" s="7">
        <f t="shared" si="20"/>
        <v>112</v>
      </c>
      <c r="N323" s="7">
        <f t="shared" si="21"/>
        <v>122</v>
      </c>
      <c r="O323" s="2">
        <v>10</v>
      </c>
      <c r="P323" s="8">
        <f t="shared" si="22"/>
        <v>132</v>
      </c>
      <c r="Q323" s="8">
        <f t="shared" si="23"/>
        <v>66</v>
      </c>
      <c r="R323" s="2" t="s">
        <v>28</v>
      </c>
      <c r="S323" s="9">
        <f t="shared" si="24"/>
        <v>2.64</v>
      </c>
    </row>
    <row r="324" spans="1:19" x14ac:dyDescent="0.3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IFERROR(VLOOKUP('Customer Info'!A316,'Customer Info'!A316:C815,2,FALSE),"Not Found")</f>
        <v>Michael</v>
      </c>
      <c r="H324" s="6" t="str">
        <f>IFERROR(VLOOKUP('Customer Info'!A316,'Customer Info'!A316:C815,3,FALSE),"Not Found")</f>
        <v>Moore</v>
      </c>
      <c r="I324" s="6" t="str">
        <f>IFERROR(VLOOKUP('Customer Info'!A316,'Customer Info'!A316:E815,5,FALSE),"Not Found")</f>
        <v>Geelong</v>
      </c>
      <c r="J324" s="2">
        <v>2958</v>
      </c>
      <c r="K324" s="2">
        <v>2743</v>
      </c>
      <c r="L324" s="2">
        <v>2</v>
      </c>
      <c r="M324" s="7">
        <f t="shared" si="20"/>
        <v>5486</v>
      </c>
      <c r="N324" s="7">
        <f t="shared" si="21"/>
        <v>5916</v>
      </c>
      <c r="O324" s="2">
        <v>91</v>
      </c>
      <c r="P324" s="8">
        <f t="shared" si="22"/>
        <v>6007</v>
      </c>
      <c r="Q324" s="8">
        <f t="shared" si="23"/>
        <v>3173</v>
      </c>
      <c r="R324" s="2" t="s">
        <v>50</v>
      </c>
      <c r="S324" s="9">
        <f t="shared" si="24"/>
        <v>300.35000000000002</v>
      </c>
    </row>
    <row r="325" spans="1:19" x14ac:dyDescent="0.3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IFERROR(VLOOKUP('Customer Info'!A317,'Customer Info'!A317:C816,2,FALSE),"Not Found")</f>
        <v>Michael</v>
      </c>
      <c r="H325" s="6" t="str">
        <f>IFERROR(VLOOKUP('Customer Info'!A317,'Customer Info'!A317:C816,3,FALSE),"Not Found")</f>
        <v>Nguyen</v>
      </c>
      <c r="I325" s="6" t="str">
        <f>IFERROR(VLOOKUP('Customer Info'!A317,'Customer Info'!A317:E816,5,FALSE),"Not Found")</f>
        <v>Berlin</v>
      </c>
      <c r="J325" s="2">
        <v>3256</v>
      </c>
      <c r="K325" s="2">
        <v>2959</v>
      </c>
      <c r="L325" s="2">
        <v>3</v>
      </c>
      <c r="M325" s="7">
        <f t="shared" si="20"/>
        <v>8877</v>
      </c>
      <c r="N325" s="7">
        <f t="shared" si="21"/>
        <v>9768</v>
      </c>
      <c r="O325" s="2">
        <v>69</v>
      </c>
      <c r="P325" s="8">
        <f t="shared" si="22"/>
        <v>9837</v>
      </c>
      <c r="Q325" s="8">
        <f t="shared" si="23"/>
        <v>6809</v>
      </c>
      <c r="R325" s="2" t="s">
        <v>28</v>
      </c>
      <c r="S325" s="9">
        <f t="shared" si="24"/>
        <v>491.85</v>
      </c>
    </row>
    <row r="326" spans="1:19" x14ac:dyDescent="0.3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IFERROR(VLOOKUP('Customer Info'!A318,'Customer Info'!A318:C817,2,FALSE),"Not Found")</f>
        <v>Michael</v>
      </c>
      <c r="H326" s="6" t="str">
        <f>IFERROR(VLOOKUP('Customer Info'!A318,'Customer Info'!A318:C817,3,FALSE),"Not Found")</f>
        <v>Chen</v>
      </c>
      <c r="I326" s="6" t="str">
        <f>IFERROR(VLOOKUP('Customer Info'!A318,'Customer Info'!A318:E817,5,FALSE),"Not Found")</f>
        <v>Jakarta</v>
      </c>
      <c r="J326" s="2">
        <v>2244</v>
      </c>
      <c r="K326" s="2">
        <v>2143</v>
      </c>
      <c r="L326" s="2">
        <v>3</v>
      </c>
      <c r="M326" s="7">
        <f t="shared" si="20"/>
        <v>6429</v>
      </c>
      <c r="N326" s="7">
        <f t="shared" si="21"/>
        <v>6732</v>
      </c>
      <c r="O326" s="2">
        <v>36</v>
      </c>
      <c r="P326" s="8">
        <f t="shared" si="22"/>
        <v>6768</v>
      </c>
      <c r="Q326" s="8">
        <f t="shared" si="23"/>
        <v>4589</v>
      </c>
      <c r="R326" s="2" t="s">
        <v>50</v>
      </c>
      <c r="S326" s="9">
        <f t="shared" si="24"/>
        <v>338.40000000000003</v>
      </c>
    </row>
    <row r="327" spans="1:19" x14ac:dyDescent="0.3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>IFERROR(VLOOKUP('Customer Info'!A319,'Customer Info'!A319:C818,2,FALSE),"Not Found")</f>
        <v>Michael</v>
      </c>
      <c r="H327" s="6" t="str">
        <f>IFERROR(VLOOKUP('Customer Info'!A319,'Customer Info'!A319:C818,3,FALSE),"Not Found")</f>
        <v>Moore</v>
      </c>
      <c r="I327" s="6" t="str">
        <f>IFERROR(VLOOKUP('Customer Info'!A319,'Customer Info'!A319:E818,5,FALSE),"Not Found")</f>
        <v>Melbourne</v>
      </c>
      <c r="J327" s="2">
        <v>1605</v>
      </c>
      <c r="K327" s="2">
        <v>1530</v>
      </c>
      <c r="L327" s="2">
        <v>2</v>
      </c>
      <c r="M327" s="7">
        <f t="shared" si="20"/>
        <v>3060</v>
      </c>
      <c r="N327" s="7">
        <f t="shared" si="21"/>
        <v>3210</v>
      </c>
      <c r="O327" s="2">
        <v>36</v>
      </c>
      <c r="P327" s="8">
        <f t="shared" si="22"/>
        <v>3246</v>
      </c>
      <c r="Q327" s="8">
        <f t="shared" si="23"/>
        <v>1680</v>
      </c>
      <c r="R327" s="2" t="s">
        <v>28</v>
      </c>
      <c r="S327" s="9">
        <f t="shared" si="24"/>
        <v>64.92</v>
      </c>
    </row>
    <row r="328" spans="1:19" x14ac:dyDescent="0.3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IFERROR(VLOOKUP('Customer Info'!A320,'Customer Info'!A320:C819,2,FALSE),"Not Found")</f>
        <v>Michael</v>
      </c>
      <c r="H328" s="6" t="str">
        <f>IFERROR(VLOOKUP('Customer Info'!A320,'Customer Info'!A320:C819,3,FALSE),"Not Found")</f>
        <v>Moore</v>
      </c>
      <c r="I328" s="6" t="str">
        <f>IFERROR(VLOOKUP('Customer Info'!A320,'Customer Info'!A320:E819,5,FALSE),"Not Found")</f>
        <v>Medan</v>
      </c>
      <c r="J328" s="2">
        <v>674</v>
      </c>
      <c r="K328" s="2">
        <v>629</v>
      </c>
      <c r="L328" s="2">
        <v>2</v>
      </c>
      <c r="M328" s="7">
        <f t="shared" si="20"/>
        <v>1258</v>
      </c>
      <c r="N328" s="7">
        <f t="shared" si="21"/>
        <v>1348</v>
      </c>
      <c r="O328" s="2">
        <v>86</v>
      </c>
      <c r="P328" s="8">
        <f t="shared" si="22"/>
        <v>1434</v>
      </c>
      <c r="Q328" s="8">
        <f t="shared" si="23"/>
        <v>719</v>
      </c>
      <c r="R328" s="2" t="s">
        <v>50</v>
      </c>
      <c r="S328" s="9">
        <f t="shared" si="24"/>
        <v>28.68</v>
      </c>
    </row>
    <row r="329" spans="1:19" x14ac:dyDescent="0.3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IFERROR(VLOOKUP('Customer Info'!A321,'Customer Info'!A321:C820,2,FALSE),"Not Found")</f>
        <v>Michael</v>
      </c>
      <c r="H329" s="6" t="str">
        <f>IFERROR(VLOOKUP('Customer Info'!A321,'Customer Info'!A321:C820,3,FALSE),"Not Found")</f>
        <v>Moore</v>
      </c>
      <c r="I329" s="6" t="str">
        <f>IFERROR(VLOOKUP('Customer Info'!A321,'Customer Info'!A321:E820,5,FALSE),"Not Found")</f>
        <v>Vadodara</v>
      </c>
      <c r="J329" s="2">
        <v>1651</v>
      </c>
      <c r="K329" s="2">
        <v>1604</v>
      </c>
      <c r="L329" s="2">
        <v>1</v>
      </c>
      <c r="M329" s="7">
        <f t="shared" si="20"/>
        <v>1604</v>
      </c>
      <c r="N329" s="7">
        <f t="shared" si="21"/>
        <v>1651</v>
      </c>
      <c r="O329" s="2">
        <v>65</v>
      </c>
      <c r="P329" s="8">
        <f t="shared" si="22"/>
        <v>1716</v>
      </c>
      <c r="Q329" s="8">
        <f t="shared" si="23"/>
        <v>47</v>
      </c>
      <c r="R329" s="2" t="s">
        <v>26</v>
      </c>
      <c r="S329" s="9">
        <f t="shared" si="24"/>
        <v>34.32</v>
      </c>
    </row>
    <row r="330" spans="1:19" x14ac:dyDescent="0.3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IFERROR(VLOOKUP('Customer Info'!A322,'Customer Info'!A322:C821,2,FALSE),"Not Found")</f>
        <v>Michelle</v>
      </c>
      <c r="H330" s="6" t="str">
        <f>IFERROR(VLOOKUP('Customer Info'!A322,'Customer Info'!A322:C821,3,FALSE),"Not Found")</f>
        <v>Tran</v>
      </c>
      <c r="I330" s="6" t="str">
        <f>IFERROR(VLOOKUP('Customer Info'!A322,'Customer Info'!A322:E821,5,FALSE),"Not Found")</f>
        <v>Mount Gambier</v>
      </c>
      <c r="J330" s="2">
        <v>1772</v>
      </c>
      <c r="K330" s="2">
        <v>1656</v>
      </c>
      <c r="L330" s="2">
        <v>4</v>
      </c>
      <c r="M330" s="7">
        <f t="shared" si="20"/>
        <v>6624</v>
      </c>
      <c r="N330" s="7">
        <f t="shared" si="21"/>
        <v>7088</v>
      </c>
      <c r="O330" s="2">
        <v>25</v>
      </c>
      <c r="P330" s="8">
        <f t="shared" si="22"/>
        <v>7113</v>
      </c>
      <c r="Q330" s="8">
        <f t="shared" si="23"/>
        <v>5432</v>
      </c>
      <c r="R330" s="2" t="s">
        <v>28</v>
      </c>
      <c r="S330" s="9">
        <f t="shared" si="24"/>
        <v>355.65000000000003</v>
      </c>
    </row>
    <row r="331" spans="1:19" x14ac:dyDescent="0.3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>IFERROR(VLOOKUP('Customer Info'!A323,'Customer Info'!A323:C822,2,FALSE),"Not Found")</f>
        <v>Michelle</v>
      </c>
      <c r="H331" s="6" t="str">
        <f>IFERROR(VLOOKUP('Customer Info'!A323,'Customer Info'!A323:C822,3,FALSE),"Not Found")</f>
        <v>Arnett</v>
      </c>
      <c r="I331" s="6" t="str">
        <f>IFERROR(VLOOKUP('Customer Info'!A323,'Customer Info'!A323:E822,5,FALSE),"Not Found")</f>
        <v>Palembang</v>
      </c>
      <c r="J331" s="2">
        <v>1332</v>
      </c>
      <c r="K331" s="2">
        <v>1209</v>
      </c>
      <c r="L331" s="2">
        <v>4</v>
      </c>
      <c r="M331" s="7">
        <f t="shared" ref="M331:M394" si="25">$K331*$L331</f>
        <v>4836</v>
      </c>
      <c r="N331" s="7">
        <f t="shared" ref="N331:N394" si="26">$J331*$L331</f>
        <v>5328</v>
      </c>
      <c r="O331" s="2">
        <v>62</v>
      </c>
      <c r="P331" s="8">
        <f t="shared" ref="P331:P394" si="27">$N331+$O331</f>
        <v>5390</v>
      </c>
      <c r="Q331" s="8">
        <f t="shared" ref="Q331:Q394" si="28">$N331-$K331</f>
        <v>4119</v>
      </c>
      <c r="R331" s="2" t="s">
        <v>50</v>
      </c>
      <c r="S331" s="9">
        <f t="shared" ref="S331:S394" si="29" xml:space="preserve"> P331 * VLOOKUP(P331, $T$2:$U$6, 2, TRUE)</f>
        <v>269.5</v>
      </c>
    </row>
    <row r="332" spans="1:19" x14ac:dyDescent="0.3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IFERROR(VLOOKUP('Customer Info'!A324,'Customer Info'!A324:C823,2,FALSE),"Not Found")</f>
        <v>Michelle</v>
      </c>
      <c r="H332" s="6" t="str">
        <f>IFERROR(VLOOKUP('Customer Info'!A324,'Customer Info'!A324:C823,3,FALSE),"Not Found")</f>
        <v>Arnett</v>
      </c>
      <c r="I332" s="6" t="str">
        <f>IFERROR(VLOOKUP('Customer Info'!A324,'Customer Info'!A324:E823,5,FALSE),"Not Found")</f>
        <v>Yancheng</v>
      </c>
      <c r="J332" s="2">
        <v>2907</v>
      </c>
      <c r="K332" s="2">
        <v>2667</v>
      </c>
      <c r="L332" s="2">
        <v>4</v>
      </c>
      <c r="M332" s="7">
        <f t="shared" si="25"/>
        <v>10668</v>
      </c>
      <c r="N332" s="7">
        <f t="shared" si="26"/>
        <v>11628</v>
      </c>
      <c r="O332" s="2">
        <v>77</v>
      </c>
      <c r="P332" s="8">
        <f t="shared" si="27"/>
        <v>11705</v>
      </c>
      <c r="Q332" s="8">
        <f t="shared" si="28"/>
        <v>8961</v>
      </c>
      <c r="R332" s="2" t="s">
        <v>28</v>
      </c>
      <c r="S332" s="9">
        <f t="shared" si="29"/>
        <v>585.25</v>
      </c>
    </row>
    <row r="333" spans="1:19" x14ac:dyDescent="0.3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>IFERROR(VLOOKUP('Customer Info'!A325,'Customer Info'!A325:C824,2,FALSE),"Not Found")</f>
        <v>Mick</v>
      </c>
      <c r="H333" s="6" t="str">
        <f>IFERROR(VLOOKUP('Customer Info'!A325,'Customer Info'!A325:C824,3,FALSE),"Not Found")</f>
        <v>Brown</v>
      </c>
      <c r="I333" s="6" t="str">
        <f>IFERROR(VLOOKUP('Customer Info'!A325,'Customer Info'!A325:E824,5,FALSE),"Not Found")</f>
        <v>Shenzhen</v>
      </c>
      <c r="J333" s="2">
        <v>2418</v>
      </c>
      <c r="K333" s="2">
        <v>2282</v>
      </c>
      <c r="L333" s="2">
        <v>1</v>
      </c>
      <c r="M333" s="7">
        <f t="shared" si="25"/>
        <v>2282</v>
      </c>
      <c r="N333" s="7">
        <f t="shared" si="26"/>
        <v>2418</v>
      </c>
      <c r="O333" s="2">
        <v>48</v>
      </c>
      <c r="P333" s="8">
        <f t="shared" si="27"/>
        <v>2466</v>
      </c>
      <c r="Q333" s="8">
        <f t="shared" si="28"/>
        <v>136</v>
      </c>
      <c r="R333" s="2" t="s">
        <v>50</v>
      </c>
      <c r="S333" s="9">
        <f t="shared" si="29"/>
        <v>49.32</v>
      </c>
    </row>
    <row r="334" spans="1:19" x14ac:dyDescent="0.3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IFERROR(VLOOKUP('Customer Info'!A326,'Customer Info'!A326:C825,2,FALSE),"Not Found")</f>
        <v>Mick</v>
      </c>
      <c r="H334" s="6" t="str">
        <f>IFERROR(VLOOKUP('Customer Info'!A326,'Customer Info'!A326:C825,3,FALSE),"Not Found")</f>
        <v>Crebagga</v>
      </c>
      <c r="I334" s="6" t="str">
        <f>IFERROR(VLOOKUP('Customer Info'!A326,'Customer Info'!A326:E825,5,FALSE),"Not Found")</f>
        <v>Banjarmasin</v>
      </c>
      <c r="J334" s="2">
        <v>188</v>
      </c>
      <c r="K334" s="2">
        <v>173</v>
      </c>
      <c r="L334" s="2">
        <v>4</v>
      </c>
      <c r="M334" s="7">
        <f t="shared" si="25"/>
        <v>692</v>
      </c>
      <c r="N334" s="7">
        <f t="shared" si="26"/>
        <v>752</v>
      </c>
      <c r="O334" s="2">
        <v>30</v>
      </c>
      <c r="P334" s="8">
        <f t="shared" si="27"/>
        <v>782</v>
      </c>
      <c r="Q334" s="8">
        <f t="shared" si="28"/>
        <v>579</v>
      </c>
      <c r="R334" s="2" t="s">
        <v>56</v>
      </c>
      <c r="S334" s="9">
        <f t="shared" si="29"/>
        <v>15.64</v>
      </c>
    </row>
    <row r="335" spans="1:19" x14ac:dyDescent="0.3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>IFERROR(VLOOKUP('Customer Info'!A327,'Customer Info'!A327:C826,2,FALSE),"Not Found")</f>
        <v>Mick</v>
      </c>
      <c r="H335" s="6" t="str">
        <f>IFERROR(VLOOKUP('Customer Info'!A327,'Customer Info'!A327:C826,3,FALSE),"Not Found")</f>
        <v>Brown</v>
      </c>
      <c r="I335" s="6" t="str">
        <f>IFERROR(VLOOKUP('Customer Info'!A327,'Customer Info'!A327:E826,5,FALSE),"Not Found")</f>
        <v>Frankfurt</v>
      </c>
      <c r="J335" s="2">
        <v>1533</v>
      </c>
      <c r="K335" s="2">
        <v>1406</v>
      </c>
      <c r="L335" s="2">
        <v>3</v>
      </c>
      <c r="M335" s="7">
        <f t="shared" si="25"/>
        <v>4218</v>
      </c>
      <c r="N335" s="7">
        <f t="shared" si="26"/>
        <v>4599</v>
      </c>
      <c r="O335" s="2">
        <v>44</v>
      </c>
      <c r="P335" s="8">
        <f t="shared" si="27"/>
        <v>4643</v>
      </c>
      <c r="Q335" s="8">
        <f t="shared" si="28"/>
        <v>3193</v>
      </c>
      <c r="R335" s="2" t="s">
        <v>28</v>
      </c>
      <c r="S335" s="9">
        <f t="shared" si="29"/>
        <v>92.86</v>
      </c>
    </row>
    <row r="336" spans="1:19" x14ac:dyDescent="0.3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>IFERROR(VLOOKUP('Customer Info'!A328,'Customer Info'!A328:C827,2,FALSE),"Not Found")</f>
        <v>Mike</v>
      </c>
      <c r="H336" s="6" t="str">
        <f>IFERROR(VLOOKUP('Customer Info'!A328,'Customer Info'!A328:C827,3,FALSE),"Not Found")</f>
        <v>Vittorini</v>
      </c>
      <c r="I336" s="6" t="str">
        <f>IFERROR(VLOOKUP('Customer Info'!A328,'Customer Info'!A328:E827,5,FALSE),"Not Found")</f>
        <v>Naihati</v>
      </c>
      <c r="J336" s="2">
        <v>1358</v>
      </c>
      <c r="K336" s="2">
        <v>1257</v>
      </c>
      <c r="L336" s="2">
        <v>1</v>
      </c>
      <c r="M336" s="7">
        <f t="shared" si="25"/>
        <v>1257</v>
      </c>
      <c r="N336" s="7">
        <f t="shared" si="26"/>
        <v>1358</v>
      </c>
      <c r="O336" s="2">
        <v>83</v>
      </c>
      <c r="P336" s="8">
        <f t="shared" si="27"/>
        <v>1441</v>
      </c>
      <c r="Q336" s="8">
        <f t="shared" si="28"/>
        <v>101</v>
      </c>
      <c r="R336" s="2" t="s">
        <v>28</v>
      </c>
      <c r="S336" s="9">
        <f t="shared" si="29"/>
        <v>28.82</v>
      </c>
    </row>
    <row r="337" spans="1:19" x14ac:dyDescent="0.3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IFERROR(VLOOKUP('Customer Info'!A329,'Customer Info'!A329:C828,2,FALSE),"Not Found")</f>
        <v>Mike</v>
      </c>
      <c r="H337" s="6" t="str">
        <f>IFERROR(VLOOKUP('Customer Info'!A329,'Customer Info'!A329:C828,3,FALSE),"Not Found")</f>
        <v>Pelletier</v>
      </c>
      <c r="I337" s="6" t="str">
        <f>IFERROR(VLOOKUP('Customer Info'!A329,'Customer Info'!A329:E828,5,FALSE),"Not Found")</f>
        <v>Gorakhpur</v>
      </c>
      <c r="J337" s="2">
        <v>626</v>
      </c>
      <c r="K337" s="2">
        <v>559</v>
      </c>
      <c r="L337" s="2">
        <v>2</v>
      </c>
      <c r="M337" s="7">
        <f t="shared" si="25"/>
        <v>1118</v>
      </c>
      <c r="N337" s="7">
        <f t="shared" si="26"/>
        <v>1252</v>
      </c>
      <c r="O337" s="2">
        <v>30</v>
      </c>
      <c r="P337" s="8">
        <f t="shared" si="27"/>
        <v>1282</v>
      </c>
      <c r="Q337" s="8">
        <f t="shared" si="28"/>
        <v>693</v>
      </c>
      <c r="R337" s="2" t="s">
        <v>28</v>
      </c>
      <c r="S337" s="9">
        <f t="shared" si="29"/>
        <v>25.64</v>
      </c>
    </row>
    <row r="338" spans="1:19" x14ac:dyDescent="0.3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IFERROR(VLOOKUP('Customer Info'!A330,'Customer Info'!A330:C829,2,FALSE),"Not Found")</f>
        <v>Mike</v>
      </c>
      <c r="H338" s="6" t="str">
        <f>IFERROR(VLOOKUP('Customer Info'!A330,'Customer Info'!A330:C829,3,FALSE),"Not Found")</f>
        <v>Gockenbach</v>
      </c>
      <c r="I338" s="6" t="str">
        <f>IFERROR(VLOOKUP('Customer Info'!A330,'Customer Info'!A330:E829,5,FALSE),"Not Found")</f>
        <v>Caloundra</v>
      </c>
      <c r="J338" s="2">
        <v>2790</v>
      </c>
      <c r="K338" s="2">
        <v>2557</v>
      </c>
      <c r="L338" s="2">
        <v>2</v>
      </c>
      <c r="M338" s="7">
        <f t="shared" si="25"/>
        <v>5114</v>
      </c>
      <c r="N338" s="7">
        <f t="shared" si="26"/>
        <v>5580</v>
      </c>
      <c r="O338" s="2">
        <v>44</v>
      </c>
      <c r="P338" s="8">
        <f t="shared" si="27"/>
        <v>5624</v>
      </c>
      <c r="Q338" s="8">
        <f t="shared" si="28"/>
        <v>3023</v>
      </c>
      <c r="R338" s="2" t="s">
        <v>28</v>
      </c>
      <c r="S338" s="9">
        <f t="shared" si="29"/>
        <v>281.2</v>
      </c>
    </row>
    <row r="339" spans="1:19" x14ac:dyDescent="0.3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>IFERROR(VLOOKUP('Customer Info'!A331,'Customer Info'!A331:C830,2,FALSE),"Not Found")</f>
        <v>Mike</v>
      </c>
      <c r="H339" s="6" t="str">
        <f>IFERROR(VLOOKUP('Customer Info'!A331,'Customer Info'!A331:C830,3,FALSE),"Not Found")</f>
        <v>Pelletier</v>
      </c>
      <c r="I339" s="6" t="str">
        <f>IFERROR(VLOOKUP('Customer Info'!A331,'Customer Info'!A331:E830,5,FALSE),"Not Found")</f>
        <v>Jakarta</v>
      </c>
      <c r="J339" s="2">
        <v>8617</v>
      </c>
      <c r="K339" s="2">
        <v>7900</v>
      </c>
      <c r="L339" s="2">
        <v>1</v>
      </c>
      <c r="M339" s="7">
        <f t="shared" si="25"/>
        <v>7900</v>
      </c>
      <c r="N339" s="7">
        <f t="shared" si="26"/>
        <v>8617</v>
      </c>
      <c r="O339" s="2">
        <v>74</v>
      </c>
      <c r="P339" s="8">
        <f t="shared" si="27"/>
        <v>8691</v>
      </c>
      <c r="Q339" s="8">
        <f t="shared" si="28"/>
        <v>717</v>
      </c>
      <c r="R339" s="2" t="s">
        <v>56</v>
      </c>
      <c r="S339" s="9">
        <f t="shared" si="29"/>
        <v>434.55</v>
      </c>
    </row>
    <row r="340" spans="1:19" x14ac:dyDescent="0.3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IFERROR(VLOOKUP('Customer Info'!A332,'Customer Info'!A332:C831,2,FALSE),"Not Found")</f>
        <v>Mitch</v>
      </c>
      <c r="H340" s="6" t="str">
        <f>IFERROR(VLOOKUP('Customer Info'!A332,'Customer Info'!A332:C831,3,FALSE),"Not Found")</f>
        <v>Willingham</v>
      </c>
      <c r="I340" s="6" t="str">
        <f>IFERROR(VLOOKUP('Customer Info'!A332,'Customer Info'!A332:E831,5,FALSE),"Not Found")</f>
        <v>Berlin</v>
      </c>
      <c r="J340" s="2">
        <v>666</v>
      </c>
      <c r="K340" s="2">
        <v>641</v>
      </c>
      <c r="L340" s="2">
        <v>7</v>
      </c>
      <c r="M340" s="7">
        <f t="shared" si="25"/>
        <v>4487</v>
      </c>
      <c r="N340" s="7">
        <f t="shared" si="26"/>
        <v>4662</v>
      </c>
      <c r="O340" s="2">
        <v>52</v>
      </c>
      <c r="P340" s="8">
        <f t="shared" si="27"/>
        <v>4714</v>
      </c>
      <c r="Q340" s="8">
        <f t="shared" si="28"/>
        <v>4021</v>
      </c>
      <c r="R340" s="2" t="s">
        <v>28</v>
      </c>
      <c r="S340" s="9">
        <f t="shared" si="29"/>
        <v>94.28</v>
      </c>
    </row>
    <row r="341" spans="1:19" x14ac:dyDescent="0.3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>IFERROR(VLOOKUP('Customer Info'!A333,'Customer Info'!A333:C832,2,FALSE),"Not Found")</f>
        <v>Mitch</v>
      </c>
      <c r="H341" s="6" t="str">
        <f>IFERROR(VLOOKUP('Customer Info'!A333,'Customer Info'!A333:C832,3,FALSE),"Not Found")</f>
        <v>Willingham</v>
      </c>
      <c r="I341" s="6" t="str">
        <f>IFERROR(VLOOKUP('Customer Info'!A333,'Customer Info'!A333:E832,5,FALSE),"Not Found")</f>
        <v>Surakarta</v>
      </c>
      <c r="J341" s="2">
        <v>208</v>
      </c>
      <c r="K341" s="2">
        <v>187</v>
      </c>
      <c r="L341" s="2">
        <v>6</v>
      </c>
      <c r="M341" s="7">
        <f t="shared" si="25"/>
        <v>1122</v>
      </c>
      <c r="N341" s="7">
        <f t="shared" si="26"/>
        <v>1248</v>
      </c>
      <c r="O341" s="2">
        <v>76</v>
      </c>
      <c r="P341" s="8">
        <f t="shared" si="27"/>
        <v>1324</v>
      </c>
      <c r="Q341" s="8">
        <f t="shared" si="28"/>
        <v>1061</v>
      </c>
      <c r="R341" s="2" t="s">
        <v>50</v>
      </c>
      <c r="S341" s="9">
        <f t="shared" si="29"/>
        <v>26.48</v>
      </c>
    </row>
    <row r="342" spans="1:19" x14ac:dyDescent="0.3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>IFERROR(VLOOKUP('Customer Info'!A334,'Customer Info'!A334:C833,2,FALSE),"Not Found")</f>
        <v>Monica</v>
      </c>
      <c r="H342" s="6" t="str">
        <f>IFERROR(VLOOKUP('Customer Info'!A334,'Customer Info'!A334:C833,3,FALSE),"Not Found")</f>
        <v>Federle</v>
      </c>
      <c r="I342" s="6" t="str">
        <f>IFERROR(VLOOKUP('Customer Info'!A334,'Customer Info'!A334:E833,5,FALSE),"Not Found")</f>
        <v>Lismore</v>
      </c>
      <c r="J342" s="2">
        <v>2787</v>
      </c>
      <c r="K342" s="2">
        <v>2681</v>
      </c>
      <c r="L342" s="2">
        <v>2</v>
      </c>
      <c r="M342" s="7">
        <f t="shared" si="25"/>
        <v>5362</v>
      </c>
      <c r="N342" s="7">
        <f t="shared" si="26"/>
        <v>5574</v>
      </c>
      <c r="O342" s="2">
        <v>53</v>
      </c>
      <c r="P342" s="8">
        <f t="shared" si="27"/>
        <v>5627</v>
      </c>
      <c r="Q342" s="8">
        <f t="shared" si="28"/>
        <v>2893</v>
      </c>
      <c r="R342" s="2" t="s">
        <v>50</v>
      </c>
      <c r="S342" s="9">
        <f t="shared" si="29"/>
        <v>281.35000000000002</v>
      </c>
    </row>
    <row r="343" spans="1:19" x14ac:dyDescent="0.3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>IFERROR(VLOOKUP('Customer Info'!A335,'Customer Info'!A335:C834,2,FALSE),"Not Found")</f>
        <v>Muhammed</v>
      </c>
      <c r="H343" s="6" t="str">
        <f>IFERROR(VLOOKUP('Customer Info'!A335,'Customer Info'!A335:C834,3,FALSE),"Not Found")</f>
        <v>Lee</v>
      </c>
      <c r="I343" s="6" t="str">
        <f>IFERROR(VLOOKUP('Customer Info'!A335,'Customer Info'!A335:E834,5,FALSE),"Not Found")</f>
        <v>Nellore</v>
      </c>
      <c r="J343" s="2">
        <v>1113</v>
      </c>
      <c r="K343" s="2">
        <v>1040</v>
      </c>
      <c r="L343" s="2">
        <v>6</v>
      </c>
      <c r="M343" s="7">
        <f t="shared" si="25"/>
        <v>6240</v>
      </c>
      <c r="N343" s="7">
        <f t="shared" si="26"/>
        <v>6678</v>
      </c>
      <c r="O343" s="2">
        <v>77</v>
      </c>
      <c r="P343" s="8">
        <f t="shared" si="27"/>
        <v>6755</v>
      </c>
      <c r="Q343" s="8">
        <f t="shared" si="28"/>
        <v>5638</v>
      </c>
      <c r="R343" s="2" t="s">
        <v>50</v>
      </c>
      <c r="S343" s="9">
        <f t="shared" si="29"/>
        <v>337.75</v>
      </c>
    </row>
    <row r="344" spans="1:19" x14ac:dyDescent="0.3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>IFERROR(VLOOKUP('Customer Info'!A336,'Customer Info'!A336:C835,2,FALSE),"Not Found")</f>
        <v>Muhammed</v>
      </c>
      <c r="H344" s="6" t="str">
        <f>IFERROR(VLOOKUP('Customer Info'!A336,'Customer Info'!A336:C835,3,FALSE),"Not Found")</f>
        <v>MacIntyre</v>
      </c>
      <c r="I344" s="6" t="str">
        <f>IFERROR(VLOOKUP('Customer Info'!A336,'Customer Info'!A336:E835,5,FALSE),"Not Found")</f>
        <v>Lohne</v>
      </c>
      <c r="J344" s="2">
        <v>4737</v>
      </c>
      <c r="K344" s="2">
        <v>4473</v>
      </c>
      <c r="L344" s="2">
        <v>3</v>
      </c>
      <c r="M344" s="7">
        <f t="shared" si="25"/>
        <v>13419</v>
      </c>
      <c r="N344" s="7">
        <f t="shared" si="26"/>
        <v>14211</v>
      </c>
      <c r="O344" s="2">
        <v>93</v>
      </c>
      <c r="P344" s="8">
        <f t="shared" si="27"/>
        <v>14304</v>
      </c>
      <c r="Q344" s="8">
        <f t="shared" si="28"/>
        <v>9738</v>
      </c>
      <c r="R344" s="2" t="s">
        <v>28</v>
      </c>
      <c r="S344" s="9">
        <f t="shared" si="29"/>
        <v>715.2</v>
      </c>
    </row>
    <row r="345" spans="1:19" x14ac:dyDescent="0.3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IFERROR(VLOOKUP('Customer Info'!A337,'Customer Info'!A337:C836,2,FALSE),"Not Found")</f>
        <v>Nancy</v>
      </c>
      <c r="H345" s="6" t="str">
        <f>IFERROR(VLOOKUP('Customer Info'!A337,'Customer Info'!A337:C836,3,FALSE),"Not Found")</f>
        <v>Lomonaco</v>
      </c>
      <c r="I345" s="6" t="str">
        <f>IFERROR(VLOOKUP('Customer Info'!A337,'Customer Info'!A337:E836,5,FALSE),"Not Found")</f>
        <v>Tengzhou</v>
      </c>
      <c r="J345" s="2">
        <v>1763</v>
      </c>
      <c r="K345" s="2">
        <v>1602</v>
      </c>
      <c r="L345" s="2">
        <v>4</v>
      </c>
      <c r="M345" s="7">
        <f t="shared" si="25"/>
        <v>6408</v>
      </c>
      <c r="N345" s="7">
        <f t="shared" si="26"/>
        <v>7052</v>
      </c>
      <c r="O345" s="2">
        <v>41</v>
      </c>
      <c r="P345" s="8">
        <f t="shared" si="27"/>
        <v>7093</v>
      </c>
      <c r="Q345" s="8">
        <f t="shared" si="28"/>
        <v>5450</v>
      </c>
      <c r="R345" s="2" t="s">
        <v>28</v>
      </c>
      <c r="S345" s="9">
        <f t="shared" si="29"/>
        <v>354.65000000000003</v>
      </c>
    </row>
    <row r="346" spans="1:19" x14ac:dyDescent="0.3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>IFERROR(VLOOKUP('Customer Info'!A338,'Customer Info'!A338:C837,2,FALSE),"Not Found")</f>
        <v>Nat</v>
      </c>
      <c r="H346" s="6" t="str">
        <f>IFERROR(VLOOKUP('Customer Info'!A338,'Customer Info'!A338:C837,3,FALSE),"Not Found")</f>
        <v>Carroll</v>
      </c>
      <c r="I346" s="6" t="str">
        <f>IFERROR(VLOOKUP('Customer Info'!A338,'Customer Info'!A338:E837,5,FALSE),"Not Found")</f>
        <v>Shanghai</v>
      </c>
      <c r="J346" s="2">
        <v>1983</v>
      </c>
      <c r="K346" s="2">
        <v>1908</v>
      </c>
      <c r="L346" s="2">
        <v>3</v>
      </c>
      <c r="M346" s="7">
        <f t="shared" si="25"/>
        <v>5724</v>
      </c>
      <c r="N346" s="7">
        <f t="shared" si="26"/>
        <v>5949</v>
      </c>
      <c r="O346" s="2">
        <v>99</v>
      </c>
      <c r="P346" s="8">
        <f t="shared" si="27"/>
        <v>6048</v>
      </c>
      <c r="Q346" s="8">
        <f t="shared" si="28"/>
        <v>4041</v>
      </c>
      <c r="R346" s="2" t="s">
        <v>28</v>
      </c>
      <c r="S346" s="9">
        <f t="shared" si="29"/>
        <v>302.40000000000003</v>
      </c>
    </row>
    <row r="347" spans="1:19" x14ac:dyDescent="0.3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>IFERROR(VLOOKUP('Customer Info'!A339,'Customer Info'!A339:C838,2,FALSE),"Not Found")</f>
        <v>Natalie</v>
      </c>
      <c r="H347" s="6" t="str">
        <f>IFERROR(VLOOKUP('Customer Info'!A339,'Customer Info'!A339:C838,3,FALSE),"Not Found")</f>
        <v>DeCherney</v>
      </c>
      <c r="I347" s="6" t="str">
        <f>IFERROR(VLOOKUP('Customer Info'!A339,'Customer Info'!A339:E838,5,FALSE),"Not Found")</f>
        <v>Anqing</v>
      </c>
      <c r="J347" s="2">
        <v>1246</v>
      </c>
      <c r="K347" s="2">
        <v>1164</v>
      </c>
      <c r="L347" s="2">
        <v>1</v>
      </c>
      <c r="M347" s="7">
        <f t="shared" si="25"/>
        <v>1164</v>
      </c>
      <c r="N347" s="7">
        <f t="shared" si="26"/>
        <v>1246</v>
      </c>
      <c r="O347" s="2">
        <v>51</v>
      </c>
      <c r="P347" s="8">
        <f t="shared" si="27"/>
        <v>1297</v>
      </c>
      <c r="Q347" s="8">
        <f t="shared" si="28"/>
        <v>82</v>
      </c>
      <c r="R347" s="2" t="s">
        <v>26</v>
      </c>
      <c r="S347" s="9">
        <f t="shared" si="29"/>
        <v>25.94</v>
      </c>
    </row>
    <row r="348" spans="1:19" x14ac:dyDescent="0.3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>IFERROR(VLOOKUP('Customer Info'!A340,'Customer Info'!A340:C839,2,FALSE),"Not Found")</f>
        <v>Natalie</v>
      </c>
      <c r="H348" s="6" t="str">
        <f>IFERROR(VLOOKUP('Customer Info'!A340,'Customer Info'!A340:C839,3,FALSE),"Not Found")</f>
        <v>Webber</v>
      </c>
      <c r="I348" s="6" t="str">
        <f>IFERROR(VLOOKUP('Customer Info'!A340,'Customer Info'!A340:E839,5,FALSE),"Not Found")</f>
        <v>Ningbo</v>
      </c>
      <c r="J348" s="2">
        <v>8379</v>
      </c>
      <c r="K348" s="2">
        <v>8061</v>
      </c>
      <c r="L348" s="2">
        <v>2</v>
      </c>
      <c r="M348" s="7">
        <f t="shared" si="25"/>
        <v>16122</v>
      </c>
      <c r="N348" s="7">
        <f t="shared" si="26"/>
        <v>16758</v>
      </c>
      <c r="O348" s="2">
        <v>25</v>
      </c>
      <c r="P348" s="8">
        <f t="shared" si="27"/>
        <v>16783</v>
      </c>
      <c r="Q348" s="8">
        <f t="shared" si="28"/>
        <v>8697</v>
      </c>
      <c r="R348" s="2" t="s">
        <v>28</v>
      </c>
      <c r="S348" s="9">
        <f t="shared" si="29"/>
        <v>839.15000000000009</v>
      </c>
    </row>
    <row r="349" spans="1:19" x14ac:dyDescent="0.3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>IFERROR(VLOOKUP('Customer Info'!A341,'Customer Info'!A341:C840,2,FALSE),"Not Found")</f>
        <v>Nathan</v>
      </c>
      <c r="H349" s="6" t="str">
        <f>IFERROR(VLOOKUP('Customer Info'!A341,'Customer Info'!A341:C840,3,FALSE),"Not Found")</f>
        <v>Gelder</v>
      </c>
      <c r="I349" s="6" t="str">
        <f>IFERROR(VLOOKUP('Customer Info'!A341,'Customer Info'!A341:E840,5,FALSE),"Not Found")</f>
        <v>Depok</v>
      </c>
      <c r="J349" s="2">
        <v>1569</v>
      </c>
      <c r="K349" s="2">
        <v>1466</v>
      </c>
      <c r="L349" s="2">
        <v>1</v>
      </c>
      <c r="M349" s="7">
        <f t="shared" si="25"/>
        <v>1466</v>
      </c>
      <c r="N349" s="7">
        <f t="shared" si="26"/>
        <v>1569</v>
      </c>
      <c r="O349" s="2">
        <v>89</v>
      </c>
      <c r="P349" s="8">
        <f t="shared" si="27"/>
        <v>1658</v>
      </c>
      <c r="Q349" s="8">
        <f t="shared" si="28"/>
        <v>103</v>
      </c>
      <c r="R349" s="2" t="s">
        <v>26</v>
      </c>
      <c r="S349" s="9">
        <f t="shared" si="29"/>
        <v>33.160000000000004</v>
      </c>
    </row>
    <row r="350" spans="1:19" x14ac:dyDescent="0.3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>IFERROR(VLOOKUP('Customer Info'!A342,'Customer Info'!A342:C841,2,FALSE),"Not Found")</f>
        <v>Neil</v>
      </c>
      <c r="H350" s="6" t="str">
        <f>IFERROR(VLOOKUP('Customer Info'!A342,'Customer Info'!A342:C841,3,FALSE),"Not Found")</f>
        <v>Franzšsisch</v>
      </c>
      <c r="I350" s="6" t="str">
        <f>IFERROR(VLOOKUP('Customer Info'!A342,'Customer Info'!A342:E841,5,FALSE),"Not Found")</f>
        <v>Mount Isa</v>
      </c>
      <c r="J350" s="2">
        <v>2228</v>
      </c>
      <c r="K350" s="2">
        <v>2143</v>
      </c>
      <c r="L350" s="2">
        <v>4</v>
      </c>
      <c r="M350" s="7">
        <f t="shared" si="25"/>
        <v>8572</v>
      </c>
      <c r="N350" s="7">
        <f t="shared" si="26"/>
        <v>8912</v>
      </c>
      <c r="O350" s="2">
        <v>30</v>
      </c>
      <c r="P350" s="8">
        <f t="shared" si="27"/>
        <v>8942</v>
      </c>
      <c r="Q350" s="8">
        <f t="shared" si="28"/>
        <v>6769</v>
      </c>
      <c r="R350" s="2" t="s">
        <v>50</v>
      </c>
      <c r="S350" s="9">
        <f t="shared" si="29"/>
        <v>447.1</v>
      </c>
    </row>
    <row r="351" spans="1:19" x14ac:dyDescent="0.3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IFERROR(VLOOKUP('Customer Info'!A343,'Customer Info'!A343:C842,2,FALSE),"Not Found")</f>
        <v>Neil</v>
      </c>
      <c r="H351" s="6" t="str">
        <f>IFERROR(VLOOKUP('Customer Info'!A343,'Customer Info'!A343:C842,3,FALSE),"Not Found")</f>
        <v>Knudson</v>
      </c>
      <c r="I351" s="6" t="str">
        <f>IFERROR(VLOOKUP('Customer Info'!A343,'Customer Info'!A343:E842,5,FALSE),"Not Found")</f>
        <v>Malang</v>
      </c>
      <c r="J351" s="2">
        <v>3017</v>
      </c>
      <c r="K351" s="2">
        <v>2825</v>
      </c>
      <c r="L351" s="2">
        <v>3</v>
      </c>
      <c r="M351" s="7">
        <f t="shared" si="25"/>
        <v>8475</v>
      </c>
      <c r="N351" s="7">
        <f t="shared" si="26"/>
        <v>9051</v>
      </c>
      <c r="O351" s="2">
        <v>36</v>
      </c>
      <c r="P351" s="8">
        <f t="shared" si="27"/>
        <v>9087</v>
      </c>
      <c r="Q351" s="8">
        <f t="shared" si="28"/>
        <v>6226</v>
      </c>
      <c r="R351" s="2" t="s">
        <v>50</v>
      </c>
      <c r="S351" s="9">
        <f t="shared" si="29"/>
        <v>454.35</v>
      </c>
    </row>
    <row r="352" spans="1:19" x14ac:dyDescent="0.3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>IFERROR(VLOOKUP('Customer Info'!A344,'Customer Info'!A344:C843,2,FALSE),"Not Found")</f>
        <v>Neoma</v>
      </c>
      <c r="H352" s="6" t="str">
        <f>IFERROR(VLOOKUP('Customer Info'!A344,'Customer Info'!A344:C843,3,FALSE),"Not Found")</f>
        <v>Murray</v>
      </c>
      <c r="I352" s="6" t="str">
        <f>IFERROR(VLOOKUP('Customer Info'!A344,'Customer Info'!A344:E843,5,FALSE),"Not Found")</f>
        <v>Guwahati</v>
      </c>
      <c r="J352" s="2">
        <v>2864</v>
      </c>
      <c r="K352" s="2">
        <v>2754</v>
      </c>
      <c r="L352" s="2">
        <v>3</v>
      </c>
      <c r="M352" s="7">
        <f t="shared" si="25"/>
        <v>8262</v>
      </c>
      <c r="N352" s="7">
        <f t="shared" si="26"/>
        <v>8592</v>
      </c>
      <c r="O352" s="2">
        <v>55</v>
      </c>
      <c r="P352" s="8">
        <f t="shared" si="27"/>
        <v>8647</v>
      </c>
      <c r="Q352" s="8">
        <f t="shared" si="28"/>
        <v>5838</v>
      </c>
      <c r="R352" s="2" t="s">
        <v>50</v>
      </c>
      <c r="S352" s="9">
        <f t="shared" si="29"/>
        <v>432.35</v>
      </c>
    </row>
    <row r="353" spans="1:19" x14ac:dyDescent="0.3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>IFERROR(VLOOKUP('Customer Info'!A345,'Customer Info'!A345:C844,2,FALSE),"Not Found")</f>
        <v>Nick</v>
      </c>
      <c r="H353" s="6" t="str">
        <f>IFERROR(VLOOKUP('Customer Info'!A345,'Customer Info'!A345:C844,3,FALSE),"Not Found")</f>
        <v>Radford</v>
      </c>
      <c r="I353" s="6" t="str">
        <f>IFERROR(VLOOKUP('Customer Info'!A345,'Customer Info'!A345:E844,5,FALSE),"Not Found")</f>
        <v>Lucknow</v>
      </c>
      <c r="J353" s="2">
        <v>144</v>
      </c>
      <c r="K353" s="2">
        <v>132</v>
      </c>
      <c r="L353" s="2">
        <v>4</v>
      </c>
      <c r="M353" s="7">
        <f t="shared" si="25"/>
        <v>528</v>
      </c>
      <c r="N353" s="7">
        <f t="shared" si="26"/>
        <v>576</v>
      </c>
      <c r="O353" s="2">
        <v>30</v>
      </c>
      <c r="P353" s="8">
        <f t="shared" si="27"/>
        <v>606</v>
      </c>
      <c r="Q353" s="8">
        <f t="shared" si="28"/>
        <v>444</v>
      </c>
      <c r="R353" s="2" t="s">
        <v>28</v>
      </c>
      <c r="S353" s="9">
        <f t="shared" si="29"/>
        <v>12.120000000000001</v>
      </c>
    </row>
    <row r="354" spans="1:19" x14ac:dyDescent="0.3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IFERROR(VLOOKUP('Customer Info'!A346,'Customer Info'!A346:C845,2,FALSE),"Not Found")</f>
        <v>Nick</v>
      </c>
      <c r="H354" s="6" t="str">
        <f>IFERROR(VLOOKUP('Customer Info'!A346,'Customer Info'!A346:C845,3,FALSE),"Not Found")</f>
        <v>Zandusky</v>
      </c>
      <c r="I354" s="6" t="str">
        <f>IFERROR(VLOOKUP('Customer Info'!A346,'Customer Info'!A346:E845,5,FALSE),"Not Found")</f>
        <v>Surabaya</v>
      </c>
      <c r="J354" s="2">
        <v>25658</v>
      </c>
      <c r="K354" s="2">
        <v>24466</v>
      </c>
      <c r="L354" s="2">
        <v>3</v>
      </c>
      <c r="M354" s="7">
        <f t="shared" si="25"/>
        <v>73398</v>
      </c>
      <c r="N354" s="7">
        <f t="shared" si="26"/>
        <v>76974</v>
      </c>
      <c r="O354" s="2">
        <v>66</v>
      </c>
      <c r="P354" s="8">
        <f t="shared" si="27"/>
        <v>77040</v>
      </c>
      <c r="Q354" s="8">
        <f t="shared" si="28"/>
        <v>52508</v>
      </c>
      <c r="R354" s="2" t="s">
        <v>50</v>
      </c>
      <c r="S354" s="9">
        <f t="shared" si="29"/>
        <v>6933.5999999999995</v>
      </c>
    </row>
    <row r="355" spans="1:19" x14ac:dyDescent="0.3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>IFERROR(VLOOKUP('Customer Info'!A347,'Customer Info'!A347:C846,2,FALSE),"Not Found")</f>
        <v>Nicole</v>
      </c>
      <c r="H355" s="6" t="str">
        <f>IFERROR(VLOOKUP('Customer Info'!A347,'Customer Info'!A347:C846,3,FALSE),"Not Found")</f>
        <v>Fjeld</v>
      </c>
      <c r="I355" s="6" t="str">
        <f>IFERROR(VLOOKUP('Customer Info'!A347,'Customer Info'!A347:E846,5,FALSE),"Not Found")</f>
        <v>Berlin</v>
      </c>
      <c r="J355" s="2">
        <v>6951</v>
      </c>
      <c r="K355" s="2">
        <v>6620</v>
      </c>
      <c r="L355" s="2">
        <v>3</v>
      </c>
      <c r="M355" s="7">
        <f t="shared" si="25"/>
        <v>19860</v>
      </c>
      <c r="N355" s="7">
        <f t="shared" si="26"/>
        <v>20853</v>
      </c>
      <c r="O355" s="2">
        <v>77</v>
      </c>
      <c r="P355" s="8">
        <f t="shared" si="27"/>
        <v>20930</v>
      </c>
      <c r="Q355" s="8">
        <f t="shared" si="28"/>
        <v>14233</v>
      </c>
      <c r="R355" s="2" t="s">
        <v>28</v>
      </c>
      <c r="S355" s="9">
        <f t="shared" si="29"/>
        <v>1046.5</v>
      </c>
    </row>
    <row r="356" spans="1:19" x14ac:dyDescent="0.3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>IFERROR(VLOOKUP('Customer Info'!A348,'Customer Info'!A348:C847,2,FALSE),"Not Found")</f>
        <v>Olvera</v>
      </c>
      <c r="H356" s="6" t="str">
        <f>IFERROR(VLOOKUP('Customer Info'!A348,'Customer Info'!A348:C847,3,FALSE),"Not Found")</f>
        <v>Toch</v>
      </c>
      <c r="I356" s="6" t="str">
        <f>IFERROR(VLOOKUP('Customer Info'!A348,'Customer Info'!A348:E847,5,FALSE),"Not Found")</f>
        <v>Neubrandenburg</v>
      </c>
      <c r="J356" s="2">
        <v>8630</v>
      </c>
      <c r="K356" s="2">
        <v>8303</v>
      </c>
      <c r="L356" s="2">
        <v>3</v>
      </c>
      <c r="M356" s="7">
        <f t="shared" si="25"/>
        <v>24909</v>
      </c>
      <c r="N356" s="7">
        <f t="shared" si="26"/>
        <v>25890</v>
      </c>
      <c r="O356" s="2">
        <v>34</v>
      </c>
      <c r="P356" s="8">
        <f t="shared" si="27"/>
        <v>25924</v>
      </c>
      <c r="Q356" s="8">
        <f t="shared" si="28"/>
        <v>17587</v>
      </c>
      <c r="R356" s="2" t="s">
        <v>50</v>
      </c>
      <c r="S356" s="9">
        <f t="shared" si="29"/>
        <v>1814.68</v>
      </c>
    </row>
    <row r="357" spans="1:19" x14ac:dyDescent="0.3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>IFERROR(VLOOKUP('Customer Info'!A349,'Customer Info'!A349:C848,2,FALSE),"Not Found")</f>
        <v>Olvera</v>
      </c>
      <c r="H357" s="6" t="str">
        <f>IFERROR(VLOOKUP('Customer Info'!A349,'Customer Info'!A349:C848,3,FALSE),"Not Found")</f>
        <v>Toch</v>
      </c>
      <c r="I357" s="6" t="str">
        <f>IFERROR(VLOOKUP('Customer Info'!A349,'Customer Info'!A349:E848,5,FALSE),"Not Found")</f>
        <v>Wollongong</v>
      </c>
      <c r="J357" s="2">
        <v>2273</v>
      </c>
      <c r="K357" s="2">
        <v>2229</v>
      </c>
      <c r="L357" s="2">
        <v>1</v>
      </c>
      <c r="M357" s="7">
        <f t="shared" si="25"/>
        <v>2229</v>
      </c>
      <c r="N357" s="7">
        <f t="shared" si="26"/>
        <v>2273</v>
      </c>
      <c r="O357" s="2">
        <v>55</v>
      </c>
      <c r="P357" s="8">
        <f t="shared" si="27"/>
        <v>2328</v>
      </c>
      <c r="Q357" s="8">
        <f t="shared" si="28"/>
        <v>44</v>
      </c>
      <c r="R357" s="2" t="s">
        <v>28</v>
      </c>
      <c r="S357" s="9">
        <f t="shared" si="29"/>
        <v>46.56</v>
      </c>
    </row>
    <row r="358" spans="1:19" x14ac:dyDescent="0.3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>IFERROR(VLOOKUP('Customer Info'!A350,'Customer Info'!A350:C849,2,FALSE),"Not Found")</f>
        <v>Pamela</v>
      </c>
      <c r="H358" s="6" t="str">
        <f>IFERROR(VLOOKUP('Customer Info'!A350,'Customer Info'!A350:C849,3,FALSE),"Not Found")</f>
        <v>Stobb</v>
      </c>
      <c r="I358" s="6" t="str">
        <f>IFERROR(VLOOKUP('Customer Info'!A350,'Customer Info'!A350:E849,5,FALSE),"Not Found")</f>
        <v>Berlin</v>
      </c>
      <c r="J358" s="2">
        <v>1017</v>
      </c>
      <c r="K358" s="2">
        <v>950</v>
      </c>
      <c r="L358" s="2">
        <v>4</v>
      </c>
      <c r="M358" s="7">
        <f t="shared" si="25"/>
        <v>3800</v>
      </c>
      <c r="N358" s="7">
        <f t="shared" si="26"/>
        <v>4068</v>
      </c>
      <c r="O358" s="2">
        <v>30</v>
      </c>
      <c r="P358" s="8">
        <f t="shared" si="27"/>
        <v>4098</v>
      </c>
      <c r="Q358" s="8">
        <f t="shared" si="28"/>
        <v>3118</v>
      </c>
      <c r="R358" s="2" t="s">
        <v>50</v>
      </c>
      <c r="S358" s="9">
        <f t="shared" si="29"/>
        <v>81.960000000000008</v>
      </c>
    </row>
    <row r="359" spans="1:19" x14ac:dyDescent="0.3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>IFERROR(VLOOKUP('Customer Info'!A351,'Customer Info'!A351:C850,2,FALSE),"Not Found")</f>
        <v>Pamela</v>
      </c>
      <c r="H359" s="6" t="str">
        <f>IFERROR(VLOOKUP('Customer Info'!A351,'Customer Info'!A351:C850,3,FALSE),"Not Found")</f>
        <v>Coakley</v>
      </c>
      <c r="I359" s="6" t="str">
        <f>IFERROR(VLOOKUP('Customer Info'!A351,'Customer Info'!A351:E850,5,FALSE),"Not Found")</f>
        <v>Jakarta</v>
      </c>
      <c r="J359" s="2">
        <v>218</v>
      </c>
      <c r="K359" s="2">
        <v>200</v>
      </c>
      <c r="L359" s="2">
        <v>2</v>
      </c>
      <c r="M359" s="7">
        <f t="shared" si="25"/>
        <v>400</v>
      </c>
      <c r="N359" s="7">
        <f t="shared" si="26"/>
        <v>436</v>
      </c>
      <c r="O359" s="2">
        <v>45</v>
      </c>
      <c r="P359" s="8">
        <f t="shared" si="27"/>
        <v>481</v>
      </c>
      <c r="Q359" s="8">
        <f t="shared" si="28"/>
        <v>236</v>
      </c>
      <c r="R359" s="2" t="s">
        <v>28</v>
      </c>
      <c r="S359" s="9">
        <f t="shared" si="29"/>
        <v>9.620000000000001</v>
      </c>
    </row>
    <row r="360" spans="1:19" x14ac:dyDescent="0.3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>IFERROR(VLOOKUP('Customer Info'!A352,'Customer Info'!A352:C851,2,FALSE),"Not Found")</f>
        <v>Pamela</v>
      </c>
      <c r="H360" s="6" t="str">
        <f>IFERROR(VLOOKUP('Customer Info'!A352,'Customer Info'!A352:C851,3,FALSE),"Not Found")</f>
        <v>Stobb</v>
      </c>
      <c r="I360" s="6" t="str">
        <f>IFERROR(VLOOKUP('Customer Info'!A352,'Customer Info'!A352:E851,5,FALSE),"Not Found")</f>
        <v>Bremen</v>
      </c>
      <c r="J360" s="2">
        <v>7960</v>
      </c>
      <c r="K360" s="2">
        <v>7375</v>
      </c>
      <c r="L360" s="2">
        <v>5</v>
      </c>
      <c r="M360" s="7">
        <f t="shared" si="25"/>
        <v>36875</v>
      </c>
      <c r="N360" s="7">
        <f t="shared" si="26"/>
        <v>39800</v>
      </c>
      <c r="O360" s="2">
        <v>28</v>
      </c>
      <c r="P360" s="8">
        <f t="shared" si="27"/>
        <v>39828</v>
      </c>
      <c r="Q360" s="8">
        <f t="shared" si="28"/>
        <v>32425</v>
      </c>
      <c r="R360" s="2" t="s">
        <v>28</v>
      </c>
      <c r="S360" s="9">
        <f t="shared" si="29"/>
        <v>2787.9600000000005</v>
      </c>
    </row>
    <row r="361" spans="1:19" x14ac:dyDescent="0.3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IFERROR(VLOOKUP('Customer Info'!A353,'Customer Info'!A353:C852,2,FALSE),"Not Found")</f>
        <v>Parhena</v>
      </c>
      <c r="H361" s="6" t="str">
        <f>IFERROR(VLOOKUP('Customer Info'!A353,'Customer Info'!A353:C852,3,FALSE),"Not Found")</f>
        <v>Norris</v>
      </c>
      <c r="I361" s="6" t="str">
        <f>IFERROR(VLOOKUP('Customer Info'!A353,'Customer Info'!A353:E852,5,FALSE),"Not Found")</f>
        <v>Bandung</v>
      </c>
      <c r="J361" s="2">
        <v>131</v>
      </c>
      <c r="K361" s="2">
        <v>124</v>
      </c>
      <c r="L361" s="2">
        <v>2</v>
      </c>
      <c r="M361" s="7">
        <f t="shared" si="25"/>
        <v>248</v>
      </c>
      <c r="N361" s="7">
        <f t="shared" si="26"/>
        <v>262</v>
      </c>
      <c r="O361" s="2">
        <v>30</v>
      </c>
      <c r="P361" s="8">
        <f t="shared" si="27"/>
        <v>292</v>
      </c>
      <c r="Q361" s="8">
        <f t="shared" si="28"/>
        <v>138</v>
      </c>
      <c r="R361" s="2" t="s">
        <v>50</v>
      </c>
      <c r="S361" s="9">
        <f t="shared" si="29"/>
        <v>5.84</v>
      </c>
    </row>
    <row r="362" spans="1:19" x14ac:dyDescent="0.3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>IFERROR(VLOOKUP('Customer Info'!A354,'Customer Info'!A354:C853,2,FALSE),"Not Found")</f>
        <v>Patricia</v>
      </c>
      <c r="H362" s="6" t="str">
        <f>IFERROR(VLOOKUP('Customer Info'!A354,'Customer Info'!A354:C853,3,FALSE),"Not Found")</f>
        <v>Hirasaki</v>
      </c>
      <c r="I362" s="6" t="str">
        <f>IFERROR(VLOOKUP('Customer Info'!A354,'Customer Info'!A354:E853,5,FALSE),"Not Found")</f>
        <v>Pimpri</v>
      </c>
      <c r="J362" s="2">
        <v>193</v>
      </c>
      <c r="K362" s="2">
        <v>173</v>
      </c>
      <c r="L362" s="2">
        <v>1</v>
      </c>
      <c r="M362" s="7">
        <f t="shared" si="25"/>
        <v>173</v>
      </c>
      <c r="N362" s="7">
        <f t="shared" si="26"/>
        <v>193</v>
      </c>
      <c r="O362" s="2">
        <v>30</v>
      </c>
      <c r="P362" s="8">
        <f t="shared" si="27"/>
        <v>223</v>
      </c>
      <c r="Q362" s="8">
        <f t="shared" si="28"/>
        <v>20</v>
      </c>
      <c r="R362" s="2" t="s">
        <v>50</v>
      </c>
      <c r="S362" s="9">
        <f t="shared" si="29"/>
        <v>4.46</v>
      </c>
    </row>
    <row r="363" spans="1:19" x14ac:dyDescent="0.3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IFERROR(VLOOKUP('Customer Info'!A355,'Customer Info'!A355:C854,2,FALSE),"Not Found")</f>
        <v>Patrick</v>
      </c>
      <c r="H363" s="6" t="str">
        <f>IFERROR(VLOOKUP('Customer Info'!A355,'Customer Info'!A355:C854,3,FALSE),"Not Found")</f>
        <v>O'Donnell</v>
      </c>
      <c r="I363" s="6" t="str">
        <f>IFERROR(VLOOKUP('Customer Info'!A355,'Customer Info'!A355:E854,5,FALSE),"Not Found")</f>
        <v>Sydney</v>
      </c>
      <c r="J363" s="2">
        <v>81</v>
      </c>
      <c r="K363" s="2">
        <v>77</v>
      </c>
      <c r="L363" s="2">
        <v>6</v>
      </c>
      <c r="M363" s="7">
        <f t="shared" si="25"/>
        <v>462</v>
      </c>
      <c r="N363" s="7">
        <f t="shared" si="26"/>
        <v>486</v>
      </c>
      <c r="O363" s="2">
        <v>10</v>
      </c>
      <c r="P363" s="8">
        <f t="shared" si="27"/>
        <v>496</v>
      </c>
      <c r="Q363" s="8">
        <f t="shared" si="28"/>
        <v>409</v>
      </c>
      <c r="R363" s="2" t="s">
        <v>28</v>
      </c>
      <c r="S363" s="9">
        <f t="shared" si="29"/>
        <v>9.92</v>
      </c>
    </row>
    <row r="364" spans="1:19" x14ac:dyDescent="0.3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>IFERROR(VLOOKUP('Customer Info'!A356,'Customer Info'!A356:C855,2,FALSE),"Not Found")</f>
        <v>Patrick</v>
      </c>
      <c r="H364" s="6" t="str">
        <f>IFERROR(VLOOKUP('Customer Info'!A356,'Customer Info'!A356:C855,3,FALSE),"Not Found")</f>
        <v>Bzostek</v>
      </c>
      <c r="I364" s="6" t="str">
        <f>IFERROR(VLOOKUP('Customer Info'!A356,'Customer Info'!A356:E855,5,FALSE),"Not Found")</f>
        <v>Brisbane</v>
      </c>
      <c r="J364" s="2">
        <v>28522</v>
      </c>
      <c r="K364" s="2">
        <v>26384</v>
      </c>
      <c r="L364" s="2">
        <v>3</v>
      </c>
      <c r="M364" s="7">
        <f t="shared" si="25"/>
        <v>79152</v>
      </c>
      <c r="N364" s="7">
        <f t="shared" si="26"/>
        <v>85566</v>
      </c>
      <c r="O364" s="2">
        <v>55</v>
      </c>
      <c r="P364" s="8">
        <f t="shared" si="27"/>
        <v>85621</v>
      </c>
      <c r="Q364" s="8">
        <f t="shared" si="28"/>
        <v>59182</v>
      </c>
      <c r="R364" s="2" t="s">
        <v>50</v>
      </c>
      <c r="S364" s="9">
        <f t="shared" si="29"/>
        <v>7705.8899999999994</v>
      </c>
    </row>
    <row r="365" spans="1:19" x14ac:dyDescent="0.3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>IFERROR(VLOOKUP('Customer Info'!A357,'Customer Info'!A357:C856,2,FALSE),"Not Found")</f>
        <v>Patrick</v>
      </c>
      <c r="H365" s="6" t="str">
        <f>IFERROR(VLOOKUP('Customer Info'!A357,'Customer Info'!A357:C856,3,FALSE),"Not Found")</f>
        <v>Bzostek</v>
      </c>
      <c r="I365" s="6" t="str">
        <f>IFERROR(VLOOKUP('Customer Info'!A357,'Customer Info'!A357:E856,5,FALSE),"Not Found")</f>
        <v>Krefeld</v>
      </c>
      <c r="J365" s="2">
        <v>992</v>
      </c>
      <c r="K365" s="2">
        <v>928</v>
      </c>
      <c r="L365" s="2">
        <v>5</v>
      </c>
      <c r="M365" s="7">
        <f t="shared" si="25"/>
        <v>4640</v>
      </c>
      <c r="N365" s="7">
        <f t="shared" si="26"/>
        <v>4960</v>
      </c>
      <c r="O365" s="2">
        <v>92</v>
      </c>
      <c r="P365" s="8">
        <f t="shared" si="27"/>
        <v>5052</v>
      </c>
      <c r="Q365" s="8">
        <f t="shared" si="28"/>
        <v>4032</v>
      </c>
      <c r="R365" s="2" t="s">
        <v>50</v>
      </c>
      <c r="S365" s="9">
        <f t="shared" si="29"/>
        <v>252.60000000000002</v>
      </c>
    </row>
    <row r="366" spans="1:19" x14ac:dyDescent="0.3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>IFERROR(VLOOKUP('Customer Info'!A358,'Customer Info'!A358:C857,2,FALSE),"Not Found")</f>
        <v>Paul</v>
      </c>
      <c r="H366" s="6" t="str">
        <f>IFERROR(VLOOKUP('Customer Info'!A358,'Customer Info'!A358:C857,3,FALSE),"Not Found")</f>
        <v>Gonzalez</v>
      </c>
      <c r="I366" s="6" t="str">
        <f>IFERROR(VLOOKUP('Customer Info'!A358,'Customer Info'!A358:E857,5,FALSE),"Not Found")</f>
        <v>Durgapur</v>
      </c>
      <c r="J366" s="2">
        <v>7943</v>
      </c>
      <c r="K366" s="2">
        <v>7790</v>
      </c>
      <c r="L366" s="2">
        <v>2</v>
      </c>
      <c r="M366" s="7">
        <f t="shared" si="25"/>
        <v>15580</v>
      </c>
      <c r="N366" s="7">
        <f t="shared" si="26"/>
        <v>15886</v>
      </c>
      <c r="O366" s="2">
        <v>63</v>
      </c>
      <c r="P366" s="8">
        <f t="shared" si="27"/>
        <v>15949</v>
      </c>
      <c r="Q366" s="8">
        <f t="shared" si="28"/>
        <v>8096</v>
      </c>
      <c r="R366" s="2" t="s">
        <v>28</v>
      </c>
      <c r="S366" s="9">
        <f t="shared" si="29"/>
        <v>797.45</v>
      </c>
    </row>
    <row r="367" spans="1:19" x14ac:dyDescent="0.3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>IFERROR(VLOOKUP('Customer Info'!A359,'Customer Info'!A359:C858,2,FALSE),"Not Found")</f>
        <v>Paul</v>
      </c>
      <c r="H367" s="6" t="str">
        <f>IFERROR(VLOOKUP('Customer Info'!A359,'Customer Info'!A359:C858,3,FALSE),"Not Found")</f>
        <v>Knutson</v>
      </c>
      <c r="I367" s="6" t="str">
        <f>IFERROR(VLOOKUP('Customer Info'!A359,'Customer Info'!A359:E858,5,FALSE),"Not Found")</f>
        <v>Gold Coast</v>
      </c>
      <c r="J367" s="2">
        <v>1983</v>
      </c>
      <c r="K367" s="2">
        <v>1908</v>
      </c>
      <c r="L367" s="2">
        <v>4</v>
      </c>
      <c r="M367" s="7">
        <f t="shared" si="25"/>
        <v>7632</v>
      </c>
      <c r="N367" s="7">
        <f t="shared" si="26"/>
        <v>7932</v>
      </c>
      <c r="O367" s="2">
        <v>62</v>
      </c>
      <c r="P367" s="8">
        <f t="shared" si="27"/>
        <v>7994</v>
      </c>
      <c r="Q367" s="8">
        <f t="shared" si="28"/>
        <v>6024</v>
      </c>
      <c r="R367" s="2" t="s">
        <v>28</v>
      </c>
      <c r="S367" s="9">
        <f t="shared" si="29"/>
        <v>399.70000000000005</v>
      </c>
    </row>
    <row r="368" spans="1:19" x14ac:dyDescent="0.3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>IFERROR(VLOOKUP('Customer Info'!A360,'Customer Info'!A360:C859,2,FALSE),"Not Found")</f>
        <v>Paul</v>
      </c>
      <c r="H368" s="6" t="str">
        <f>IFERROR(VLOOKUP('Customer Info'!A360,'Customer Info'!A360:C859,3,FALSE),"Not Found")</f>
        <v>Stevenson</v>
      </c>
      <c r="I368" s="6" t="str">
        <f>IFERROR(VLOOKUP('Customer Info'!A360,'Customer Info'!A360:E859,5,FALSE),"Not Found")</f>
        <v>Kwinana</v>
      </c>
      <c r="J368" s="2">
        <v>1916</v>
      </c>
      <c r="K368" s="2">
        <v>1844</v>
      </c>
      <c r="L368" s="2">
        <v>2</v>
      </c>
      <c r="M368" s="7">
        <f t="shared" si="25"/>
        <v>3688</v>
      </c>
      <c r="N368" s="7">
        <f t="shared" si="26"/>
        <v>3832</v>
      </c>
      <c r="O368" s="2">
        <v>96</v>
      </c>
      <c r="P368" s="8">
        <f t="shared" si="27"/>
        <v>3928</v>
      </c>
      <c r="Q368" s="8">
        <f t="shared" si="28"/>
        <v>1988</v>
      </c>
      <c r="R368" s="2" t="s">
        <v>28</v>
      </c>
      <c r="S368" s="9">
        <f t="shared" si="29"/>
        <v>78.56</v>
      </c>
    </row>
    <row r="369" spans="1:19" x14ac:dyDescent="0.3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IFERROR(VLOOKUP('Customer Info'!A361,'Customer Info'!A361:C860,2,FALSE),"Not Found")</f>
        <v>Pauline</v>
      </c>
      <c r="H369" s="6" t="str">
        <f>IFERROR(VLOOKUP('Customer Info'!A361,'Customer Info'!A361:C860,3,FALSE),"Not Found")</f>
        <v>Chand</v>
      </c>
      <c r="I369" s="6" t="str">
        <f>IFERROR(VLOOKUP('Customer Info'!A361,'Customer Info'!A361:E860,5,FALSE),"Not Found")</f>
        <v>Perth</v>
      </c>
      <c r="J369" s="2">
        <v>1306</v>
      </c>
      <c r="K369" s="2">
        <v>1197</v>
      </c>
      <c r="L369" s="2">
        <v>2</v>
      </c>
      <c r="M369" s="7">
        <f t="shared" si="25"/>
        <v>2394</v>
      </c>
      <c r="N369" s="7">
        <f t="shared" si="26"/>
        <v>2612</v>
      </c>
      <c r="O369" s="2">
        <v>63</v>
      </c>
      <c r="P369" s="8">
        <f t="shared" si="27"/>
        <v>2675</v>
      </c>
      <c r="Q369" s="8">
        <f t="shared" si="28"/>
        <v>1415</v>
      </c>
      <c r="R369" s="2" t="s">
        <v>28</v>
      </c>
      <c r="S369" s="9">
        <f t="shared" si="29"/>
        <v>53.5</v>
      </c>
    </row>
    <row r="370" spans="1:19" x14ac:dyDescent="0.3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IFERROR(VLOOKUP('Customer Info'!A362,'Customer Info'!A362:C861,2,FALSE),"Not Found")</f>
        <v>Peter</v>
      </c>
      <c r="H370" s="6" t="str">
        <f>IFERROR(VLOOKUP('Customer Info'!A362,'Customer Info'!A362:C861,3,FALSE),"Not Found")</f>
        <v>BŸhler</v>
      </c>
      <c r="I370" s="6" t="str">
        <f>IFERROR(VLOOKUP('Customer Info'!A362,'Customer Info'!A362:E861,5,FALSE),"Not Found")</f>
        <v>Dresden</v>
      </c>
      <c r="J370" s="2">
        <v>80</v>
      </c>
      <c r="K370" s="2">
        <v>75</v>
      </c>
      <c r="L370" s="2">
        <v>2</v>
      </c>
      <c r="M370" s="7">
        <f t="shared" si="25"/>
        <v>150</v>
      </c>
      <c r="N370" s="7">
        <f t="shared" si="26"/>
        <v>160</v>
      </c>
      <c r="O370" s="2">
        <v>10</v>
      </c>
      <c r="P370" s="8">
        <f t="shared" si="27"/>
        <v>170</v>
      </c>
      <c r="Q370" s="8">
        <f t="shared" si="28"/>
        <v>85</v>
      </c>
      <c r="R370" s="2" t="s">
        <v>50</v>
      </c>
      <c r="S370" s="9">
        <f t="shared" si="29"/>
        <v>3.4</v>
      </c>
    </row>
    <row r="371" spans="1:19" x14ac:dyDescent="0.3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>IFERROR(VLOOKUP('Customer Info'!A363,'Customer Info'!A363:C862,2,FALSE),"Not Found")</f>
        <v>Peter</v>
      </c>
      <c r="H371" s="6" t="str">
        <f>IFERROR(VLOOKUP('Customer Info'!A363,'Customer Info'!A363:C862,3,FALSE),"Not Found")</f>
        <v>McVee</v>
      </c>
      <c r="I371" s="6" t="str">
        <f>IFERROR(VLOOKUP('Customer Info'!A363,'Customer Info'!A363:E862,5,FALSE),"Not Found")</f>
        <v>Hamburg</v>
      </c>
      <c r="J371" s="2">
        <v>941</v>
      </c>
      <c r="K371" s="2">
        <v>905</v>
      </c>
      <c r="L371" s="2">
        <v>3</v>
      </c>
      <c r="M371" s="7">
        <f t="shared" si="25"/>
        <v>2715</v>
      </c>
      <c r="N371" s="7">
        <f t="shared" si="26"/>
        <v>2823</v>
      </c>
      <c r="O371" s="2">
        <v>100</v>
      </c>
      <c r="P371" s="8">
        <f t="shared" si="27"/>
        <v>2923</v>
      </c>
      <c r="Q371" s="8">
        <f t="shared" si="28"/>
        <v>1918</v>
      </c>
      <c r="R371" s="2" t="s">
        <v>28</v>
      </c>
      <c r="S371" s="9">
        <f t="shared" si="29"/>
        <v>58.46</v>
      </c>
    </row>
    <row r="372" spans="1:19" x14ac:dyDescent="0.3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>IFERROR(VLOOKUP('Customer Info'!A364,'Customer Info'!A364:C863,2,FALSE),"Not Found")</f>
        <v>Peter</v>
      </c>
      <c r="H372" s="6" t="str">
        <f>IFERROR(VLOOKUP('Customer Info'!A364,'Customer Info'!A364:C863,3,FALSE),"Not Found")</f>
        <v>BŸhler</v>
      </c>
      <c r="I372" s="6" t="str">
        <f>IFERROR(VLOOKUP('Customer Info'!A364,'Customer Info'!A364:E863,5,FALSE),"Not Found")</f>
        <v>Wolfsburg</v>
      </c>
      <c r="J372" s="2">
        <v>2706</v>
      </c>
      <c r="K372" s="2">
        <v>2553</v>
      </c>
      <c r="L372" s="2">
        <v>6</v>
      </c>
      <c r="M372" s="7">
        <f t="shared" si="25"/>
        <v>15318</v>
      </c>
      <c r="N372" s="7">
        <f t="shared" si="26"/>
        <v>16236</v>
      </c>
      <c r="O372" s="2">
        <v>48</v>
      </c>
      <c r="P372" s="8">
        <f t="shared" si="27"/>
        <v>16284</v>
      </c>
      <c r="Q372" s="8">
        <f t="shared" si="28"/>
        <v>13683</v>
      </c>
      <c r="R372" s="2" t="s">
        <v>28</v>
      </c>
      <c r="S372" s="9">
        <f t="shared" si="29"/>
        <v>814.2</v>
      </c>
    </row>
    <row r="373" spans="1:19" x14ac:dyDescent="0.3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>IFERROR(VLOOKUP('Customer Info'!A365,'Customer Info'!A365:C864,2,FALSE),"Not Found")</f>
        <v>Philip</v>
      </c>
      <c r="H373" s="6" t="str">
        <f>IFERROR(VLOOKUP('Customer Info'!A365,'Customer Info'!A365:C864,3,FALSE),"Not Found")</f>
        <v>Fox</v>
      </c>
      <c r="I373" s="6" t="str">
        <f>IFERROR(VLOOKUP('Customer Info'!A365,'Customer Info'!A365:E864,5,FALSE),"Not Found")</f>
        <v>Mount Isa</v>
      </c>
      <c r="J373" s="2">
        <v>887</v>
      </c>
      <c r="K373" s="2">
        <v>814</v>
      </c>
      <c r="L373" s="2">
        <v>3</v>
      </c>
      <c r="M373" s="7">
        <f t="shared" si="25"/>
        <v>2442</v>
      </c>
      <c r="N373" s="7">
        <f t="shared" si="26"/>
        <v>2661</v>
      </c>
      <c r="O373" s="2">
        <v>43</v>
      </c>
      <c r="P373" s="8">
        <f t="shared" si="27"/>
        <v>2704</v>
      </c>
      <c r="Q373" s="8">
        <f t="shared" si="28"/>
        <v>1847</v>
      </c>
      <c r="R373" s="2" t="s">
        <v>28</v>
      </c>
      <c r="S373" s="9">
        <f t="shared" si="29"/>
        <v>54.08</v>
      </c>
    </row>
    <row r="374" spans="1:19" x14ac:dyDescent="0.3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>IFERROR(VLOOKUP('Customer Info'!A366,'Customer Info'!A366:C865,2,FALSE),"Not Found")</f>
        <v>Philip</v>
      </c>
      <c r="H374" s="6" t="str">
        <f>IFERROR(VLOOKUP('Customer Info'!A366,'Customer Info'!A366:C865,3,FALSE),"Not Found")</f>
        <v>Brown</v>
      </c>
      <c r="I374" s="6" t="str">
        <f>IFERROR(VLOOKUP('Customer Info'!A366,'Customer Info'!A366:E865,5,FALSE),"Not Found")</f>
        <v>Binjai</v>
      </c>
      <c r="J374" s="2">
        <v>7922</v>
      </c>
      <c r="K374" s="2">
        <v>7328</v>
      </c>
      <c r="L374" s="2">
        <v>3</v>
      </c>
      <c r="M374" s="7">
        <f t="shared" si="25"/>
        <v>21984</v>
      </c>
      <c r="N374" s="7">
        <f t="shared" si="26"/>
        <v>23766</v>
      </c>
      <c r="O374" s="2">
        <v>54</v>
      </c>
      <c r="P374" s="8">
        <f t="shared" si="27"/>
        <v>23820</v>
      </c>
      <c r="Q374" s="8">
        <f t="shared" si="28"/>
        <v>16438</v>
      </c>
      <c r="R374" s="2" t="s">
        <v>56</v>
      </c>
      <c r="S374" s="9">
        <f t="shared" si="29"/>
        <v>1191</v>
      </c>
    </row>
    <row r="375" spans="1:19" x14ac:dyDescent="0.3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>IFERROR(VLOOKUP('Customer Info'!A367,'Customer Info'!A367:C866,2,FALSE),"Not Found")</f>
        <v>Philip</v>
      </c>
      <c r="H375" s="6" t="str">
        <f>IFERROR(VLOOKUP('Customer Info'!A367,'Customer Info'!A367:C866,3,FALSE),"Not Found")</f>
        <v>Fox</v>
      </c>
      <c r="I375" s="6" t="str">
        <f>IFERROR(VLOOKUP('Customer Info'!A367,'Customer Info'!A367:E866,5,FALSE),"Not Found")</f>
        <v>Remscheid</v>
      </c>
      <c r="J375" s="2">
        <v>5941</v>
      </c>
      <c r="K375" s="2">
        <v>5827</v>
      </c>
      <c r="L375" s="2">
        <v>5</v>
      </c>
      <c r="M375" s="7">
        <f t="shared" si="25"/>
        <v>29135</v>
      </c>
      <c r="N375" s="7">
        <f t="shared" si="26"/>
        <v>29705</v>
      </c>
      <c r="O375" s="2">
        <v>67</v>
      </c>
      <c r="P375" s="8">
        <f t="shared" si="27"/>
        <v>29772</v>
      </c>
      <c r="Q375" s="8">
        <f t="shared" si="28"/>
        <v>23878</v>
      </c>
      <c r="R375" s="2" t="s">
        <v>50</v>
      </c>
      <c r="S375" s="9">
        <f t="shared" si="29"/>
        <v>2084.0400000000004</v>
      </c>
    </row>
    <row r="376" spans="1:19" x14ac:dyDescent="0.3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>IFERROR(VLOOKUP('Customer Info'!A368,'Customer Info'!A368:C867,2,FALSE),"Not Found")</f>
        <v>Philisse</v>
      </c>
      <c r="H376" s="6" t="str">
        <f>IFERROR(VLOOKUP('Customer Info'!A368,'Customer Info'!A368:C867,3,FALSE),"Not Found")</f>
        <v>Overcash</v>
      </c>
      <c r="I376" s="6" t="str">
        <f>IFERROR(VLOOKUP('Customer Info'!A368,'Customer Info'!A368:E867,5,FALSE),"Not Found")</f>
        <v>Devonport</v>
      </c>
      <c r="J376" s="2">
        <v>1039</v>
      </c>
      <c r="K376" s="2">
        <v>954</v>
      </c>
      <c r="L376" s="2">
        <v>4</v>
      </c>
      <c r="M376" s="7">
        <f t="shared" si="25"/>
        <v>3816</v>
      </c>
      <c r="N376" s="7">
        <f t="shared" si="26"/>
        <v>4156</v>
      </c>
      <c r="O376" s="2">
        <v>29</v>
      </c>
      <c r="P376" s="8">
        <f t="shared" si="27"/>
        <v>4185</v>
      </c>
      <c r="Q376" s="8">
        <f t="shared" si="28"/>
        <v>3202</v>
      </c>
      <c r="R376" s="2" t="s">
        <v>50</v>
      </c>
      <c r="S376" s="9">
        <f t="shared" si="29"/>
        <v>83.7</v>
      </c>
    </row>
    <row r="377" spans="1:19" x14ac:dyDescent="0.3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IFERROR(VLOOKUP('Customer Info'!A369,'Customer Info'!A369:C868,2,FALSE),"Not Found")</f>
        <v>Philisse</v>
      </c>
      <c r="H377" s="6" t="str">
        <f>IFERROR(VLOOKUP('Customer Info'!A369,'Customer Info'!A369:C868,3,FALSE),"Not Found")</f>
        <v>Overcash</v>
      </c>
      <c r="I377" s="6" t="str">
        <f>IFERROR(VLOOKUP('Customer Info'!A369,'Customer Info'!A369:E868,5,FALSE),"Not Found")</f>
        <v>Potsdam</v>
      </c>
      <c r="J377" s="2">
        <v>4784</v>
      </c>
      <c r="K377" s="2">
        <v>4518</v>
      </c>
      <c r="L377" s="2">
        <v>2</v>
      </c>
      <c r="M377" s="7">
        <f t="shared" si="25"/>
        <v>9036</v>
      </c>
      <c r="N377" s="7">
        <f t="shared" si="26"/>
        <v>9568</v>
      </c>
      <c r="O377" s="2">
        <v>25</v>
      </c>
      <c r="P377" s="8">
        <f t="shared" si="27"/>
        <v>9593</v>
      </c>
      <c r="Q377" s="8">
        <f t="shared" si="28"/>
        <v>5050</v>
      </c>
      <c r="R377" s="2" t="s">
        <v>28</v>
      </c>
      <c r="S377" s="9">
        <f t="shared" si="29"/>
        <v>479.65000000000003</v>
      </c>
    </row>
    <row r="378" spans="1:19" x14ac:dyDescent="0.3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>IFERROR(VLOOKUP('Customer Info'!A370,'Customer Info'!A370:C869,2,FALSE),"Not Found")</f>
        <v>Quincy</v>
      </c>
      <c r="H378" s="6" t="str">
        <f>IFERROR(VLOOKUP('Customer Info'!A370,'Customer Info'!A370:C869,3,FALSE),"Not Found")</f>
        <v>Jones</v>
      </c>
      <c r="I378" s="6" t="str">
        <f>IFERROR(VLOOKUP('Customer Info'!A370,'Customer Info'!A370:E869,5,FALSE),"Not Found")</f>
        <v>Gold Coast</v>
      </c>
      <c r="J378" s="2">
        <v>59</v>
      </c>
      <c r="K378" s="2">
        <v>55</v>
      </c>
      <c r="L378" s="2">
        <v>1</v>
      </c>
      <c r="M378" s="7">
        <f t="shared" si="25"/>
        <v>55</v>
      </c>
      <c r="N378" s="7">
        <f t="shared" si="26"/>
        <v>59</v>
      </c>
      <c r="O378" s="2">
        <v>10</v>
      </c>
      <c r="P378" s="8">
        <f t="shared" si="27"/>
        <v>69</v>
      </c>
      <c r="Q378" s="8">
        <f t="shared" si="28"/>
        <v>4</v>
      </c>
      <c r="R378" s="2" t="s">
        <v>28</v>
      </c>
      <c r="S378" s="9">
        <f t="shared" si="29"/>
        <v>1.3800000000000001</v>
      </c>
    </row>
    <row r="379" spans="1:19" x14ac:dyDescent="0.3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>IFERROR(VLOOKUP('Customer Info'!A371,'Customer Info'!A371:C870,2,FALSE),"Not Found")</f>
        <v>Rachel</v>
      </c>
      <c r="H379" s="6" t="str">
        <f>IFERROR(VLOOKUP('Customer Info'!A371,'Customer Info'!A371:C870,3,FALSE),"Not Found")</f>
        <v>Payne</v>
      </c>
      <c r="I379" s="6" t="str">
        <f>IFERROR(VLOOKUP('Customer Info'!A371,'Customer Info'!A371:E870,5,FALSE),"Not Found")</f>
        <v>Caloundra</v>
      </c>
      <c r="J379" s="2">
        <v>1048</v>
      </c>
      <c r="K379" s="2">
        <v>979</v>
      </c>
      <c r="L379" s="2">
        <v>5</v>
      </c>
      <c r="M379" s="7">
        <f t="shared" si="25"/>
        <v>4895</v>
      </c>
      <c r="N379" s="7">
        <f t="shared" si="26"/>
        <v>5240</v>
      </c>
      <c r="O379" s="2">
        <v>82</v>
      </c>
      <c r="P379" s="8">
        <f t="shared" si="27"/>
        <v>5322</v>
      </c>
      <c r="Q379" s="8">
        <f t="shared" si="28"/>
        <v>4261</v>
      </c>
      <c r="R379" s="2" t="s">
        <v>50</v>
      </c>
      <c r="S379" s="9">
        <f t="shared" si="29"/>
        <v>266.10000000000002</v>
      </c>
    </row>
    <row r="380" spans="1:19" x14ac:dyDescent="0.3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>IFERROR(VLOOKUP('Customer Info'!A372,'Customer Info'!A372:C871,2,FALSE),"Not Found")</f>
        <v>Rachel</v>
      </c>
      <c r="H380" s="6" t="str">
        <f>IFERROR(VLOOKUP('Customer Info'!A372,'Customer Info'!A372:C871,3,FALSE),"Not Found")</f>
        <v>Payne</v>
      </c>
      <c r="I380" s="6" t="str">
        <f>IFERROR(VLOOKUP('Customer Info'!A372,'Customer Info'!A372:E871,5,FALSE),"Not Found")</f>
        <v>Mianyang</v>
      </c>
      <c r="J380" s="2">
        <v>1441</v>
      </c>
      <c r="K380" s="2">
        <v>1360</v>
      </c>
      <c r="L380" s="2">
        <v>5</v>
      </c>
      <c r="M380" s="7">
        <f t="shared" si="25"/>
        <v>6800</v>
      </c>
      <c r="N380" s="7">
        <f t="shared" si="26"/>
        <v>7205</v>
      </c>
      <c r="O380" s="2">
        <v>99</v>
      </c>
      <c r="P380" s="8">
        <f t="shared" si="27"/>
        <v>7304</v>
      </c>
      <c r="Q380" s="8">
        <f t="shared" si="28"/>
        <v>5845</v>
      </c>
      <c r="R380" s="2" t="s">
        <v>28</v>
      </c>
      <c r="S380" s="9">
        <f t="shared" si="29"/>
        <v>365.20000000000005</v>
      </c>
    </row>
    <row r="381" spans="1:19" x14ac:dyDescent="0.3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>IFERROR(VLOOKUP('Customer Info'!A373,'Customer Info'!A373:C872,2,FALSE),"Not Found")</f>
        <v>Rachel</v>
      </c>
      <c r="H381" s="6" t="str">
        <f>IFERROR(VLOOKUP('Customer Info'!A373,'Customer Info'!A373:C872,3,FALSE),"Not Found")</f>
        <v>Payne</v>
      </c>
      <c r="I381" s="6" t="str">
        <f>IFERROR(VLOOKUP('Customer Info'!A373,'Customer Info'!A373:E872,5,FALSE),"Not Found")</f>
        <v>Nagercoil</v>
      </c>
      <c r="J381" s="2">
        <v>1181</v>
      </c>
      <c r="K381" s="2">
        <v>1136</v>
      </c>
      <c r="L381" s="2">
        <v>7</v>
      </c>
      <c r="M381" s="7">
        <f t="shared" si="25"/>
        <v>7952</v>
      </c>
      <c r="N381" s="7">
        <f t="shared" si="26"/>
        <v>8267</v>
      </c>
      <c r="O381" s="2">
        <v>84</v>
      </c>
      <c r="P381" s="8">
        <f t="shared" si="27"/>
        <v>8351</v>
      </c>
      <c r="Q381" s="8">
        <f t="shared" si="28"/>
        <v>7131</v>
      </c>
      <c r="R381" s="2" t="s">
        <v>50</v>
      </c>
      <c r="S381" s="9">
        <f t="shared" si="29"/>
        <v>417.55</v>
      </c>
    </row>
    <row r="382" spans="1:19" x14ac:dyDescent="0.3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>IFERROR(VLOOKUP('Customer Info'!A374,'Customer Info'!A374:C873,2,FALSE),"Not Found")</f>
        <v>Rachel</v>
      </c>
      <c r="H382" s="6" t="str">
        <f>IFERROR(VLOOKUP('Customer Info'!A374,'Customer Info'!A374:C873,3,FALSE),"Not Found")</f>
        <v>Payne</v>
      </c>
      <c r="I382" s="6" t="str">
        <f>IFERROR(VLOOKUP('Customer Info'!A374,'Customer Info'!A374:E873,5,FALSE),"Not Found")</f>
        <v>Fuzhou</v>
      </c>
      <c r="J382" s="2">
        <v>2083</v>
      </c>
      <c r="K382" s="2">
        <v>2004</v>
      </c>
      <c r="L382" s="2">
        <v>9</v>
      </c>
      <c r="M382" s="7">
        <f t="shared" si="25"/>
        <v>18036</v>
      </c>
      <c r="N382" s="7">
        <f t="shared" si="26"/>
        <v>18747</v>
      </c>
      <c r="O382" s="2">
        <v>25</v>
      </c>
      <c r="P382" s="8">
        <f t="shared" si="27"/>
        <v>18772</v>
      </c>
      <c r="Q382" s="8">
        <f t="shared" si="28"/>
        <v>16743</v>
      </c>
      <c r="R382" s="2" t="s">
        <v>28</v>
      </c>
      <c r="S382" s="9">
        <f t="shared" si="29"/>
        <v>938.6</v>
      </c>
    </row>
    <row r="383" spans="1:19" x14ac:dyDescent="0.3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>IFERROR(VLOOKUP('Customer Info'!A375,'Customer Info'!A375:C874,2,FALSE),"Not Found")</f>
        <v>Rachel</v>
      </c>
      <c r="H383" s="6" t="str">
        <f>IFERROR(VLOOKUP('Customer Info'!A375,'Customer Info'!A375:C874,3,FALSE),"Not Found")</f>
        <v>Payne</v>
      </c>
      <c r="I383" s="6" t="str">
        <f>IFERROR(VLOOKUP('Customer Info'!A375,'Customer Info'!A375:E874,5,FALSE),"Not Found")</f>
        <v>Raipur</v>
      </c>
      <c r="J383" s="2">
        <v>3289</v>
      </c>
      <c r="K383" s="2">
        <v>3105</v>
      </c>
      <c r="L383" s="2">
        <v>2</v>
      </c>
      <c r="M383" s="7">
        <f t="shared" si="25"/>
        <v>6210</v>
      </c>
      <c r="N383" s="7">
        <f t="shared" si="26"/>
        <v>6578</v>
      </c>
      <c r="O383" s="2">
        <v>23</v>
      </c>
      <c r="P383" s="8">
        <f t="shared" si="27"/>
        <v>6601</v>
      </c>
      <c r="Q383" s="8">
        <f t="shared" si="28"/>
        <v>3473</v>
      </c>
      <c r="R383" s="2" t="s">
        <v>50</v>
      </c>
      <c r="S383" s="9">
        <f t="shared" si="29"/>
        <v>330.05</v>
      </c>
    </row>
    <row r="384" spans="1:19" x14ac:dyDescent="0.3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>IFERROR(VLOOKUP('Customer Info'!A376,'Customer Info'!A376:C875,2,FALSE),"Not Found")</f>
        <v>Ralph</v>
      </c>
      <c r="H384" s="6" t="str">
        <f>IFERROR(VLOOKUP('Customer Info'!A376,'Customer Info'!A376:C875,3,FALSE),"Not Found")</f>
        <v>Kennedy</v>
      </c>
      <c r="I384" s="6" t="str">
        <f>IFERROR(VLOOKUP('Customer Info'!A376,'Customer Info'!A376:E875,5,FALSE),"Not Found")</f>
        <v>Perth</v>
      </c>
      <c r="J384" s="2">
        <v>2078</v>
      </c>
      <c r="K384" s="2">
        <v>1871</v>
      </c>
      <c r="L384" s="2">
        <v>6</v>
      </c>
      <c r="M384" s="7">
        <f t="shared" si="25"/>
        <v>11226</v>
      </c>
      <c r="N384" s="7">
        <f t="shared" si="26"/>
        <v>12468</v>
      </c>
      <c r="O384" s="2">
        <v>89</v>
      </c>
      <c r="P384" s="8">
        <f t="shared" si="27"/>
        <v>12557</v>
      </c>
      <c r="Q384" s="8">
        <f t="shared" si="28"/>
        <v>10597</v>
      </c>
      <c r="R384" s="2" t="s">
        <v>26</v>
      </c>
      <c r="S384" s="9">
        <f t="shared" si="29"/>
        <v>627.85</v>
      </c>
    </row>
    <row r="385" spans="1:19" x14ac:dyDescent="0.3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IFERROR(VLOOKUP('Customer Info'!A377,'Customer Info'!A377:C876,2,FALSE),"Not Found")</f>
        <v>Ralph</v>
      </c>
      <c r="H385" s="6" t="str">
        <f>IFERROR(VLOOKUP('Customer Info'!A377,'Customer Info'!A377:C876,3,FALSE),"Not Found")</f>
        <v>Arnett</v>
      </c>
      <c r="I385" s="6" t="str">
        <f>IFERROR(VLOOKUP('Customer Info'!A377,'Customer Info'!A377:E876,5,FALSE),"Not Found")</f>
        <v>Jhansi</v>
      </c>
      <c r="J385" s="2">
        <v>4443</v>
      </c>
      <c r="K385" s="2">
        <v>4079</v>
      </c>
      <c r="L385" s="2">
        <v>8</v>
      </c>
      <c r="M385" s="7">
        <f t="shared" si="25"/>
        <v>32632</v>
      </c>
      <c r="N385" s="7">
        <f t="shared" si="26"/>
        <v>35544</v>
      </c>
      <c r="O385" s="2">
        <v>39</v>
      </c>
      <c r="P385" s="8">
        <f t="shared" si="27"/>
        <v>35583</v>
      </c>
      <c r="Q385" s="8">
        <f t="shared" si="28"/>
        <v>31465</v>
      </c>
      <c r="R385" s="2" t="s">
        <v>50</v>
      </c>
      <c r="S385" s="9">
        <f t="shared" si="29"/>
        <v>2490.8100000000004</v>
      </c>
    </row>
    <row r="386" spans="1:19" x14ac:dyDescent="0.3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>IFERROR(VLOOKUP('Customer Info'!A378,'Customer Info'!A378:C877,2,FALSE),"Not Found")</f>
        <v>Ralph</v>
      </c>
      <c r="H386" s="6" t="str">
        <f>IFERROR(VLOOKUP('Customer Info'!A378,'Customer Info'!A378:C877,3,FALSE),"Not Found")</f>
        <v>Arnett</v>
      </c>
      <c r="I386" s="6" t="str">
        <f>IFERROR(VLOOKUP('Customer Info'!A378,'Customer Info'!A378:E877,5,FALSE),"Not Found")</f>
        <v>Shenyang</v>
      </c>
      <c r="J386" s="2">
        <v>144</v>
      </c>
      <c r="K386" s="2">
        <v>132</v>
      </c>
      <c r="L386" s="2">
        <v>2</v>
      </c>
      <c r="M386" s="7">
        <f t="shared" si="25"/>
        <v>264</v>
      </c>
      <c r="N386" s="7">
        <f t="shared" si="26"/>
        <v>288</v>
      </c>
      <c r="O386" s="2">
        <v>30</v>
      </c>
      <c r="P386" s="8">
        <f t="shared" si="27"/>
        <v>318</v>
      </c>
      <c r="Q386" s="8">
        <f t="shared" si="28"/>
        <v>156</v>
      </c>
      <c r="R386" s="2" t="s">
        <v>26</v>
      </c>
      <c r="S386" s="9">
        <f t="shared" si="29"/>
        <v>6.36</v>
      </c>
    </row>
    <row r="387" spans="1:19" x14ac:dyDescent="0.3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>IFERROR(VLOOKUP('Customer Info'!A379,'Customer Info'!A379:C878,2,FALSE),"Not Found")</f>
        <v>Ralph</v>
      </c>
      <c r="H387" s="6" t="str">
        <f>IFERROR(VLOOKUP('Customer Info'!A379,'Customer Info'!A379:C878,3,FALSE),"Not Found")</f>
        <v>Arnett</v>
      </c>
      <c r="I387" s="6" t="str">
        <f>IFERROR(VLOOKUP('Customer Info'!A379,'Customer Info'!A379:E878,5,FALSE),"Not Found")</f>
        <v>Suzhou</v>
      </c>
      <c r="J387" s="2">
        <v>681</v>
      </c>
      <c r="K387" s="2">
        <v>642</v>
      </c>
      <c r="L387" s="2">
        <v>2</v>
      </c>
      <c r="M387" s="7">
        <f t="shared" si="25"/>
        <v>1284</v>
      </c>
      <c r="N387" s="7">
        <f t="shared" si="26"/>
        <v>1362</v>
      </c>
      <c r="O387" s="2">
        <v>91</v>
      </c>
      <c r="P387" s="8">
        <f t="shared" si="27"/>
        <v>1453</v>
      </c>
      <c r="Q387" s="8">
        <f t="shared" si="28"/>
        <v>720</v>
      </c>
      <c r="R387" s="2" t="s">
        <v>28</v>
      </c>
      <c r="S387" s="9">
        <f t="shared" si="29"/>
        <v>29.060000000000002</v>
      </c>
    </row>
    <row r="388" spans="1:19" x14ac:dyDescent="0.3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IFERROR(VLOOKUP('Customer Info'!A380,'Customer Info'!A380:C879,2,FALSE),"Not Found")</f>
        <v>Ralph</v>
      </c>
      <c r="H388" s="6" t="str">
        <f>IFERROR(VLOOKUP('Customer Info'!A380,'Customer Info'!A380:C879,3,FALSE),"Not Found")</f>
        <v>Arnett</v>
      </c>
      <c r="I388" s="6" t="str">
        <f>IFERROR(VLOOKUP('Customer Info'!A380,'Customer Info'!A380:E879,5,FALSE),"Not Found")</f>
        <v>Wolfsburg</v>
      </c>
      <c r="J388" s="2">
        <v>87</v>
      </c>
      <c r="K388" s="2">
        <v>80</v>
      </c>
      <c r="L388" s="2">
        <v>4</v>
      </c>
      <c r="M388" s="7">
        <f t="shared" si="25"/>
        <v>320</v>
      </c>
      <c r="N388" s="7">
        <f t="shared" si="26"/>
        <v>348</v>
      </c>
      <c r="O388" s="2">
        <v>10</v>
      </c>
      <c r="P388" s="8">
        <f t="shared" si="27"/>
        <v>358</v>
      </c>
      <c r="Q388" s="8">
        <f t="shared" si="28"/>
        <v>268</v>
      </c>
      <c r="R388" s="2" t="s">
        <v>50</v>
      </c>
      <c r="S388" s="9">
        <f t="shared" si="29"/>
        <v>7.16</v>
      </c>
    </row>
    <row r="389" spans="1:19" x14ac:dyDescent="0.3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>IFERROR(VLOOKUP('Customer Info'!A381,'Customer Info'!A381:C880,2,FALSE),"Not Found")</f>
        <v>Ralph</v>
      </c>
      <c r="H389" s="6" t="str">
        <f>IFERROR(VLOOKUP('Customer Info'!A381,'Customer Info'!A381:C880,3,FALSE),"Not Found")</f>
        <v>Kennedy</v>
      </c>
      <c r="I389" s="6" t="str">
        <f>IFERROR(VLOOKUP('Customer Info'!A381,'Customer Info'!A381:E880,5,FALSE),"Not Found")</f>
        <v>Bundaberg</v>
      </c>
      <c r="J389" s="2">
        <v>8738</v>
      </c>
      <c r="K389" s="2">
        <v>8162</v>
      </c>
      <c r="L389" s="2">
        <v>6</v>
      </c>
      <c r="M389" s="7">
        <f t="shared" si="25"/>
        <v>48972</v>
      </c>
      <c r="N389" s="7">
        <f t="shared" si="26"/>
        <v>52428</v>
      </c>
      <c r="O389" s="2">
        <v>66</v>
      </c>
      <c r="P389" s="8">
        <f t="shared" si="27"/>
        <v>52494</v>
      </c>
      <c r="Q389" s="8">
        <f t="shared" si="28"/>
        <v>44266</v>
      </c>
      <c r="R389" s="2" t="s">
        <v>28</v>
      </c>
      <c r="S389" s="9">
        <f t="shared" si="29"/>
        <v>4724.46</v>
      </c>
    </row>
    <row r="390" spans="1:19" x14ac:dyDescent="0.3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>IFERROR(VLOOKUP('Customer Info'!A382,'Customer Info'!A382:C881,2,FALSE),"Not Found")</f>
        <v>Randy</v>
      </c>
      <c r="H390" s="6" t="str">
        <f>IFERROR(VLOOKUP('Customer Info'!A382,'Customer Info'!A382:C881,3,FALSE),"Not Found")</f>
        <v>Ferguson</v>
      </c>
      <c r="I390" s="6" t="str">
        <f>IFERROR(VLOOKUP('Customer Info'!A382,'Customer Info'!A382:E881,5,FALSE),"Not Found")</f>
        <v>Adelaide</v>
      </c>
      <c r="J390" s="2">
        <v>2790</v>
      </c>
      <c r="K390" s="2">
        <v>2557</v>
      </c>
      <c r="L390" s="2">
        <v>1</v>
      </c>
      <c r="M390" s="7">
        <f t="shared" si="25"/>
        <v>2557</v>
      </c>
      <c r="N390" s="7">
        <f t="shared" si="26"/>
        <v>2790</v>
      </c>
      <c r="O390" s="2">
        <v>100</v>
      </c>
      <c r="P390" s="8">
        <f t="shared" si="27"/>
        <v>2890</v>
      </c>
      <c r="Q390" s="8">
        <f t="shared" si="28"/>
        <v>233</v>
      </c>
      <c r="R390" s="2" t="s">
        <v>28</v>
      </c>
      <c r="S390" s="9">
        <f t="shared" si="29"/>
        <v>57.800000000000004</v>
      </c>
    </row>
    <row r="391" spans="1:19" x14ac:dyDescent="0.3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>IFERROR(VLOOKUP('Customer Info'!A383,'Customer Info'!A383:C882,2,FALSE),"Not Found")</f>
        <v>Randy</v>
      </c>
      <c r="H391" s="6" t="str">
        <f>IFERROR(VLOOKUP('Customer Info'!A383,'Customer Info'!A383:C882,3,FALSE),"Not Found")</f>
        <v>Bradley</v>
      </c>
      <c r="I391" s="6" t="str">
        <f>IFERROR(VLOOKUP('Customer Info'!A383,'Customer Info'!A383:E882,5,FALSE),"Not Found")</f>
        <v>Wollongong</v>
      </c>
      <c r="J391" s="2">
        <v>1916</v>
      </c>
      <c r="K391" s="2">
        <v>1844</v>
      </c>
      <c r="L391" s="2">
        <v>3</v>
      </c>
      <c r="M391" s="7">
        <f t="shared" si="25"/>
        <v>5532</v>
      </c>
      <c r="N391" s="7">
        <f t="shared" si="26"/>
        <v>5748</v>
      </c>
      <c r="O391" s="2">
        <v>39</v>
      </c>
      <c r="P391" s="8">
        <f t="shared" si="27"/>
        <v>5787</v>
      </c>
      <c r="Q391" s="8">
        <f t="shared" si="28"/>
        <v>3904</v>
      </c>
      <c r="R391" s="2" t="s">
        <v>28</v>
      </c>
      <c r="S391" s="9">
        <f t="shared" si="29"/>
        <v>289.35000000000002</v>
      </c>
    </row>
    <row r="392" spans="1:19" x14ac:dyDescent="0.3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>IFERROR(VLOOKUP('Customer Info'!A384,'Customer Info'!A384:C883,2,FALSE),"Not Found")</f>
        <v>Resi</v>
      </c>
      <c r="H392" s="6" t="str">
        <f>IFERROR(VLOOKUP('Customer Info'!A384,'Customer Info'!A384:C883,3,FALSE),"Not Found")</f>
        <v>Pšlking</v>
      </c>
      <c r="I392" s="6" t="str">
        <f>IFERROR(VLOOKUP('Customer Info'!A384,'Customer Info'!A384:E883,5,FALSE),"Not Found")</f>
        <v>Gelsenkirchen</v>
      </c>
      <c r="J392" s="2">
        <v>3053</v>
      </c>
      <c r="K392" s="2">
        <v>2937</v>
      </c>
      <c r="L392" s="2">
        <v>2</v>
      </c>
      <c r="M392" s="7">
        <f t="shared" si="25"/>
        <v>5874</v>
      </c>
      <c r="N392" s="7">
        <f t="shared" si="26"/>
        <v>6106</v>
      </c>
      <c r="O392" s="2">
        <v>38</v>
      </c>
      <c r="P392" s="8">
        <f t="shared" si="27"/>
        <v>6144</v>
      </c>
      <c r="Q392" s="8">
        <f t="shared" si="28"/>
        <v>3169</v>
      </c>
      <c r="R392" s="2" t="s">
        <v>28</v>
      </c>
      <c r="S392" s="9">
        <f t="shared" si="29"/>
        <v>307.20000000000005</v>
      </c>
    </row>
    <row r="393" spans="1:19" x14ac:dyDescent="0.3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>IFERROR(VLOOKUP('Customer Info'!A385,'Customer Info'!A385:C884,2,FALSE),"Not Found")</f>
        <v>Rick</v>
      </c>
      <c r="H393" s="6" t="str">
        <f>IFERROR(VLOOKUP('Customer Info'!A385,'Customer Info'!A385:C884,3,FALSE),"Not Found")</f>
        <v>Reed</v>
      </c>
      <c r="I393" s="6" t="str">
        <f>IFERROR(VLOOKUP('Customer Info'!A385,'Customer Info'!A385:E884,5,FALSE),"Not Found")</f>
        <v>Lucknow</v>
      </c>
      <c r="J393" s="2">
        <v>7922</v>
      </c>
      <c r="K393" s="2">
        <v>7328</v>
      </c>
      <c r="L393" s="2">
        <v>6</v>
      </c>
      <c r="M393" s="7">
        <f t="shared" si="25"/>
        <v>43968</v>
      </c>
      <c r="N393" s="7">
        <f t="shared" si="26"/>
        <v>47532</v>
      </c>
      <c r="O393" s="2">
        <v>26</v>
      </c>
      <c r="P393" s="8">
        <f t="shared" si="27"/>
        <v>47558</v>
      </c>
      <c r="Q393" s="8">
        <f t="shared" si="28"/>
        <v>40204</v>
      </c>
      <c r="R393" s="2" t="s">
        <v>28</v>
      </c>
      <c r="S393" s="9">
        <f t="shared" si="29"/>
        <v>3329.0600000000004</v>
      </c>
    </row>
    <row r="394" spans="1:19" x14ac:dyDescent="0.3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>IFERROR(VLOOKUP('Customer Info'!A386,'Customer Info'!A386:C885,2,FALSE),"Not Found")</f>
        <v>Rick</v>
      </c>
      <c r="H394" s="6" t="str">
        <f>IFERROR(VLOOKUP('Customer Info'!A386,'Customer Info'!A386:C885,3,FALSE),"Not Found")</f>
        <v>Duston</v>
      </c>
      <c r="I394" s="6" t="str">
        <f>IFERROR(VLOOKUP('Customer Info'!A386,'Customer Info'!A386:E885,5,FALSE),"Not Found")</f>
        <v>Bhiwandi</v>
      </c>
      <c r="J394" s="2">
        <v>4808</v>
      </c>
      <c r="K394" s="2">
        <v>4453</v>
      </c>
      <c r="L394" s="2">
        <v>3</v>
      </c>
      <c r="M394" s="7">
        <f t="shared" si="25"/>
        <v>13359</v>
      </c>
      <c r="N394" s="7">
        <f t="shared" si="26"/>
        <v>14424</v>
      </c>
      <c r="O394" s="2">
        <v>68</v>
      </c>
      <c r="P394" s="8">
        <f t="shared" si="27"/>
        <v>14492</v>
      </c>
      <c r="Q394" s="8">
        <f t="shared" si="28"/>
        <v>9971</v>
      </c>
      <c r="R394" s="2" t="s">
        <v>56</v>
      </c>
      <c r="S394" s="9">
        <f t="shared" si="29"/>
        <v>724.6</v>
      </c>
    </row>
    <row r="395" spans="1:19" x14ac:dyDescent="0.3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>IFERROR(VLOOKUP('Customer Info'!A387,'Customer Info'!A387:C886,2,FALSE),"Not Found")</f>
        <v>Rick</v>
      </c>
      <c r="H395" s="6" t="str">
        <f>IFERROR(VLOOKUP('Customer Info'!A387,'Customer Info'!A387:C886,3,FALSE),"Not Found")</f>
        <v>Duston</v>
      </c>
      <c r="I395" s="6" t="str">
        <f>IFERROR(VLOOKUP('Customer Info'!A387,'Customer Info'!A387:E886,5,FALSE),"Not Found")</f>
        <v>Surakarta</v>
      </c>
      <c r="J395" s="2">
        <v>751</v>
      </c>
      <c r="K395" s="2">
        <v>696</v>
      </c>
      <c r="L395" s="2">
        <v>2</v>
      </c>
      <c r="M395" s="7">
        <f t="shared" ref="M395:M458" si="30">$K395*$L395</f>
        <v>1392</v>
      </c>
      <c r="N395" s="7">
        <f t="shared" ref="N395:N458" si="31">$J395*$L395</f>
        <v>1502</v>
      </c>
      <c r="O395" s="2">
        <v>98</v>
      </c>
      <c r="P395" s="8">
        <f t="shared" ref="P395:P458" si="32">$N395+$O395</f>
        <v>1600</v>
      </c>
      <c r="Q395" s="8">
        <f t="shared" ref="Q395:Q458" si="33">$N395-$K395</f>
        <v>806</v>
      </c>
      <c r="R395" s="2" t="s">
        <v>26</v>
      </c>
      <c r="S395" s="9">
        <f t="shared" ref="S395:S458" si="34" xml:space="preserve"> P395 * VLOOKUP(P395, $T$2:$U$6, 2, TRUE)</f>
        <v>32</v>
      </c>
    </row>
    <row r="396" spans="1:19" x14ac:dyDescent="0.3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IFERROR(VLOOKUP('Customer Info'!A388,'Customer Info'!A388:C887,2,FALSE),"Not Found")</f>
        <v>Ritsa</v>
      </c>
      <c r="H396" s="6" t="str">
        <f>IFERROR(VLOOKUP('Customer Info'!A388,'Customer Info'!A388:C887,3,FALSE),"Not Found")</f>
        <v>Hightower</v>
      </c>
      <c r="I396" s="6" t="str">
        <f>IFERROR(VLOOKUP('Customer Info'!A388,'Customer Info'!A388:E887,5,FALSE),"Not Found")</f>
        <v>Hamburg</v>
      </c>
      <c r="J396" s="2">
        <v>4443</v>
      </c>
      <c r="K396" s="2">
        <v>4079</v>
      </c>
      <c r="L396" s="2">
        <v>4</v>
      </c>
      <c r="M396" s="7">
        <f t="shared" si="30"/>
        <v>16316</v>
      </c>
      <c r="N396" s="7">
        <f t="shared" si="31"/>
        <v>17772</v>
      </c>
      <c r="O396" s="2">
        <v>53</v>
      </c>
      <c r="P396" s="8">
        <f t="shared" si="32"/>
        <v>17825</v>
      </c>
      <c r="Q396" s="8">
        <f t="shared" si="33"/>
        <v>13693</v>
      </c>
      <c r="R396" s="2" t="s">
        <v>56</v>
      </c>
      <c r="S396" s="9">
        <f t="shared" si="34"/>
        <v>891.25</v>
      </c>
    </row>
    <row r="397" spans="1:19" x14ac:dyDescent="0.3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>IFERROR(VLOOKUP('Customer Info'!A389,'Customer Info'!A389:C888,2,FALSE),"Not Found")</f>
        <v>Ritsa</v>
      </c>
      <c r="H397" s="6" t="str">
        <f>IFERROR(VLOOKUP('Customer Info'!A389,'Customer Info'!A389:C888,3,FALSE),"Not Found")</f>
        <v>Hightower</v>
      </c>
      <c r="I397" s="6" t="str">
        <f>IFERROR(VLOOKUP('Customer Info'!A389,'Customer Info'!A389:E888,5,FALSE),"Not Found")</f>
        <v>Datong</v>
      </c>
      <c r="J397" s="2">
        <v>6864</v>
      </c>
      <c r="K397" s="2">
        <v>6667</v>
      </c>
      <c r="L397" s="2">
        <v>2</v>
      </c>
      <c r="M397" s="7">
        <f t="shared" si="30"/>
        <v>13334</v>
      </c>
      <c r="N397" s="7">
        <f t="shared" si="31"/>
        <v>13728</v>
      </c>
      <c r="O397" s="2">
        <v>43</v>
      </c>
      <c r="P397" s="8">
        <f t="shared" si="32"/>
        <v>13771</v>
      </c>
      <c r="Q397" s="8">
        <f t="shared" si="33"/>
        <v>7061</v>
      </c>
      <c r="R397" s="2" t="s">
        <v>28</v>
      </c>
      <c r="S397" s="9">
        <f t="shared" si="34"/>
        <v>688.55000000000007</v>
      </c>
    </row>
    <row r="398" spans="1:19" x14ac:dyDescent="0.3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>IFERROR(VLOOKUP('Customer Info'!A390,'Customer Info'!A390:C889,2,FALSE),"Not Found")</f>
        <v>Rob</v>
      </c>
      <c r="H398" s="6" t="str">
        <f>IFERROR(VLOOKUP('Customer Info'!A390,'Customer Info'!A390:C889,3,FALSE),"Not Found")</f>
        <v>Williams</v>
      </c>
      <c r="I398" s="6" t="str">
        <f>IFERROR(VLOOKUP('Customer Info'!A390,'Customer Info'!A390:E889,5,FALSE),"Not Found")</f>
        <v>Wodonga</v>
      </c>
      <c r="J398" s="2">
        <v>60</v>
      </c>
      <c r="K398" s="2">
        <v>55</v>
      </c>
      <c r="L398" s="2">
        <v>6</v>
      </c>
      <c r="M398" s="7">
        <f t="shared" si="30"/>
        <v>330</v>
      </c>
      <c r="N398" s="7">
        <f t="shared" si="31"/>
        <v>360</v>
      </c>
      <c r="O398" s="2">
        <v>10</v>
      </c>
      <c r="P398" s="8">
        <f t="shared" si="32"/>
        <v>370</v>
      </c>
      <c r="Q398" s="8">
        <f t="shared" si="33"/>
        <v>305</v>
      </c>
      <c r="R398" s="2" t="s">
        <v>28</v>
      </c>
      <c r="S398" s="9">
        <f t="shared" si="34"/>
        <v>7.4</v>
      </c>
    </row>
    <row r="399" spans="1:19" x14ac:dyDescent="0.3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>IFERROR(VLOOKUP('Customer Info'!A391,'Customer Info'!A391:C890,2,FALSE),"Not Found")</f>
        <v>Rob</v>
      </c>
      <c r="H399" s="6" t="str">
        <f>IFERROR(VLOOKUP('Customer Info'!A391,'Customer Info'!A391:C890,3,FALSE),"Not Found")</f>
        <v>Haberlin</v>
      </c>
      <c r="I399" s="6" t="str">
        <f>IFERROR(VLOOKUP('Customer Info'!A391,'Customer Info'!A391:E890,5,FALSE),"Not Found")</f>
        <v>Harbin</v>
      </c>
      <c r="J399" s="2">
        <v>8619</v>
      </c>
      <c r="K399" s="2">
        <v>7759</v>
      </c>
      <c r="L399" s="2">
        <v>2</v>
      </c>
      <c r="M399" s="7">
        <f t="shared" si="30"/>
        <v>15518</v>
      </c>
      <c r="N399" s="7">
        <f t="shared" si="31"/>
        <v>17238</v>
      </c>
      <c r="O399" s="2">
        <v>65</v>
      </c>
      <c r="P399" s="8">
        <f t="shared" si="32"/>
        <v>17303</v>
      </c>
      <c r="Q399" s="8">
        <f t="shared" si="33"/>
        <v>9479</v>
      </c>
      <c r="R399" s="2" t="s">
        <v>26</v>
      </c>
      <c r="S399" s="9">
        <f t="shared" si="34"/>
        <v>865.15000000000009</v>
      </c>
    </row>
    <row r="400" spans="1:19" x14ac:dyDescent="0.3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>IFERROR(VLOOKUP('Customer Info'!A392,'Customer Info'!A392:C891,2,FALSE),"Not Found")</f>
        <v>Robert</v>
      </c>
      <c r="H400" s="6" t="str">
        <f>IFERROR(VLOOKUP('Customer Info'!A392,'Customer Info'!A392:C891,3,FALSE),"Not Found")</f>
        <v>Dilbeck</v>
      </c>
      <c r="I400" s="6" t="str">
        <f>IFERROR(VLOOKUP('Customer Info'!A392,'Customer Info'!A392:E891,5,FALSE),"Not Found")</f>
        <v>Sydney</v>
      </c>
      <c r="J400" s="2">
        <v>7212</v>
      </c>
      <c r="K400" s="2">
        <v>6737</v>
      </c>
      <c r="L400" s="2">
        <v>3</v>
      </c>
      <c r="M400" s="7">
        <f t="shared" si="30"/>
        <v>20211</v>
      </c>
      <c r="N400" s="7">
        <f t="shared" si="31"/>
        <v>21636</v>
      </c>
      <c r="O400" s="2">
        <v>96</v>
      </c>
      <c r="P400" s="8">
        <f t="shared" si="32"/>
        <v>21732</v>
      </c>
      <c r="Q400" s="8">
        <f t="shared" si="33"/>
        <v>14899</v>
      </c>
      <c r="R400" s="2" t="s">
        <v>28</v>
      </c>
      <c r="S400" s="9">
        <f t="shared" si="34"/>
        <v>1086.6000000000001</v>
      </c>
    </row>
    <row r="401" spans="1:19" x14ac:dyDescent="0.3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>IFERROR(VLOOKUP('Customer Info'!A393,'Customer Info'!A393:C892,2,FALSE),"Not Found")</f>
        <v>Robert</v>
      </c>
      <c r="H401" s="6" t="str">
        <f>IFERROR(VLOOKUP('Customer Info'!A393,'Customer Info'!A393:C892,3,FALSE),"Not Found")</f>
        <v>Dilbeck</v>
      </c>
      <c r="I401" s="6" t="str">
        <f>IFERROR(VLOOKUP('Customer Info'!A393,'Customer Info'!A393:E892,5,FALSE),"Not Found")</f>
        <v>Bihar Sharif</v>
      </c>
      <c r="J401" s="2">
        <v>2042</v>
      </c>
      <c r="K401" s="2">
        <v>1965</v>
      </c>
      <c r="L401" s="2">
        <v>2</v>
      </c>
      <c r="M401" s="7">
        <f t="shared" si="30"/>
        <v>3930</v>
      </c>
      <c r="N401" s="7">
        <f t="shared" si="31"/>
        <v>4084</v>
      </c>
      <c r="O401" s="2">
        <v>97</v>
      </c>
      <c r="P401" s="8">
        <f t="shared" si="32"/>
        <v>4181</v>
      </c>
      <c r="Q401" s="8">
        <f t="shared" si="33"/>
        <v>2119</v>
      </c>
      <c r="R401" s="2" t="s">
        <v>28</v>
      </c>
      <c r="S401" s="9">
        <f t="shared" si="34"/>
        <v>83.62</v>
      </c>
    </row>
    <row r="402" spans="1:19" x14ac:dyDescent="0.3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>IFERROR(VLOOKUP('Customer Info'!A394,'Customer Info'!A394:C893,2,FALSE),"Not Found")</f>
        <v>Robert</v>
      </c>
      <c r="H402" s="6" t="str">
        <f>IFERROR(VLOOKUP('Customer Info'!A394,'Customer Info'!A394:C893,3,FALSE),"Not Found")</f>
        <v>Dilbeck</v>
      </c>
      <c r="I402" s="6" t="str">
        <f>IFERROR(VLOOKUP('Customer Info'!A394,'Customer Info'!A394:E893,5,FALSE),"Not Found")</f>
        <v>Melton</v>
      </c>
      <c r="J402" s="2">
        <v>2874</v>
      </c>
      <c r="K402" s="2">
        <v>2583</v>
      </c>
      <c r="L402" s="2">
        <v>4</v>
      </c>
      <c r="M402" s="7">
        <f t="shared" si="30"/>
        <v>10332</v>
      </c>
      <c r="N402" s="7">
        <f t="shared" si="31"/>
        <v>11496</v>
      </c>
      <c r="O402" s="2">
        <v>23</v>
      </c>
      <c r="P402" s="8">
        <f t="shared" si="32"/>
        <v>11519</v>
      </c>
      <c r="Q402" s="8">
        <f t="shared" si="33"/>
        <v>8913</v>
      </c>
      <c r="R402" s="2" t="s">
        <v>28</v>
      </c>
      <c r="S402" s="9">
        <f t="shared" si="34"/>
        <v>575.95000000000005</v>
      </c>
    </row>
    <row r="403" spans="1:19" x14ac:dyDescent="0.3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>IFERROR(VLOOKUP('Customer Info'!A395,'Customer Info'!A395:C894,2,FALSE),"Not Found")</f>
        <v>Robert</v>
      </c>
      <c r="H403" s="6" t="str">
        <f>IFERROR(VLOOKUP('Customer Info'!A395,'Customer Info'!A395:C894,3,FALSE),"Not Found")</f>
        <v>Waldorf</v>
      </c>
      <c r="I403" s="6" t="str">
        <f>IFERROR(VLOOKUP('Customer Info'!A395,'Customer Info'!A395:E894,5,FALSE),"Not Found")</f>
        <v>Emden</v>
      </c>
      <c r="J403" s="2">
        <v>1103</v>
      </c>
      <c r="K403" s="2">
        <v>1030</v>
      </c>
      <c r="L403" s="2">
        <v>3</v>
      </c>
      <c r="M403" s="7">
        <f t="shared" si="30"/>
        <v>3090</v>
      </c>
      <c r="N403" s="7">
        <f t="shared" si="31"/>
        <v>3309</v>
      </c>
      <c r="O403" s="2">
        <v>29</v>
      </c>
      <c r="P403" s="8">
        <f t="shared" si="32"/>
        <v>3338</v>
      </c>
      <c r="Q403" s="8">
        <f t="shared" si="33"/>
        <v>2279</v>
      </c>
      <c r="R403" s="2" t="s">
        <v>28</v>
      </c>
      <c r="S403" s="9">
        <f t="shared" si="34"/>
        <v>66.760000000000005</v>
      </c>
    </row>
    <row r="404" spans="1:19" x14ac:dyDescent="0.3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IFERROR(VLOOKUP('Customer Info'!A396,'Customer Info'!A396:C895,2,FALSE),"Not Found")</f>
        <v>Roger</v>
      </c>
      <c r="H404" s="6" t="str">
        <f>IFERROR(VLOOKUP('Customer Info'!A396,'Customer Info'!A396:C895,3,FALSE),"Not Found")</f>
        <v>Demir</v>
      </c>
      <c r="I404" s="6" t="str">
        <f>IFERROR(VLOOKUP('Customer Info'!A396,'Customer Info'!A396:E895,5,FALSE),"Not Found")</f>
        <v>Wollongong</v>
      </c>
      <c r="J404" s="2">
        <v>170</v>
      </c>
      <c r="K404" s="2">
        <v>153</v>
      </c>
      <c r="L404" s="2">
        <v>1</v>
      </c>
      <c r="M404" s="7">
        <f t="shared" si="30"/>
        <v>153</v>
      </c>
      <c r="N404" s="7">
        <f t="shared" si="31"/>
        <v>170</v>
      </c>
      <c r="O404" s="2">
        <v>30</v>
      </c>
      <c r="P404" s="8">
        <f t="shared" si="32"/>
        <v>200</v>
      </c>
      <c r="Q404" s="8">
        <f t="shared" si="33"/>
        <v>17</v>
      </c>
      <c r="R404" s="2" t="s">
        <v>26</v>
      </c>
      <c r="S404" s="9">
        <f t="shared" si="34"/>
        <v>4</v>
      </c>
    </row>
    <row r="405" spans="1:19" x14ac:dyDescent="0.3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>IFERROR(VLOOKUP('Customer Info'!A397,'Customer Info'!A397:C896,2,FALSE),"Not Found")</f>
        <v>Roger</v>
      </c>
      <c r="H405" s="6" t="str">
        <f>IFERROR(VLOOKUP('Customer Info'!A397,'Customer Info'!A397:C896,3,FALSE),"Not Found")</f>
        <v>Barcio</v>
      </c>
      <c r="I405" s="6" t="str">
        <f>IFERROR(VLOOKUP('Customer Info'!A397,'Customer Info'!A397:E896,5,FALSE),"Not Found")</f>
        <v>Bremen</v>
      </c>
      <c r="J405" s="2">
        <v>1619</v>
      </c>
      <c r="K405" s="2">
        <v>1442</v>
      </c>
      <c r="L405" s="2">
        <v>2</v>
      </c>
      <c r="M405" s="7">
        <f t="shared" si="30"/>
        <v>2884</v>
      </c>
      <c r="N405" s="7">
        <f t="shared" si="31"/>
        <v>3238</v>
      </c>
      <c r="O405" s="2">
        <v>75</v>
      </c>
      <c r="P405" s="8">
        <f t="shared" si="32"/>
        <v>3313</v>
      </c>
      <c r="Q405" s="8">
        <f t="shared" si="33"/>
        <v>1796</v>
      </c>
      <c r="R405" s="2" t="s">
        <v>56</v>
      </c>
      <c r="S405" s="9">
        <f t="shared" si="34"/>
        <v>66.260000000000005</v>
      </c>
    </row>
    <row r="406" spans="1:19" x14ac:dyDescent="0.3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>IFERROR(VLOOKUP('Customer Info'!A398,'Customer Info'!A398:C897,2,FALSE),"Not Found")</f>
        <v>Roger</v>
      </c>
      <c r="H406" s="6" t="str">
        <f>IFERROR(VLOOKUP('Customer Info'!A398,'Customer Info'!A398:C897,3,FALSE),"Not Found")</f>
        <v>Barcio</v>
      </c>
      <c r="I406" s="6" t="str">
        <f>IFERROR(VLOOKUP('Customer Info'!A398,'Customer Info'!A398:E897,5,FALSE),"Not Found")</f>
        <v>Celle</v>
      </c>
      <c r="J406" s="2">
        <v>1169</v>
      </c>
      <c r="K406" s="2">
        <v>1103</v>
      </c>
      <c r="L406" s="2">
        <v>7</v>
      </c>
      <c r="M406" s="7">
        <f t="shared" si="30"/>
        <v>7721</v>
      </c>
      <c r="N406" s="7">
        <f t="shared" si="31"/>
        <v>8183</v>
      </c>
      <c r="O406" s="2">
        <v>77</v>
      </c>
      <c r="P406" s="8">
        <f t="shared" si="32"/>
        <v>8260</v>
      </c>
      <c r="Q406" s="8">
        <f t="shared" si="33"/>
        <v>7080</v>
      </c>
      <c r="R406" s="2" t="s">
        <v>28</v>
      </c>
      <c r="S406" s="9">
        <f t="shared" si="34"/>
        <v>413</v>
      </c>
    </row>
    <row r="407" spans="1:19" x14ac:dyDescent="0.3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>IFERROR(VLOOKUP('Customer Info'!A399,'Customer Info'!A399:C898,2,FALSE),"Not Found")</f>
        <v>Roland</v>
      </c>
      <c r="H407" s="6" t="str">
        <f>IFERROR(VLOOKUP('Customer Info'!A399,'Customer Info'!A399:C898,3,FALSE),"Not Found")</f>
        <v>Fjeld</v>
      </c>
      <c r="I407" s="6" t="str">
        <f>IFERROR(VLOOKUP('Customer Info'!A399,'Customer Info'!A399:E898,5,FALSE),"Not Found")</f>
        <v>Caloundra</v>
      </c>
      <c r="J407" s="2">
        <v>100</v>
      </c>
      <c r="K407" s="2">
        <v>95</v>
      </c>
      <c r="L407" s="2">
        <v>7</v>
      </c>
      <c r="M407" s="7">
        <f t="shared" si="30"/>
        <v>665</v>
      </c>
      <c r="N407" s="7">
        <f t="shared" si="31"/>
        <v>700</v>
      </c>
      <c r="O407" s="2">
        <v>10</v>
      </c>
      <c r="P407" s="8">
        <f t="shared" si="32"/>
        <v>710</v>
      </c>
      <c r="Q407" s="8">
        <f t="shared" si="33"/>
        <v>605</v>
      </c>
      <c r="R407" s="2" t="s">
        <v>28</v>
      </c>
      <c r="S407" s="9">
        <f t="shared" si="34"/>
        <v>14.200000000000001</v>
      </c>
    </row>
    <row r="408" spans="1:19" x14ac:dyDescent="0.3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>IFERROR(VLOOKUP('Customer Info'!A400,'Customer Info'!A400:C899,2,FALSE),"Not Found")</f>
        <v>Roland</v>
      </c>
      <c r="H408" s="6" t="str">
        <f>IFERROR(VLOOKUP('Customer Info'!A400,'Customer Info'!A400:C899,3,FALSE),"Not Found")</f>
        <v>Murray</v>
      </c>
      <c r="I408" s="6" t="str">
        <f>IFERROR(VLOOKUP('Customer Info'!A400,'Customer Info'!A400:E899,5,FALSE),"Not Found")</f>
        <v>Frankfurt</v>
      </c>
      <c r="J408" s="2">
        <v>7623</v>
      </c>
      <c r="K408" s="2">
        <v>7064</v>
      </c>
      <c r="L408" s="2">
        <v>1</v>
      </c>
      <c r="M408" s="7">
        <f t="shared" si="30"/>
        <v>7064</v>
      </c>
      <c r="N408" s="7">
        <f t="shared" si="31"/>
        <v>7623</v>
      </c>
      <c r="O408" s="2">
        <v>41</v>
      </c>
      <c r="P408" s="8">
        <f t="shared" si="32"/>
        <v>7664</v>
      </c>
      <c r="Q408" s="8">
        <f t="shared" si="33"/>
        <v>559</v>
      </c>
      <c r="R408" s="2" t="s">
        <v>50</v>
      </c>
      <c r="S408" s="9">
        <f t="shared" si="34"/>
        <v>383.20000000000005</v>
      </c>
    </row>
    <row r="409" spans="1:19" x14ac:dyDescent="0.3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>IFERROR(VLOOKUP('Customer Info'!A401,'Customer Info'!A401:C900,2,FALSE),"Not Found")</f>
        <v>Roy</v>
      </c>
      <c r="H409" s="6" t="str">
        <f>IFERROR(VLOOKUP('Customer Info'!A401,'Customer Info'!A401:C900,3,FALSE),"Not Found")</f>
        <v>Skaria</v>
      </c>
      <c r="I409" s="6" t="str">
        <f>IFERROR(VLOOKUP('Customer Info'!A401,'Customer Info'!A401:E900,5,FALSE),"Not Found")</f>
        <v>Bogor</v>
      </c>
      <c r="J409" s="2">
        <v>4798</v>
      </c>
      <c r="K409" s="2">
        <v>4448</v>
      </c>
      <c r="L409" s="2">
        <v>1</v>
      </c>
      <c r="M409" s="7">
        <f t="shared" si="30"/>
        <v>4448</v>
      </c>
      <c r="N409" s="7">
        <f t="shared" si="31"/>
        <v>4798</v>
      </c>
      <c r="O409" s="2">
        <v>48</v>
      </c>
      <c r="P409" s="8">
        <f t="shared" si="32"/>
        <v>4846</v>
      </c>
      <c r="Q409" s="8">
        <f t="shared" si="33"/>
        <v>350</v>
      </c>
      <c r="R409" s="2" t="s">
        <v>26</v>
      </c>
      <c r="S409" s="9">
        <f t="shared" si="34"/>
        <v>96.92</v>
      </c>
    </row>
    <row r="410" spans="1:19" x14ac:dyDescent="0.3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>IFERROR(VLOOKUP('Customer Info'!A402,'Customer Info'!A402:C901,2,FALSE),"Not Found")</f>
        <v>Roy</v>
      </c>
      <c r="H410" s="6" t="str">
        <f>IFERROR(VLOOKUP('Customer Info'!A402,'Customer Info'!A402:C901,3,FALSE),"Not Found")</f>
        <v>Phan</v>
      </c>
      <c r="I410" s="6" t="str">
        <f>IFERROR(VLOOKUP('Customer Info'!A402,'Customer Info'!A402:E901,5,FALSE),"Not Found")</f>
        <v>Melbourne</v>
      </c>
      <c r="J410" s="2">
        <v>2442</v>
      </c>
      <c r="K410" s="2">
        <v>2304</v>
      </c>
      <c r="L410" s="2">
        <v>2</v>
      </c>
      <c r="M410" s="7">
        <f t="shared" si="30"/>
        <v>4608</v>
      </c>
      <c r="N410" s="7">
        <f t="shared" si="31"/>
        <v>4884</v>
      </c>
      <c r="O410" s="2">
        <v>83</v>
      </c>
      <c r="P410" s="8">
        <f t="shared" si="32"/>
        <v>4967</v>
      </c>
      <c r="Q410" s="8">
        <f t="shared" si="33"/>
        <v>2580</v>
      </c>
      <c r="R410" s="2" t="s">
        <v>50</v>
      </c>
      <c r="S410" s="9">
        <f t="shared" si="34"/>
        <v>99.34</v>
      </c>
    </row>
    <row r="411" spans="1:19" x14ac:dyDescent="0.3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>IFERROR(VLOOKUP('Customer Info'!A403,'Customer Info'!A403:C902,2,FALSE),"Not Found")</f>
        <v>Ruben</v>
      </c>
      <c r="H411" s="6" t="str">
        <f>IFERROR(VLOOKUP('Customer Info'!A403,'Customer Info'!A403:C902,3,FALSE),"Not Found")</f>
        <v>Ausman</v>
      </c>
      <c r="I411" s="6" t="str">
        <f>IFERROR(VLOOKUP('Customer Info'!A403,'Customer Info'!A403:E902,5,FALSE),"Not Found")</f>
        <v>Sonneberg</v>
      </c>
      <c r="J411" s="2">
        <v>1925</v>
      </c>
      <c r="K411" s="2">
        <v>1834</v>
      </c>
      <c r="L411" s="2">
        <v>11</v>
      </c>
      <c r="M411" s="7">
        <f t="shared" si="30"/>
        <v>20174</v>
      </c>
      <c r="N411" s="7">
        <f t="shared" si="31"/>
        <v>21175</v>
      </c>
      <c r="O411" s="2">
        <v>35</v>
      </c>
      <c r="P411" s="8">
        <f t="shared" si="32"/>
        <v>21210</v>
      </c>
      <c r="Q411" s="8">
        <f t="shared" si="33"/>
        <v>19341</v>
      </c>
      <c r="R411" s="2" t="s">
        <v>50</v>
      </c>
      <c r="S411" s="9">
        <f t="shared" si="34"/>
        <v>1060.5</v>
      </c>
    </row>
    <row r="412" spans="1:19" x14ac:dyDescent="0.3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>IFERROR(VLOOKUP('Customer Info'!A404,'Customer Info'!A404:C903,2,FALSE),"Not Found")</f>
        <v>Russell</v>
      </c>
      <c r="H412" s="6" t="str">
        <f>IFERROR(VLOOKUP('Customer Info'!A404,'Customer Info'!A404:C903,3,FALSE),"Not Found")</f>
        <v>Applegate</v>
      </c>
      <c r="I412" s="6" t="str">
        <f>IFERROR(VLOOKUP('Customer Info'!A404,'Customer Info'!A404:E903,5,FALSE),"Not Found")</f>
        <v>Gorakhpur</v>
      </c>
      <c r="J412" s="2">
        <v>679</v>
      </c>
      <c r="K412" s="2">
        <v>654</v>
      </c>
      <c r="L412" s="2">
        <v>3</v>
      </c>
      <c r="M412" s="7">
        <f t="shared" si="30"/>
        <v>1962</v>
      </c>
      <c r="N412" s="7">
        <f t="shared" si="31"/>
        <v>2037</v>
      </c>
      <c r="O412" s="2">
        <v>35</v>
      </c>
      <c r="P412" s="8">
        <f t="shared" si="32"/>
        <v>2072</v>
      </c>
      <c r="Q412" s="8">
        <f t="shared" si="33"/>
        <v>1383</v>
      </c>
      <c r="R412" s="2" t="s">
        <v>28</v>
      </c>
      <c r="S412" s="9">
        <f t="shared" si="34"/>
        <v>41.44</v>
      </c>
    </row>
    <row r="413" spans="1:19" x14ac:dyDescent="0.3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>IFERROR(VLOOKUP('Customer Info'!A405,'Customer Info'!A405:C904,2,FALSE),"Not Found")</f>
        <v>Ryan</v>
      </c>
      <c r="H413" s="6" t="str">
        <f>IFERROR(VLOOKUP('Customer Info'!A405,'Customer Info'!A405:C904,3,FALSE),"Not Found")</f>
        <v>Crowe</v>
      </c>
      <c r="I413" s="6" t="str">
        <f>IFERROR(VLOOKUP('Customer Info'!A405,'Customer Info'!A405:E904,5,FALSE),"Not Found")</f>
        <v>Kanpur</v>
      </c>
      <c r="J413" s="2">
        <v>2501</v>
      </c>
      <c r="K413" s="2">
        <v>2361</v>
      </c>
      <c r="L413" s="2">
        <v>1</v>
      </c>
      <c r="M413" s="7">
        <f t="shared" si="30"/>
        <v>2361</v>
      </c>
      <c r="N413" s="7">
        <f t="shared" si="31"/>
        <v>2501</v>
      </c>
      <c r="O413" s="2">
        <v>57</v>
      </c>
      <c r="P413" s="8">
        <f t="shared" si="32"/>
        <v>2558</v>
      </c>
      <c r="Q413" s="8">
        <f t="shared" si="33"/>
        <v>140</v>
      </c>
      <c r="R413" s="2" t="s">
        <v>26</v>
      </c>
      <c r="S413" s="9">
        <f t="shared" si="34"/>
        <v>51.160000000000004</v>
      </c>
    </row>
    <row r="414" spans="1:19" x14ac:dyDescent="0.3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>IFERROR(VLOOKUP('Customer Info'!A406,'Customer Info'!A406:C905,2,FALSE),"Not Found")</f>
        <v>Ryan</v>
      </c>
      <c r="H414" s="6" t="str">
        <f>IFERROR(VLOOKUP('Customer Info'!A406,'Customer Info'!A406:C905,3,FALSE),"Not Found")</f>
        <v>Akin</v>
      </c>
      <c r="I414" s="6" t="str">
        <f>IFERROR(VLOOKUP('Customer Info'!A406,'Customer Info'!A406:E905,5,FALSE),"Not Found")</f>
        <v>Bayreuth</v>
      </c>
      <c r="J414" s="2">
        <v>175</v>
      </c>
      <c r="K414" s="2">
        <v>158</v>
      </c>
      <c r="L414" s="2">
        <v>3</v>
      </c>
      <c r="M414" s="7">
        <f t="shared" si="30"/>
        <v>474</v>
      </c>
      <c r="N414" s="7">
        <f t="shared" si="31"/>
        <v>525</v>
      </c>
      <c r="O414" s="2">
        <v>30</v>
      </c>
      <c r="P414" s="8">
        <f t="shared" si="32"/>
        <v>555</v>
      </c>
      <c r="Q414" s="8">
        <f t="shared" si="33"/>
        <v>367</v>
      </c>
      <c r="R414" s="2" t="s">
        <v>50</v>
      </c>
      <c r="S414" s="9">
        <f t="shared" si="34"/>
        <v>11.1</v>
      </c>
    </row>
    <row r="415" spans="1:19" x14ac:dyDescent="0.3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>IFERROR(VLOOKUP('Customer Info'!A407,'Customer Info'!A407:C906,2,FALSE),"Not Found")</f>
        <v>Sally</v>
      </c>
      <c r="H415" s="6" t="str">
        <f>IFERROR(VLOOKUP('Customer Info'!A407,'Customer Info'!A407:C906,3,FALSE),"Not Found")</f>
        <v>Hughsby</v>
      </c>
      <c r="I415" s="6" t="str">
        <f>IFERROR(VLOOKUP('Customer Info'!A407,'Customer Info'!A407:E906,5,FALSE),"Not Found")</f>
        <v>Depok</v>
      </c>
      <c r="J415" s="2">
        <v>179</v>
      </c>
      <c r="K415" s="2">
        <v>166</v>
      </c>
      <c r="L415" s="2">
        <v>7</v>
      </c>
      <c r="M415" s="7">
        <f t="shared" si="30"/>
        <v>1162</v>
      </c>
      <c r="N415" s="7">
        <f t="shared" si="31"/>
        <v>1253</v>
      </c>
      <c r="O415" s="2">
        <v>30</v>
      </c>
      <c r="P415" s="8">
        <f t="shared" si="32"/>
        <v>1283</v>
      </c>
      <c r="Q415" s="8">
        <f t="shared" si="33"/>
        <v>1087</v>
      </c>
      <c r="R415" s="2" t="s">
        <v>28</v>
      </c>
      <c r="S415" s="9">
        <f t="shared" si="34"/>
        <v>25.66</v>
      </c>
    </row>
    <row r="416" spans="1:19" x14ac:dyDescent="0.3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>IFERROR(VLOOKUP('Customer Info'!A408,'Customer Info'!A408:C907,2,FALSE),"Not Found")</f>
        <v>Sally</v>
      </c>
      <c r="H416" s="6" t="str">
        <f>IFERROR(VLOOKUP('Customer Info'!A408,'Customer Info'!A408:C907,3,FALSE),"Not Found")</f>
        <v>Knutson</v>
      </c>
      <c r="I416" s="6" t="str">
        <f>IFERROR(VLOOKUP('Customer Info'!A408,'Customer Info'!A408:E907,5,FALSE),"Not Found")</f>
        <v>CastropRauxel</v>
      </c>
      <c r="J416" s="2">
        <v>1635</v>
      </c>
      <c r="K416" s="2">
        <v>1573</v>
      </c>
      <c r="L416" s="2">
        <v>7</v>
      </c>
      <c r="M416" s="7">
        <f t="shared" si="30"/>
        <v>11011</v>
      </c>
      <c r="N416" s="7">
        <f t="shared" si="31"/>
        <v>11445</v>
      </c>
      <c r="O416" s="2">
        <v>41</v>
      </c>
      <c r="P416" s="8">
        <f t="shared" si="32"/>
        <v>11486</v>
      </c>
      <c r="Q416" s="8">
        <f t="shared" si="33"/>
        <v>9872</v>
      </c>
      <c r="R416" s="2" t="s">
        <v>28</v>
      </c>
      <c r="S416" s="9">
        <f t="shared" si="34"/>
        <v>574.30000000000007</v>
      </c>
    </row>
    <row r="417" spans="1:19" x14ac:dyDescent="0.3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>IFERROR(VLOOKUP('Customer Info'!A409,'Customer Info'!A409:C908,2,FALSE),"Not Found")</f>
        <v>Sam</v>
      </c>
      <c r="H417" s="6" t="str">
        <f>IFERROR(VLOOKUP('Customer Info'!A409,'Customer Info'!A409:C908,3,FALSE),"Not Found")</f>
        <v>Craven</v>
      </c>
      <c r="I417" s="6" t="str">
        <f>IFERROR(VLOOKUP('Customer Info'!A409,'Customer Info'!A409:E908,5,FALSE),"Not Found")</f>
        <v>Hyderabad</v>
      </c>
      <c r="J417" s="2">
        <v>4846</v>
      </c>
      <c r="K417" s="2">
        <v>4492</v>
      </c>
      <c r="L417" s="2">
        <v>4</v>
      </c>
      <c r="M417" s="7">
        <f t="shared" si="30"/>
        <v>17968</v>
      </c>
      <c r="N417" s="7">
        <f t="shared" si="31"/>
        <v>19384</v>
      </c>
      <c r="O417" s="2">
        <v>94</v>
      </c>
      <c r="P417" s="8">
        <f t="shared" si="32"/>
        <v>19478</v>
      </c>
      <c r="Q417" s="8">
        <f t="shared" si="33"/>
        <v>14892</v>
      </c>
      <c r="R417" s="2" t="s">
        <v>28</v>
      </c>
      <c r="S417" s="9">
        <f t="shared" si="34"/>
        <v>973.90000000000009</v>
      </c>
    </row>
    <row r="418" spans="1:19" x14ac:dyDescent="0.3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>IFERROR(VLOOKUP('Customer Info'!A410,'Customer Info'!A410:C909,2,FALSE),"Not Found")</f>
        <v>Sam</v>
      </c>
      <c r="H418" s="6" t="str">
        <f>IFERROR(VLOOKUP('Customer Info'!A410,'Customer Info'!A410:C909,3,FALSE),"Not Found")</f>
        <v>Zeldin</v>
      </c>
      <c r="I418" s="6" t="str">
        <f>IFERROR(VLOOKUP('Customer Info'!A410,'Customer Info'!A410:E909,5,FALSE),"Not Found")</f>
        <v>Yanji</v>
      </c>
      <c r="J418" s="2">
        <v>2244</v>
      </c>
      <c r="K418" s="2">
        <v>2143</v>
      </c>
      <c r="L418" s="2">
        <v>7</v>
      </c>
      <c r="M418" s="7">
        <f t="shared" si="30"/>
        <v>15001</v>
      </c>
      <c r="N418" s="7">
        <f t="shared" si="31"/>
        <v>15708</v>
      </c>
      <c r="O418" s="2">
        <v>77</v>
      </c>
      <c r="P418" s="8">
        <f t="shared" si="32"/>
        <v>15785</v>
      </c>
      <c r="Q418" s="8">
        <f t="shared" si="33"/>
        <v>13565</v>
      </c>
      <c r="R418" s="2" t="s">
        <v>50</v>
      </c>
      <c r="S418" s="9">
        <f t="shared" si="34"/>
        <v>789.25</v>
      </c>
    </row>
    <row r="419" spans="1:19" x14ac:dyDescent="0.3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>IFERROR(VLOOKUP('Customer Info'!A411,'Customer Info'!A411:C910,2,FALSE),"Not Found")</f>
        <v>Sanjit</v>
      </c>
      <c r="H419" s="6" t="str">
        <f>IFERROR(VLOOKUP('Customer Info'!A411,'Customer Info'!A411:C910,3,FALSE),"Not Found")</f>
        <v>Jacobs</v>
      </c>
      <c r="I419" s="6" t="str">
        <f>IFERROR(VLOOKUP('Customer Info'!A411,'Customer Info'!A411:E910,5,FALSE),"Not Found")</f>
        <v>Munich</v>
      </c>
      <c r="J419" s="2">
        <v>2526</v>
      </c>
      <c r="K419" s="2">
        <v>2408</v>
      </c>
      <c r="L419" s="2">
        <v>2</v>
      </c>
      <c r="M419" s="7">
        <f t="shared" si="30"/>
        <v>4816</v>
      </c>
      <c r="N419" s="7">
        <f t="shared" si="31"/>
        <v>5052</v>
      </c>
      <c r="O419" s="2">
        <v>84</v>
      </c>
      <c r="P419" s="8">
        <f t="shared" si="32"/>
        <v>5136</v>
      </c>
      <c r="Q419" s="8">
        <f t="shared" si="33"/>
        <v>2644</v>
      </c>
      <c r="R419" s="2" t="s">
        <v>50</v>
      </c>
      <c r="S419" s="9">
        <f t="shared" si="34"/>
        <v>256.8</v>
      </c>
    </row>
    <row r="420" spans="1:19" x14ac:dyDescent="0.3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>IFERROR(VLOOKUP('Customer Info'!A412,'Customer Info'!A412:C911,2,FALSE),"Not Found")</f>
        <v>Sanjit</v>
      </c>
      <c r="H420" s="6" t="str">
        <f>IFERROR(VLOOKUP('Customer Info'!A412,'Customer Info'!A412:C911,3,FALSE),"Not Found")</f>
        <v>Chand</v>
      </c>
      <c r="I420" s="6" t="str">
        <f>IFERROR(VLOOKUP('Customer Info'!A412,'Customer Info'!A412:E911,5,FALSE),"Not Found")</f>
        <v>Thiruvananthapuram</v>
      </c>
      <c r="J420" s="2">
        <v>932</v>
      </c>
      <c r="K420" s="2">
        <v>838</v>
      </c>
      <c r="L420" s="2">
        <v>1</v>
      </c>
      <c r="M420" s="7">
        <f t="shared" si="30"/>
        <v>838</v>
      </c>
      <c r="N420" s="7">
        <f t="shared" si="31"/>
        <v>932</v>
      </c>
      <c r="O420" s="2">
        <v>87</v>
      </c>
      <c r="P420" s="8">
        <f t="shared" si="32"/>
        <v>1019</v>
      </c>
      <c r="Q420" s="8">
        <f t="shared" si="33"/>
        <v>94</v>
      </c>
      <c r="R420" s="2" t="s">
        <v>28</v>
      </c>
      <c r="S420" s="9">
        <f t="shared" si="34"/>
        <v>20.38</v>
      </c>
    </row>
    <row r="421" spans="1:19" x14ac:dyDescent="0.3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IFERROR(VLOOKUP('Customer Info'!A413,'Customer Info'!A413:C912,2,FALSE),"Not Found")</f>
        <v>Sara</v>
      </c>
      <c r="H421" s="6" t="str">
        <f>IFERROR(VLOOKUP('Customer Info'!A413,'Customer Info'!A413:C912,3,FALSE),"Not Found")</f>
        <v>Luxemburg</v>
      </c>
      <c r="I421" s="6" t="str">
        <f>IFERROR(VLOOKUP('Customer Info'!A413,'Customer Info'!A413:E912,5,FALSE),"Not Found")</f>
        <v>Luoyang</v>
      </c>
      <c r="J421" s="2">
        <v>1113</v>
      </c>
      <c r="K421" s="2">
        <v>1040</v>
      </c>
      <c r="L421" s="2">
        <v>1</v>
      </c>
      <c r="M421" s="7">
        <f t="shared" si="30"/>
        <v>1040</v>
      </c>
      <c r="N421" s="7">
        <f t="shared" si="31"/>
        <v>1113</v>
      </c>
      <c r="O421" s="2">
        <v>89</v>
      </c>
      <c r="P421" s="8">
        <f t="shared" si="32"/>
        <v>1202</v>
      </c>
      <c r="Q421" s="8">
        <f t="shared" si="33"/>
        <v>73</v>
      </c>
      <c r="R421" s="2" t="s">
        <v>50</v>
      </c>
      <c r="S421" s="9">
        <f t="shared" si="34"/>
        <v>24.04</v>
      </c>
    </row>
    <row r="422" spans="1:19" x14ac:dyDescent="0.3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IFERROR(VLOOKUP('Customer Info'!A414,'Customer Info'!A414:C913,2,FALSE),"Not Found")</f>
        <v>Sarah</v>
      </c>
      <c r="H422" s="6" t="str">
        <f>IFERROR(VLOOKUP('Customer Info'!A414,'Customer Info'!A414:C913,3,FALSE),"Not Found")</f>
        <v>Foster</v>
      </c>
      <c r="I422" s="6" t="str">
        <f>IFERROR(VLOOKUP('Customer Info'!A414,'Customer Info'!A414:E913,5,FALSE),"Not Found")</f>
        <v>Xianning</v>
      </c>
      <c r="J422" s="2">
        <v>141</v>
      </c>
      <c r="K422" s="2">
        <v>131</v>
      </c>
      <c r="L422" s="2">
        <v>13</v>
      </c>
      <c r="M422" s="7">
        <f t="shared" si="30"/>
        <v>1703</v>
      </c>
      <c r="N422" s="7">
        <f t="shared" si="31"/>
        <v>1833</v>
      </c>
      <c r="O422" s="2">
        <v>30</v>
      </c>
      <c r="P422" s="8">
        <f t="shared" si="32"/>
        <v>1863</v>
      </c>
      <c r="Q422" s="8">
        <f t="shared" si="33"/>
        <v>1702</v>
      </c>
      <c r="R422" s="2" t="s">
        <v>28</v>
      </c>
      <c r="S422" s="9">
        <f t="shared" si="34"/>
        <v>37.26</v>
      </c>
    </row>
    <row r="423" spans="1:19" x14ac:dyDescent="0.3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>IFERROR(VLOOKUP('Customer Info'!A415,'Customer Info'!A415:C914,2,FALSE),"Not Found")</f>
        <v>Sarah</v>
      </c>
      <c r="H423" s="6" t="str">
        <f>IFERROR(VLOOKUP('Customer Info'!A415,'Customer Info'!A415:C914,3,FALSE),"Not Found")</f>
        <v>Bern</v>
      </c>
      <c r="I423" s="6" t="str">
        <f>IFERROR(VLOOKUP('Customer Info'!A415,'Customer Info'!A415:E914,5,FALSE),"Not Found")</f>
        <v>Wollongong</v>
      </c>
      <c r="J423" s="2">
        <v>835</v>
      </c>
      <c r="K423" s="2">
        <v>796</v>
      </c>
      <c r="L423" s="2">
        <v>2</v>
      </c>
      <c r="M423" s="7">
        <f t="shared" si="30"/>
        <v>1592</v>
      </c>
      <c r="N423" s="7">
        <f t="shared" si="31"/>
        <v>1670</v>
      </c>
      <c r="O423" s="2">
        <v>96</v>
      </c>
      <c r="P423" s="8">
        <f t="shared" si="32"/>
        <v>1766</v>
      </c>
      <c r="Q423" s="8">
        <f t="shared" si="33"/>
        <v>874</v>
      </c>
      <c r="R423" s="2" t="s">
        <v>28</v>
      </c>
      <c r="S423" s="9">
        <f t="shared" si="34"/>
        <v>35.32</v>
      </c>
    </row>
    <row r="424" spans="1:19" x14ac:dyDescent="0.3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IFERROR(VLOOKUP('Customer Info'!A416,'Customer Info'!A416:C915,2,FALSE),"Not Found")</f>
        <v>Sarah</v>
      </c>
      <c r="H424" s="6" t="str">
        <f>IFERROR(VLOOKUP('Customer Info'!A416,'Customer Info'!A416:C915,3,FALSE),"Not Found")</f>
        <v>Foster</v>
      </c>
      <c r="I424" s="6" t="str">
        <f>IFERROR(VLOOKUP('Customer Info'!A416,'Customer Info'!A416:E915,5,FALSE),"Not Found")</f>
        <v>Harbin</v>
      </c>
      <c r="J424" s="2">
        <v>2706</v>
      </c>
      <c r="K424" s="2">
        <v>2553</v>
      </c>
      <c r="L424" s="2">
        <v>3</v>
      </c>
      <c r="M424" s="7">
        <f t="shared" si="30"/>
        <v>7659</v>
      </c>
      <c r="N424" s="7">
        <f t="shared" si="31"/>
        <v>8118</v>
      </c>
      <c r="O424" s="2">
        <v>79</v>
      </c>
      <c r="P424" s="8">
        <f t="shared" si="32"/>
        <v>8197</v>
      </c>
      <c r="Q424" s="8">
        <f t="shared" si="33"/>
        <v>5565</v>
      </c>
      <c r="R424" s="2" t="s">
        <v>26</v>
      </c>
      <c r="S424" s="9">
        <f t="shared" si="34"/>
        <v>409.85</v>
      </c>
    </row>
    <row r="425" spans="1:19" x14ac:dyDescent="0.3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>IFERROR(VLOOKUP('Customer Info'!A417,'Customer Info'!A417:C916,2,FALSE),"Not Found")</f>
        <v>Scott</v>
      </c>
      <c r="H425" s="6" t="str">
        <f>IFERROR(VLOOKUP('Customer Info'!A417,'Customer Info'!A417:C916,3,FALSE),"Not Found")</f>
        <v>Cohen</v>
      </c>
      <c r="I425" s="6" t="str">
        <f>IFERROR(VLOOKUP('Customer Info'!A417,'Customer Info'!A417:E916,5,FALSE),"Not Found")</f>
        <v>Freiburg</v>
      </c>
      <c r="J425" s="2">
        <v>1246</v>
      </c>
      <c r="K425" s="2">
        <v>1164</v>
      </c>
      <c r="L425" s="2">
        <v>2</v>
      </c>
      <c r="M425" s="7">
        <f t="shared" si="30"/>
        <v>2328</v>
      </c>
      <c r="N425" s="7">
        <f t="shared" si="31"/>
        <v>2492</v>
      </c>
      <c r="O425" s="2">
        <v>22</v>
      </c>
      <c r="P425" s="8">
        <f t="shared" si="32"/>
        <v>2514</v>
      </c>
      <c r="Q425" s="8">
        <f t="shared" si="33"/>
        <v>1328</v>
      </c>
      <c r="R425" s="2" t="s">
        <v>28</v>
      </c>
      <c r="S425" s="9">
        <f t="shared" si="34"/>
        <v>50.28</v>
      </c>
    </row>
    <row r="426" spans="1:19" x14ac:dyDescent="0.3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IFERROR(VLOOKUP('Customer Info'!A418,'Customer Info'!A418:C917,2,FALSE),"Not Found")</f>
        <v>Scott</v>
      </c>
      <c r="H426" s="6" t="str">
        <f>IFERROR(VLOOKUP('Customer Info'!A418,'Customer Info'!A418:C917,3,FALSE),"Not Found")</f>
        <v>Williamson</v>
      </c>
      <c r="I426" s="6" t="str">
        <f>IFERROR(VLOOKUP('Customer Info'!A418,'Customer Info'!A418:E917,5,FALSE),"Not Found")</f>
        <v>Launceston</v>
      </c>
      <c r="J426" s="2">
        <v>4246</v>
      </c>
      <c r="K426" s="2">
        <v>3857</v>
      </c>
      <c r="L426" s="2">
        <v>4</v>
      </c>
      <c r="M426" s="7">
        <f t="shared" si="30"/>
        <v>15428</v>
      </c>
      <c r="N426" s="7">
        <f t="shared" si="31"/>
        <v>16984</v>
      </c>
      <c r="O426" s="2">
        <v>77</v>
      </c>
      <c r="P426" s="8">
        <f t="shared" si="32"/>
        <v>17061</v>
      </c>
      <c r="Q426" s="8">
        <f t="shared" si="33"/>
        <v>13127</v>
      </c>
      <c r="R426" s="2" t="s">
        <v>28</v>
      </c>
      <c r="S426" s="9">
        <f t="shared" si="34"/>
        <v>853.05000000000007</v>
      </c>
    </row>
    <row r="427" spans="1:19" x14ac:dyDescent="0.3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>IFERROR(VLOOKUP('Customer Info'!A419,'Customer Info'!A419:C918,2,FALSE),"Not Found")</f>
        <v>Shahid</v>
      </c>
      <c r="H427" s="6" t="str">
        <f>IFERROR(VLOOKUP('Customer Info'!A419,'Customer Info'!A419:C918,3,FALSE),"Not Found")</f>
        <v>Collister</v>
      </c>
      <c r="I427" s="6" t="str">
        <f>IFERROR(VLOOKUP('Customer Info'!A419,'Customer Info'!A419:E918,5,FALSE),"Not Found")</f>
        <v>Leipzig</v>
      </c>
      <c r="J427" s="2">
        <v>8869</v>
      </c>
      <c r="K427" s="2">
        <v>7906</v>
      </c>
      <c r="L427" s="2">
        <v>5</v>
      </c>
      <c r="M427" s="7">
        <f t="shared" si="30"/>
        <v>39530</v>
      </c>
      <c r="N427" s="7">
        <f t="shared" si="31"/>
        <v>44345</v>
      </c>
      <c r="O427" s="2">
        <v>88</v>
      </c>
      <c r="P427" s="8">
        <f t="shared" si="32"/>
        <v>44433</v>
      </c>
      <c r="Q427" s="8">
        <f t="shared" si="33"/>
        <v>36439</v>
      </c>
      <c r="R427" s="2" t="s">
        <v>28</v>
      </c>
      <c r="S427" s="9">
        <f t="shared" si="34"/>
        <v>3110.3100000000004</v>
      </c>
    </row>
    <row r="428" spans="1:19" x14ac:dyDescent="0.3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>IFERROR(VLOOKUP('Customer Info'!A420,'Customer Info'!A420:C919,2,FALSE),"Not Found")</f>
        <v>Shahid</v>
      </c>
      <c r="H428" s="6" t="str">
        <f>IFERROR(VLOOKUP('Customer Info'!A420,'Customer Info'!A420:C919,3,FALSE),"Not Found")</f>
        <v>Collister</v>
      </c>
      <c r="I428" s="6" t="str">
        <f>IFERROR(VLOOKUP('Customer Info'!A420,'Customer Info'!A420:E919,5,FALSE),"Not Found")</f>
        <v>Solapur</v>
      </c>
      <c r="J428" s="2">
        <v>1925</v>
      </c>
      <c r="K428" s="2">
        <v>1834</v>
      </c>
      <c r="L428" s="2">
        <v>5</v>
      </c>
      <c r="M428" s="7">
        <f t="shared" si="30"/>
        <v>9170</v>
      </c>
      <c r="N428" s="7">
        <f t="shared" si="31"/>
        <v>9625</v>
      </c>
      <c r="O428" s="2">
        <v>30</v>
      </c>
      <c r="P428" s="8">
        <f t="shared" si="32"/>
        <v>9655</v>
      </c>
      <c r="Q428" s="8">
        <f t="shared" si="33"/>
        <v>7791</v>
      </c>
      <c r="R428" s="2" t="s">
        <v>28</v>
      </c>
      <c r="S428" s="9">
        <f t="shared" si="34"/>
        <v>482.75</v>
      </c>
    </row>
    <row r="429" spans="1:19" x14ac:dyDescent="0.3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>IFERROR(VLOOKUP('Customer Info'!A421,'Customer Info'!A421:C920,2,FALSE),"Not Found")</f>
        <v>Shaun</v>
      </c>
      <c r="H429" s="6" t="str">
        <f>IFERROR(VLOOKUP('Customer Info'!A421,'Customer Info'!A421:C920,3,FALSE),"Not Found")</f>
        <v>Weien</v>
      </c>
      <c r="I429" s="6" t="str">
        <f>IFERROR(VLOOKUP('Customer Info'!A421,'Customer Info'!A421:E920,5,FALSE),"Not Found")</f>
        <v>Medan</v>
      </c>
      <c r="J429" s="2">
        <v>1587</v>
      </c>
      <c r="K429" s="2">
        <v>1428</v>
      </c>
      <c r="L429" s="2">
        <v>2</v>
      </c>
      <c r="M429" s="7">
        <f t="shared" si="30"/>
        <v>2856</v>
      </c>
      <c r="N429" s="7">
        <f t="shared" si="31"/>
        <v>3174</v>
      </c>
      <c r="O429" s="2">
        <v>93</v>
      </c>
      <c r="P429" s="8">
        <f t="shared" si="32"/>
        <v>3267</v>
      </c>
      <c r="Q429" s="8">
        <f t="shared" si="33"/>
        <v>1746</v>
      </c>
      <c r="R429" s="2" t="s">
        <v>28</v>
      </c>
      <c r="S429" s="9">
        <f t="shared" si="34"/>
        <v>65.34</v>
      </c>
    </row>
    <row r="430" spans="1:19" x14ac:dyDescent="0.3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>IFERROR(VLOOKUP('Customer Info'!A422,'Customer Info'!A422:C921,2,FALSE),"Not Found")</f>
        <v>Sheri</v>
      </c>
      <c r="H430" s="6" t="str">
        <f>IFERROR(VLOOKUP('Customer Info'!A422,'Customer Info'!A422:C921,3,FALSE),"Not Found")</f>
        <v>Gordon</v>
      </c>
      <c r="I430" s="6" t="str">
        <f>IFERROR(VLOOKUP('Customer Info'!A422,'Customer Info'!A422:E921,5,FALSE),"Not Found")</f>
        <v>Bogor</v>
      </c>
      <c r="J430" s="2">
        <v>4846</v>
      </c>
      <c r="K430" s="2">
        <v>4492</v>
      </c>
      <c r="L430" s="2">
        <v>2</v>
      </c>
      <c r="M430" s="7">
        <f t="shared" si="30"/>
        <v>8984</v>
      </c>
      <c r="N430" s="7">
        <f t="shared" si="31"/>
        <v>9692</v>
      </c>
      <c r="O430" s="2">
        <v>93</v>
      </c>
      <c r="P430" s="8">
        <f t="shared" si="32"/>
        <v>9785</v>
      </c>
      <c r="Q430" s="8">
        <f t="shared" si="33"/>
        <v>5200</v>
      </c>
      <c r="R430" s="2" t="s">
        <v>26</v>
      </c>
      <c r="S430" s="9">
        <f t="shared" si="34"/>
        <v>489.25</v>
      </c>
    </row>
    <row r="431" spans="1:19" x14ac:dyDescent="0.3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>IFERROR(VLOOKUP('Customer Info'!A423,'Customer Info'!A423:C922,2,FALSE),"Not Found")</f>
        <v>Shirley</v>
      </c>
      <c r="H431" s="6" t="str">
        <f>IFERROR(VLOOKUP('Customer Info'!A423,'Customer Info'!A423:C922,3,FALSE),"Not Found")</f>
        <v>Jackson</v>
      </c>
      <c r="I431" s="6" t="str">
        <f>IFERROR(VLOOKUP('Customer Info'!A423,'Customer Info'!A423:E922,5,FALSE),"Not Found")</f>
        <v>Gold Coast</v>
      </c>
      <c r="J431" s="2">
        <v>3256</v>
      </c>
      <c r="K431" s="2">
        <v>3044</v>
      </c>
      <c r="L431" s="2">
        <v>4</v>
      </c>
      <c r="M431" s="7">
        <f t="shared" si="30"/>
        <v>12176</v>
      </c>
      <c r="N431" s="7">
        <f t="shared" si="31"/>
        <v>13024</v>
      </c>
      <c r="O431" s="2">
        <v>77</v>
      </c>
      <c r="P431" s="8">
        <f t="shared" si="32"/>
        <v>13101</v>
      </c>
      <c r="Q431" s="8">
        <f t="shared" si="33"/>
        <v>9980</v>
      </c>
      <c r="R431" s="2" t="s">
        <v>26</v>
      </c>
      <c r="S431" s="9">
        <f t="shared" si="34"/>
        <v>655.05000000000007</v>
      </c>
    </row>
    <row r="432" spans="1:19" x14ac:dyDescent="0.3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>IFERROR(VLOOKUP('Customer Info'!A424,'Customer Info'!A424:C923,2,FALSE),"Not Found")</f>
        <v>Shirley</v>
      </c>
      <c r="H432" s="6" t="str">
        <f>IFERROR(VLOOKUP('Customer Info'!A424,'Customer Info'!A424:C923,3,FALSE),"Not Found")</f>
        <v>Schmidt</v>
      </c>
      <c r="I432" s="6" t="str">
        <f>IFERROR(VLOOKUP('Customer Info'!A424,'Customer Info'!A424:E923,5,FALSE),"Not Found")</f>
        <v>Bijapur</v>
      </c>
      <c r="J432" s="2">
        <v>175</v>
      </c>
      <c r="K432" s="2">
        <v>158</v>
      </c>
      <c r="L432" s="2">
        <v>6</v>
      </c>
      <c r="M432" s="7">
        <f t="shared" si="30"/>
        <v>948</v>
      </c>
      <c r="N432" s="7">
        <f t="shared" si="31"/>
        <v>1050</v>
      </c>
      <c r="O432" s="2">
        <v>30</v>
      </c>
      <c r="P432" s="8">
        <f t="shared" si="32"/>
        <v>1080</v>
      </c>
      <c r="Q432" s="8">
        <f t="shared" si="33"/>
        <v>892</v>
      </c>
      <c r="R432" s="2" t="s">
        <v>50</v>
      </c>
      <c r="S432" s="9">
        <f t="shared" si="34"/>
        <v>21.6</v>
      </c>
    </row>
    <row r="433" spans="1:19" x14ac:dyDescent="0.3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>IFERROR(VLOOKUP('Customer Info'!A425,'Customer Info'!A425:C924,2,FALSE),"Not Found")</f>
        <v>Shui</v>
      </c>
      <c r="H433" s="6" t="str">
        <f>IFERROR(VLOOKUP('Customer Info'!A425,'Customer Info'!A425:C924,3,FALSE),"Not Found")</f>
        <v>Tom</v>
      </c>
      <c r="I433" s="6" t="str">
        <f>IFERROR(VLOOKUP('Customer Info'!A425,'Customer Info'!A425:E924,5,FALSE),"Not Found")</f>
        <v>Jakarta</v>
      </c>
      <c r="J433" s="2">
        <v>1222</v>
      </c>
      <c r="K433" s="2">
        <v>1187</v>
      </c>
      <c r="L433" s="2">
        <v>4</v>
      </c>
      <c r="M433" s="7">
        <f t="shared" si="30"/>
        <v>4748</v>
      </c>
      <c r="N433" s="7">
        <f t="shared" si="31"/>
        <v>4888</v>
      </c>
      <c r="O433" s="2">
        <v>54</v>
      </c>
      <c r="P433" s="8">
        <f t="shared" si="32"/>
        <v>4942</v>
      </c>
      <c r="Q433" s="8">
        <f t="shared" si="33"/>
        <v>3701</v>
      </c>
      <c r="R433" s="2" t="s">
        <v>28</v>
      </c>
      <c r="S433" s="9">
        <f t="shared" si="34"/>
        <v>98.84</v>
      </c>
    </row>
    <row r="434" spans="1:19" x14ac:dyDescent="0.3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>IFERROR(VLOOKUP('Customer Info'!A426,'Customer Info'!A426:C925,2,FALSE),"Not Found")</f>
        <v>Shui</v>
      </c>
      <c r="H434" s="6" t="str">
        <f>IFERROR(VLOOKUP('Customer Info'!A426,'Customer Info'!A426:C925,3,FALSE),"Not Found")</f>
        <v>Tom</v>
      </c>
      <c r="I434" s="6" t="str">
        <f>IFERROR(VLOOKUP('Customer Info'!A426,'Customer Info'!A426:E925,5,FALSE),"Not Found")</f>
        <v>Melbourne</v>
      </c>
      <c r="J434" s="2">
        <v>1587</v>
      </c>
      <c r="K434" s="2">
        <v>1428</v>
      </c>
      <c r="L434" s="2">
        <v>3</v>
      </c>
      <c r="M434" s="7">
        <f t="shared" si="30"/>
        <v>4284</v>
      </c>
      <c r="N434" s="7">
        <f t="shared" si="31"/>
        <v>4761</v>
      </c>
      <c r="O434" s="2">
        <v>29</v>
      </c>
      <c r="P434" s="8">
        <f t="shared" si="32"/>
        <v>4790</v>
      </c>
      <c r="Q434" s="8">
        <f t="shared" si="33"/>
        <v>3333</v>
      </c>
      <c r="R434" s="2" t="s">
        <v>28</v>
      </c>
      <c r="S434" s="9">
        <f t="shared" si="34"/>
        <v>95.8</v>
      </c>
    </row>
    <row r="435" spans="1:19" x14ac:dyDescent="0.3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>IFERROR(VLOOKUP('Customer Info'!A427,'Customer Info'!A427:C926,2,FALSE),"Not Found")</f>
        <v>Sonia</v>
      </c>
      <c r="H435" s="6" t="str">
        <f>IFERROR(VLOOKUP('Customer Info'!A427,'Customer Info'!A427:C926,3,FALSE),"Not Found")</f>
        <v>Sunley</v>
      </c>
      <c r="I435" s="6" t="str">
        <f>IFERROR(VLOOKUP('Customer Info'!A427,'Customer Info'!A427:E926,5,FALSE),"Not Found")</f>
        <v>Canberra</v>
      </c>
      <c r="J435" s="2">
        <v>141</v>
      </c>
      <c r="K435" s="2">
        <v>131</v>
      </c>
      <c r="L435" s="2">
        <v>3</v>
      </c>
      <c r="M435" s="7">
        <f t="shared" si="30"/>
        <v>393</v>
      </c>
      <c r="N435" s="7">
        <f t="shared" si="31"/>
        <v>423</v>
      </c>
      <c r="O435" s="2">
        <v>30</v>
      </c>
      <c r="P435" s="8">
        <f t="shared" si="32"/>
        <v>453</v>
      </c>
      <c r="Q435" s="8">
        <f t="shared" si="33"/>
        <v>292</v>
      </c>
      <c r="R435" s="2" t="s">
        <v>28</v>
      </c>
      <c r="S435" s="9">
        <f t="shared" si="34"/>
        <v>9.06</v>
      </c>
    </row>
    <row r="436" spans="1:19" x14ac:dyDescent="0.3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>IFERROR(VLOOKUP('Customer Info'!A428,'Customer Info'!A428:C927,2,FALSE),"Not Found")</f>
        <v>Stefania</v>
      </c>
      <c r="H436" s="6" t="str">
        <f>IFERROR(VLOOKUP('Customer Info'!A428,'Customer Info'!A428:C927,3,FALSE),"Not Found")</f>
        <v>Perrino</v>
      </c>
      <c r="I436" s="6" t="str">
        <f>IFERROR(VLOOKUP('Customer Info'!A428,'Customer Info'!A428:E927,5,FALSE),"Not Found")</f>
        <v>Albury</v>
      </c>
      <c r="J436" s="2">
        <v>1651</v>
      </c>
      <c r="K436" s="2">
        <v>1604</v>
      </c>
      <c r="L436" s="2">
        <v>2</v>
      </c>
      <c r="M436" s="7">
        <f t="shared" si="30"/>
        <v>3208</v>
      </c>
      <c r="N436" s="7">
        <f t="shared" si="31"/>
        <v>3302</v>
      </c>
      <c r="O436" s="2">
        <v>30</v>
      </c>
      <c r="P436" s="8">
        <f t="shared" si="32"/>
        <v>3332</v>
      </c>
      <c r="Q436" s="8">
        <f t="shared" si="33"/>
        <v>1698</v>
      </c>
      <c r="R436" s="2" t="s">
        <v>28</v>
      </c>
      <c r="S436" s="9">
        <f t="shared" si="34"/>
        <v>66.64</v>
      </c>
    </row>
    <row r="437" spans="1:19" x14ac:dyDescent="0.3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>IFERROR(VLOOKUP('Customer Info'!A429,'Customer Info'!A429:C928,2,FALSE),"Not Found")</f>
        <v>Stefanie</v>
      </c>
      <c r="H437" s="6" t="str">
        <f>IFERROR(VLOOKUP('Customer Info'!A429,'Customer Info'!A429:C928,3,FALSE),"Not Found")</f>
        <v>Holloman</v>
      </c>
      <c r="I437" s="6" t="str">
        <f>IFERROR(VLOOKUP('Customer Info'!A429,'Customer Info'!A429:E928,5,FALSE),"Not Found")</f>
        <v>Durgapur</v>
      </c>
      <c r="J437" s="2">
        <v>136</v>
      </c>
      <c r="K437" s="2">
        <v>130</v>
      </c>
      <c r="L437" s="2">
        <v>8</v>
      </c>
      <c r="M437" s="7">
        <f t="shared" si="30"/>
        <v>1040</v>
      </c>
      <c r="N437" s="7">
        <f t="shared" si="31"/>
        <v>1088</v>
      </c>
      <c r="O437" s="2">
        <v>30</v>
      </c>
      <c r="P437" s="8">
        <f t="shared" si="32"/>
        <v>1118</v>
      </c>
      <c r="Q437" s="8">
        <f t="shared" si="33"/>
        <v>958</v>
      </c>
      <c r="R437" s="2" t="s">
        <v>50</v>
      </c>
      <c r="S437" s="9">
        <f t="shared" si="34"/>
        <v>22.36</v>
      </c>
    </row>
    <row r="438" spans="1:19" x14ac:dyDescent="0.3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>IFERROR(VLOOKUP('Customer Info'!A430,'Customer Info'!A430:C929,2,FALSE),"Not Found")</f>
        <v>Stefanie</v>
      </c>
      <c r="H438" s="6" t="str">
        <f>IFERROR(VLOOKUP('Customer Info'!A430,'Customer Info'!A430:C929,3,FALSE),"Not Found")</f>
        <v>Holloman</v>
      </c>
      <c r="I438" s="6" t="str">
        <f>IFERROR(VLOOKUP('Customer Info'!A430,'Customer Info'!A430:E929,5,FALSE),"Not Found")</f>
        <v>Geraldton</v>
      </c>
      <c r="J438" s="2">
        <v>2242</v>
      </c>
      <c r="K438" s="2">
        <v>2075</v>
      </c>
      <c r="L438" s="2">
        <v>3</v>
      </c>
      <c r="M438" s="7">
        <f t="shared" si="30"/>
        <v>6225</v>
      </c>
      <c r="N438" s="7">
        <f t="shared" si="31"/>
        <v>6726</v>
      </c>
      <c r="O438" s="2">
        <v>60</v>
      </c>
      <c r="P438" s="8">
        <f t="shared" si="32"/>
        <v>6786</v>
      </c>
      <c r="Q438" s="8">
        <f t="shared" si="33"/>
        <v>4651</v>
      </c>
      <c r="R438" s="2" t="s">
        <v>28</v>
      </c>
      <c r="S438" s="9">
        <f t="shared" si="34"/>
        <v>339.3</v>
      </c>
    </row>
    <row r="439" spans="1:19" x14ac:dyDescent="0.3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>IFERROR(VLOOKUP('Customer Info'!A431,'Customer Info'!A431:C930,2,FALSE),"Not Found")</f>
        <v>Steve</v>
      </c>
      <c r="H439" s="6" t="str">
        <f>IFERROR(VLOOKUP('Customer Info'!A431,'Customer Info'!A431:C930,3,FALSE),"Not Found")</f>
        <v>Carroll</v>
      </c>
      <c r="I439" s="6" t="str">
        <f>IFERROR(VLOOKUP('Customer Info'!A431,'Customer Info'!A431:E930,5,FALSE),"Not Found")</f>
        <v>Qingdao</v>
      </c>
      <c r="J439" s="2">
        <v>4714</v>
      </c>
      <c r="K439" s="2">
        <v>4323</v>
      </c>
      <c r="L439" s="2">
        <v>8</v>
      </c>
      <c r="M439" s="7">
        <f t="shared" si="30"/>
        <v>34584</v>
      </c>
      <c r="N439" s="7">
        <f t="shared" si="31"/>
        <v>37712</v>
      </c>
      <c r="O439" s="2">
        <v>75</v>
      </c>
      <c r="P439" s="8">
        <f t="shared" si="32"/>
        <v>37787</v>
      </c>
      <c r="Q439" s="8">
        <f t="shared" si="33"/>
        <v>33389</v>
      </c>
      <c r="R439" s="2" t="s">
        <v>28</v>
      </c>
      <c r="S439" s="9">
        <f t="shared" si="34"/>
        <v>2645.09</v>
      </c>
    </row>
    <row r="440" spans="1:19" x14ac:dyDescent="0.3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>IFERROR(VLOOKUP('Customer Info'!A432,'Customer Info'!A432:C931,2,FALSE),"Not Found")</f>
        <v>Steve</v>
      </c>
      <c r="H440" s="6" t="str">
        <f>IFERROR(VLOOKUP('Customer Info'!A432,'Customer Info'!A432:C931,3,FALSE),"Not Found")</f>
        <v>Nguyen</v>
      </c>
      <c r="I440" s="6" t="str">
        <f>IFERROR(VLOOKUP('Customer Info'!A432,'Customer Info'!A432:E931,5,FALSE),"Not Found")</f>
        <v>Delhi</v>
      </c>
      <c r="J440" s="2">
        <v>7658</v>
      </c>
      <c r="K440" s="2">
        <v>7026</v>
      </c>
      <c r="L440" s="2">
        <v>4</v>
      </c>
      <c r="M440" s="7">
        <f t="shared" si="30"/>
        <v>28104</v>
      </c>
      <c r="N440" s="7">
        <f t="shared" si="31"/>
        <v>30632</v>
      </c>
      <c r="O440" s="2">
        <v>56</v>
      </c>
      <c r="P440" s="8">
        <f t="shared" si="32"/>
        <v>30688</v>
      </c>
      <c r="Q440" s="8">
        <f t="shared" si="33"/>
        <v>23606</v>
      </c>
      <c r="R440" s="2" t="s">
        <v>50</v>
      </c>
      <c r="S440" s="9">
        <f t="shared" si="34"/>
        <v>2148.1600000000003</v>
      </c>
    </row>
    <row r="441" spans="1:19" x14ac:dyDescent="0.3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>IFERROR(VLOOKUP('Customer Info'!A433,'Customer Info'!A433:C932,2,FALSE),"Not Found")</f>
        <v>Steven</v>
      </c>
      <c r="H441" s="6" t="str">
        <f>IFERROR(VLOOKUP('Customer Info'!A433,'Customer Info'!A433:C932,3,FALSE),"Not Found")</f>
        <v>Cartwright</v>
      </c>
      <c r="I441" s="6" t="str">
        <f>IFERROR(VLOOKUP('Customer Info'!A433,'Customer Info'!A433:E932,5,FALSE),"Not Found")</f>
        <v>Newcastle</v>
      </c>
      <c r="J441" s="2">
        <v>2778</v>
      </c>
      <c r="K441" s="2">
        <v>2573</v>
      </c>
      <c r="L441" s="2">
        <v>2</v>
      </c>
      <c r="M441" s="7">
        <f t="shared" si="30"/>
        <v>5146</v>
      </c>
      <c r="N441" s="7">
        <f t="shared" si="31"/>
        <v>5556</v>
      </c>
      <c r="O441" s="2">
        <v>36</v>
      </c>
      <c r="P441" s="8">
        <f t="shared" si="32"/>
        <v>5592</v>
      </c>
      <c r="Q441" s="8">
        <f t="shared" si="33"/>
        <v>2983</v>
      </c>
      <c r="R441" s="2" t="s">
        <v>28</v>
      </c>
      <c r="S441" s="9">
        <f t="shared" si="34"/>
        <v>279.60000000000002</v>
      </c>
    </row>
    <row r="442" spans="1:19" x14ac:dyDescent="0.3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>IFERROR(VLOOKUP('Customer Info'!A434,'Customer Info'!A434:C933,2,FALSE),"Not Found")</f>
        <v>Steven</v>
      </c>
      <c r="H442" s="6" t="str">
        <f>IFERROR(VLOOKUP('Customer Info'!A434,'Customer Info'!A434:C933,3,FALSE),"Not Found")</f>
        <v>Ward</v>
      </c>
      <c r="I442" s="6" t="str">
        <f>IFERROR(VLOOKUP('Customer Info'!A434,'Customer Info'!A434:E933,5,FALSE),"Not Found")</f>
        <v>Adelaide</v>
      </c>
      <c r="J442" s="2">
        <v>3192</v>
      </c>
      <c r="K442" s="2">
        <v>3011</v>
      </c>
      <c r="L442" s="2">
        <v>5</v>
      </c>
      <c r="M442" s="7">
        <f t="shared" si="30"/>
        <v>15055</v>
      </c>
      <c r="N442" s="7">
        <f t="shared" si="31"/>
        <v>15960</v>
      </c>
      <c r="O442" s="2">
        <v>58</v>
      </c>
      <c r="P442" s="8">
        <f t="shared" si="32"/>
        <v>16018</v>
      </c>
      <c r="Q442" s="8">
        <f t="shared" si="33"/>
        <v>12949</v>
      </c>
      <c r="R442" s="2" t="s">
        <v>28</v>
      </c>
      <c r="S442" s="9">
        <f t="shared" si="34"/>
        <v>800.90000000000009</v>
      </c>
    </row>
    <row r="443" spans="1:19" x14ac:dyDescent="0.3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>IFERROR(VLOOKUP('Customer Info'!A435,'Customer Info'!A435:C934,2,FALSE),"Not Found")</f>
        <v>Steven</v>
      </c>
      <c r="H443" s="6" t="str">
        <f>IFERROR(VLOOKUP('Customer Info'!A435,'Customer Info'!A435:C934,3,FALSE),"Not Found")</f>
        <v>Cartwright</v>
      </c>
      <c r="I443" s="6" t="str">
        <f>IFERROR(VLOOKUP('Customer Info'!A435,'Customer Info'!A435:E934,5,FALSE),"Not Found")</f>
        <v>Newcastle</v>
      </c>
      <c r="J443" s="2">
        <v>3224</v>
      </c>
      <c r="K443" s="2">
        <v>2984</v>
      </c>
      <c r="L443" s="2">
        <v>3</v>
      </c>
      <c r="M443" s="7">
        <f t="shared" si="30"/>
        <v>8952</v>
      </c>
      <c r="N443" s="7">
        <f t="shared" si="31"/>
        <v>9672</v>
      </c>
      <c r="O443" s="2">
        <v>39</v>
      </c>
      <c r="P443" s="8">
        <f t="shared" si="32"/>
        <v>9711</v>
      </c>
      <c r="Q443" s="8">
        <f t="shared" si="33"/>
        <v>6688</v>
      </c>
      <c r="R443" s="2" t="s">
        <v>28</v>
      </c>
      <c r="S443" s="9">
        <f t="shared" si="34"/>
        <v>485.55</v>
      </c>
    </row>
    <row r="444" spans="1:19" x14ac:dyDescent="0.3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>IFERROR(VLOOKUP('Customer Info'!A436,'Customer Info'!A436:C935,2,FALSE),"Not Found")</f>
        <v>Steven</v>
      </c>
      <c r="H444" s="6" t="str">
        <f>IFERROR(VLOOKUP('Customer Info'!A436,'Customer Info'!A436:C935,3,FALSE),"Not Found")</f>
        <v>Roelle</v>
      </c>
      <c r="I444" s="6" t="str">
        <f>IFERROR(VLOOKUP('Customer Info'!A436,'Customer Info'!A436:E935,5,FALSE),"Not Found")</f>
        <v>Bonn</v>
      </c>
      <c r="J444" s="2">
        <v>1635</v>
      </c>
      <c r="K444" s="2">
        <v>1573</v>
      </c>
      <c r="L444" s="2">
        <v>2</v>
      </c>
      <c r="M444" s="7">
        <f t="shared" si="30"/>
        <v>3146</v>
      </c>
      <c r="N444" s="7">
        <f t="shared" si="31"/>
        <v>3270</v>
      </c>
      <c r="O444" s="2">
        <v>93</v>
      </c>
      <c r="P444" s="8">
        <f t="shared" si="32"/>
        <v>3363</v>
      </c>
      <c r="Q444" s="8">
        <f t="shared" si="33"/>
        <v>1697</v>
      </c>
      <c r="R444" s="2" t="s">
        <v>50</v>
      </c>
      <c r="S444" s="9">
        <f t="shared" si="34"/>
        <v>67.260000000000005</v>
      </c>
    </row>
    <row r="445" spans="1:19" x14ac:dyDescent="0.3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IFERROR(VLOOKUP('Customer Info'!A437,'Customer Info'!A437:C936,2,FALSE),"Not Found")</f>
        <v>Stewart</v>
      </c>
      <c r="H445" s="6" t="str">
        <f>IFERROR(VLOOKUP('Customer Info'!A437,'Customer Info'!A437:C936,3,FALSE),"Not Found")</f>
        <v>Visinsky</v>
      </c>
      <c r="I445" s="6" t="str">
        <f>IFERROR(VLOOKUP('Customer Info'!A437,'Customer Info'!A437:E936,5,FALSE),"Not Found")</f>
        <v>Shenyang</v>
      </c>
      <c r="J445" s="2">
        <v>393</v>
      </c>
      <c r="K445" s="2">
        <v>374</v>
      </c>
      <c r="L445" s="2">
        <v>4</v>
      </c>
      <c r="M445" s="7">
        <f t="shared" si="30"/>
        <v>1496</v>
      </c>
      <c r="N445" s="7">
        <f t="shared" si="31"/>
        <v>1572</v>
      </c>
      <c r="O445" s="2">
        <v>65</v>
      </c>
      <c r="P445" s="8">
        <f t="shared" si="32"/>
        <v>1637</v>
      </c>
      <c r="Q445" s="8">
        <f t="shared" si="33"/>
        <v>1198</v>
      </c>
      <c r="R445" s="2" t="s">
        <v>26</v>
      </c>
      <c r="S445" s="9">
        <f t="shared" si="34"/>
        <v>32.74</v>
      </c>
    </row>
    <row r="446" spans="1:19" x14ac:dyDescent="0.3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>IFERROR(VLOOKUP('Customer Info'!A438,'Customer Info'!A438:C937,2,FALSE),"Not Found")</f>
        <v>Stuart</v>
      </c>
      <c r="H446" s="6" t="str">
        <f>IFERROR(VLOOKUP('Customer Info'!A438,'Customer Info'!A438:C937,3,FALSE),"Not Found")</f>
        <v>Calhoun</v>
      </c>
      <c r="I446" s="6" t="str">
        <f>IFERROR(VLOOKUP('Customer Info'!A438,'Customer Info'!A438:E937,5,FALSE),"Not Found")</f>
        <v>Pforzheim</v>
      </c>
      <c r="J446" s="2">
        <v>1518</v>
      </c>
      <c r="K446" s="2">
        <v>1392</v>
      </c>
      <c r="L446" s="2">
        <v>7</v>
      </c>
      <c r="M446" s="7">
        <f t="shared" si="30"/>
        <v>9744</v>
      </c>
      <c r="N446" s="7">
        <f t="shared" si="31"/>
        <v>10626</v>
      </c>
      <c r="O446" s="2">
        <v>58</v>
      </c>
      <c r="P446" s="8">
        <f t="shared" si="32"/>
        <v>10684</v>
      </c>
      <c r="Q446" s="8">
        <f t="shared" si="33"/>
        <v>9234</v>
      </c>
      <c r="R446" s="2" t="s">
        <v>56</v>
      </c>
      <c r="S446" s="9">
        <f t="shared" si="34"/>
        <v>534.20000000000005</v>
      </c>
    </row>
    <row r="447" spans="1:19" x14ac:dyDescent="0.3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>IFERROR(VLOOKUP('Customer Info'!A439,'Customer Info'!A439:C938,2,FALSE),"Not Found")</f>
        <v>Stuart</v>
      </c>
      <c r="H447" s="6" t="str">
        <f>IFERROR(VLOOKUP('Customer Info'!A439,'Customer Info'!A439:C938,3,FALSE),"Not Found")</f>
        <v>Calhoun</v>
      </c>
      <c r="I447" s="6" t="str">
        <f>IFERROR(VLOOKUP('Customer Info'!A439,'Customer Info'!A439:E938,5,FALSE),"Not Found")</f>
        <v>Raipur</v>
      </c>
      <c r="J447" s="2">
        <v>3176</v>
      </c>
      <c r="K447" s="2">
        <v>3116</v>
      </c>
      <c r="L447" s="2">
        <v>3</v>
      </c>
      <c r="M447" s="7">
        <f t="shared" si="30"/>
        <v>9348</v>
      </c>
      <c r="N447" s="7">
        <f t="shared" si="31"/>
        <v>9528</v>
      </c>
      <c r="O447" s="2">
        <v>80</v>
      </c>
      <c r="P447" s="8">
        <f t="shared" si="32"/>
        <v>9608</v>
      </c>
      <c r="Q447" s="8">
        <f t="shared" si="33"/>
        <v>6412</v>
      </c>
      <c r="R447" s="2" t="s">
        <v>26</v>
      </c>
      <c r="S447" s="9">
        <f t="shared" si="34"/>
        <v>480.40000000000003</v>
      </c>
    </row>
    <row r="448" spans="1:19" x14ac:dyDescent="0.3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>IFERROR(VLOOKUP('Customer Info'!A440,'Customer Info'!A440:C939,2,FALSE),"Not Found")</f>
        <v>Stuart</v>
      </c>
      <c r="H448" s="6" t="str">
        <f>IFERROR(VLOOKUP('Customer Info'!A440,'Customer Info'!A440:C939,3,FALSE),"Not Found")</f>
        <v>Calhoun</v>
      </c>
      <c r="I448" s="6" t="str">
        <f>IFERROR(VLOOKUP('Customer Info'!A440,'Customer Info'!A440:E939,5,FALSE),"Not Found")</f>
        <v>Bochum</v>
      </c>
      <c r="J448" s="2">
        <v>1103</v>
      </c>
      <c r="K448" s="2">
        <v>1030</v>
      </c>
      <c r="L448" s="2">
        <v>2</v>
      </c>
      <c r="M448" s="7">
        <f t="shared" si="30"/>
        <v>2060</v>
      </c>
      <c r="N448" s="7">
        <f t="shared" si="31"/>
        <v>2206</v>
      </c>
      <c r="O448" s="2">
        <v>22</v>
      </c>
      <c r="P448" s="8">
        <f t="shared" si="32"/>
        <v>2228</v>
      </c>
      <c r="Q448" s="8">
        <f t="shared" si="33"/>
        <v>1176</v>
      </c>
      <c r="R448" s="2" t="s">
        <v>28</v>
      </c>
      <c r="S448" s="9">
        <f t="shared" si="34"/>
        <v>44.56</v>
      </c>
    </row>
    <row r="449" spans="1:19" x14ac:dyDescent="0.3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>IFERROR(VLOOKUP('Customer Info'!A441,'Customer Info'!A441:C940,2,FALSE),"Not Found")</f>
        <v>Stuart</v>
      </c>
      <c r="H449" s="6" t="str">
        <f>IFERROR(VLOOKUP('Customer Info'!A441,'Customer Info'!A441:C940,3,FALSE),"Not Found")</f>
        <v>Van</v>
      </c>
      <c r="I449" s="6" t="str">
        <f>IFERROR(VLOOKUP('Customer Info'!A441,'Customer Info'!A441:E940,5,FALSE),"Not Found")</f>
        <v>Hobart</v>
      </c>
      <c r="J449" s="2">
        <v>4487</v>
      </c>
      <c r="K449" s="2">
        <v>4201</v>
      </c>
      <c r="L449" s="2">
        <v>5</v>
      </c>
      <c r="M449" s="7">
        <f t="shared" si="30"/>
        <v>21005</v>
      </c>
      <c r="N449" s="7">
        <f t="shared" si="31"/>
        <v>22435</v>
      </c>
      <c r="O449" s="2">
        <v>62</v>
      </c>
      <c r="P449" s="8">
        <f t="shared" si="32"/>
        <v>22497</v>
      </c>
      <c r="Q449" s="8">
        <f t="shared" si="33"/>
        <v>18234</v>
      </c>
      <c r="R449" s="2" t="s">
        <v>50</v>
      </c>
      <c r="S449" s="9">
        <f t="shared" si="34"/>
        <v>1124.8500000000001</v>
      </c>
    </row>
    <row r="450" spans="1:19" x14ac:dyDescent="0.3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>IFERROR(VLOOKUP('Customer Info'!A442,'Customer Info'!A442:C941,2,FALSE),"Not Found")</f>
        <v>Stuart</v>
      </c>
      <c r="H450" s="6" t="str">
        <f>IFERROR(VLOOKUP('Customer Info'!A442,'Customer Info'!A442:C941,3,FALSE),"Not Found")</f>
        <v>Calhoun</v>
      </c>
      <c r="I450" s="6" t="str">
        <f>IFERROR(VLOOKUP('Customer Info'!A442,'Customer Info'!A442:E941,5,FALSE),"Not Found")</f>
        <v>Nowra</v>
      </c>
      <c r="J450" s="2">
        <v>1512</v>
      </c>
      <c r="K450" s="2">
        <v>1497</v>
      </c>
      <c r="L450" s="2">
        <v>4</v>
      </c>
      <c r="M450" s="7">
        <f t="shared" si="30"/>
        <v>5988</v>
      </c>
      <c r="N450" s="7">
        <f t="shared" si="31"/>
        <v>6048</v>
      </c>
      <c r="O450" s="2">
        <v>91</v>
      </c>
      <c r="P450" s="8">
        <f t="shared" si="32"/>
        <v>6139</v>
      </c>
      <c r="Q450" s="8">
        <f t="shared" si="33"/>
        <v>4551</v>
      </c>
      <c r="R450" s="2" t="s">
        <v>50</v>
      </c>
      <c r="S450" s="9">
        <f t="shared" si="34"/>
        <v>306.95000000000005</v>
      </c>
    </row>
    <row r="451" spans="1:19" x14ac:dyDescent="0.3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>IFERROR(VLOOKUP('Customer Info'!A443,'Customer Info'!A443:C942,2,FALSE),"Not Found")</f>
        <v>Sung</v>
      </c>
      <c r="H451" s="6" t="str">
        <f>IFERROR(VLOOKUP('Customer Info'!A443,'Customer Info'!A443:C942,3,FALSE),"Not Found")</f>
        <v>Shariari</v>
      </c>
      <c r="I451" s="6" t="str">
        <f>IFERROR(VLOOKUP('Customer Info'!A443,'Customer Info'!A443:E942,5,FALSE),"Not Found")</f>
        <v>Solapur</v>
      </c>
      <c r="J451" s="2">
        <v>2697</v>
      </c>
      <c r="K451" s="2">
        <v>2498</v>
      </c>
      <c r="L451" s="2">
        <v>2</v>
      </c>
      <c r="M451" s="7">
        <f t="shared" si="30"/>
        <v>4996</v>
      </c>
      <c r="N451" s="7">
        <f t="shared" si="31"/>
        <v>5394</v>
      </c>
      <c r="O451" s="2">
        <v>83</v>
      </c>
      <c r="P451" s="8">
        <f t="shared" si="32"/>
        <v>5477</v>
      </c>
      <c r="Q451" s="8">
        <f t="shared" si="33"/>
        <v>2896</v>
      </c>
      <c r="R451" s="2" t="s">
        <v>28</v>
      </c>
      <c r="S451" s="9">
        <f t="shared" si="34"/>
        <v>273.85000000000002</v>
      </c>
    </row>
    <row r="452" spans="1:19" x14ac:dyDescent="0.3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>IFERROR(VLOOKUP('Customer Info'!A444,'Customer Info'!A444:C943,2,FALSE),"Not Found")</f>
        <v>Sung</v>
      </c>
      <c r="H452" s="6" t="str">
        <f>IFERROR(VLOOKUP('Customer Info'!A444,'Customer Info'!A444:C943,3,FALSE),"Not Found")</f>
        <v>Pak</v>
      </c>
      <c r="I452" s="6" t="str">
        <f>IFERROR(VLOOKUP('Customer Info'!A444,'Customer Info'!A444:E943,5,FALSE),"Not Found")</f>
        <v>Chaozhou</v>
      </c>
      <c r="J452" s="2">
        <v>29378</v>
      </c>
      <c r="K452" s="2">
        <v>26912</v>
      </c>
      <c r="L452" s="2">
        <v>2</v>
      </c>
      <c r="M452" s="7">
        <f t="shared" si="30"/>
        <v>53824</v>
      </c>
      <c r="N452" s="7">
        <f t="shared" si="31"/>
        <v>58756</v>
      </c>
      <c r="O452" s="2">
        <v>48</v>
      </c>
      <c r="P452" s="8">
        <f t="shared" si="32"/>
        <v>58804</v>
      </c>
      <c r="Q452" s="8">
        <f t="shared" si="33"/>
        <v>31844</v>
      </c>
      <c r="R452" s="2" t="s">
        <v>28</v>
      </c>
      <c r="S452" s="9">
        <f t="shared" si="34"/>
        <v>5292.36</v>
      </c>
    </row>
    <row r="453" spans="1:19" x14ac:dyDescent="0.3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IFERROR(VLOOKUP('Customer Info'!A445,'Customer Info'!A445:C944,2,FALSE),"Not Found")</f>
        <v>Susan</v>
      </c>
      <c r="H453" s="6" t="str">
        <f>IFERROR(VLOOKUP('Customer Info'!A445,'Customer Info'!A445:C944,3,FALSE),"Not Found")</f>
        <v>Pistek</v>
      </c>
      <c r="I453" s="6" t="str">
        <f>IFERROR(VLOOKUP('Customer Info'!A445,'Customer Info'!A445:E944,5,FALSE),"Not Found")</f>
        <v>Padang</v>
      </c>
      <c r="J453" s="2">
        <v>1925</v>
      </c>
      <c r="K453" s="2">
        <v>1834</v>
      </c>
      <c r="L453" s="2">
        <v>2</v>
      </c>
      <c r="M453" s="7">
        <f t="shared" si="30"/>
        <v>3668</v>
      </c>
      <c r="N453" s="7">
        <f t="shared" si="31"/>
        <v>3850</v>
      </c>
      <c r="O453" s="2">
        <v>56</v>
      </c>
      <c r="P453" s="8">
        <f t="shared" si="32"/>
        <v>3906</v>
      </c>
      <c r="Q453" s="8">
        <f t="shared" si="33"/>
        <v>2016</v>
      </c>
      <c r="R453" s="2" t="s">
        <v>28</v>
      </c>
      <c r="S453" s="9">
        <f t="shared" si="34"/>
        <v>78.12</v>
      </c>
    </row>
    <row r="454" spans="1:19" x14ac:dyDescent="0.3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>IFERROR(VLOOKUP('Customer Info'!A446,'Customer Info'!A446:C945,2,FALSE),"Not Found")</f>
        <v>Susan</v>
      </c>
      <c r="H454" s="6" t="str">
        <f>IFERROR(VLOOKUP('Customer Info'!A446,'Customer Info'!A446:C945,3,FALSE),"Not Found")</f>
        <v>MacKendrick</v>
      </c>
      <c r="I454" s="6" t="str">
        <f>IFERROR(VLOOKUP('Customer Info'!A446,'Customer Info'!A446:E945,5,FALSE),"Not Found")</f>
        <v>Brisbane</v>
      </c>
      <c r="J454" s="2">
        <v>59</v>
      </c>
      <c r="K454" s="2">
        <v>55</v>
      </c>
      <c r="L454" s="2">
        <v>3</v>
      </c>
      <c r="M454" s="7">
        <f t="shared" si="30"/>
        <v>165</v>
      </c>
      <c r="N454" s="7">
        <f t="shared" si="31"/>
        <v>177</v>
      </c>
      <c r="O454" s="2">
        <v>10</v>
      </c>
      <c r="P454" s="8">
        <f t="shared" si="32"/>
        <v>187</v>
      </c>
      <c r="Q454" s="8">
        <f t="shared" si="33"/>
        <v>122</v>
      </c>
      <c r="R454" s="2" t="s">
        <v>50</v>
      </c>
      <c r="S454" s="9">
        <f t="shared" si="34"/>
        <v>3.74</v>
      </c>
    </row>
    <row r="455" spans="1:19" x14ac:dyDescent="0.3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>IFERROR(VLOOKUP('Customer Info'!A447,'Customer Info'!A447:C946,2,FALSE),"Not Found")</f>
        <v>Sylvia</v>
      </c>
      <c r="H455" s="6" t="str">
        <f>IFERROR(VLOOKUP('Customer Info'!A447,'Customer Info'!A447:C946,3,FALSE),"Not Found")</f>
        <v>Foulston</v>
      </c>
      <c r="I455" s="6" t="str">
        <f>IFERROR(VLOOKUP('Customer Info'!A447,'Customer Info'!A447:E946,5,FALSE),"Not Found")</f>
        <v>Ludwigsburg</v>
      </c>
      <c r="J455" s="2">
        <v>129</v>
      </c>
      <c r="K455" s="2">
        <v>118</v>
      </c>
      <c r="L455" s="2">
        <v>3</v>
      </c>
      <c r="M455" s="7">
        <f t="shared" si="30"/>
        <v>354</v>
      </c>
      <c r="N455" s="7">
        <f t="shared" si="31"/>
        <v>387</v>
      </c>
      <c r="O455" s="2">
        <v>30</v>
      </c>
      <c r="P455" s="8">
        <f t="shared" si="32"/>
        <v>417</v>
      </c>
      <c r="Q455" s="8">
        <f t="shared" si="33"/>
        <v>269</v>
      </c>
      <c r="R455" s="2" t="s">
        <v>28</v>
      </c>
      <c r="S455" s="9">
        <f t="shared" si="34"/>
        <v>8.34</v>
      </c>
    </row>
    <row r="456" spans="1:19" x14ac:dyDescent="0.3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>IFERROR(VLOOKUP('Customer Info'!A448,'Customer Info'!A448:C947,2,FALSE),"Not Found")</f>
        <v>Tamara</v>
      </c>
      <c r="H456" s="6" t="str">
        <f>IFERROR(VLOOKUP('Customer Info'!A448,'Customer Info'!A448:C947,3,FALSE),"Not Found")</f>
        <v>Willingham</v>
      </c>
      <c r="I456" s="6" t="str">
        <f>IFERROR(VLOOKUP('Customer Info'!A448,'Customer Info'!A448:E947,5,FALSE),"Not Found")</f>
        <v>Perth</v>
      </c>
      <c r="J456" s="2">
        <v>1533</v>
      </c>
      <c r="K456" s="2">
        <v>1406</v>
      </c>
      <c r="L456" s="2">
        <v>4</v>
      </c>
      <c r="M456" s="7">
        <f t="shared" si="30"/>
        <v>5624</v>
      </c>
      <c r="N456" s="7">
        <f t="shared" si="31"/>
        <v>6132</v>
      </c>
      <c r="O456" s="2">
        <v>66</v>
      </c>
      <c r="P456" s="8">
        <f t="shared" si="32"/>
        <v>6198</v>
      </c>
      <c r="Q456" s="8">
        <f t="shared" si="33"/>
        <v>4726</v>
      </c>
      <c r="R456" s="2" t="s">
        <v>50</v>
      </c>
      <c r="S456" s="9">
        <f t="shared" si="34"/>
        <v>309.90000000000003</v>
      </c>
    </row>
    <row r="457" spans="1:19" x14ac:dyDescent="0.3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IFERROR(VLOOKUP('Customer Info'!A449,'Customer Info'!A449:C948,2,FALSE),"Not Found")</f>
        <v>Tamara</v>
      </c>
      <c r="H457" s="6" t="str">
        <f>IFERROR(VLOOKUP('Customer Info'!A449,'Customer Info'!A449:C948,3,FALSE),"Not Found")</f>
        <v>Willingham</v>
      </c>
      <c r="I457" s="6" t="str">
        <f>IFERROR(VLOOKUP('Customer Info'!A449,'Customer Info'!A449:E948,5,FALSE),"Not Found")</f>
        <v>Sindelfingen</v>
      </c>
      <c r="J457" s="2">
        <v>511</v>
      </c>
      <c r="K457" s="2">
        <v>468</v>
      </c>
      <c r="L457" s="2">
        <v>7</v>
      </c>
      <c r="M457" s="7">
        <f t="shared" si="30"/>
        <v>3276</v>
      </c>
      <c r="N457" s="7">
        <f t="shared" si="31"/>
        <v>3577</v>
      </c>
      <c r="O457" s="2">
        <v>45</v>
      </c>
      <c r="P457" s="8">
        <f t="shared" si="32"/>
        <v>3622</v>
      </c>
      <c r="Q457" s="8">
        <f t="shared" si="33"/>
        <v>3109</v>
      </c>
      <c r="R457" s="2" t="s">
        <v>28</v>
      </c>
      <c r="S457" s="9">
        <f t="shared" si="34"/>
        <v>72.44</v>
      </c>
    </row>
    <row r="458" spans="1:19" x14ac:dyDescent="0.3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>IFERROR(VLOOKUP('Customer Info'!A450,'Customer Info'!A450:C949,2,FALSE),"Not Found")</f>
        <v>Tamara</v>
      </c>
      <c r="H458" s="6" t="str">
        <f>IFERROR(VLOOKUP('Customer Info'!A450,'Customer Info'!A450:C949,3,FALSE),"Not Found")</f>
        <v>Chand</v>
      </c>
      <c r="I458" s="6" t="str">
        <f>IFERROR(VLOOKUP('Customer Info'!A450,'Customer Info'!A450:E949,5,FALSE),"Not Found")</f>
        <v>Canberra</v>
      </c>
      <c r="J458" s="2">
        <v>71</v>
      </c>
      <c r="K458" s="2">
        <v>64</v>
      </c>
      <c r="L458" s="2">
        <v>2</v>
      </c>
      <c r="M458" s="7">
        <f t="shared" si="30"/>
        <v>128</v>
      </c>
      <c r="N458" s="7">
        <f t="shared" si="31"/>
        <v>142</v>
      </c>
      <c r="O458" s="2">
        <v>10</v>
      </c>
      <c r="P458" s="8">
        <f t="shared" si="32"/>
        <v>152</v>
      </c>
      <c r="Q458" s="8">
        <f t="shared" si="33"/>
        <v>78</v>
      </c>
      <c r="R458" s="2" t="s">
        <v>28</v>
      </c>
      <c r="S458" s="9">
        <f t="shared" si="34"/>
        <v>3.04</v>
      </c>
    </row>
    <row r="459" spans="1:19" x14ac:dyDescent="0.3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>IFERROR(VLOOKUP('Customer Info'!A451,'Customer Info'!A451:C950,2,FALSE),"Not Found")</f>
        <v>Tamara</v>
      </c>
      <c r="H459" s="6" t="str">
        <f>IFERROR(VLOOKUP('Customer Info'!A451,'Customer Info'!A451:C950,3,FALSE),"Not Found")</f>
        <v>Chand</v>
      </c>
      <c r="I459" s="6" t="str">
        <f>IFERROR(VLOOKUP('Customer Info'!A451,'Customer Info'!A451:E950,5,FALSE),"Not Found")</f>
        <v>Yogyakarta</v>
      </c>
      <c r="J459" s="2">
        <v>1770</v>
      </c>
      <c r="K459" s="2">
        <v>1592</v>
      </c>
      <c r="L459" s="2">
        <v>14</v>
      </c>
      <c r="M459" s="7">
        <f t="shared" ref="M459:M522" si="35">$K459*$L459</f>
        <v>22288</v>
      </c>
      <c r="N459" s="7">
        <f t="shared" ref="N459:N522" si="36">$J459*$L459</f>
        <v>24780</v>
      </c>
      <c r="O459" s="2">
        <v>89</v>
      </c>
      <c r="P459" s="8">
        <f t="shared" ref="P459:P522" si="37">$N459+$O459</f>
        <v>24869</v>
      </c>
      <c r="Q459" s="8">
        <f t="shared" ref="Q459:Q522" si="38">$N459-$K459</f>
        <v>23188</v>
      </c>
      <c r="R459" s="2" t="s">
        <v>28</v>
      </c>
      <c r="S459" s="9">
        <f t="shared" ref="S459:S522" si="39" xml:space="preserve"> P459 * VLOOKUP(P459, $T$2:$U$6, 2, TRUE)</f>
        <v>1243.45</v>
      </c>
    </row>
    <row r="460" spans="1:19" x14ac:dyDescent="0.3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>IFERROR(VLOOKUP('Customer Info'!A452,'Customer Info'!A452:C951,2,FALSE),"Not Found")</f>
        <v>Ted</v>
      </c>
      <c r="H460" s="6" t="str">
        <f>IFERROR(VLOOKUP('Customer Info'!A452,'Customer Info'!A452:C951,3,FALSE),"Not Found")</f>
        <v>Trevino</v>
      </c>
      <c r="I460" s="6" t="str">
        <f>IFERROR(VLOOKUP('Customer Info'!A452,'Customer Info'!A452:E951,5,FALSE),"Not Found")</f>
        <v>Bendigo</v>
      </c>
      <c r="J460" s="2">
        <v>24662</v>
      </c>
      <c r="K460" s="2">
        <v>23061</v>
      </c>
      <c r="L460" s="2">
        <v>7</v>
      </c>
      <c r="M460" s="7">
        <f t="shared" si="35"/>
        <v>161427</v>
      </c>
      <c r="N460" s="7">
        <f t="shared" si="36"/>
        <v>172634</v>
      </c>
      <c r="O460" s="2">
        <v>41</v>
      </c>
      <c r="P460" s="8">
        <f t="shared" si="37"/>
        <v>172675</v>
      </c>
      <c r="Q460" s="8">
        <f t="shared" si="38"/>
        <v>149573</v>
      </c>
      <c r="R460" s="2" t="s">
        <v>50</v>
      </c>
      <c r="S460" s="9">
        <f t="shared" si="39"/>
        <v>20721</v>
      </c>
    </row>
    <row r="461" spans="1:19" x14ac:dyDescent="0.3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>IFERROR(VLOOKUP('Customer Info'!A453,'Customer Info'!A453:C952,2,FALSE),"Not Found")</f>
        <v>Ted</v>
      </c>
      <c r="H461" s="6" t="str">
        <f>IFERROR(VLOOKUP('Customer Info'!A453,'Customer Info'!A453:C952,3,FALSE),"Not Found")</f>
        <v>Trevino</v>
      </c>
      <c r="I461" s="6" t="str">
        <f>IFERROR(VLOOKUP('Customer Info'!A453,'Customer Info'!A453:E952,5,FALSE),"Not Found")</f>
        <v>Gold Coast</v>
      </c>
      <c r="J461" s="2">
        <v>142</v>
      </c>
      <c r="K461" s="2">
        <v>129</v>
      </c>
      <c r="L461" s="2">
        <v>1</v>
      </c>
      <c r="M461" s="7">
        <f t="shared" si="35"/>
        <v>129</v>
      </c>
      <c r="N461" s="7">
        <f t="shared" si="36"/>
        <v>142</v>
      </c>
      <c r="O461" s="2">
        <v>30</v>
      </c>
      <c r="P461" s="8">
        <f t="shared" si="37"/>
        <v>172</v>
      </c>
      <c r="Q461" s="8">
        <f t="shared" si="38"/>
        <v>13</v>
      </c>
      <c r="R461" s="2" t="s">
        <v>50</v>
      </c>
      <c r="S461" s="9">
        <f t="shared" si="39"/>
        <v>3.44</v>
      </c>
    </row>
    <row r="462" spans="1:19" x14ac:dyDescent="0.3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>IFERROR(VLOOKUP('Customer Info'!A454,'Customer Info'!A454:C953,2,FALSE),"Not Found")</f>
        <v>Thais</v>
      </c>
      <c r="H462" s="6" t="str">
        <f>IFERROR(VLOOKUP('Customer Info'!A454,'Customer Info'!A454:C953,3,FALSE),"Not Found")</f>
        <v>Sissman</v>
      </c>
      <c r="I462" s="6" t="str">
        <f>IFERROR(VLOOKUP('Customer Info'!A454,'Customer Info'!A454:E953,5,FALSE),"Not Found")</f>
        <v>Essen</v>
      </c>
      <c r="J462" s="2">
        <v>79</v>
      </c>
      <c r="K462" s="2">
        <v>75</v>
      </c>
      <c r="L462" s="2">
        <v>2</v>
      </c>
      <c r="M462" s="7">
        <f t="shared" si="35"/>
        <v>150</v>
      </c>
      <c r="N462" s="7">
        <f t="shared" si="36"/>
        <v>158</v>
      </c>
      <c r="O462" s="2">
        <v>10</v>
      </c>
      <c r="P462" s="8">
        <f t="shared" si="37"/>
        <v>168</v>
      </c>
      <c r="Q462" s="8">
        <f t="shared" si="38"/>
        <v>83</v>
      </c>
      <c r="R462" s="2" t="s">
        <v>28</v>
      </c>
      <c r="S462" s="9">
        <f t="shared" si="39"/>
        <v>3.36</v>
      </c>
    </row>
    <row r="463" spans="1:19" x14ac:dyDescent="0.3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>IFERROR(VLOOKUP('Customer Info'!A455,'Customer Info'!A455:C954,2,FALSE),"Not Found")</f>
        <v>Thea</v>
      </c>
      <c r="H463" s="6" t="str">
        <f>IFERROR(VLOOKUP('Customer Info'!A455,'Customer Info'!A455:C954,3,FALSE),"Not Found")</f>
        <v>Hendricks</v>
      </c>
      <c r="I463" s="6" t="str">
        <f>IFERROR(VLOOKUP('Customer Info'!A455,'Customer Info'!A455:E954,5,FALSE),"Not Found")</f>
        <v>Jining</v>
      </c>
      <c r="J463" s="2">
        <v>8160</v>
      </c>
      <c r="K463" s="2">
        <v>7475</v>
      </c>
      <c r="L463" s="2">
        <v>4</v>
      </c>
      <c r="M463" s="7">
        <f t="shared" si="35"/>
        <v>29900</v>
      </c>
      <c r="N463" s="7">
        <f t="shared" si="36"/>
        <v>32640</v>
      </c>
      <c r="O463" s="2">
        <v>75</v>
      </c>
      <c r="P463" s="8">
        <f t="shared" si="37"/>
        <v>32715</v>
      </c>
      <c r="Q463" s="8">
        <f t="shared" si="38"/>
        <v>25165</v>
      </c>
      <c r="R463" s="2" t="s">
        <v>28</v>
      </c>
      <c r="S463" s="9">
        <f t="shared" si="39"/>
        <v>2290.0500000000002</v>
      </c>
    </row>
    <row r="464" spans="1:19" x14ac:dyDescent="0.3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>IFERROR(VLOOKUP('Customer Info'!A456,'Customer Info'!A456:C955,2,FALSE),"Not Found")</f>
        <v>Thea</v>
      </c>
      <c r="H464" s="6" t="str">
        <f>IFERROR(VLOOKUP('Customer Info'!A456,'Customer Info'!A456:C955,3,FALSE),"Not Found")</f>
        <v>Hendricks</v>
      </c>
      <c r="I464" s="6" t="str">
        <f>IFERROR(VLOOKUP('Customer Info'!A456,'Customer Info'!A456:E955,5,FALSE),"Not Found")</f>
        <v>Moers</v>
      </c>
      <c r="J464" s="2">
        <v>9214</v>
      </c>
      <c r="K464" s="2">
        <v>8295</v>
      </c>
      <c r="L464" s="2">
        <v>9</v>
      </c>
      <c r="M464" s="7">
        <f t="shared" si="35"/>
        <v>74655</v>
      </c>
      <c r="N464" s="7">
        <f t="shared" si="36"/>
        <v>82926</v>
      </c>
      <c r="O464" s="2">
        <v>24</v>
      </c>
      <c r="P464" s="8">
        <f t="shared" si="37"/>
        <v>82950</v>
      </c>
      <c r="Q464" s="8">
        <f t="shared" si="38"/>
        <v>74631</v>
      </c>
      <c r="R464" s="2" t="s">
        <v>28</v>
      </c>
      <c r="S464" s="9">
        <f t="shared" si="39"/>
        <v>7465.5</v>
      </c>
    </row>
    <row r="465" spans="1:19" x14ac:dyDescent="0.3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>IFERROR(VLOOKUP('Customer Info'!A457,'Customer Info'!A457:C956,2,FALSE),"Not Found")</f>
        <v>Thea</v>
      </c>
      <c r="H465" s="6" t="str">
        <f>IFERROR(VLOOKUP('Customer Info'!A457,'Customer Info'!A457:C956,3,FALSE),"Not Found")</f>
        <v>Hudgings</v>
      </c>
      <c r="I465" s="6" t="str">
        <f>IFERROR(VLOOKUP('Customer Info'!A457,'Customer Info'!A457:E956,5,FALSE),"Not Found")</f>
        <v>Anshan</v>
      </c>
      <c r="J465" s="2">
        <v>914</v>
      </c>
      <c r="K465" s="2">
        <v>830</v>
      </c>
      <c r="L465" s="2">
        <v>1</v>
      </c>
      <c r="M465" s="7">
        <f t="shared" si="35"/>
        <v>830</v>
      </c>
      <c r="N465" s="7">
        <f t="shared" si="36"/>
        <v>914</v>
      </c>
      <c r="O465" s="2">
        <v>60</v>
      </c>
      <c r="P465" s="8">
        <f t="shared" si="37"/>
        <v>974</v>
      </c>
      <c r="Q465" s="8">
        <f t="shared" si="38"/>
        <v>84</v>
      </c>
      <c r="R465" s="2" t="s">
        <v>50</v>
      </c>
      <c r="S465" s="9">
        <f t="shared" si="39"/>
        <v>19.48</v>
      </c>
    </row>
    <row r="466" spans="1:19" x14ac:dyDescent="0.3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>IFERROR(VLOOKUP('Customer Info'!A458,'Customer Info'!A458:C957,2,FALSE),"Not Found")</f>
        <v>Thomas</v>
      </c>
      <c r="H466" s="6" t="str">
        <f>IFERROR(VLOOKUP('Customer Info'!A458,'Customer Info'!A458:C957,3,FALSE),"Not Found")</f>
        <v>Boland</v>
      </c>
      <c r="I466" s="6" t="str">
        <f>IFERROR(VLOOKUP('Customer Info'!A458,'Customer Info'!A458:E957,5,FALSE),"Not Found")</f>
        <v>Surabaya</v>
      </c>
      <c r="J466" s="2">
        <v>145</v>
      </c>
      <c r="K466" s="2">
        <v>130</v>
      </c>
      <c r="L466" s="2">
        <v>1</v>
      </c>
      <c r="M466" s="7">
        <f t="shared" si="35"/>
        <v>130</v>
      </c>
      <c r="N466" s="7">
        <f t="shared" si="36"/>
        <v>145</v>
      </c>
      <c r="O466" s="2">
        <v>30</v>
      </c>
      <c r="P466" s="8">
        <f t="shared" si="37"/>
        <v>175</v>
      </c>
      <c r="Q466" s="8">
        <f t="shared" si="38"/>
        <v>15</v>
      </c>
      <c r="R466" s="2" t="s">
        <v>28</v>
      </c>
      <c r="S466" s="9">
        <f t="shared" si="39"/>
        <v>3.5</v>
      </c>
    </row>
    <row r="467" spans="1:19" x14ac:dyDescent="0.3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>IFERROR(VLOOKUP('Customer Info'!A459,'Customer Info'!A459:C958,2,FALSE),"Not Found")</f>
        <v>Thomas</v>
      </c>
      <c r="H467" s="6" t="str">
        <f>IFERROR(VLOOKUP('Customer Info'!A459,'Customer Info'!A459:C958,3,FALSE),"Not Found")</f>
        <v>Brumley</v>
      </c>
      <c r="I467" s="6" t="str">
        <f>IFERROR(VLOOKUP('Customer Info'!A459,'Customer Info'!A459:E958,5,FALSE),"Not Found")</f>
        <v>Launceston</v>
      </c>
      <c r="J467" s="2">
        <v>60</v>
      </c>
      <c r="K467" s="2">
        <v>55</v>
      </c>
      <c r="L467" s="2">
        <v>1</v>
      </c>
      <c r="M467" s="7">
        <f t="shared" si="35"/>
        <v>55</v>
      </c>
      <c r="N467" s="7">
        <f t="shared" si="36"/>
        <v>60</v>
      </c>
      <c r="O467" s="2">
        <v>10</v>
      </c>
      <c r="P467" s="8">
        <f t="shared" si="37"/>
        <v>70</v>
      </c>
      <c r="Q467" s="8">
        <f t="shared" si="38"/>
        <v>5</v>
      </c>
      <c r="R467" s="2" t="s">
        <v>50</v>
      </c>
      <c r="S467" s="9">
        <f t="shared" si="39"/>
        <v>1.4000000000000001</v>
      </c>
    </row>
    <row r="468" spans="1:19" x14ac:dyDescent="0.3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>IFERROR(VLOOKUP('Customer Info'!A460,'Customer Info'!A460:C959,2,FALSE),"Not Found")</f>
        <v>Thomas</v>
      </c>
      <c r="H468" s="6" t="str">
        <f>IFERROR(VLOOKUP('Customer Info'!A460,'Customer Info'!A460:C959,3,FALSE),"Not Found")</f>
        <v>Boland</v>
      </c>
      <c r="I468" s="6" t="str">
        <f>IFERROR(VLOOKUP('Customer Info'!A460,'Customer Info'!A460:E959,5,FALSE),"Not Found")</f>
        <v>Newcastle</v>
      </c>
      <c r="J468" s="2">
        <v>100</v>
      </c>
      <c r="K468" s="2">
        <v>95</v>
      </c>
      <c r="L468" s="2">
        <v>7</v>
      </c>
      <c r="M468" s="7">
        <f t="shared" si="35"/>
        <v>665</v>
      </c>
      <c r="N468" s="7">
        <f t="shared" si="36"/>
        <v>700</v>
      </c>
      <c r="O468" s="2">
        <v>10</v>
      </c>
      <c r="P468" s="8">
        <f t="shared" si="37"/>
        <v>710</v>
      </c>
      <c r="Q468" s="8">
        <f t="shared" si="38"/>
        <v>605</v>
      </c>
      <c r="R468" s="2" t="s">
        <v>28</v>
      </c>
      <c r="S468" s="9">
        <f t="shared" si="39"/>
        <v>14.200000000000001</v>
      </c>
    </row>
    <row r="469" spans="1:19" x14ac:dyDescent="0.3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>IFERROR(VLOOKUP('Customer Info'!A461,'Customer Info'!A461:C960,2,FALSE),"Not Found")</f>
        <v>Thomas</v>
      </c>
      <c r="H469" s="6" t="str">
        <f>IFERROR(VLOOKUP('Customer Info'!A461,'Customer Info'!A461:C960,3,FALSE),"Not Found")</f>
        <v>Seio</v>
      </c>
      <c r="I469" s="6" t="str">
        <f>IFERROR(VLOOKUP('Customer Info'!A461,'Customer Info'!A461:E960,5,FALSE),"Not Found")</f>
        <v>Melbourne</v>
      </c>
      <c r="J469" s="2">
        <v>1834</v>
      </c>
      <c r="K469" s="2">
        <v>1716</v>
      </c>
      <c r="L469" s="2">
        <v>5</v>
      </c>
      <c r="M469" s="7">
        <f t="shared" si="35"/>
        <v>8580</v>
      </c>
      <c r="N469" s="7">
        <f t="shared" si="36"/>
        <v>9170</v>
      </c>
      <c r="O469" s="2">
        <v>92</v>
      </c>
      <c r="P469" s="8">
        <f t="shared" si="37"/>
        <v>9262</v>
      </c>
      <c r="Q469" s="8">
        <f t="shared" si="38"/>
        <v>7454</v>
      </c>
      <c r="R469" s="2" t="s">
        <v>50</v>
      </c>
      <c r="S469" s="9">
        <f t="shared" si="39"/>
        <v>463.1</v>
      </c>
    </row>
    <row r="470" spans="1:19" x14ac:dyDescent="0.3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>IFERROR(VLOOKUP('Customer Info'!A462,'Customer Info'!A462:C961,2,FALSE),"Not Found")</f>
        <v>Thomas</v>
      </c>
      <c r="H470" s="6" t="str">
        <f>IFERROR(VLOOKUP('Customer Info'!A462,'Customer Info'!A462:C961,3,FALSE),"Not Found")</f>
        <v>Brumley</v>
      </c>
      <c r="I470" s="6" t="str">
        <f>IFERROR(VLOOKUP('Customer Info'!A462,'Customer Info'!A462:E961,5,FALSE),"Not Found")</f>
        <v>Jinan</v>
      </c>
      <c r="J470" s="2">
        <v>691</v>
      </c>
      <c r="K470" s="2">
        <v>646</v>
      </c>
      <c r="L470" s="2">
        <v>5</v>
      </c>
      <c r="M470" s="7">
        <f t="shared" si="35"/>
        <v>3230</v>
      </c>
      <c r="N470" s="7">
        <f t="shared" si="36"/>
        <v>3455</v>
      </c>
      <c r="O470" s="2">
        <v>74</v>
      </c>
      <c r="P470" s="8">
        <f t="shared" si="37"/>
        <v>3529</v>
      </c>
      <c r="Q470" s="8">
        <f t="shared" si="38"/>
        <v>2809</v>
      </c>
      <c r="R470" s="2" t="s">
        <v>28</v>
      </c>
      <c r="S470" s="9">
        <f t="shared" si="39"/>
        <v>70.58</v>
      </c>
    </row>
    <row r="471" spans="1:19" x14ac:dyDescent="0.3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>IFERROR(VLOOKUP('Customer Info'!A463,'Customer Info'!A463:C962,2,FALSE),"Not Found")</f>
        <v>Tim</v>
      </c>
      <c r="H471" s="6" t="str">
        <f>IFERROR(VLOOKUP('Customer Info'!A463,'Customer Info'!A463:C962,3,FALSE),"Not Found")</f>
        <v>Brockman</v>
      </c>
      <c r="I471" s="6" t="str">
        <f>IFERROR(VLOOKUP('Customer Info'!A463,'Customer Info'!A463:E962,5,FALSE),"Not Found")</f>
        <v>Toowoomba</v>
      </c>
      <c r="J471" s="2">
        <v>5894</v>
      </c>
      <c r="K471" s="2">
        <v>5621</v>
      </c>
      <c r="L471" s="2">
        <v>6</v>
      </c>
      <c r="M471" s="7">
        <f t="shared" si="35"/>
        <v>33726</v>
      </c>
      <c r="N471" s="7">
        <f t="shared" si="36"/>
        <v>35364</v>
      </c>
      <c r="O471" s="2">
        <v>25</v>
      </c>
      <c r="P471" s="8">
        <f t="shared" si="37"/>
        <v>35389</v>
      </c>
      <c r="Q471" s="8">
        <f t="shared" si="38"/>
        <v>29743</v>
      </c>
      <c r="R471" s="2" t="s">
        <v>28</v>
      </c>
      <c r="S471" s="9">
        <f t="shared" si="39"/>
        <v>2477.23</v>
      </c>
    </row>
    <row r="472" spans="1:19" x14ac:dyDescent="0.3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>IFERROR(VLOOKUP('Customer Info'!A464,'Customer Info'!A464:C963,2,FALSE),"Not Found")</f>
        <v>Toby</v>
      </c>
      <c r="H472" s="6" t="str">
        <f>IFERROR(VLOOKUP('Customer Info'!A464,'Customer Info'!A464:C963,3,FALSE),"Not Found")</f>
        <v>Carlisle</v>
      </c>
      <c r="I472" s="6" t="str">
        <f>IFERROR(VLOOKUP('Customer Info'!A464,'Customer Info'!A464:E963,5,FALSE),"Not Found")</f>
        <v>Depok</v>
      </c>
      <c r="J472" s="2">
        <v>166</v>
      </c>
      <c r="K472" s="2">
        <v>157</v>
      </c>
      <c r="L472" s="2">
        <v>3</v>
      </c>
      <c r="M472" s="7">
        <f t="shared" si="35"/>
        <v>471</v>
      </c>
      <c r="N472" s="7">
        <f t="shared" si="36"/>
        <v>498</v>
      </c>
      <c r="O472" s="2">
        <v>30</v>
      </c>
      <c r="P472" s="8">
        <f t="shared" si="37"/>
        <v>528</v>
      </c>
      <c r="Q472" s="8">
        <f t="shared" si="38"/>
        <v>341</v>
      </c>
      <c r="R472" s="2" t="s">
        <v>50</v>
      </c>
      <c r="S472" s="9">
        <f t="shared" si="39"/>
        <v>10.56</v>
      </c>
    </row>
    <row r="473" spans="1:19" x14ac:dyDescent="0.3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>IFERROR(VLOOKUP('Customer Info'!A465,'Customer Info'!A465:C964,2,FALSE),"Not Found")</f>
        <v>Toby</v>
      </c>
      <c r="H473" s="6" t="str">
        <f>IFERROR(VLOOKUP('Customer Info'!A465,'Customer Info'!A465:C964,3,FALSE),"Not Found")</f>
        <v>Swindell</v>
      </c>
      <c r="I473" s="6" t="str">
        <f>IFERROR(VLOOKUP('Customer Info'!A465,'Customer Info'!A465:E964,5,FALSE),"Not Found")</f>
        <v>Ninghai</v>
      </c>
      <c r="J473" s="2">
        <v>2790</v>
      </c>
      <c r="K473" s="2">
        <v>2557</v>
      </c>
      <c r="L473" s="2">
        <v>3</v>
      </c>
      <c r="M473" s="7">
        <f t="shared" si="35"/>
        <v>7671</v>
      </c>
      <c r="N473" s="7">
        <f t="shared" si="36"/>
        <v>8370</v>
      </c>
      <c r="O473" s="2">
        <v>34</v>
      </c>
      <c r="P473" s="8">
        <f t="shared" si="37"/>
        <v>8404</v>
      </c>
      <c r="Q473" s="8">
        <f t="shared" si="38"/>
        <v>5813</v>
      </c>
      <c r="R473" s="2" t="s">
        <v>50</v>
      </c>
      <c r="S473" s="9">
        <f t="shared" si="39"/>
        <v>420.20000000000005</v>
      </c>
    </row>
    <row r="474" spans="1:19" x14ac:dyDescent="0.3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>IFERROR(VLOOKUP('Customer Info'!A466,'Customer Info'!A466:C965,2,FALSE),"Not Found")</f>
        <v>Toby</v>
      </c>
      <c r="H474" s="6" t="str">
        <f>IFERROR(VLOOKUP('Customer Info'!A466,'Customer Info'!A466:C965,3,FALSE),"Not Found")</f>
        <v>Gnade</v>
      </c>
      <c r="I474" s="6" t="str">
        <f>IFERROR(VLOOKUP('Customer Info'!A466,'Customer Info'!A466:E965,5,FALSE),"Not Found")</f>
        <v>Wagga Wagga</v>
      </c>
      <c r="J474" s="2">
        <v>2027</v>
      </c>
      <c r="K474" s="2">
        <v>1913</v>
      </c>
      <c r="L474" s="2">
        <v>3</v>
      </c>
      <c r="M474" s="7">
        <f t="shared" si="35"/>
        <v>5739</v>
      </c>
      <c r="N474" s="7">
        <f t="shared" si="36"/>
        <v>6081</v>
      </c>
      <c r="O474" s="2">
        <v>72</v>
      </c>
      <c r="P474" s="8">
        <f t="shared" si="37"/>
        <v>6153</v>
      </c>
      <c r="Q474" s="8">
        <f t="shared" si="38"/>
        <v>4168</v>
      </c>
      <c r="R474" s="2" t="s">
        <v>26</v>
      </c>
      <c r="S474" s="9">
        <f t="shared" si="39"/>
        <v>307.65000000000003</v>
      </c>
    </row>
    <row r="475" spans="1:19" x14ac:dyDescent="0.3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>IFERROR(VLOOKUP('Customer Info'!A467,'Customer Info'!A467:C966,2,FALSE),"Not Found")</f>
        <v>Toby</v>
      </c>
      <c r="H475" s="6" t="str">
        <f>IFERROR(VLOOKUP('Customer Info'!A467,'Customer Info'!A467:C966,3,FALSE),"Not Found")</f>
        <v>Gnade</v>
      </c>
      <c r="I475" s="6" t="str">
        <f>IFERROR(VLOOKUP('Customer Info'!A467,'Customer Info'!A467:E966,5,FALSE),"Not Found")</f>
        <v>Bhopal</v>
      </c>
      <c r="J475" s="2">
        <v>4737</v>
      </c>
      <c r="K475" s="2">
        <v>4473</v>
      </c>
      <c r="L475" s="2">
        <v>2</v>
      </c>
      <c r="M475" s="7">
        <f t="shared" si="35"/>
        <v>8946</v>
      </c>
      <c r="N475" s="7">
        <f t="shared" si="36"/>
        <v>9474</v>
      </c>
      <c r="O475" s="2">
        <v>42</v>
      </c>
      <c r="P475" s="8">
        <f t="shared" si="37"/>
        <v>9516</v>
      </c>
      <c r="Q475" s="8">
        <f t="shared" si="38"/>
        <v>5001</v>
      </c>
      <c r="R475" s="2" t="s">
        <v>28</v>
      </c>
      <c r="S475" s="9">
        <f t="shared" si="39"/>
        <v>475.8</v>
      </c>
    </row>
    <row r="476" spans="1:19" x14ac:dyDescent="0.3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>IFERROR(VLOOKUP('Customer Info'!A468,'Customer Info'!A468:C967,2,FALSE),"Not Found")</f>
        <v>Toby</v>
      </c>
      <c r="H476" s="6" t="str">
        <f>IFERROR(VLOOKUP('Customer Info'!A468,'Customer Info'!A468:C967,3,FALSE),"Not Found")</f>
        <v>Braunhardt</v>
      </c>
      <c r="I476" s="6" t="str">
        <f>IFERROR(VLOOKUP('Customer Info'!A468,'Customer Info'!A468:E967,5,FALSE),"Not Found")</f>
        <v>Perth</v>
      </c>
      <c r="J476" s="2">
        <v>1332</v>
      </c>
      <c r="K476" s="2">
        <v>1209</v>
      </c>
      <c r="L476" s="2">
        <v>1</v>
      </c>
      <c r="M476" s="7">
        <f t="shared" si="35"/>
        <v>1209</v>
      </c>
      <c r="N476" s="7">
        <f t="shared" si="36"/>
        <v>1332</v>
      </c>
      <c r="O476" s="2">
        <v>30</v>
      </c>
      <c r="P476" s="8">
        <f t="shared" si="37"/>
        <v>1362</v>
      </c>
      <c r="Q476" s="8">
        <f t="shared" si="38"/>
        <v>123</v>
      </c>
      <c r="R476" s="2" t="s">
        <v>50</v>
      </c>
      <c r="S476" s="9">
        <f t="shared" si="39"/>
        <v>27.240000000000002</v>
      </c>
    </row>
    <row r="477" spans="1:19" x14ac:dyDescent="0.3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>IFERROR(VLOOKUP('Customer Info'!A469,'Customer Info'!A469:C968,2,FALSE),"Not Found")</f>
        <v>Toby</v>
      </c>
      <c r="H477" s="6" t="str">
        <f>IFERROR(VLOOKUP('Customer Info'!A469,'Customer Info'!A469:C968,3,FALSE),"Not Found")</f>
        <v>Braunhardt</v>
      </c>
      <c r="I477" s="6" t="str">
        <f>IFERROR(VLOOKUP('Customer Info'!A469,'Customer Info'!A469:E968,5,FALSE),"Not Found")</f>
        <v>Jiangyan</v>
      </c>
      <c r="J477" s="2">
        <v>58</v>
      </c>
      <c r="K477" s="2">
        <v>56</v>
      </c>
      <c r="L477" s="2">
        <v>3</v>
      </c>
      <c r="M477" s="7">
        <f t="shared" si="35"/>
        <v>168</v>
      </c>
      <c r="N477" s="7">
        <f t="shared" si="36"/>
        <v>174</v>
      </c>
      <c r="O477" s="2">
        <v>10</v>
      </c>
      <c r="P477" s="8">
        <f t="shared" si="37"/>
        <v>184</v>
      </c>
      <c r="Q477" s="8">
        <f t="shared" si="38"/>
        <v>118</v>
      </c>
      <c r="R477" s="2" t="s">
        <v>28</v>
      </c>
      <c r="S477" s="9">
        <f t="shared" si="39"/>
        <v>3.68</v>
      </c>
    </row>
    <row r="478" spans="1:19" x14ac:dyDescent="0.3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>IFERROR(VLOOKUP('Customer Info'!A470,'Customer Info'!A470:C969,2,FALSE),"Not Found")</f>
        <v>Todd</v>
      </c>
      <c r="H478" s="6" t="str">
        <f>IFERROR(VLOOKUP('Customer Info'!A470,'Customer Info'!A470:C969,3,FALSE),"Not Found")</f>
        <v>Sumrall</v>
      </c>
      <c r="I478" s="6" t="str">
        <f>IFERROR(VLOOKUP('Customer Info'!A470,'Customer Info'!A470:E969,5,FALSE),"Not Found")</f>
        <v>Yangzhou</v>
      </c>
      <c r="J478" s="2">
        <v>1925</v>
      </c>
      <c r="K478" s="2">
        <v>1834</v>
      </c>
      <c r="L478" s="2">
        <v>5</v>
      </c>
      <c r="M478" s="7">
        <f t="shared" si="35"/>
        <v>9170</v>
      </c>
      <c r="N478" s="7">
        <f t="shared" si="36"/>
        <v>9625</v>
      </c>
      <c r="O478" s="2">
        <v>24</v>
      </c>
      <c r="P478" s="8">
        <f t="shared" si="37"/>
        <v>9649</v>
      </c>
      <c r="Q478" s="8">
        <f t="shared" si="38"/>
        <v>7791</v>
      </c>
      <c r="R478" s="2" t="s">
        <v>28</v>
      </c>
      <c r="S478" s="9">
        <f t="shared" si="39"/>
        <v>482.45000000000005</v>
      </c>
    </row>
    <row r="479" spans="1:19" x14ac:dyDescent="0.3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>IFERROR(VLOOKUP('Customer Info'!A471,'Customer Info'!A471:C970,2,FALSE),"Not Found")</f>
        <v>Tom</v>
      </c>
      <c r="H479" s="6" t="str">
        <f>IFERROR(VLOOKUP('Customer Info'!A471,'Customer Info'!A471:C970,3,FALSE),"Not Found")</f>
        <v>Zandusky</v>
      </c>
      <c r="I479" s="6" t="str">
        <f>IFERROR(VLOOKUP('Customer Info'!A471,'Customer Info'!A471:E970,5,FALSE),"Not Found")</f>
        <v>Hobart</v>
      </c>
      <c r="J479" s="2">
        <v>7534</v>
      </c>
      <c r="K479" s="2">
        <v>7106</v>
      </c>
      <c r="L479" s="2">
        <v>12</v>
      </c>
      <c r="M479" s="7">
        <f t="shared" si="35"/>
        <v>85272</v>
      </c>
      <c r="N479" s="7">
        <f t="shared" si="36"/>
        <v>90408</v>
      </c>
      <c r="O479" s="2">
        <v>35</v>
      </c>
      <c r="P479" s="8">
        <f t="shared" si="37"/>
        <v>90443</v>
      </c>
      <c r="Q479" s="8">
        <f t="shared" si="38"/>
        <v>83302</v>
      </c>
      <c r="R479" s="2" t="s">
        <v>28</v>
      </c>
      <c r="S479" s="9">
        <f t="shared" si="39"/>
        <v>8139.87</v>
      </c>
    </row>
    <row r="480" spans="1:19" x14ac:dyDescent="0.3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>IFERROR(VLOOKUP('Customer Info'!A472,'Customer Info'!A472:C971,2,FALSE),"Not Found")</f>
        <v>Tom</v>
      </c>
      <c r="H480" s="6" t="str">
        <f>IFERROR(VLOOKUP('Customer Info'!A472,'Customer Info'!A472:C971,3,FALSE),"Not Found")</f>
        <v>Stivers</v>
      </c>
      <c r="I480" s="6" t="str">
        <f>IFERROR(VLOOKUP('Customer Info'!A472,'Customer Info'!A472:E971,5,FALSE),"Not Found")</f>
        <v>Thane</v>
      </c>
      <c r="J480" s="2">
        <v>8752</v>
      </c>
      <c r="K480" s="2">
        <v>7877</v>
      </c>
      <c r="L480" s="2">
        <v>6</v>
      </c>
      <c r="M480" s="7">
        <f t="shared" si="35"/>
        <v>47262</v>
      </c>
      <c r="N480" s="7">
        <f t="shared" si="36"/>
        <v>52512</v>
      </c>
      <c r="O480" s="2">
        <v>92</v>
      </c>
      <c r="P480" s="8">
        <f t="shared" si="37"/>
        <v>52604</v>
      </c>
      <c r="Q480" s="8">
        <f t="shared" si="38"/>
        <v>44635</v>
      </c>
      <c r="R480" s="2" t="s">
        <v>26</v>
      </c>
      <c r="S480" s="9">
        <f t="shared" si="39"/>
        <v>4734.3599999999997</v>
      </c>
    </row>
    <row r="481" spans="1:19" x14ac:dyDescent="0.3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>IFERROR(VLOOKUP('Customer Info'!A473,'Customer Info'!A473:C972,2,FALSE),"Not Found")</f>
        <v>Tom</v>
      </c>
      <c r="H481" s="6" t="str">
        <f>IFERROR(VLOOKUP('Customer Info'!A473,'Customer Info'!A473:C972,3,FALSE),"Not Found")</f>
        <v>Prescott</v>
      </c>
      <c r="I481" s="6" t="str">
        <f>IFERROR(VLOOKUP('Customer Info'!A473,'Customer Info'!A473:E972,5,FALSE),"Not Found")</f>
        <v>Bokaro</v>
      </c>
      <c r="J481" s="2">
        <v>1763</v>
      </c>
      <c r="K481" s="2">
        <v>1602</v>
      </c>
      <c r="L481" s="2">
        <v>3</v>
      </c>
      <c r="M481" s="7">
        <f t="shared" si="35"/>
        <v>4806</v>
      </c>
      <c r="N481" s="7">
        <f t="shared" si="36"/>
        <v>5289</v>
      </c>
      <c r="O481" s="2">
        <v>100</v>
      </c>
      <c r="P481" s="8">
        <f t="shared" si="37"/>
        <v>5389</v>
      </c>
      <c r="Q481" s="8">
        <f t="shared" si="38"/>
        <v>3687</v>
      </c>
      <c r="R481" s="2" t="s">
        <v>28</v>
      </c>
      <c r="S481" s="9">
        <f t="shared" si="39"/>
        <v>269.45</v>
      </c>
    </row>
    <row r="482" spans="1:19" x14ac:dyDescent="0.3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>IFERROR(VLOOKUP('Customer Info'!A474,'Customer Info'!A474:C973,2,FALSE),"Not Found")</f>
        <v>Tom</v>
      </c>
      <c r="H482" s="6" t="str">
        <f>IFERROR(VLOOKUP('Customer Info'!A474,'Customer Info'!A474:C973,3,FALSE),"Not Found")</f>
        <v>Boeckenhauer</v>
      </c>
      <c r="I482" s="6" t="str">
        <f>IFERROR(VLOOKUP('Customer Info'!A474,'Customer Info'!A474:E973,5,FALSE),"Not Found")</f>
        <v>Neunkirchen</v>
      </c>
      <c r="J482" s="2">
        <v>1983</v>
      </c>
      <c r="K482" s="2">
        <v>1908</v>
      </c>
      <c r="L482" s="2">
        <v>1</v>
      </c>
      <c r="M482" s="7">
        <f t="shared" si="35"/>
        <v>1908</v>
      </c>
      <c r="N482" s="7">
        <f t="shared" si="36"/>
        <v>1983</v>
      </c>
      <c r="O482" s="2">
        <v>79</v>
      </c>
      <c r="P482" s="8">
        <f t="shared" si="37"/>
        <v>2062</v>
      </c>
      <c r="Q482" s="8">
        <f t="shared" si="38"/>
        <v>75</v>
      </c>
      <c r="R482" s="2" t="s">
        <v>28</v>
      </c>
      <c r="S482" s="9">
        <f t="shared" si="39"/>
        <v>41.24</v>
      </c>
    </row>
    <row r="483" spans="1:19" x14ac:dyDescent="0.3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>IFERROR(VLOOKUP('Customer Info'!A475,'Customer Info'!A475:C974,2,FALSE),"Not Found")</f>
        <v>Tom</v>
      </c>
      <c r="H483" s="6" t="str">
        <f>IFERROR(VLOOKUP('Customer Info'!A475,'Customer Info'!A475:C974,3,FALSE),"Not Found")</f>
        <v>Stivers</v>
      </c>
      <c r="I483" s="6" t="str">
        <f>IFERROR(VLOOKUP('Customer Info'!A475,'Customer Info'!A475:E974,5,FALSE),"Not Found")</f>
        <v>Guangzhou</v>
      </c>
      <c r="J483" s="2">
        <v>71</v>
      </c>
      <c r="K483" s="2">
        <v>64</v>
      </c>
      <c r="L483" s="2">
        <v>4</v>
      </c>
      <c r="M483" s="7">
        <f t="shared" si="35"/>
        <v>256</v>
      </c>
      <c r="N483" s="7">
        <f t="shared" si="36"/>
        <v>284</v>
      </c>
      <c r="O483" s="2">
        <v>10</v>
      </c>
      <c r="P483" s="8">
        <f t="shared" si="37"/>
        <v>294</v>
      </c>
      <c r="Q483" s="8">
        <f t="shared" si="38"/>
        <v>220</v>
      </c>
      <c r="R483" s="2" t="s">
        <v>26</v>
      </c>
      <c r="S483" s="9">
        <f t="shared" si="39"/>
        <v>5.88</v>
      </c>
    </row>
    <row r="484" spans="1:19" x14ac:dyDescent="0.3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>IFERROR(VLOOKUP('Customer Info'!A476,'Customer Info'!A476:C975,2,FALSE),"Not Found")</f>
        <v>Tony</v>
      </c>
      <c r="H484" s="6" t="str">
        <f>IFERROR(VLOOKUP('Customer Info'!A476,'Customer Info'!A476:C975,3,FALSE),"Not Found")</f>
        <v>Sayre</v>
      </c>
      <c r="I484" s="6" t="str">
        <f>IFERROR(VLOOKUP('Customer Info'!A476,'Customer Info'!A476:E975,5,FALSE),"Not Found")</f>
        <v>Bharatpur</v>
      </c>
      <c r="J484" s="2">
        <v>8199</v>
      </c>
      <c r="K484" s="2">
        <v>7523</v>
      </c>
      <c r="L484" s="2">
        <v>4</v>
      </c>
      <c r="M484" s="7">
        <f t="shared" si="35"/>
        <v>30092</v>
      </c>
      <c r="N484" s="7">
        <f t="shared" si="36"/>
        <v>32796</v>
      </c>
      <c r="O484" s="2">
        <v>43</v>
      </c>
      <c r="P484" s="8">
        <f t="shared" si="37"/>
        <v>32839</v>
      </c>
      <c r="Q484" s="8">
        <f t="shared" si="38"/>
        <v>25273</v>
      </c>
      <c r="R484" s="2" t="s">
        <v>26</v>
      </c>
      <c r="S484" s="9">
        <f t="shared" si="39"/>
        <v>2298.73</v>
      </c>
    </row>
    <row r="485" spans="1:19" x14ac:dyDescent="0.3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IFERROR(VLOOKUP('Customer Info'!A477,'Customer Info'!A477:C976,2,FALSE),"Not Found")</f>
        <v>Tony</v>
      </c>
      <c r="H485" s="6" t="str">
        <f>IFERROR(VLOOKUP('Customer Info'!A477,'Customer Info'!A477:C976,3,FALSE),"Not Found")</f>
        <v>Sayre</v>
      </c>
      <c r="I485" s="6" t="str">
        <f>IFERROR(VLOOKUP('Customer Info'!A477,'Customer Info'!A477:E976,5,FALSE),"Not Found")</f>
        <v>Wafangdian</v>
      </c>
      <c r="J485" s="2">
        <v>144</v>
      </c>
      <c r="K485" s="2">
        <v>132</v>
      </c>
      <c r="L485" s="2">
        <v>2</v>
      </c>
      <c r="M485" s="7">
        <f t="shared" si="35"/>
        <v>264</v>
      </c>
      <c r="N485" s="7">
        <f t="shared" si="36"/>
        <v>288</v>
      </c>
      <c r="O485" s="2">
        <v>30</v>
      </c>
      <c r="P485" s="8">
        <f t="shared" si="37"/>
        <v>318</v>
      </c>
      <c r="Q485" s="8">
        <f t="shared" si="38"/>
        <v>156</v>
      </c>
      <c r="R485" s="2" t="s">
        <v>28</v>
      </c>
      <c r="S485" s="9">
        <f t="shared" si="39"/>
        <v>6.36</v>
      </c>
    </row>
    <row r="486" spans="1:19" x14ac:dyDescent="0.3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>IFERROR(VLOOKUP('Customer Info'!A478,'Customer Info'!A478:C977,2,FALSE),"Not Found")</f>
        <v>Tony</v>
      </c>
      <c r="H486" s="6" t="str">
        <f>IFERROR(VLOOKUP('Customer Info'!A478,'Customer Info'!A478:C977,3,FALSE),"Not Found")</f>
        <v>Sayre</v>
      </c>
      <c r="I486" s="6" t="str">
        <f>IFERROR(VLOOKUP('Customer Info'!A478,'Customer Info'!A478:E977,5,FALSE),"Not Found")</f>
        <v>Jakarta</v>
      </c>
      <c r="J486" s="2">
        <v>288</v>
      </c>
      <c r="K486" s="2">
        <v>264</v>
      </c>
      <c r="L486" s="2">
        <v>3</v>
      </c>
      <c r="M486" s="7">
        <f t="shared" si="35"/>
        <v>792</v>
      </c>
      <c r="N486" s="7">
        <f t="shared" si="36"/>
        <v>864</v>
      </c>
      <c r="O486" s="2">
        <v>61</v>
      </c>
      <c r="P486" s="8">
        <f t="shared" si="37"/>
        <v>925</v>
      </c>
      <c r="Q486" s="8">
        <f t="shared" si="38"/>
        <v>600</v>
      </c>
      <c r="R486" s="2" t="s">
        <v>28</v>
      </c>
      <c r="S486" s="9">
        <f t="shared" si="39"/>
        <v>18.5</v>
      </c>
    </row>
    <row r="487" spans="1:19" x14ac:dyDescent="0.3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>IFERROR(VLOOKUP('Customer Info'!A479,'Customer Info'!A479:C978,2,FALSE),"Not Found")</f>
        <v>Tracy</v>
      </c>
      <c r="H487" s="6" t="str">
        <f>IFERROR(VLOOKUP('Customer Info'!A479,'Customer Info'!A479:C978,3,FALSE),"Not Found")</f>
        <v>Blumstein</v>
      </c>
      <c r="I487" s="6" t="str">
        <f>IFERROR(VLOOKUP('Customer Info'!A479,'Customer Info'!A479:E978,5,FALSE),"Not Found")</f>
        <v>Guangzhou</v>
      </c>
      <c r="J487" s="2">
        <v>175</v>
      </c>
      <c r="K487" s="2">
        <v>162</v>
      </c>
      <c r="L487" s="2">
        <v>5</v>
      </c>
      <c r="M487" s="7">
        <f t="shared" si="35"/>
        <v>810</v>
      </c>
      <c r="N487" s="7">
        <f t="shared" si="36"/>
        <v>875</v>
      </c>
      <c r="O487" s="2">
        <v>30</v>
      </c>
      <c r="P487" s="8">
        <f t="shared" si="37"/>
        <v>905</v>
      </c>
      <c r="Q487" s="8">
        <f t="shared" si="38"/>
        <v>713</v>
      </c>
      <c r="R487" s="2" t="s">
        <v>26</v>
      </c>
      <c r="S487" s="9">
        <f t="shared" si="39"/>
        <v>18.100000000000001</v>
      </c>
    </row>
    <row r="488" spans="1:19" x14ac:dyDescent="0.3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>IFERROR(VLOOKUP('Customer Info'!A480,'Customer Info'!A480:C979,2,FALSE),"Not Found")</f>
        <v>Troy</v>
      </c>
      <c r="H488" s="6" t="str">
        <f>IFERROR(VLOOKUP('Customer Info'!A480,'Customer Info'!A480:C979,3,FALSE),"Not Found")</f>
        <v>Blackwell</v>
      </c>
      <c r="I488" s="6" t="str">
        <f>IFERROR(VLOOKUP('Customer Info'!A480,'Customer Info'!A480:E979,5,FALSE),"Not Found")</f>
        <v>Akola</v>
      </c>
      <c r="J488" s="2">
        <v>2083</v>
      </c>
      <c r="K488" s="2">
        <v>2004</v>
      </c>
      <c r="L488" s="2">
        <v>5</v>
      </c>
      <c r="M488" s="7">
        <f t="shared" si="35"/>
        <v>10020</v>
      </c>
      <c r="N488" s="7">
        <f t="shared" si="36"/>
        <v>10415</v>
      </c>
      <c r="O488" s="2">
        <v>71</v>
      </c>
      <c r="P488" s="8">
        <f t="shared" si="37"/>
        <v>10486</v>
      </c>
      <c r="Q488" s="8">
        <f t="shared" si="38"/>
        <v>8411</v>
      </c>
      <c r="R488" s="2" t="s">
        <v>28</v>
      </c>
      <c r="S488" s="9">
        <f t="shared" si="39"/>
        <v>524.30000000000007</v>
      </c>
    </row>
    <row r="489" spans="1:19" x14ac:dyDescent="0.3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>IFERROR(VLOOKUP('Customer Info'!A481,'Customer Info'!A481:C980,2,FALSE),"Not Found")</f>
        <v>Troy</v>
      </c>
      <c r="H489" s="6" t="str">
        <f>IFERROR(VLOOKUP('Customer Info'!A481,'Customer Info'!A481:C980,3,FALSE),"Not Found")</f>
        <v>Staebel</v>
      </c>
      <c r="I489" s="6" t="str">
        <f>IFERROR(VLOOKUP('Customer Info'!A481,'Customer Info'!A481:E980,5,FALSE),"Not Found")</f>
        <v>Depok</v>
      </c>
      <c r="J489" s="2">
        <v>1399</v>
      </c>
      <c r="K489" s="2">
        <v>1333</v>
      </c>
      <c r="L489" s="2">
        <v>1</v>
      </c>
      <c r="M489" s="7">
        <f t="shared" si="35"/>
        <v>1333</v>
      </c>
      <c r="N489" s="7">
        <f t="shared" si="36"/>
        <v>1399</v>
      </c>
      <c r="O489" s="2">
        <v>94</v>
      </c>
      <c r="P489" s="8">
        <f t="shared" si="37"/>
        <v>1493</v>
      </c>
      <c r="Q489" s="8">
        <f t="shared" si="38"/>
        <v>66</v>
      </c>
      <c r="R489" s="2" t="s">
        <v>50</v>
      </c>
      <c r="S489" s="9">
        <f t="shared" si="39"/>
        <v>29.86</v>
      </c>
    </row>
    <row r="490" spans="1:19" x14ac:dyDescent="0.3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IFERROR(VLOOKUP('Customer Info'!A482,'Customer Info'!A482:C981,2,FALSE),"Not Found")</f>
        <v>Troy</v>
      </c>
      <c r="H490" s="6" t="str">
        <f>IFERROR(VLOOKUP('Customer Info'!A482,'Customer Info'!A482:C981,3,FALSE),"Not Found")</f>
        <v>Blackwell</v>
      </c>
      <c r="I490" s="6" t="str">
        <f>IFERROR(VLOOKUP('Customer Info'!A482,'Customer Info'!A482:E981,5,FALSE),"Not Found")</f>
        <v>Krefeld</v>
      </c>
      <c r="J490" s="2">
        <v>8160</v>
      </c>
      <c r="K490" s="2">
        <v>7475</v>
      </c>
      <c r="L490" s="2">
        <v>2</v>
      </c>
      <c r="M490" s="7">
        <f t="shared" si="35"/>
        <v>14950</v>
      </c>
      <c r="N490" s="7">
        <f t="shared" si="36"/>
        <v>16320</v>
      </c>
      <c r="O490" s="2">
        <v>42</v>
      </c>
      <c r="P490" s="8">
        <f t="shared" si="37"/>
        <v>16362</v>
      </c>
      <c r="Q490" s="8">
        <f t="shared" si="38"/>
        <v>8845</v>
      </c>
      <c r="R490" s="2" t="s">
        <v>50</v>
      </c>
      <c r="S490" s="9">
        <f t="shared" si="39"/>
        <v>818.1</v>
      </c>
    </row>
    <row r="491" spans="1:19" x14ac:dyDescent="0.3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>IFERROR(VLOOKUP('Customer Info'!A483,'Customer Info'!A483:C982,2,FALSE),"Not Found")</f>
        <v>Troy</v>
      </c>
      <c r="H491" s="6" t="str">
        <f>IFERROR(VLOOKUP('Customer Info'!A483,'Customer Info'!A483:C982,3,FALSE),"Not Found")</f>
        <v>Staebel</v>
      </c>
      <c r="I491" s="6" t="str">
        <f>IFERROR(VLOOKUP('Customer Info'!A483,'Customer Info'!A483:E982,5,FALSE),"Not Found")</f>
        <v>Canberra</v>
      </c>
      <c r="J491" s="2">
        <v>3256</v>
      </c>
      <c r="K491" s="2">
        <v>2959</v>
      </c>
      <c r="L491" s="2">
        <v>3</v>
      </c>
      <c r="M491" s="7">
        <f t="shared" si="35"/>
        <v>8877</v>
      </c>
      <c r="N491" s="7">
        <f t="shared" si="36"/>
        <v>9768</v>
      </c>
      <c r="O491" s="2">
        <v>68</v>
      </c>
      <c r="P491" s="8">
        <f t="shared" si="37"/>
        <v>9836</v>
      </c>
      <c r="Q491" s="8">
        <f t="shared" si="38"/>
        <v>6809</v>
      </c>
      <c r="R491" s="2" t="s">
        <v>28</v>
      </c>
      <c r="S491" s="9">
        <f t="shared" si="39"/>
        <v>491.8</v>
      </c>
    </row>
    <row r="492" spans="1:19" x14ac:dyDescent="0.3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>IFERROR(VLOOKUP('Customer Info'!A484,'Customer Info'!A484:C983,2,FALSE),"Not Found")</f>
        <v>Trudy</v>
      </c>
      <c r="H492" s="6" t="str">
        <f>IFERROR(VLOOKUP('Customer Info'!A484,'Customer Info'!A484:C983,3,FALSE),"Not Found")</f>
        <v>Glocke</v>
      </c>
      <c r="I492" s="6" t="str">
        <f>IFERROR(VLOOKUP('Customer Info'!A484,'Customer Info'!A484:E983,5,FALSE),"Not Found")</f>
        <v>Huaiyin</v>
      </c>
      <c r="J492" s="2">
        <v>3408</v>
      </c>
      <c r="K492" s="2">
        <v>3215</v>
      </c>
      <c r="L492" s="2">
        <v>2</v>
      </c>
      <c r="M492" s="7">
        <f t="shared" si="35"/>
        <v>6430</v>
      </c>
      <c r="N492" s="7">
        <f t="shared" si="36"/>
        <v>6816</v>
      </c>
      <c r="O492" s="2">
        <v>53</v>
      </c>
      <c r="P492" s="8">
        <f t="shared" si="37"/>
        <v>6869</v>
      </c>
      <c r="Q492" s="8">
        <f t="shared" si="38"/>
        <v>3601</v>
      </c>
      <c r="R492" s="2" t="s">
        <v>28</v>
      </c>
      <c r="S492" s="9">
        <f t="shared" si="39"/>
        <v>343.45000000000005</v>
      </c>
    </row>
    <row r="493" spans="1:19" x14ac:dyDescent="0.3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>IFERROR(VLOOKUP('Customer Info'!A485,'Customer Info'!A485:C984,2,FALSE),"Not Found")</f>
        <v>Trudy</v>
      </c>
      <c r="H493" s="6" t="str">
        <f>IFERROR(VLOOKUP('Customer Info'!A485,'Customer Info'!A485:C984,3,FALSE),"Not Found")</f>
        <v>Glocke</v>
      </c>
      <c r="I493" s="6" t="str">
        <f>IFERROR(VLOOKUP('Customer Info'!A485,'Customer Info'!A485:E984,5,FALSE),"Not Found")</f>
        <v>Brisbane</v>
      </c>
      <c r="J493" s="2">
        <v>7864</v>
      </c>
      <c r="K493" s="2">
        <v>7563</v>
      </c>
      <c r="L493" s="2">
        <v>2</v>
      </c>
      <c r="M493" s="7">
        <f t="shared" si="35"/>
        <v>15126</v>
      </c>
      <c r="N493" s="7">
        <f t="shared" si="36"/>
        <v>15728</v>
      </c>
      <c r="O493" s="2">
        <v>75</v>
      </c>
      <c r="P493" s="8">
        <f t="shared" si="37"/>
        <v>15803</v>
      </c>
      <c r="Q493" s="8">
        <f t="shared" si="38"/>
        <v>8165</v>
      </c>
      <c r="R493" s="2" t="s">
        <v>50</v>
      </c>
      <c r="S493" s="9">
        <f t="shared" si="39"/>
        <v>790.15000000000009</v>
      </c>
    </row>
    <row r="494" spans="1:19" x14ac:dyDescent="0.3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>IFERROR(VLOOKUP('Customer Info'!A486,'Customer Info'!A486:C985,2,FALSE),"Not Found")</f>
        <v>Valerie</v>
      </c>
      <c r="H494" s="6" t="str">
        <f>IFERROR(VLOOKUP('Customer Info'!A486,'Customer Info'!A486:C985,3,FALSE),"Not Found")</f>
        <v>Mitchum</v>
      </c>
      <c r="I494" s="6" t="str">
        <f>IFERROR(VLOOKUP('Customer Info'!A486,'Customer Info'!A486:E985,5,FALSE),"Not Found")</f>
        <v>Chengdu</v>
      </c>
      <c r="J494" s="2">
        <v>674</v>
      </c>
      <c r="K494" s="2">
        <v>629</v>
      </c>
      <c r="L494" s="2">
        <v>3</v>
      </c>
      <c r="M494" s="7">
        <f t="shared" si="35"/>
        <v>1887</v>
      </c>
      <c r="N494" s="7">
        <f t="shared" si="36"/>
        <v>2022</v>
      </c>
      <c r="O494" s="2">
        <v>82</v>
      </c>
      <c r="P494" s="8">
        <f t="shared" si="37"/>
        <v>2104</v>
      </c>
      <c r="Q494" s="8">
        <f t="shared" si="38"/>
        <v>1393</v>
      </c>
      <c r="R494" s="2" t="s">
        <v>50</v>
      </c>
      <c r="S494" s="9">
        <f t="shared" si="39"/>
        <v>42.08</v>
      </c>
    </row>
    <row r="495" spans="1:19" x14ac:dyDescent="0.3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>IFERROR(VLOOKUP('Customer Info'!A487,'Customer Info'!A487:C986,2,FALSE),"Not Found")</f>
        <v>Valerie</v>
      </c>
      <c r="H495" s="6" t="str">
        <f>IFERROR(VLOOKUP('Customer Info'!A487,'Customer Info'!A487:C986,3,FALSE),"Not Found")</f>
        <v>Takahito</v>
      </c>
      <c r="I495" s="6" t="str">
        <f>IFERROR(VLOOKUP('Customer Info'!A487,'Customer Info'!A487:E986,5,FALSE),"Not Found")</f>
        <v>Surat</v>
      </c>
      <c r="J495" s="2">
        <v>138</v>
      </c>
      <c r="K495" s="2">
        <v>128</v>
      </c>
      <c r="L495" s="2">
        <v>4</v>
      </c>
      <c r="M495" s="7">
        <f t="shared" si="35"/>
        <v>512</v>
      </c>
      <c r="N495" s="7">
        <f t="shared" si="36"/>
        <v>552</v>
      </c>
      <c r="O495" s="2">
        <v>30</v>
      </c>
      <c r="P495" s="8">
        <f t="shared" si="37"/>
        <v>582</v>
      </c>
      <c r="Q495" s="8">
        <f t="shared" si="38"/>
        <v>424</v>
      </c>
      <c r="R495" s="2" t="s">
        <v>26</v>
      </c>
      <c r="S495" s="9">
        <f t="shared" si="39"/>
        <v>11.64</v>
      </c>
    </row>
    <row r="496" spans="1:19" x14ac:dyDescent="0.3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>IFERROR(VLOOKUP('Customer Info'!A488,'Customer Info'!A488:C987,2,FALSE),"Not Found")</f>
        <v>Victor</v>
      </c>
      <c r="H496" s="6" t="str">
        <f>IFERROR(VLOOKUP('Customer Info'!A488,'Customer Info'!A488:C987,3,FALSE),"Not Found")</f>
        <v>Preis</v>
      </c>
      <c r="I496" s="6" t="str">
        <f>IFERROR(VLOOKUP('Customer Info'!A488,'Customer Info'!A488:E987,5,FALSE),"Not Found")</f>
        <v>Melbourne</v>
      </c>
      <c r="J496" s="2">
        <v>222</v>
      </c>
      <c r="K496" s="2">
        <v>204</v>
      </c>
      <c r="L496" s="2">
        <v>6</v>
      </c>
      <c r="M496" s="7">
        <f t="shared" si="35"/>
        <v>1224</v>
      </c>
      <c r="N496" s="7">
        <f t="shared" si="36"/>
        <v>1332</v>
      </c>
      <c r="O496" s="2">
        <v>26</v>
      </c>
      <c r="P496" s="8">
        <f t="shared" si="37"/>
        <v>1358</v>
      </c>
      <c r="Q496" s="8">
        <f t="shared" si="38"/>
        <v>1128</v>
      </c>
      <c r="R496" s="2" t="s">
        <v>28</v>
      </c>
      <c r="S496" s="9">
        <f t="shared" si="39"/>
        <v>27.16</v>
      </c>
    </row>
    <row r="497" spans="1:19" x14ac:dyDescent="0.3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>IFERROR(VLOOKUP('Customer Info'!A489,'Customer Info'!A489:C988,2,FALSE),"Not Found")</f>
        <v>Victoria</v>
      </c>
      <c r="H497" s="6" t="str">
        <f>IFERROR(VLOOKUP('Customer Info'!A489,'Customer Info'!A489:C988,3,FALSE),"Not Found")</f>
        <v>Brennan</v>
      </c>
      <c r="I497" s="6" t="str">
        <f>IFERROR(VLOOKUP('Customer Info'!A489,'Customer Info'!A489:E988,5,FALSE),"Not Found")</f>
        <v>Adelaide</v>
      </c>
      <c r="J497" s="2">
        <v>1441</v>
      </c>
      <c r="K497" s="2">
        <v>1360</v>
      </c>
      <c r="L497" s="2">
        <v>2</v>
      </c>
      <c r="M497" s="7">
        <f t="shared" si="35"/>
        <v>2720</v>
      </c>
      <c r="N497" s="7">
        <f t="shared" si="36"/>
        <v>2882</v>
      </c>
      <c r="O497" s="2">
        <v>53</v>
      </c>
      <c r="P497" s="8">
        <f t="shared" si="37"/>
        <v>2935</v>
      </c>
      <c r="Q497" s="8">
        <f t="shared" si="38"/>
        <v>1522</v>
      </c>
      <c r="R497" s="2" t="s">
        <v>28</v>
      </c>
      <c r="S497" s="9">
        <f t="shared" si="39"/>
        <v>58.7</v>
      </c>
    </row>
    <row r="498" spans="1:19" x14ac:dyDescent="0.3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>IFERROR(VLOOKUP('Customer Info'!A490,'Customer Info'!A490:C989,2,FALSE),"Not Found")</f>
        <v>Victoria</v>
      </c>
      <c r="H498" s="6" t="str">
        <f>IFERROR(VLOOKUP('Customer Info'!A490,'Customer Info'!A490:C989,3,FALSE),"Not Found")</f>
        <v>Brennan</v>
      </c>
      <c r="I498" s="6" t="str">
        <f>IFERROR(VLOOKUP('Customer Info'!A490,'Customer Info'!A490:E989,5,FALSE),"Not Found")</f>
        <v>Canberra</v>
      </c>
      <c r="J498" s="2">
        <v>877</v>
      </c>
      <c r="K498" s="2">
        <v>788</v>
      </c>
      <c r="L498" s="2">
        <v>5</v>
      </c>
      <c r="M498" s="7">
        <f t="shared" si="35"/>
        <v>3940</v>
      </c>
      <c r="N498" s="7">
        <f t="shared" si="36"/>
        <v>4385</v>
      </c>
      <c r="O498" s="2">
        <v>85</v>
      </c>
      <c r="P498" s="8">
        <f t="shared" si="37"/>
        <v>4470</v>
      </c>
      <c r="Q498" s="8">
        <f t="shared" si="38"/>
        <v>3597</v>
      </c>
      <c r="R498" s="2" t="s">
        <v>28</v>
      </c>
      <c r="S498" s="9">
        <f t="shared" si="39"/>
        <v>89.4</v>
      </c>
    </row>
    <row r="499" spans="1:19" x14ac:dyDescent="0.3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>IFERROR(VLOOKUP('Customer Info'!A491,'Customer Info'!A491:C990,2,FALSE),"Not Found")</f>
        <v>Victoria</v>
      </c>
      <c r="H499" s="6" t="str">
        <f>IFERROR(VLOOKUP('Customer Info'!A491,'Customer Info'!A491:C990,3,FALSE),"Not Found")</f>
        <v>Wilson</v>
      </c>
      <c r="I499" s="6" t="str">
        <f>IFERROR(VLOOKUP('Customer Info'!A491,'Customer Info'!A491:E990,5,FALSE),"Not Found")</f>
        <v>Berlin</v>
      </c>
      <c r="J499" s="2">
        <v>2243</v>
      </c>
      <c r="K499" s="2">
        <v>2000</v>
      </c>
      <c r="L499" s="2">
        <v>6</v>
      </c>
      <c r="M499" s="7">
        <f t="shared" si="35"/>
        <v>12000</v>
      </c>
      <c r="N499" s="7">
        <f t="shared" si="36"/>
        <v>13458</v>
      </c>
      <c r="O499" s="2">
        <v>63</v>
      </c>
      <c r="P499" s="8">
        <f t="shared" si="37"/>
        <v>13521</v>
      </c>
      <c r="Q499" s="8">
        <f t="shared" si="38"/>
        <v>11458</v>
      </c>
      <c r="R499" s="2" t="s">
        <v>28</v>
      </c>
      <c r="S499" s="9">
        <f t="shared" si="39"/>
        <v>676.05000000000007</v>
      </c>
    </row>
    <row r="500" spans="1:19" x14ac:dyDescent="0.3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>IFERROR(VLOOKUP('Customer Info'!A492,'Customer Info'!A492:C991,2,FALSE),"Not Found")</f>
        <v>Victoria</v>
      </c>
      <c r="H500" s="6" t="str">
        <f>IFERROR(VLOOKUP('Customer Info'!A492,'Customer Info'!A492:C991,3,FALSE),"Not Found")</f>
        <v>Pisteka</v>
      </c>
      <c r="I500" s="6" t="str">
        <f>IFERROR(VLOOKUP('Customer Info'!A492,'Customer Info'!A492:E991,5,FALSE),"Not Found")</f>
        <v>Bokaro</v>
      </c>
      <c r="J500" s="2">
        <v>1703</v>
      </c>
      <c r="K500" s="2">
        <v>1639</v>
      </c>
      <c r="L500" s="2">
        <v>1</v>
      </c>
      <c r="M500" s="7">
        <f t="shared" si="35"/>
        <v>1639</v>
      </c>
      <c r="N500" s="7">
        <f t="shared" si="36"/>
        <v>1703</v>
      </c>
      <c r="O500" s="2">
        <v>32</v>
      </c>
      <c r="P500" s="8">
        <f t="shared" si="37"/>
        <v>1735</v>
      </c>
      <c r="Q500" s="8">
        <f t="shared" si="38"/>
        <v>64</v>
      </c>
      <c r="R500" s="2" t="s">
        <v>28</v>
      </c>
      <c r="S500" s="9">
        <f t="shared" si="39"/>
        <v>34.700000000000003</v>
      </c>
    </row>
    <row r="501" spans="1:19" x14ac:dyDescent="0.3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>IFERROR(VLOOKUP('Customer Info'!A493,'Customer Info'!A493:C992,2,FALSE),"Not Found")</f>
        <v>Victoria</v>
      </c>
      <c r="H501" s="6" t="str">
        <f>IFERROR(VLOOKUP('Customer Info'!A493,'Customer Info'!A493:C992,3,FALSE),"Not Found")</f>
        <v>Brennan</v>
      </c>
      <c r="I501" s="6" t="str">
        <f>IFERROR(VLOOKUP('Customer Info'!A493,'Customer Info'!A493:E992,5,FALSE),"Not Found")</f>
        <v>Mangalore</v>
      </c>
      <c r="J501" s="2">
        <v>4443</v>
      </c>
      <c r="K501" s="2">
        <v>4079</v>
      </c>
      <c r="L501" s="2">
        <v>1</v>
      </c>
      <c r="M501" s="7">
        <f t="shared" si="35"/>
        <v>4079</v>
      </c>
      <c r="N501" s="7">
        <f t="shared" si="36"/>
        <v>4443</v>
      </c>
      <c r="O501" s="2">
        <v>74</v>
      </c>
      <c r="P501" s="8">
        <f t="shared" si="37"/>
        <v>4517</v>
      </c>
      <c r="Q501" s="8">
        <f t="shared" si="38"/>
        <v>364</v>
      </c>
      <c r="R501" s="2" t="s">
        <v>28</v>
      </c>
      <c r="S501" s="9">
        <f t="shared" si="39"/>
        <v>90.34</v>
      </c>
    </row>
    <row r="502" spans="1:19" x14ac:dyDescent="0.3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>IFERROR(VLOOKUP('Customer Info'!A494,'Customer Info'!A494:C993,2,FALSE),"Not Found")</f>
        <v>Vivek</v>
      </c>
      <c r="H502" s="6" t="str">
        <f>IFERROR(VLOOKUP('Customer Info'!A494,'Customer Info'!A494:C993,3,FALSE),"Not Found")</f>
        <v>Sundaresam</v>
      </c>
      <c r="I502" s="6" t="str">
        <f>IFERROR(VLOOKUP('Customer Info'!A494,'Customer Info'!A494:E993,5,FALSE),"Not Found")</f>
        <v>Hamburg</v>
      </c>
      <c r="J502" s="2">
        <v>1283</v>
      </c>
      <c r="K502" s="2">
        <v>1187</v>
      </c>
      <c r="L502" s="2">
        <v>1</v>
      </c>
      <c r="M502" s="7">
        <f t="shared" si="35"/>
        <v>1187</v>
      </c>
      <c r="N502" s="7">
        <f t="shared" si="36"/>
        <v>1283</v>
      </c>
      <c r="O502" s="2">
        <v>41</v>
      </c>
      <c r="P502" s="8">
        <f t="shared" si="37"/>
        <v>1324</v>
      </c>
      <c r="Q502" s="8">
        <f t="shared" si="38"/>
        <v>96</v>
      </c>
      <c r="R502" s="2" t="s">
        <v>50</v>
      </c>
      <c r="S502" s="9">
        <f t="shared" si="39"/>
        <v>26.48</v>
      </c>
    </row>
    <row r="503" spans="1:19" x14ac:dyDescent="0.3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>IFERROR(VLOOKUP('Customer Info'!A495,'Customer Info'!A495:C994,2,FALSE),"Not Found")</f>
        <v>Vivek</v>
      </c>
      <c r="H503" s="6" t="str">
        <f>IFERROR(VLOOKUP('Customer Info'!A495,'Customer Info'!A495:C994,3,FALSE),"Not Found")</f>
        <v>Grady</v>
      </c>
      <c r="I503" s="6" t="str">
        <f>IFERROR(VLOOKUP('Customer Info'!A495,'Customer Info'!A495:E994,5,FALSE),"Not Found")</f>
        <v>Shantou</v>
      </c>
      <c r="J503" s="2">
        <v>6060</v>
      </c>
      <c r="K503" s="2">
        <v>6002</v>
      </c>
      <c r="L503" s="2">
        <v>2</v>
      </c>
      <c r="M503" s="7">
        <f t="shared" si="35"/>
        <v>12004</v>
      </c>
      <c r="N503" s="7">
        <f t="shared" si="36"/>
        <v>12120</v>
      </c>
      <c r="O503" s="2">
        <v>71</v>
      </c>
      <c r="P503" s="8">
        <f t="shared" si="37"/>
        <v>12191</v>
      </c>
      <c r="Q503" s="8">
        <f t="shared" si="38"/>
        <v>6118</v>
      </c>
      <c r="R503" s="2" t="s">
        <v>50</v>
      </c>
      <c r="S503" s="9">
        <f t="shared" si="39"/>
        <v>609.55000000000007</v>
      </c>
    </row>
    <row r="504" spans="1:19" x14ac:dyDescent="0.3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>IFERROR(VLOOKUP('Customer Info'!A496,'Customer Info'!A496:C995,2,FALSE),"Not Found")</f>
        <v>Vivek</v>
      </c>
      <c r="H504" s="6" t="str">
        <f>IFERROR(VLOOKUP('Customer Info'!A496,'Customer Info'!A496:C995,3,FALSE),"Not Found")</f>
        <v>Gonzalez</v>
      </c>
      <c r="I504" s="6" t="str">
        <f>IFERROR(VLOOKUP('Customer Info'!A496,'Customer Info'!A496:E995,5,FALSE),"Not Found")</f>
        <v>Nanyang</v>
      </c>
      <c r="J504" s="2">
        <v>210</v>
      </c>
      <c r="K504" s="2">
        <v>193</v>
      </c>
      <c r="L504" s="2">
        <v>2</v>
      </c>
      <c r="M504" s="7">
        <f t="shared" si="35"/>
        <v>386</v>
      </c>
      <c r="N504" s="7">
        <f t="shared" si="36"/>
        <v>420</v>
      </c>
      <c r="O504" s="2">
        <v>99</v>
      </c>
      <c r="P504" s="8">
        <f t="shared" si="37"/>
        <v>519</v>
      </c>
      <c r="Q504" s="8">
        <f t="shared" si="38"/>
        <v>227</v>
      </c>
      <c r="R504" s="2" t="s">
        <v>50</v>
      </c>
      <c r="S504" s="9">
        <f t="shared" si="39"/>
        <v>10.38</v>
      </c>
    </row>
    <row r="505" spans="1:19" x14ac:dyDescent="0.3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>IFERROR(VLOOKUP('Customer Info'!A497,'Customer Info'!A497:C996,2,FALSE),"Not Found")</f>
        <v>William</v>
      </c>
      <c r="H505" s="6" t="str">
        <f>IFERROR(VLOOKUP('Customer Info'!A497,'Customer Info'!A497:C996,3,FALSE),"Not Found")</f>
        <v>Brown</v>
      </c>
      <c r="I505" s="6" t="str">
        <f>IFERROR(VLOOKUP('Customer Info'!A497,'Customer Info'!A497:E996,5,FALSE),"Not Found")</f>
        <v>Denpasar</v>
      </c>
      <c r="J505" s="2">
        <v>61</v>
      </c>
      <c r="K505" s="2">
        <v>56</v>
      </c>
      <c r="L505" s="2">
        <v>2</v>
      </c>
      <c r="M505" s="7">
        <f t="shared" si="35"/>
        <v>112</v>
      </c>
      <c r="N505" s="7">
        <f t="shared" si="36"/>
        <v>122</v>
      </c>
      <c r="O505" s="2">
        <v>10</v>
      </c>
      <c r="P505" s="8">
        <f t="shared" si="37"/>
        <v>132</v>
      </c>
      <c r="Q505" s="8">
        <f t="shared" si="38"/>
        <v>66</v>
      </c>
      <c r="R505" s="2" t="s">
        <v>28</v>
      </c>
      <c r="S505" s="9">
        <f t="shared" si="39"/>
        <v>2.64</v>
      </c>
    </row>
    <row r="506" spans="1:19" x14ac:dyDescent="0.3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>IFERROR(VLOOKUP('Customer Info'!A498,'Customer Info'!A498:C997,2,FALSE),"Not Found")</f>
        <v>Xylona</v>
      </c>
      <c r="H506" s="6" t="str">
        <f>IFERROR(VLOOKUP('Customer Info'!A498,'Customer Info'!A498:C997,3,FALSE),"Not Found")</f>
        <v>Preis</v>
      </c>
      <c r="I506" s="6" t="str">
        <f>IFERROR(VLOOKUP('Customer Info'!A498,'Customer Info'!A498:E997,5,FALSE),"Not Found")</f>
        <v>Qidong</v>
      </c>
      <c r="J506" s="2">
        <v>5906</v>
      </c>
      <c r="K506" s="2">
        <v>5266</v>
      </c>
      <c r="L506" s="2">
        <v>7</v>
      </c>
      <c r="M506" s="7">
        <f t="shared" si="35"/>
        <v>36862</v>
      </c>
      <c r="N506" s="7">
        <f t="shared" si="36"/>
        <v>41342</v>
      </c>
      <c r="O506" s="2">
        <v>41</v>
      </c>
      <c r="P506" s="8">
        <f t="shared" si="37"/>
        <v>41383</v>
      </c>
      <c r="Q506" s="8">
        <f t="shared" si="38"/>
        <v>36076</v>
      </c>
      <c r="R506" s="2" t="s">
        <v>28</v>
      </c>
      <c r="S506" s="9">
        <f t="shared" si="39"/>
        <v>2896.8100000000004</v>
      </c>
    </row>
    <row r="507" spans="1:19" x14ac:dyDescent="0.3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>IFERROR(VLOOKUP('Customer Info'!A499,'Customer Info'!A499:C998,2,FALSE),"Not Found")</f>
        <v>Xylona</v>
      </c>
      <c r="H507" s="6" t="str">
        <f>IFERROR(VLOOKUP('Customer Info'!A499,'Customer Info'!A499:C998,3,FALSE),"Not Found")</f>
        <v>Preis</v>
      </c>
      <c r="I507" s="6" t="str">
        <f>IFERROR(VLOOKUP('Customer Info'!A499,'Customer Info'!A499:E998,5,FALSE),"Not Found")</f>
        <v>Suining</v>
      </c>
      <c r="J507" s="2">
        <v>1498</v>
      </c>
      <c r="K507" s="2">
        <v>1335</v>
      </c>
      <c r="L507" s="2">
        <v>3</v>
      </c>
      <c r="M507" s="7">
        <f t="shared" si="35"/>
        <v>4005</v>
      </c>
      <c r="N507" s="7">
        <f t="shared" si="36"/>
        <v>4494</v>
      </c>
      <c r="O507" s="2">
        <v>29</v>
      </c>
      <c r="P507" s="8">
        <f t="shared" si="37"/>
        <v>4523</v>
      </c>
      <c r="Q507" s="8">
        <f t="shared" si="38"/>
        <v>3159</v>
      </c>
      <c r="R507" s="2" t="s">
        <v>28</v>
      </c>
      <c r="S507" s="9">
        <f t="shared" si="39"/>
        <v>90.460000000000008</v>
      </c>
    </row>
    <row r="508" spans="1:19" x14ac:dyDescent="0.3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>IFERROR(VLOOKUP('Customer Info'!A500,'Customer Info'!A500:C999,2,FALSE),"Not Found")</f>
        <v>Yana</v>
      </c>
      <c r="H508" s="6" t="str">
        <f>IFERROR(VLOOKUP('Customer Info'!A500,'Customer Info'!A500:C999,3,FALSE),"Not Found")</f>
        <v>Sorensen</v>
      </c>
      <c r="I508" s="6" t="str">
        <f>IFERROR(VLOOKUP('Customer Info'!A500,'Customer Info'!A500:E999,5,FALSE),"Not Found")</f>
        <v>Hangzhou</v>
      </c>
      <c r="J508" s="2">
        <v>404</v>
      </c>
      <c r="K508" s="2">
        <v>371</v>
      </c>
      <c r="L508" s="2">
        <v>4</v>
      </c>
      <c r="M508" s="7">
        <f t="shared" si="35"/>
        <v>1484</v>
      </c>
      <c r="N508" s="7">
        <f t="shared" si="36"/>
        <v>1616</v>
      </c>
      <c r="O508" s="2">
        <v>58</v>
      </c>
      <c r="P508" s="8">
        <f t="shared" si="37"/>
        <v>1674</v>
      </c>
      <c r="Q508" s="8">
        <f t="shared" si="38"/>
        <v>1245</v>
      </c>
      <c r="R508" s="2" t="s">
        <v>28</v>
      </c>
      <c r="S508" s="9">
        <f t="shared" si="39"/>
        <v>33.480000000000004</v>
      </c>
    </row>
    <row r="509" spans="1:19" x14ac:dyDescent="0.3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>IFERROR(VLOOKUP('Customer Info'!A501,'Customer Info'!A501:C1000,2,FALSE),"Not Found")</f>
        <v>Yana</v>
      </c>
      <c r="H509" s="6" t="str">
        <f>IFERROR(VLOOKUP('Customer Info'!A501,'Customer Info'!A501:C1000,3,FALSE),"Not Found")</f>
        <v>Sorensen</v>
      </c>
      <c r="I509" s="6" t="str">
        <f>IFERROR(VLOOKUP('Customer Info'!A501,'Customer Info'!A501:E1000,5,FALSE),"Not Found")</f>
        <v>Bottrop</v>
      </c>
      <c r="J509" s="2">
        <v>5836</v>
      </c>
      <c r="K509" s="2">
        <v>5457</v>
      </c>
      <c r="L509" s="2">
        <v>5</v>
      </c>
      <c r="M509" s="7">
        <f t="shared" si="35"/>
        <v>27285</v>
      </c>
      <c r="N509" s="7">
        <f t="shared" si="36"/>
        <v>29180</v>
      </c>
      <c r="O509" s="2">
        <v>24</v>
      </c>
      <c r="P509" s="8">
        <f t="shared" si="37"/>
        <v>29204</v>
      </c>
      <c r="Q509" s="8">
        <f t="shared" si="38"/>
        <v>23723</v>
      </c>
      <c r="R509" s="2" t="s">
        <v>50</v>
      </c>
      <c r="S509" s="9">
        <f t="shared" si="39"/>
        <v>2044.2800000000002</v>
      </c>
    </row>
    <row r="510" spans="1:19" x14ac:dyDescent="0.3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str">
        <f>IFERROR(VLOOKUP('Customer Info'!A502,'Customer Info'!A502:C1001,2,FALSE),"Not Found")</f>
        <v>Not Found</v>
      </c>
      <c r="H510" s="6" t="str">
        <f>IFERROR(VLOOKUP('Customer Info'!A502,'Customer Info'!A502:C1001,3,FALSE),"Not Found")</f>
        <v>Not Found</v>
      </c>
      <c r="I510" s="6" t="str">
        <f>IFERROR(VLOOKUP('Customer Info'!A502,'Customer Info'!A502:E1001,5,FALSE),"Not Found")</f>
        <v>Not Found</v>
      </c>
      <c r="J510" s="2">
        <v>1358</v>
      </c>
      <c r="K510" s="2">
        <v>1257</v>
      </c>
      <c r="L510" s="2">
        <v>1</v>
      </c>
      <c r="M510" s="7">
        <f t="shared" si="35"/>
        <v>1257</v>
      </c>
      <c r="N510" s="7">
        <f t="shared" si="36"/>
        <v>1358</v>
      </c>
      <c r="O510" s="2">
        <v>36</v>
      </c>
      <c r="P510" s="8">
        <f t="shared" si="37"/>
        <v>1394</v>
      </c>
      <c r="Q510" s="8">
        <f t="shared" si="38"/>
        <v>101</v>
      </c>
      <c r="R510" s="2" t="s">
        <v>26</v>
      </c>
      <c r="S510" s="9">
        <f t="shared" si="39"/>
        <v>27.88</v>
      </c>
    </row>
    <row r="511" spans="1:19" x14ac:dyDescent="0.3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str">
        <f>IFERROR(VLOOKUP('Customer Info'!A503,'Customer Info'!A503:C1002,2,FALSE),"Not Found")</f>
        <v>Not Found</v>
      </c>
      <c r="H511" s="6" t="str">
        <f>IFERROR(VLOOKUP('Customer Info'!A503,'Customer Info'!A503:C1002,3,FALSE),"Not Found")</f>
        <v>Not Found</v>
      </c>
      <c r="I511" s="6" t="str">
        <f>IFERROR(VLOOKUP('Customer Info'!A503,'Customer Info'!A503:E1002,5,FALSE),"Not Found")</f>
        <v>Not Found</v>
      </c>
      <c r="J511" s="2">
        <v>93</v>
      </c>
      <c r="K511" s="2">
        <v>86</v>
      </c>
      <c r="L511" s="2">
        <v>4</v>
      </c>
      <c r="M511" s="7">
        <f t="shared" si="35"/>
        <v>344</v>
      </c>
      <c r="N511" s="7">
        <f t="shared" si="36"/>
        <v>372</v>
      </c>
      <c r="O511" s="2">
        <v>10</v>
      </c>
      <c r="P511" s="8">
        <f t="shared" si="37"/>
        <v>382</v>
      </c>
      <c r="Q511" s="8">
        <f t="shared" si="38"/>
        <v>286</v>
      </c>
      <c r="R511" s="2" t="s">
        <v>28</v>
      </c>
      <c r="S511" s="9">
        <f t="shared" si="39"/>
        <v>7.6400000000000006</v>
      </c>
    </row>
    <row r="512" spans="1:19" x14ac:dyDescent="0.3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str">
        <f>IFERROR(VLOOKUP('Customer Info'!A504,'Customer Info'!A504:C1003,2,FALSE),"Not Found")</f>
        <v>Not Found</v>
      </c>
      <c r="H512" s="6" t="str">
        <f>IFERROR(VLOOKUP('Customer Info'!A504,'Customer Info'!A504:C1003,3,FALSE),"Not Found")</f>
        <v>Not Found</v>
      </c>
      <c r="I512" s="6" t="str">
        <f>IFERROR(VLOOKUP('Customer Info'!A504,'Customer Info'!A504:E1003,5,FALSE),"Not Found")</f>
        <v>Not Found</v>
      </c>
      <c r="J512" s="2">
        <v>222</v>
      </c>
      <c r="K512" s="2">
        <v>204</v>
      </c>
      <c r="L512" s="2">
        <v>6</v>
      </c>
      <c r="M512" s="7">
        <f t="shared" si="35"/>
        <v>1224</v>
      </c>
      <c r="N512" s="7">
        <f t="shared" si="36"/>
        <v>1332</v>
      </c>
      <c r="O512" s="2">
        <v>25</v>
      </c>
      <c r="P512" s="8">
        <f t="shared" si="37"/>
        <v>1357</v>
      </c>
      <c r="Q512" s="8">
        <f t="shared" si="38"/>
        <v>1128</v>
      </c>
      <c r="R512" s="2" t="s">
        <v>28</v>
      </c>
      <c r="S512" s="9">
        <f t="shared" si="39"/>
        <v>27.14</v>
      </c>
    </row>
    <row r="513" spans="1:19" x14ac:dyDescent="0.3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str">
        <f>IFERROR(VLOOKUP('Customer Info'!A505,'Customer Info'!A505:C1004,2,FALSE),"Not Found")</f>
        <v>Not Found</v>
      </c>
      <c r="H513" s="6" t="str">
        <f>IFERROR(VLOOKUP('Customer Info'!A505,'Customer Info'!A505:C1004,3,FALSE),"Not Found")</f>
        <v>Not Found</v>
      </c>
      <c r="I513" s="6" t="str">
        <f>IFERROR(VLOOKUP('Customer Info'!A505,'Customer Info'!A505:E1004,5,FALSE),"Not Found")</f>
        <v>Not Found</v>
      </c>
      <c r="J513" s="2">
        <v>2249</v>
      </c>
      <c r="K513" s="2">
        <v>2102</v>
      </c>
      <c r="L513" s="2">
        <v>4</v>
      </c>
      <c r="M513" s="7">
        <f t="shared" si="35"/>
        <v>8408</v>
      </c>
      <c r="N513" s="7">
        <f t="shared" si="36"/>
        <v>8996</v>
      </c>
      <c r="O513" s="2">
        <v>23</v>
      </c>
      <c r="P513" s="8">
        <f t="shared" si="37"/>
        <v>9019</v>
      </c>
      <c r="Q513" s="8">
        <f t="shared" si="38"/>
        <v>6894</v>
      </c>
      <c r="R513" s="2" t="s">
        <v>26</v>
      </c>
      <c r="S513" s="9">
        <f t="shared" si="39"/>
        <v>450.95000000000005</v>
      </c>
    </row>
    <row r="514" spans="1:19" x14ac:dyDescent="0.3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str">
        <f>IFERROR(VLOOKUP('Customer Info'!A506,'Customer Info'!A506:C1005,2,FALSE),"Not Found")</f>
        <v>Not Found</v>
      </c>
      <c r="H514" s="6" t="str">
        <f>IFERROR(VLOOKUP('Customer Info'!A506,'Customer Info'!A506:C1005,3,FALSE),"Not Found")</f>
        <v>Not Found</v>
      </c>
      <c r="I514" s="6" t="str">
        <f>IFERROR(VLOOKUP('Customer Info'!A506,'Customer Info'!A506:E1005,5,FALSE),"Not Found")</f>
        <v>Not Found</v>
      </c>
      <c r="J514" s="2">
        <v>71</v>
      </c>
      <c r="K514" s="2">
        <v>64</v>
      </c>
      <c r="L514" s="2">
        <v>2</v>
      </c>
      <c r="M514" s="7">
        <f t="shared" si="35"/>
        <v>128</v>
      </c>
      <c r="N514" s="7">
        <f t="shared" si="36"/>
        <v>142</v>
      </c>
      <c r="O514" s="2">
        <v>10</v>
      </c>
      <c r="P514" s="8">
        <f t="shared" si="37"/>
        <v>152</v>
      </c>
      <c r="Q514" s="8">
        <f t="shared" si="38"/>
        <v>78</v>
      </c>
      <c r="R514" s="2" t="s">
        <v>28</v>
      </c>
      <c r="S514" s="9">
        <f t="shared" si="39"/>
        <v>3.04</v>
      </c>
    </row>
    <row r="515" spans="1:19" x14ac:dyDescent="0.3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str">
        <f>IFERROR(VLOOKUP('Customer Info'!A507,'Customer Info'!A507:C1006,2,FALSE),"Not Found")</f>
        <v>Not Found</v>
      </c>
      <c r="H515" s="6" t="str">
        <f>IFERROR(VLOOKUP('Customer Info'!A507,'Customer Info'!A507:C1006,3,FALSE),"Not Found")</f>
        <v>Not Found</v>
      </c>
      <c r="I515" s="6" t="str">
        <f>IFERROR(VLOOKUP('Customer Info'!A507,'Customer Info'!A507:E1006,5,FALSE),"Not Found")</f>
        <v>Not Found</v>
      </c>
      <c r="J515" s="2">
        <v>2249</v>
      </c>
      <c r="K515" s="2">
        <v>2102</v>
      </c>
      <c r="L515" s="2">
        <v>1</v>
      </c>
      <c r="M515" s="7">
        <f t="shared" si="35"/>
        <v>2102</v>
      </c>
      <c r="N515" s="7">
        <f t="shared" si="36"/>
        <v>2249</v>
      </c>
      <c r="O515" s="2">
        <v>43</v>
      </c>
      <c r="P515" s="8">
        <f t="shared" si="37"/>
        <v>2292</v>
      </c>
      <c r="Q515" s="8">
        <f t="shared" si="38"/>
        <v>147</v>
      </c>
      <c r="R515" s="2" t="s">
        <v>28</v>
      </c>
      <c r="S515" s="9">
        <f t="shared" si="39"/>
        <v>45.84</v>
      </c>
    </row>
    <row r="516" spans="1:19" x14ac:dyDescent="0.3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str">
        <f>IFERROR(VLOOKUP('Customer Info'!A508,'Customer Info'!A508:C1007,2,FALSE),"Not Found")</f>
        <v>Not Found</v>
      </c>
      <c r="H516" s="6" t="str">
        <f>IFERROR(VLOOKUP('Customer Info'!A508,'Customer Info'!A508:C1007,3,FALSE),"Not Found")</f>
        <v>Not Found</v>
      </c>
      <c r="I516" s="6" t="str">
        <f>IFERROR(VLOOKUP('Customer Info'!A508,'Customer Info'!A508:E1007,5,FALSE),"Not Found")</f>
        <v>Not Found</v>
      </c>
      <c r="J516" s="2">
        <v>87</v>
      </c>
      <c r="K516" s="2">
        <v>80</v>
      </c>
      <c r="L516" s="2">
        <v>2</v>
      </c>
      <c r="M516" s="7">
        <f t="shared" si="35"/>
        <v>160</v>
      </c>
      <c r="N516" s="7">
        <f t="shared" si="36"/>
        <v>174</v>
      </c>
      <c r="O516" s="2">
        <v>10</v>
      </c>
      <c r="P516" s="8">
        <f t="shared" si="37"/>
        <v>184</v>
      </c>
      <c r="Q516" s="8">
        <f t="shared" si="38"/>
        <v>94</v>
      </c>
      <c r="R516" s="2" t="s">
        <v>26</v>
      </c>
      <c r="S516" s="9">
        <f t="shared" si="39"/>
        <v>3.68</v>
      </c>
    </row>
    <row r="517" spans="1:19" x14ac:dyDescent="0.3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str">
        <f>IFERROR(VLOOKUP('Customer Info'!A509,'Customer Info'!A509:C1008,2,FALSE),"Not Found")</f>
        <v>Not Found</v>
      </c>
      <c r="H517" s="6" t="str">
        <f>IFERROR(VLOOKUP('Customer Info'!A509,'Customer Info'!A509:C1008,3,FALSE),"Not Found")</f>
        <v>Not Found</v>
      </c>
      <c r="I517" s="6" t="str">
        <f>IFERROR(VLOOKUP('Customer Info'!A509,'Customer Info'!A509:E1008,5,FALSE),"Not Found")</f>
        <v>Not Found</v>
      </c>
      <c r="J517" s="2">
        <v>7212</v>
      </c>
      <c r="K517" s="2">
        <v>6737</v>
      </c>
      <c r="L517" s="2">
        <v>3</v>
      </c>
      <c r="M517" s="7">
        <f t="shared" si="35"/>
        <v>20211</v>
      </c>
      <c r="N517" s="7">
        <f t="shared" si="36"/>
        <v>21636</v>
      </c>
      <c r="O517" s="2">
        <v>68</v>
      </c>
      <c r="P517" s="8">
        <f t="shared" si="37"/>
        <v>21704</v>
      </c>
      <c r="Q517" s="8">
        <f t="shared" si="38"/>
        <v>14899</v>
      </c>
      <c r="R517" s="2" t="s">
        <v>50</v>
      </c>
      <c r="S517" s="9">
        <f t="shared" si="39"/>
        <v>1085.2</v>
      </c>
    </row>
    <row r="518" spans="1:19" x14ac:dyDescent="0.3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str">
        <f>IFERROR(VLOOKUP('Customer Info'!A510,'Customer Info'!A510:C1009,2,FALSE),"Not Found")</f>
        <v>Not Found</v>
      </c>
      <c r="H518" s="6" t="str">
        <f>IFERROR(VLOOKUP('Customer Info'!A510,'Customer Info'!A510:C1009,3,FALSE),"Not Found")</f>
        <v>Not Found</v>
      </c>
      <c r="I518" s="6" t="str">
        <f>IFERROR(VLOOKUP('Customer Info'!A510,'Customer Info'!A510:E1009,5,FALSE),"Not Found")</f>
        <v>Not Found</v>
      </c>
      <c r="J518" s="2">
        <v>173</v>
      </c>
      <c r="K518" s="2">
        <v>155</v>
      </c>
      <c r="L518" s="2">
        <v>14</v>
      </c>
      <c r="M518" s="7">
        <f t="shared" si="35"/>
        <v>2170</v>
      </c>
      <c r="N518" s="7">
        <f t="shared" si="36"/>
        <v>2422</v>
      </c>
      <c r="O518" s="2">
        <v>30</v>
      </c>
      <c r="P518" s="8">
        <f t="shared" si="37"/>
        <v>2452</v>
      </c>
      <c r="Q518" s="8">
        <f t="shared" si="38"/>
        <v>2267</v>
      </c>
      <c r="R518" s="2" t="s">
        <v>28</v>
      </c>
      <c r="S518" s="9">
        <f t="shared" si="39"/>
        <v>49.04</v>
      </c>
    </row>
    <row r="519" spans="1:19" x14ac:dyDescent="0.3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str">
        <f>IFERROR(VLOOKUP('Customer Info'!A511,'Customer Info'!A511:C1010,2,FALSE),"Not Found")</f>
        <v>Not Found</v>
      </c>
      <c r="H519" s="6" t="str">
        <f>IFERROR(VLOOKUP('Customer Info'!A511,'Customer Info'!A511:C1010,3,FALSE),"Not Found")</f>
        <v>Not Found</v>
      </c>
      <c r="I519" s="6" t="str">
        <f>IFERROR(VLOOKUP('Customer Info'!A511,'Customer Info'!A511:E1010,5,FALSE),"Not Found")</f>
        <v>Not Found</v>
      </c>
      <c r="J519" s="2">
        <v>6701</v>
      </c>
      <c r="K519" s="2">
        <v>6384</v>
      </c>
      <c r="L519" s="2">
        <v>3</v>
      </c>
      <c r="M519" s="7">
        <f t="shared" si="35"/>
        <v>19152</v>
      </c>
      <c r="N519" s="7">
        <f t="shared" si="36"/>
        <v>20103</v>
      </c>
      <c r="O519" s="2">
        <v>57</v>
      </c>
      <c r="P519" s="8">
        <f t="shared" si="37"/>
        <v>20160</v>
      </c>
      <c r="Q519" s="8">
        <f t="shared" si="38"/>
        <v>13719</v>
      </c>
      <c r="R519" s="2" t="s">
        <v>50</v>
      </c>
      <c r="S519" s="9">
        <f t="shared" si="39"/>
        <v>1008</v>
      </c>
    </row>
    <row r="520" spans="1:19" x14ac:dyDescent="0.3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str">
        <f>IFERROR(VLOOKUP('Customer Info'!A512,'Customer Info'!A512:C1011,2,FALSE),"Not Found")</f>
        <v>Not Found</v>
      </c>
      <c r="H520" s="6" t="str">
        <f>IFERROR(VLOOKUP('Customer Info'!A512,'Customer Info'!A512:C1011,3,FALSE),"Not Found")</f>
        <v>Not Found</v>
      </c>
      <c r="I520" s="6" t="str">
        <f>IFERROR(VLOOKUP('Customer Info'!A512,'Customer Info'!A512:E1011,5,FALSE),"Not Found")</f>
        <v>Not Found</v>
      </c>
      <c r="J520" s="2">
        <v>206</v>
      </c>
      <c r="K520" s="2">
        <v>189</v>
      </c>
      <c r="L520" s="2">
        <v>1</v>
      </c>
      <c r="M520" s="7">
        <f t="shared" si="35"/>
        <v>189</v>
      </c>
      <c r="N520" s="7">
        <f t="shared" si="36"/>
        <v>206</v>
      </c>
      <c r="O520" s="2">
        <v>30</v>
      </c>
      <c r="P520" s="8">
        <f t="shared" si="37"/>
        <v>236</v>
      </c>
      <c r="Q520" s="8">
        <f t="shared" si="38"/>
        <v>17</v>
      </c>
      <c r="R520" s="2" t="s">
        <v>50</v>
      </c>
      <c r="S520" s="9">
        <f t="shared" si="39"/>
        <v>4.72</v>
      </c>
    </row>
    <row r="521" spans="1:19" x14ac:dyDescent="0.3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str">
        <f>IFERROR(VLOOKUP('Customer Info'!A513,'Customer Info'!A513:C1012,2,FALSE),"Not Found")</f>
        <v>Not Found</v>
      </c>
      <c r="H521" s="6" t="str">
        <f>IFERROR(VLOOKUP('Customer Info'!A513,'Customer Info'!A513:C1012,3,FALSE),"Not Found")</f>
        <v>Not Found</v>
      </c>
      <c r="I521" s="6" t="str">
        <f>IFERROR(VLOOKUP('Customer Info'!A513,'Customer Info'!A513:E1012,5,FALSE),"Not Found")</f>
        <v>Not Found</v>
      </c>
      <c r="J521" s="2">
        <v>36057</v>
      </c>
      <c r="K521" s="2">
        <v>34028</v>
      </c>
      <c r="L521" s="2">
        <v>2</v>
      </c>
      <c r="M521" s="7">
        <f t="shared" si="35"/>
        <v>68056</v>
      </c>
      <c r="N521" s="7">
        <f t="shared" si="36"/>
        <v>72114</v>
      </c>
      <c r="O521" s="2">
        <v>47</v>
      </c>
      <c r="P521" s="8">
        <f t="shared" si="37"/>
        <v>72161</v>
      </c>
      <c r="Q521" s="8">
        <f t="shared" si="38"/>
        <v>38086</v>
      </c>
      <c r="R521" s="2" t="s">
        <v>28</v>
      </c>
      <c r="S521" s="9">
        <f t="shared" si="39"/>
        <v>6494.49</v>
      </c>
    </row>
    <row r="522" spans="1:19" x14ac:dyDescent="0.3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str">
        <f>IFERROR(VLOOKUP('Customer Info'!A514,'Customer Info'!A514:C1013,2,FALSE),"Not Found")</f>
        <v>Not Found</v>
      </c>
      <c r="H522" s="6" t="str">
        <f>IFERROR(VLOOKUP('Customer Info'!A514,'Customer Info'!A514:C1013,3,FALSE),"Not Found")</f>
        <v>Not Found</v>
      </c>
      <c r="I522" s="6" t="str">
        <f>IFERROR(VLOOKUP('Customer Info'!A514,'Customer Info'!A514:E1013,5,FALSE),"Not Found")</f>
        <v>Not Found</v>
      </c>
      <c r="J522" s="2">
        <v>139</v>
      </c>
      <c r="K522" s="2">
        <v>133</v>
      </c>
      <c r="L522" s="2">
        <v>3</v>
      </c>
      <c r="M522" s="7">
        <f t="shared" si="35"/>
        <v>399</v>
      </c>
      <c r="N522" s="7">
        <f t="shared" si="36"/>
        <v>417</v>
      </c>
      <c r="O522" s="2">
        <v>30</v>
      </c>
      <c r="P522" s="8">
        <f t="shared" si="37"/>
        <v>447</v>
      </c>
      <c r="Q522" s="8">
        <f t="shared" si="38"/>
        <v>284</v>
      </c>
      <c r="R522" s="2" t="s">
        <v>28</v>
      </c>
      <c r="S522" s="9">
        <f t="shared" si="39"/>
        <v>8.94</v>
      </c>
    </row>
    <row r="523" spans="1:19" x14ac:dyDescent="0.3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str">
        <f>IFERROR(VLOOKUP('Customer Info'!A515,'Customer Info'!A515:C1014,2,FALSE),"Not Found")</f>
        <v>Not Found</v>
      </c>
      <c r="H523" s="6" t="str">
        <f>IFERROR(VLOOKUP('Customer Info'!A515,'Customer Info'!A515:C1014,3,FALSE),"Not Found")</f>
        <v>Not Found</v>
      </c>
      <c r="I523" s="6" t="str">
        <f>IFERROR(VLOOKUP('Customer Info'!A515,'Customer Info'!A515:E1014,5,FALSE),"Not Found")</f>
        <v>Not Found</v>
      </c>
      <c r="J523" s="2">
        <v>2843</v>
      </c>
      <c r="K523" s="2">
        <v>2735</v>
      </c>
      <c r="L523" s="2">
        <v>5</v>
      </c>
      <c r="M523" s="7">
        <f t="shared" ref="M523:M586" si="40">$K523*$L523</f>
        <v>13675</v>
      </c>
      <c r="N523" s="7">
        <f t="shared" ref="N523:N586" si="41">$J523*$L523</f>
        <v>14215</v>
      </c>
      <c r="O523" s="2">
        <v>98</v>
      </c>
      <c r="P523" s="8">
        <f t="shared" ref="P523:P586" si="42">$N523+$O523</f>
        <v>14313</v>
      </c>
      <c r="Q523" s="8">
        <f t="shared" ref="Q523:Q586" si="43">$N523-$K523</f>
        <v>11480</v>
      </c>
      <c r="R523" s="2" t="s">
        <v>28</v>
      </c>
      <c r="S523" s="9">
        <f t="shared" ref="S523:S586" si="44" xml:space="preserve"> P523 * VLOOKUP(P523, $T$2:$U$6, 2, TRUE)</f>
        <v>715.65000000000009</v>
      </c>
    </row>
    <row r="524" spans="1:19" x14ac:dyDescent="0.3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str">
        <f>IFERROR(VLOOKUP('Customer Info'!A516,'Customer Info'!A516:C1015,2,FALSE),"Not Found")</f>
        <v>Not Found</v>
      </c>
      <c r="H524" s="6" t="str">
        <f>IFERROR(VLOOKUP('Customer Info'!A516,'Customer Info'!A516:C1015,3,FALSE),"Not Found")</f>
        <v>Not Found</v>
      </c>
      <c r="I524" s="6" t="str">
        <f>IFERROR(VLOOKUP('Customer Info'!A516,'Customer Info'!A516:E1015,5,FALSE),"Not Found")</f>
        <v>Not Found</v>
      </c>
      <c r="J524" s="2">
        <v>2155</v>
      </c>
      <c r="K524" s="2">
        <v>2014</v>
      </c>
      <c r="L524" s="2">
        <v>4</v>
      </c>
      <c r="M524" s="7">
        <f t="shared" si="40"/>
        <v>8056</v>
      </c>
      <c r="N524" s="7">
        <f t="shared" si="41"/>
        <v>8620</v>
      </c>
      <c r="O524" s="2">
        <v>34</v>
      </c>
      <c r="P524" s="8">
        <f t="shared" si="42"/>
        <v>8654</v>
      </c>
      <c r="Q524" s="8">
        <f t="shared" si="43"/>
        <v>6606</v>
      </c>
      <c r="R524" s="2" t="s">
        <v>50</v>
      </c>
      <c r="S524" s="9">
        <f t="shared" si="44"/>
        <v>432.70000000000005</v>
      </c>
    </row>
    <row r="525" spans="1:19" x14ac:dyDescent="0.3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str">
        <f>IFERROR(VLOOKUP('Customer Info'!A517,'Customer Info'!A517:C1016,2,FALSE),"Not Found")</f>
        <v>Not Found</v>
      </c>
      <c r="H525" s="6" t="str">
        <f>IFERROR(VLOOKUP('Customer Info'!A517,'Customer Info'!A517:C1016,3,FALSE),"Not Found")</f>
        <v>Not Found</v>
      </c>
      <c r="I525" s="6" t="str">
        <f>IFERROR(VLOOKUP('Customer Info'!A517,'Customer Info'!A517:E1016,5,FALSE),"Not Found")</f>
        <v>Not Found</v>
      </c>
      <c r="J525" s="2">
        <v>183</v>
      </c>
      <c r="K525" s="2">
        <v>168</v>
      </c>
      <c r="L525" s="2">
        <v>1</v>
      </c>
      <c r="M525" s="7">
        <f t="shared" si="40"/>
        <v>168</v>
      </c>
      <c r="N525" s="7">
        <f t="shared" si="41"/>
        <v>183</v>
      </c>
      <c r="O525" s="2">
        <v>30</v>
      </c>
      <c r="P525" s="8">
        <f t="shared" si="42"/>
        <v>213</v>
      </c>
      <c r="Q525" s="8">
        <f t="shared" si="43"/>
        <v>15</v>
      </c>
      <c r="R525" s="2" t="s">
        <v>28</v>
      </c>
      <c r="S525" s="9">
        <f t="shared" si="44"/>
        <v>4.26</v>
      </c>
    </row>
    <row r="526" spans="1:19" x14ac:dyDescent="0.3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str">
        <f>IFERROR(VLOOKUP('Customer Info'!A518,'Customer Info'!A518:C1017,2,FALSE),"Not Found")</f>
        <v>Not Found</v>
      </c>
      <c r="H526" s="6" t="str">
        <f>IFERROR(VLOOKUP('Customer Info'!A518,'Customer Info'!A518:C1017,3,FALSE),"Not Found")</f>
        <v>Not Found</v>
      </c>
      <c r="I526" s="6" t="str">
        <f>IFERROR(VLOOKUP('Customer Info'!A518,'Customer Info'!A518:E1017,5,FALSE),"Not Found")</f>
        <v>Not Found</v>
      </c>
      <c r="J526" s="2">
        <v>2857</v>
      </c>
      <c r="K526" s="2">
        <v>2622</v>
      </c>
      <c r="L526" s="2">
        <v>2</v>
      </c>
      <c r="M526" s="7">
        <f t="shared" si="40"/>
        <v>5244</v>
      </c>
      <c r="N526" s="7">
        <f t="shared" si="41"/>
        <v>5714</v>
      </c>
      <c r="O526" s="2">
        <v>85</v>
      </c>
      <c r="P526" s="8">
        <f t="shared" si="42"/>
        <v>5799</v>
      </c>
      <c r="Q526" s="8">
        <f t="shared" si="43"/>
        <v>3092</v>
      </c>
      <c r="R526" s="2" t="s">
        <v>50</v>
      </c>
      <c r="S526" s="9">
        <f t="shared" si="44"/>
        <v>289.95</v>
      </c>
    </row>
    <row r="527" spans="1:19" x14ac:dyDescent="0.3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str">
        <f>IFERROR(VLOOKUP('Customer Info'!A519,'Customer Info'!A519:C1018,2,FALSE),"Not Found")</f>
        <v>Not Found</v>
      </c>
      <c r="H527" s="6" t="str">
        <f>IFERROR(VLOOKUP('Customer Info'!A519,'Customer Info'!A519:C1018,3,FALSE),"Not Found")</f>
        <v>Not Found</v>
      </c>
      <c r="I527" s="6" t="str">
        <f>IFERROR(VLOOKUP('Customer Info'!A519,'Customer Info'!A519:E1018,5,FALSE),"Not Found")</f>
        <v>Not Found</v>
      </c>
      <c r="J527" s="2">
        <v>35350</v>
      </c>
      <c r="K527" s="2">
        <v>33037</v>
      </c>
      <c r="L527" s="2">
        <v>3</v>
      </c>
      <c r="M527" s="7">
        <f t="shared" si="40"/>
        <v>99111</v>
      </c>
      <c r="N527" s="7">
        <f t="shared" si="41"/>
        <v>106050</v>
      </c>
      <c r="O527" s="2">
        <v>86</v>
      </c>
      <c r="P527" s="8">
        <f t="shared" si="42"/>
        <v>106136</v>
      </c>
      <c r="Q527" s="8">
        <f t="shared" si="43"/>
        <v>73013</v>
      </c>
      <c r="R527" s="2" t="s">
        <v>28</v>
      </c>
      <c r="S527" s="9">
        <f t="shared" si="44"/>
        <v>12736.32</v>
      </c>
    </row>
    <row r="528" spans="1:19" x14ac:dyDescent="0.3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str">
        <f>IFERROR(VLOOKUP('Customer Info'!A520,'Customer Info'!A520:C1019,2,FALSE),"Not Found")</f>
        <v>Not Found</v>
      </c>
      <c r="H528" s="6" t="str">
        <f>IFERROR(VLOOKUP('Customer Info'!A520,'Customer Info'!A520:C1019,3,FALSE),"Not Found")</f>
        <v>Not Found</v>
      </c>
      <c r="I528" s="6" t="str">
        <f>IFERROR(VLOOKUP('Customer Info'!A520,'Customer Info'!A520:E1019,5,FALSE),"Not Found")</f>
        <v>Not Found</v>
      </c>
      <c r="J528" s="2">
        <v>2242</v>
      </c>
      <c r="K528" s="2">
        <v>2075</v>
      </c>
      <c r="L528" s="2">
        <v>4</v>
      </c>
      <c r="M528" s="7">
        <f t="shared" si="40"/>
        <v>8300</v>
      </c>
      <c r="N528" s="7">
        <f t="shared" si="41"/>
        <v>8968</v>
      </c>
      <c r="O528" s="2">
        <v>94</v>
      </c>
      <c r="P528" s="8">
        <f t="shared" si="42"/>
        <v>9062</v>
      </c>
      <c r="Q528" s="8">
        <f t="shared" si="43"/>
        <v>6893</v>
      </c>
      <c r="R528" s="2" t="s">
        <v>28</v>
      </c>
      <c r="S528" s="9">
        <f t="shared" si="44"/>
        <v>453.1</v>
      </c>
    </row>
    <row r="529" spans="1:19" x14ac:dyDescent="0.3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str">
        <f>IFERROR(VLOOKUP('Customer Info'!A521,'Customer Info'!A521:C1020,2,FALSE),"Not Found")</f>
        <v>Not Found</v>
      </c>
      <c r="H529" s="6" t="str">
        <f>IFERROR(VLOOKUP('Customer Info'!A521,'Customer Info'!A521:C1020,3,FALSE),"Not Found")</f>
        <v>Not Found</v>
      </c>
      <c r="I529" s="6" t="str">
        <f>IFERROR(VLOOKUP('Customer Info'!A521,'Customer Info'!A521:E1020,5,FALSE),"Not Found")</f>
        <v>Not Found</v>
      </c>
      <c r="J529" s="2">
        <v>1601</v>
      </c>
      <c r="K529" s="2">
        <v>1510</v>
      </c>
      <c r="L529" s="2">
        <v>11</v>
      </c>
      <c r="M529" s="7">
        <f t="shared" si="40"/>
        <v>16610</v>
      </c>
      <c r="N529" s="7">
        <f t="shared" si="41"/>
        <v>17611</v>
      </c>
      <c r="O529" s="2">
        <v>83</v>
      </c>
      <c r="P529" s="8">
        <f t="shared" si="42"/>
        <v>17694</v>
      </c>
      <c r="Q529" s="8">
        <f t="shared" si="43"/>
        <v>16101</v>
      </c>
      <c r="R529" s="2" t="s">
        <v>50</v>
      </c>
      <c r="S529" s="9">
        <f t="shared" si="44"/>
        <v>884.7</v>
      </c>
    </row>
    <row r="530" spans="1:19" x14ac:dyDescent="0.3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str">
        <f>IFERROR(VLOOKUP('Customer Info'!A522,'Customer Info'!A522:C1021,2,FALSE),"Not Found")</f>
        <v>Not Found</v>
      </c>
      <c r="H530" s="6" t="str">
        <f>IFERROR(VLOOKUP('Customer Info'!A522,'Customer Info'!A522:C1021,3,FALSE),"Not Found")</f>
        <v>Not Found</v>
      </c>
      <c r="I530" s="6" t="str">
        <f>IFERROR(VLOOKUP('Customer Info'!A522,'Customer Info'!A522:E1021,5,FALSE),"Not Found")</f>
        <v>Not Found</v>
      </c>
      <c r="J530" s="2">
        <v>691</v>
      </c>
      <c r="K530" s="2">
        <v>646</v>
      </c>
      <c r="L530" s="2">
        <v>3</v>
      </c>
      <c r="M530" s="7">
        <f t="shared" si="40"/>
        <v>1938</v>
      </c>
      <c r="N530" s="7">
        <f t="shared" si="41"/>
        <v>2073</v>
      </c>
      <c r="O530" s="2">
        <v>83</v>
      </c>
      <c r="P530" s="8">
        <f t="shared" si="42"/>
        <v>2156</v>
      </c>
      <c r="Q530" s="8">
        <f t="shared" si="43"/>
        <v>1427</v>
      </c>
      <c r="R530" s="2" t="s">
        <v>26</v>
      </c>
      <c r="S530" s="9">
        <f t="shared" si="44"/>
        <v>43.12</v>
      </c>
    </row>
    <row r="531" spans="1:19" x14ac:dyDescent="0.3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str">
        <f>IFERROR(VLOOKUP('Customer Info'!A523,'Customer Info'!A523:C1022,2,FALSE),"Not Found")</f>
        <v>Not Found</v>
      </c>
      <c r="H531" s="6" t="str">
        <f>IFERROR(VLOOKUP('Customer Info'!A523,'Customer Info'!A523:C1022,3,FALSE),"Not Found")</f>
        <v>Not Found</v>
      </c>
      <c r="I531" s="6" t="str">
        <f>IFERROR(VLOOKUP('Customer Info'!A523,'Customer Info'!A523:E1022,5,FALSE),"Not Found")</f>
        <v>Not Found</v>
      </c>
      <c r="J531" s="2">
        <v>37949</v>
      </c>
      <c r="K531" s="2">
        <v>34816</v>
      </c>
      <c r="L531" s="2">
        <v>2</v>
      </c>
      <c r="M531" s="7">
        <f t="shared" si="40"/>
        <v>69632</v>
      </c>
      <c r="N531" s="7">
        <f t="shared" si="41"/>
        <v>75898</v>
      </c>
      <c r="O531" s="2">
        <v>68</v>
      </c>
      <c r="P531" s="8">
        <f t="shared" si="42"/>
        <v>75966</v>
      </c>
      <c r="Q531" s="8">
        <f t="shared" si="43"/>
        <v>41082</v>
      </c>
      <c r="R531" s="2" t="s">
        <v>28</v>
      </c>
      <c r="S531" s="9">
        <f t="shared" si="44"/>
        <v>6836.94</v>
      </c>
    </row>
    <row r="532" spans="1:19" x14ac:dyDescent="0.3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str">
        <f>IFERROR(VLOOKUP('Customer Info'!A524,'Customer Info'!A524:C1023,2,FALSE),"Not Found")</f>
        <v>Not Found</v>
      </c>
      <c r="H532" s="6" t="str">
        <f>IFERROR(VLOOKUP('Customer Info'!A524,'Customer Info'!A524:C1023,3,FALSE),"Not Found")</f>
        <v>Not Found</v>
      </c>
      <c r="I532" s="6" t="str">
        <f>IFERROR(VLOOKUP('Customer Info'!A524,'Customer Info'!A524:E1023,5,FALSE),"Not Found")</f>
        <v>Not Found</v>
      </c>
      <c r="J532" s="2">
        <v>8281</v>
      </c>
      <c r="K532" s="2">
        <v>7673</v>
      </c>
      <c r="L532" s="2">
        <v>2</v>
      </c>
      <c r="M532" s="7">
        <f t="shared" si="40"/>
        <v>15346</v>
      </c>
      <c r="N532" s="7">
        <f t="shared" si="41"/>
        <v>16562</v>
      </c>
      <c r="O532" s="2">
        <v>100</v>
      </c>
      <c r="P532" s="8">
        <f t="shared" si="42"/>
        <v>16662</v>
      </c>
      <c r="Q532" s="8">
        <f t="shared" si="43"/>
        <v>8889</v>
      </c>
      <c r="R532" s="2" t="s">
        <v>26</v>
      </c>
      <c r="S532" s="9">
        <f t="shared" si="44"/>
        <v>833.1</v>
      </c>
    </row>
    <row r="533" spans="1:19" x14ac:dyDescent="0.3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str">
        <f>IFERROR(VLOOKUP('Customer Info'!A525,'Customer Info'!A525:C1024,2,FALSE),"Not Found")</f>
        <v>Not Found</v>
      </c>
      <c r="H533" s="6" t="str">
        <f>IFERROR(VLOOKUP('Customer Info'!A525,'Customer Info'!A525:C1024,3,FALSE),"Not Found")</f>
        <v>Not Found</v>
      </c>
      <c r="I533" s="6" t="str">
        <f>IFERROR(VLOOKUP('Customer Info'!A525,'Customer Info'!A525:E1024,5,FALSE),"Not Found")</f>
        <v>Not Found</v>
      </c>
      <c r="J533" s="2">
        <v>645</v>
      </c>
      <c r="K533" s="2">
        <v>565</v>
      </c>
      <c r="L533" s="2">
        <v>3</v>
      </c>
      <c r="M533" s="7">
        <f t="shared" si="40"/>
        <v>1695</v>
      </c>
      <c r="N533" s="7">
        <f t="shared" si="41"/>
        <v>1935</v>
      </c>
      <c r="O533" s="2">
        <v>30</v>
      </c>
      <c r="P533" s="8">
        <f t="shared" si="42"/>
        <v>1965</v>
      </c>
      <c r="Q533" s="8">
        <f t="shared" si="43"/>
        <v>1370</v>
      </c>
      <c r="R533" s="2" t="s">
        <v>28</v>
      </c>
      <c r="S533" s="9">
        <f t="shared" si="44"/>
        <v>39.300000000000004</v>
      </c>
    </row>
    <row r="534" spans="1:19" x14ac:dyDescent="0.3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str">
        <f>IFERROR(VLOOKUP('Customer Info'!A526,'Customer Info'!A526:C1025,2,FALSE),"Not Found")</f>
        <v>Not Found</v>
      </c>
      <c r="H534" s="6" t="str">
        <f>IFERROR(VLOOKUP('Customer Info'!A526,'Customer Info'!A526:C1025,3,FALSE),"Not Found")</f>
        <v>Not Found</v>
      </c>
      <c r="I534" s="6" t="str">
        <f>IFERROR(VLOOKUP('Customer Info'!A526,'Customer Info'!A526:E1025,5,FALSE),"Not Found")</f>
        <v>Not Found</v>
      </c>
      <c r="J534" s="2">
        <v>4832</v>
      </c>
      <c r="K534" s="2">
        <v>4563</v>
      </c>
      <c r="L534" s="2">
        <v>5</v>
      </c>
      <c r="M534" s="7">
        <f t="shared" si="40"/>
        <v>22815</v>
      </c>
      <c r="N534" s="7">
        <f t="shared" si="41"/>
        <v>24160</v>
      </c>
      <c r="O534" s="2">
        <v>53</v>
      </c>
      <c r="P534" s="8">
        <f t="shared" si="42"/>
        <v>24213</v>
      </c>
      <c r="Q534" s="8">
        <f t="shared" si="43"/>
        <v>19597</v>
      </c>
      <c r="R534" s="2" t="s">
        <v>50</v>
      </c>
      <c r="S534" s="9">
        <f t="shared" si="44"/>
        <v>1210.6500000000001</v>
      </c>
    </row>
    <row r="535" spans="1:19" x14ac:dyDescent="0.3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str">
        <f>IFERROR(VLOOKUP('Customer Info'!A527,'Customer Info'!A527:C1026,2,FALSE),"Not Found")</f>
        <v>Not Found</v>
      </c>
      <c r="H535" s="6" t="str">
        <f>IFERROR(VLOOKUP('Customer Info'!A527,'Customer Info'!A527:C1026,3,FALSE),"Not Found")</f>
        <v>Not Found</v>
      </c>
      <c r="I535" s="6" t="str">
        <f>IFERROR(VLOOKUP('Customer Info'!A527,'Customer Info'!A527:E1026,5,FALSE),"Not Found")</f>
        <v>Not Found</v>
      </c>
      <c r="J535" s="2">
        <v>202</v>
      </c>
      <c r="K535" s="2">
        <v>187</v>
      </c>
      <c r="L535" s="2">
        <v>7</v>
      </c>
      <c r="M535" s="7">
        <f t="shared" si="40"/>
        <v>1309</v>
      </c>
      <c r="N535" s="7">
        <f t="shared" si="41"/>
        <v>1414</v>
      </c>
      <c r="O535" s="2">
        <v>30</v>
      </c>
      <c r="P535" s="8">
        <f t="shared" si="42"/>
        <v>1444</v>
      </c>
      <c r="Q535" s="8">
        <f t="shared" si="43"/>
        <v>1227</v>
      </c>
      <c r="R535" s="2" t="s">
        <v>50</v>
      </c>
      <c r="S535" s="9">
        <f t="shared" si="44"/>
        <v>28.88</v>
      </c>
    </row>
    <row r="536" spans="1:19" x14ac:dyDescent="0.3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str">
        <f>IFERROR(VLOOKUP('Customer Info'!A528,'Customer Info'!A528:C1027,2,FALSE),"Not Found")</f>
        <v>Not Found</v>
      </c>
      <c r="H536" s="6" t="str">
        <f>IFERROR(VLOOKUP('Customer Info'!A528,'Customer Info'!A528:C1027,3,FALSE),"Not Found")</f>
        <v>Not Found</v>
      </c>
      <c r="I536" s="6" t="str">
        <f>IFERROR(VLOOKUP('Customer Info'!A528,'Customer Info'!A528:E1027,5,FALSE),"Not Found")</f>
        <v>Not Found</v>
      </c>
      <c r="J536" s="2">
        <v>142</v>
      </c>
      <c r="K536" s="2">
        <v>129</v>
      </c>
      <c r="L536" s="2">
        <v>5</v>
      </c>
      <c r="M536" s="7">
        <f t="shared" si="40"/>
        <v>645</v>
      </c>
      <c r="N536" s="7">
        <f t="shared" si="41"/>
        <v>710</v>
      </c>
      <c r="O536" s="2">
        <v>30</v>
      </c>
      <c r="P536" s="8">
        <f t="shared" si="42"/>
        <v>740</v>
      </c>
      <c r="Q536" s="8">
        <f t="shared" si="43"/>
        <v>581</v>
      </c>
      <c r="R536" s="2" t="s">
        <v>28</v>
      </c>
      <c r="S536" s="9">
        <f t="shared" si="44"/>
        <v>14.8</v>
      </c>
    </row>
    <row r="537" spans="1:19" x14ac:dyDescent="0.3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str">
        <f>IFERROR(VLOOKUP('Customer Info'!A529,'Customer Info'!A529:C1028,2,FALSE),"Not Found")</f>
        <v>Not Found</v>
      </c>
      <c r="H537" s="6" t="str">
        <f>IFERROR(VLOOKUP('Customer Info'!A529,'Customer Info'!A529:C1028,3,FALSE),"Not Found")</f>
        <v>Not Found</v>
      </c>
      <c r="I537" s="6" t="str">
        <f>IFERROR(VLOOKUP('Customer Info'!A529,'Customer Info'!A529:E1028,5,FALSE),"Not Found")</f>
        <v>Not Found</v>
      </c>
      <c r="J537" s="2">
        <v>1601</v>
      </c>
      <c r="K537" s="2">
        <v>1510</v>
      </c>
      <c r="L537" s="2">
        <v>7</v>
      </c>
      <c r="M537" s="7">
        <f t="shared" si="40"/>
        <v>10570</v>
      </c>
      <c r="N537" s="7">
        <f t="shared" si="41"/>
        <v>11207</v>
      </c>
      <c r="O537" s="2">
        <v>31</v>
      </c>
      <c r="P537" s="8">
        <f t="shared" si="42"/>
        <v>11238</v>
      </c>
      <c r="Q537" s="8">
        <f t="shared" si="43"/>
        <v>9697</v>
      </c>
      <c r="R537" s="2" t="s">
        <v>50</v>
      </c>
      <c r="S537" s="9">
        <f t="shared" si="44"/>
        <v>561.9</v>
      </c>
    </row>
    <row r="538" spans="1:19" x14ac:dyDescent="0.3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str">
        <f>IFERROR(VLOOKUP('Customer Info'!A530,'Customer Info'!A530:C1029,2,FALSE),"Not Found")</f>
        <v>Not Found</v>
      </c>
      <c r="H538" s="6" t="str">
        <f>IFERROR(VLOOKUP('Customer Info'!A530,'Customer Info'!A530:C1029,3,FALSE),"Not Found")</f>
        <v>Not Found</v>
      </c>
      <c r="I538" s="6" t="str">
        <f>IFERROR(VLOOKUP('Customer Info'!A530,'Customer Info'!A530:E1029,5,FALSE),"Not Found")</f>
        <v>Not Found</v>
      </c>
      <c r="J538" s="2">
        <v>7864</v>
      </c>
      <c r="K538" s="2">
        <v>7563</v>
      </c>
      <c r="L538" s="2">
        <v>2</v>
      </c>
      <c r="M538" s="7">
        <f t="shared" si="40"/>
        <v>15126</v>
      </c>
      <c r="N538" s="7">
        <f t="shared" si="41"/>
        <v>15728</v>
      </c>
      <c r="O538" s="2">
        <v>59</v>
      </c>
      <c r="P538" s="8">
        <f t="shared" si="42"/>
        <v>15787</v>
      </c>
      <c r="Q538" s="8">
        <f t="shared" si="43"/>
        <v>8165</v>
      </c>
      <c r="R538" s="2" t="s">
        <v>28</v>
      </c>
      <c r="S538" s="9">
        <f t="shared" si="44"/>
        <v>789.35</v>
      </c>
    </row>
    <row r="539" spans="1:19" x14ac:dyDescent="0.3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str">
        <f>IFERROR(VLOOKUP('Customer Info'!A531,'Customer Info'!A531:C1030,2,FALSE),"Not Found")</f>
        <v>Not Found</v>
      </c>
      <c r="H539" s="6" t="str">
        <f>IFERROR(VLOOKUP('Customer Info'!A531,'Customer Info'!A531:C1030,3,FALSE),"Not Found")</f>
        <v>Not Found</v>
      </c>
      <c r="I539" s="6" t="str">
        <f>IFERROR(VLOOKUP('Customer Info'!A531,'Customer Info'!A531:E1030,5,FALSE),"Not Found")</f>
        <v>Not Found</v>
      </c>
      <c r="J539" s="2">
        <v>6027</v>
      </c>
      <c r="K539" s="2">
        <v>5694</v>
      </c>
      <c r="L539" s="2">
        <v>1</v>
      </c>
      <c r="M539" s="7">
        <f t="shared" si="40"/>
        <v>5694</v>
      </c>
      <c r="N539" s="7">
        <f t="shared" si="41"/>
        <v>6027</v>
      </c>
      <c r="O539" s="2">
        <v>83</v>
      </c>
      <c r="P539" s="8">
        <f t="shared" si="42"/>
        <v>6110</v>
      </c>
      <c r="Q539" s="8">
        <f t="shared" si="43"/>
        <v>333</v>
      </c>
      <c r="R539" s="2" t="s">
        <v>50</v>
      </c>
      <c r="S539" s="9">
        <f t="shared" si="44"/>
        <v>305.5</v>
      </c>
    </row>
    <row r="540" spans="1:19" x14ac:dyDescent="0.3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str">
        <f>IFERROR(VLOOKUP('Customer Info'!A532,'Customer Info'!A532:C1031,2,FALSE),"Not Found")</f>
        <v>Not Found</v>
      </c>
      <c r="H540" s="6" t="str">
        <f>IFERROR(VLOOKUP('Customer Info'!A532,'Customer Info'!A532:C1031,3,FALSE),"Not Found")</f>
        <v>Not Found</v>
      </c>
      <c r="I540" s="6" t="str">
        <f>IFERROR(VLOOKUP('Customer Info'!A532,'Customer Info'!A532:E1031,5,FALSE),"Not Found")</f>
        <v>Not Found</v>
      </c>
      <c r="J540" s="2">
        <v>1399</v>
      </c>
      <c r="K540" s="2">
        <v>1333</v>
      </c>
      <c r="L540" s="2">
        <v>2</v>
      </c>
      <c r="M540" s="7">
        <f t="shared" si="40"/>
        <v>2666</v>
      </c>
      <c r="N540" s="7">
        <f t="shared" si="41"/>
        <v>2798</v>
      </c>
      <c r="O540" s="2">
        <v>37</v>
      </c>
      <c r="P540" s="8">
        <f t="shared" si="42"/>
        <v>2835</v>
      </c>
      <c r="Q540" s="8">
        <f t="shared" si="43"/>
        <v>1465</v>
      </c>
      <c r="R540" s="2" t="s">
        <v>28</v>
      </c>
      <c r="S540" s="9">
        <f t="shared" si="44"/>
        <v>56.7</v>
      </c>
    </row>
    <row r="541" spans="1:19" x14ac:dyDescent="0.3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str">
        <f>IFERROR(VLOOKUP('Customer Info'!A533,'Customer Info'!A533:C1032,2,FALSE),"Not Found")</f>
        <v>Not Found</v>
      </c>
      <c r="H541" s="6" t="str">
        <f>IFERROR(VLOOKUP('Customer Info'!A533,'Customer Info'!A533:C1032,3,FALSE),"Not Found")</f>
        <v>Not Found</v>
      </c>
      <c r="I541" s="6" t="str">
        <f>IFERROR(VLOOKUP('Customer Info'!A533,'Customer Info'!A533:E1032,5,FALSE),"Not Found")</f>
        <v>Not Found</v>
      </c>
      <c r="J541" s="2">
        <v>474</v>
      </c>
      <c r="K541" s="2">
        <v>443</v>
      </c>
      <c r="L541" s="2">
        <v>6</v>
      </c>
      <c r="M541" s="7">
        <f t="shared" si="40"/>
        <v>2658</v>
      </c>
      <c r="N541" s="7">
        <f t="shared" si="41"/>
        <v>2844</v>
      </c>
      <c r="O541" s="2">
        <v>43</v>
      </c>
      <c r="P541" s="8">
        <f t="shared" si="42"/>
        <v>2887</v>
      </c>
      <c r="Q541" s="8">
        <f t="shared" si="43"/>
        <v>2401</v>
      </c>
      <c r="R541" s="2" t="s">
        <v>50</v>
      </c>
      <c r="S541" s="9">
        <f t="shared" si="44"/>
        <v>57.74</v>
      </c>
    </row>
    <row r="542" spans="1:19" x14ac:dyDescent="0.3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str">
        <f>IFERROR(VLOOKUP('Customer Info'!A534,'Customer Info'!A534:C1033,2,FALSE),"Not Found")</f>
        <v>Not Found</v>
      </c>
      <c r="H542" s="6" t="str">
        <f>IFERROR(VLOOKUP('Customer Info'!A534,'Customer Info'!A534:C1033,3,FALSE),"Not Found")</f>
        <v>Not Found</v>
      </c>
      <c r="I542" s="6" t="str">
        <f>IFERROR(VLOOKUP('Customer Info'!A534,'Customer Info'!A534:E1033,5,FALSE),"Not Found")</f>
        <v>Not Found</v>
      </c>
      <c r="J542" s="2">
        <v>2442</v>
      </c>
      <c r="K542" s="2">
        <v>2304</v>
      </c>
      <c r="L542" s="2">
        <v>7</v>
      </c>
      <c r="M542" s="7">
        <f t="shared" si="40"/>
        <v>16128</v>
      </c>
      <c r="N542" s="7">
        <f t="shared" si="41"/>
        <v>17094</v>
      </c>
      <c r="O542" s="2">
        <v>92</v>
      </c>
      <c r="P542" s="8">
        <f t="shared" si="42"/>
        <v>17186</v>
      </c>
      <c r="Q542" s="8">
        <f t="shared" si="43"/>
        <v>14790</v>
      </c>
      <c r="R542" s="2" t="s">
        <v>28</v>
      </c>
      <c r="S542" s="9">
        <f t="shared" si="44"/>
        <v>859.30000000000007</v>
      </c>
    </row>
    <row r="543" spans="1:19" x14ac:dyDescent="0.3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str">
        <f>IFERROR(VLOOKUP('Customer Info'!A535,'Customer Info'!A535:C1034,2,FALSE),"Not Found")</f>
        <v>Not Found</v>
      </c>
      <c r="H543" s="6" t="str">
        <f>IFERROR(VLOOKUP('Customer Info'!A535,'Customer Info'!A535:C1034,3,FALSE),"Not Found")</f>
        <v>Not Found</v>
      </c>
      <c r="I543" s="6" t="str">
        <f>IFERROR(VLOOKUP('Customer Info'!A535,'Customer Info'!A535:E1034,5,FALSE),"Not Found")</f>
        <v>Not Found</v>
      </c>
      <c r="J543" s="2">
        <v>1845</v>
      </c>
      <c r="K543" s="2">
        <v>1742</v>
      </c>
      <c r="L543" s="2">
        <v>1</v>
      </c>
      <c r="M543" s="7">
        <f t="shared" si="40"/>
        <v>1742</v>
      </c>
      <c r="N543" s="7">
        <f t="shared" si="41"/>
        <v>1845</v>
      </c>
      <c r="O543" s="2">
        <v>24</v>
      </c>
      <c r="P543" s="8">
        <f t="shared" si="42"/>
        <v>1869</v>
      </c>
      <c r="Q543" s="8">
        <f t="shared" si="43"/>
        <v>103</v>
      </c>
      <c r="R543" s="2" t="s">
        <v>50</v>
      </c>
      <c r="S543" s="9">
        <f t="shared" si="44"/>
        <v>37.380000000000003</v>
      </c>
    </row>
    <row r="544" spans="1:19" x14ac:dyDescent="0.3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str">
        <f>IFERROR(VLOOKUP('Customer Info'!A536,'Customer Info'!A536:C1035,2,FALSE),"Not Found")</f>
        <v>Not Found</v>
      </c>
      <c r="H544" s="6" t="str">
        <f>IFERROR(VLOOKUP('Customer Info'!A536,'Customer Info'!A536:C1035,3,FALSE),"Not Found")</f>
        <v>Not Found</v>
      </c>
      <c r="I544" s="6" t="str">
        <f>IFERROR(VLOOKUP('Customer Info'!A536,'Customer Info'!A536:E1035,5,FALSE),"Not Found")</f>
        <v>Not Found</v>
      </c>
      <c r="J544" s="2">
        <v>183</v>
      </c>
      <c r="K544" s="2">
        <v>172</v>
      </c>
      <c r="L544" s="2">
        <v>4</v>
      </c>
      <c r="M544" s="7">
        <f t="shared" si="40"/>
        <v>688</v>
      </c>
      <c r="N544" s="7">
        <f t="shared" si="41"/>
        <v>732</v>
      </c>
      <c r="O544" s="2">
        <v>30</v>
      </c>
      <c r="P544" s="8">
        <f t="shared" si="42"/>
        <v>762</v>
      </c>
      <c r="Q544" s="8">
        <f t="shared" si="43"/>
        <v>560</v>
      </c>
      <c r="R544" s="2" t="s">
        <v>28</v>
      </c>
      <c r="S544" s="9">
        <f t="shared" si="44"/>
        <v>15.24</v>
      </c>
    </row>
    <row r="545" spans="1:19" x14ac:dyDescent="0.3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str">
        <f>IFERROR(VLOOKUP('Customer Info'!A537,'Customer Info'!A537:C1036,2,FALSE),"Not Found")</f>
        <v>Not Found</v>
      </c>
      <c r="H545" s="6" t="str">
        <f>IFERROR(VLOOKUP('Customer Info'!A537,'Customer Info'!A537:C1036,3,FALSE),"Not Found")</f>
        <v>Not Found</v>
      </c>
      <c r="I545" s="6" t="str">
        <f>IFERROR(VLOOKUP('Customer Info'!A537,'Customer Info'!A537:E1036,5,FALSE),"Not Found")</f>
        <v>Not Found</v>
      </c>
      <c r="J545" s="2">
        <v>4443</v>
      </c>
      <c r="K545" s="2">
        <v>4079</v>
      </c>
      <c r="L545" s="2">
        <v>4</v>
      </c>
      <c r="M545" s="7">
        <f t="shared" si="40"/>
        <v>16316</v>
      </c>
      <c r="N545" s="7">
        <f t="shared" si="41"/>
        <v>17772</v>
      </c>
      <c r="O545" s="2">
        <v>43</v>
      </c>
      <c r="P545" s="8">
        <f t="shared" si="42"/>
        <v>17815</v>
      </c>
      <c r="Q545" s="8">
        <f t="shared" si="43"/>
        <v>13693</v>
      </c>
      <c r="R545" s="2" t="s">
        <v>28</v>
      </c>
      <c r="S545" s="9">
        <f t="shared" si="44"/>
        <v>890.75</v>
      </c>
    </row>
    <row r="546" spans="1:19" x14ac:dyDescent="0.3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str">
        <f>IFERROR(VLOOKUP('Customer Info'!A538,'Customer Info'!A538:C1037,2,FALSE),"Not Found")</f>
        <v>Not Found</v>
      </c>
      <c r="H546" s="6" t="str">
        <f>IFERROR(VLOOKUP('Customer Info'!A538,'Customer Info'!A538:C1037,3,FALSE),"Not Found")</f>
        <v>Not Found</v>
      </c>
      <c r="I546" s="6" t="str">
        <f>IFERROR(VLOOKUP('Customer Info'!A538,'Customer Info'!A538:E1037,5,FALSE),"Not Found")</f>
        <v>Not Found</v>
      </c>
      <c r="J546" s="2">
        <v>2681</v>
      </c>
      <c r="K546" s="2">
        <v>2458</v>
      </c>
      <c r="L546" s="2">
        <v>2</v>
      </c>
      <c r="M546" s="7">
        <f t="shared" si="40"/>
        <v>4916</v>
      </c>
      <c r="N546" s="7">
        <f t="shared" si="41"/>
        <v>5362</v>
      </c>
      <c r="O546" s="2">
        <v>83</v>
      </c>
      <c r="P546" s="8">
        <f t="shared" si="42"/>
        <v>5445</v>
      </c>
      <c r="Q546" s="8">
        <f t="shared" si="43"/>
        <v>2904</v>
      </c>
      <c r="R546" s="2" t="s">
        <v>28</v>
      </c>
      <c r="S546" s="9">
        <f t="shared" si="44"/>
        <v>272.25</v>
      </c>
    </row>
    <row r="547" spans="1:19" x14ac:dyDescent="0.3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str">
        <f>IFERROR(VLOOKUP('Customer Info'!A539,'Customer Info'!A539:C1038,2,FALSE),"Not Found")</f>
        <v>Not Found</v>
      </c>
      <c r="H547" s="6" t="str">
        <f>IFERROR(VLOOKUP('Customer Info'!A539,'Customer Info'!A539:C1038,3,FALSE),"Not Found")</f>
        <v>Not Found</v>
      </c>
      <c r="I547" s="6" t="str">
        <f>IFERROR(VLOOKUP('Customer Info'!A539,'Customer Info'!A539:E1038,5,FALSE),"Not Found")</f>
        <v>Not Found</v>
      </c>
      <c r="J547" s="2">
        <v>3108</v>
      </c>
      <c r="K547" s="2">
        <v>2882</v>
      </c>
      <c r="L547" s="2">
        <v>5</v>
      </c>
      <c r="M547" s="7">
        <f t="shared" si="40"/>
        <v>14410</v>
      </c>
      <c r="N547" s="7">
        <f t="shared" si="41"/>
        <v>15540</v>
      </c>
      <c r="O547" s="2">
        <v>76</v>
      </c>
      <c r="P547" s="8">
        <f t="shared" si="42"/>
        <v>15616</v>
      </c>
      <c r="Q547" s="8">
        <f t="shared" si="43"/>
        <v>12658</v>
      </c>
      <c r="R547" s="2" t="s">
        <v>50</v>
      </c>
      <c r="S547" s="9">
        <f t="shared" si="44"/>
        <v>780.80000000000007</v>
      </c>
    </row>
    <row r="548" spans="1:19" x14ac:dyDescent="0.3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str">
        <f>IFERROR(VLOOKUP('Customer Info'!A540,'Customer Info'!A540:C1039,2,FALSE),"Not Found")</f>
        <v>Not Found</v>
      </c>
      <c r="H548" s="6" t="str">
        <f>IFERROR(VLOOKUP('Customer Info'!A540,'Customer Info'!A540:C1039,3,FALSE),"Not Found")</f>
        <v>Not Found</v>
      </c>
      <c r="I548" s="6" t="str">
        <f>IFERROR(VLOOKUP('Customer Info'!A540,'Customer Info'!A540:E1039,5,FALSE),"Not Found")</f>
        <v>Not Found</v>
      </c>
      <c r="J548" s="2">
        <v>39095</v>
      </c>
      <c r="K548" s="2">
        <v>35516</v>
      </c>
      <c r="L548" s="2">
        <v>6</v>
      </c>
      <c r="M548" s="7">
        <f t="shared" si="40"/>
        <v>213096</v>
      </c>
      <c r="N548" s="7">
        <f t="shared" si="41"/>
        <v>234570</v>
      </c>
      <c r="O548" s="2">
        <v>99</v>
      </c>
      <c r="P548" s="8">
        <f t="shared" si="42"/>
        <v>234669</v>
      </c>
      <c r="Q548" s="8">
        <f t="shared" si="43"/>
        <v>199054</v>
      </c>
      <c r="R548" s="2" t="s">
        <v>28</v>
      </c>
      <c r="S548" s="9">
        <f t="shared" si="44"/>
        <v>28160.28</v>
      </c>
    </row>
    <row r="549" spans="1:19" x14ac:dyDescent="0.3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str">
        <f>IFERROR(VLOOKUP('Customer Info'!A541,'Customer Info'!A541:C1040,2,FALSE),"Not Found")</f>
        <v>Not Found</v>
      </c>
      <c r="H549" s="6" t="str">
        <f>IFERROR(VLOOKUP('Customer Info'!A541,'Customer Info'!A541:C1040,3,FALSE),"Not Found")</f>
        <v>Not Found</v>
      </c>
      <c r="I549" s="6" t="str">
        <f>IFERROR(VLOOKUP('Customer Info'!A541,'Customer Info'!A541:E1040,5,FALSE),"Not Found")</f>
        <v>Not Found</v>
      </c>
      <c r="J549" s="2">
        <v>531</v>
      </c>
      <c r="K549" s="2">
        <v>487</v>
      </c>
      <c r="L549" s="2">
        <v>3</v>
      </c>
      <c r="M549" s="7">
        <f t="shared" si="40"/>
        <v>1461</v>
      </c>
      <c r="N549" s="7">
        <f t="shared" si="41"/>
        <v>1593</v>
      </c>
      <c r="O549" s="2">
        <v>33</v>
      </c>
      <c r="P549" s="8">
        <f t="shared" si="42"/>
        <v>1626</v>
      </c>
      <c r="Q549" s="8">
        <f t="shared" si="43"/>
        <v>1106</v>
      </c>
      <c r="R549" s="2" t="s">
        <v>26</v>
      </c>
      <c r="S549" s="9">
        <f t="shared" si="44"/>
        <v>32.520000000000003</v>
      </c>
    </row>
    <row r="550" spans="1:19" x14ac:dyDescent="0.3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str">
        <f>IFERROR(VLOOKUP('Customer Info'!A542,'Customer Info'!A542:C1041,2,FALSE),"Not Found")</f>
        <v>Not Found</v>
      </c>
      <c r="H550" s="6" t="str">
        <f>IFERROR(VLOOKUP('Customer Info'!A542,'Customer Info'!A542:C1041,3,FALSE),"Not Found")</f>
        <v>Not Found</v>
      </c>
      <c r="I550" s="6" t="str">
        <f>IFERROR(VLOOKUP('Customer Info'!A542,'Customer Info'!A542:E1041,5,FALSE),"Not Found")</f>
        <v>Not Found</v>
      </c>
      <c r="J550" s="2">
        <v>136</v>
      </c>
      <c r="K550" s="2">
        <v>130</v>
      </c>
      <c r="L550" s="2">
        <v>9</v>
      </c>
      <c r="M550" s="7">
        <f t="shared" si="40"/>
        <v>1170</v>
      </c>
      <c r="N550" s="7">
        <f t="shared" si="41"/>
        <v>1224</v>
      </c>
      <c r="O550" s="2">
        <v>30</v>
      </c>
      <c r="P550" s="8">
        <f t="shared" si="42"/>
        <v>1254</v>
      </c>
      <c r="Q550" s="8">
        <f t="shared" si="43"/>
        <v>1094</v>
      </c>
      <c r="R550" s="2" t="s">
        <v>28</v>
      </c>
      <c r="S550" s="9">
        <f t="shared" si="44"/>
        <v>25.080000000000002</v>
      </c>
    </row>
    <row r="551" spans="1:19" x14ac:dyDescent="0.3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str">
        <f>IFERROR(VLOOKUP('Customer Info'!A543,'Customer Info'!A543:C1042,2,FALSE),"Not Found")</f>
        <v>Not Found</v>
      </c>
      <c r="H551" s="6" t="str">
        <f>IFERROR(VLOOKUP('Customer Info'!A543,'Customer Info'!A543:C1042,3,FALSE),"Not Found")</f>
        <v>Not Found</v>
      </c>
      <c r="I551" s="6" t="str">
        <f>IFERROR(VLOOKUP('Customer Info'!A543,'Customer Info'!A543:E1042,5,FALSE),"Not Found")</f>
        <v>Not Found</v>
      </c>
      <c r="J551" s="2">
        <v>2296</v>
      </c>
      <c r="K551" s="2">
        <v>2146</v>
      </c>
      <c r="L551" s="2">
        <v>3</v>
      </c>
      <c r="M551" s="7">
        <f t="shared" si="40"/>
        <v>6438</v>
      </c>
      <c r="N551" s="7">
        <f t="shared" si="41"/>
        <v>6888</v>
      </c>
      <c r="O551" s="2">
        <v>68</v>
      </c>
      <c r="P551" s="8">
        <f t="shared" si="42"/>
        <v>6956</v>
      </c>
      <c r="Q551" s="8">
        <f t="shared" si="43"/>
        <v>4742</v>
      </c>
      <c r="R551" s="2" t="s">
        <v>28</v>
      </c>
      <c r="S551" s="9">
        <f t="shared" si="44"/>
        <v>347.8</v>
      </c>
    </row>
    <row r="552" spans="1:19" x14ac:dyDescent="0.3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str">
        <f>IFERROR(VLOOKUP('Customer Info'!A544,'Customer Info'!A544:C1043,2,FALSE),"Not Found")</f>
        <v>Not Found</v>
      </c>
      <c r="H552" s="6" t="str">
        <f>IFERROR(VLOOKUP('Customer Info'!A544,'Customer Info'!A544:C1043,3,FALSE),"Not Found")</f>
        <v>Not Found</v>
      </c>
      <c r="I552" s="6" t="str">
        <f>IFERROR(VLOOKUP('Customer Info'!A544,'Customer Info'!A544:E1043,5,FALSE),"Not Found")</f>
        <v>Not Found</v>
      </c>
      <c r="J552" s="2">
        <v>2526</v>
      </c>
      <c r="K552" s="2">
        <v>2408</v>
      </c>
      <c r="L552" s="2">
        <v>2</v>
      </c>
      <c r="M552" s="7">
        <f t="shared" si="40"/>
        <v>4816</v>
      </c>
      <c r="N552" s="7">
        <f t="shared" si="41"/>
        <v>5052</v>
      </c>
      <c r="O552" s="2">
        <v>50</v>
      </c>
      <c r="P552" s="8">
        <f t="shared" si="42"/>
        <v>5102</v>
      </c>
      <c r="Q552" s="8">
        <f t="shared" si="43"/>
        <v>2644</v>
      </c>
      <c r="R552" s="2" t="s">
        <v>50</v>
      </c>
      <c r="S552" s="9">
        <f t="shared" si="44"/>
        <v>255.10000000000002</v>
      </c>
    </row>
    <row r="553" spans="1:19" x14ac:dyDescent="0.3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str">
        <f>IFERROR(VLOOKUP('Customer Info'!A545,'Customer Info'!A545:C1044,2,FALSE),"Not Found")</f>
        <v>Not Found</v>
      </c>
      <c r="H553" s="6" t="str">
        <f>IFERROR(VLOOKUP('Customer Info'!A545,'Customer Info'!A545:C1044,3,FALSE),"Not Found")</f>
        <v>Not Found</v>
      </c>
      <c r="I553" s="6" t="str">
        <f>IFERROR(VLOOKUP('Customer Info'!A545,'Customer Info'!A545:E1044,5,FALSE),"Not Found")</f>
        <v>Not Found</v>
      </c>
      <c r="J553" s="2">
        <v>998</v>
      </c>
      <c r="K553" s="2">
        <v>931</v>
      </c>
      <c r="L553" s="2">
        <v>4</v>
      </c>
      <c r="M553" s="7">
        <f t="shared" si="40"/>
        <v>3724</v>
      </c>
      <c r="N553" s="7">
        <f t="shared" si="41"/>
        <v>3992</v>
      </c>
      <c r="O553" s="2">
        <v>91</v>
      </c>
      <c r="P553" s="8">
        <f t="shared" si="42"/>
        <v>4083</v>
      </c>
      <c r="Q553" s="8">
        <f t="shared" si="43"/>
        <v>3061</v>
      </c>
      <c r="R553" s="2" t="s">
        <v>28</v>
      </c>
      <c r="S553" s="9">
        <f t="shared" si="44"/>
        <v>81.66</v>
      </c>
    </row>
    <row r="554" spans="1:19" x14ac:dyDescent="0.3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str">
        <f>IFERROR(VLOOKUP('Customer Info'!A546,'Customer Info'!A546:C1045,2,FALSE),"Not Found")</f>
        <v>Not Found</v>
      </c>
      <c r="H554" s="6" t="str">
        <f>IFERROR(VLOOKUP('Customer Info'!A546,'Customer Info'!A546:C1045,3,FALSE),"Not Found")</f>
        <v>Not Found</v>
      </c>
      <c r="I554" s="6" t="str">
        <f>IFERROR(VLOOKUP('Customer Info'!A546,'Customer Info'!A546:E1045,5,FALSE),"Not Found")</f>
        <v>Not Found</v>
      </c>
      <c r="J554" s="2">
        <v>465</v>
      </c>
      <c r="K554" s="2">
        <v>439</v>
      </c>
      <c r="L554" s="2">
        <v>4</v>
      </c>
      <c r="M554" s="7">
        <f t="shared" si="40"/>
        <v>1756</v>
      </c>
      <c r="N554" s="7">
        <f t="shared" si="41"/>
        <v>1860</v>
      </c>
      <c r="O554" s="2">
        <v>52</v>
      </c>
      <c r="P554" s="8">
        <f t="shared" si="42"/>
        <v>1912</v>
      </c>
      <c r="Q554" s="8">
        <f t="shared" si="43"/>
        <v>1421</v>
      </c>
      <c r="R554" s="2" t="s">
        <v>28</v>
      </c>
      <c r="S554" s="9">
        <f t="shared" si="44"/>
        <v>38.24</v>
      </c>
    </row>
    <row r="555" spans="1:19" x14ac:dyDescent="0.3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str">
        <f>IFERROR(VLOOKUP('Customer Info'!A547,'Customer Info'!A547:C1046,2,FALSE),"Not Found")</f>
        <v>Not Found</v>
      </c>
      <c r="H555" s="6" t="str">
        <f>IFERROR(VLOOKUP('Customer Info'!A547,'Customer Info'!A547:C1046,3,FALSE),"Not Found")</f>
        <v>Not Found</v>
      </c>
      <c r="I555" s="6" t="str">
        <f>IFERROR(VLOOKUP('Customer Info'!A547,'Customer Info'!A547:E1046,5,FALSE),"Not Found")</f>
        <v>Not Found</v>
      </c>
      <c r="J555" s="2">
        <v>1222</v>
      </c>
      <c r="K555" s="2">
        <v>1187</v>
      </c>
      <c r="L555" s="2">
        <v>2</v>
      </c>
      <c r="M555" s="7">
        <f t="shared" si="40"/>
        <v>2374</v>
      </c>
      <c r="N555" s="7">
        <f t="shared" si="41"/>
        <v>2444</v>
      </c>
      <c r="O555" s="2">
        <v>78</v>
      </c>
      <c r="P555" s="8">
        <f t="shared" si="42"/>
        <v>2522</v>
      </c>
      <c r="Q555" s="8">
        <f t="shared" si="43"/>
        <v>1257</v>
      </c>
      <c r="R555" s="2" t="s">
        <v>28</v>
      </c>
      <c r="S555" s="9">
        <f t="shared" si="44"/>
        <v>50.44</v>
      </c>
    </row>
    <row r="556" spans="1:19" x14ac:dyDescent="0.3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str">
        <f>IFERROR(VLOOKUP('Customer Info'!A548,'Customer Info'!A548:C1047,2,FALSE),"Not Found")</f>
        <v>Not Found</v>
      </c>
      <c r="H556" s="6" t="str">
        <f>IFERROR(VLOOKUP('Customer Info'!A548,'Customer Info'!A548:C1047,3,FALSE),"Not Found")</f>
        <v>Not Found</v>
      </c>
      <c r="I556" s="6" t="str">
        <f>IFERROR(VLOOKUP('Customer Info'!A548,'Customer Info'!A548:E1047,5,FALSE),"Not Found")</f>
        <v>Not Found</v>
      </c>
      <c r="J556" s="2">
        <v>1306</v>
      </c>
      <c r="K556" s="2">
        <v>1197</v>
      </c>
      <c r="L556" s="2">
        <v>6</v>
      </c>
      <c r="M556" s="7">
        <f t="shared" si="40"/>
        <v>7182</v>
      </c>
      <c r="N556" s="7">
        <f t="shared" si="41"/>
        <v>7836</v>
      </c>
      <c r="O556" s="2">
        <v>91</v>
      </c>
      <c r="P556" s="8">
        <f t="shared" si="42"/>
        <v>7927</v>
      </c>
      <c r="Q556" s="8">
        <f t="shared" si="43"/>
        <v>6639</v>
      </c>
      <c r="R556" s="2" t="s">
        <v>50</v>
      </c>
      <c r="S556" s="9">
        <f t="shared" si="44"/>
        <v>396.35</v>
      </c>
    </row>
    <row r="557" spans="1:19" x14ac:dyDescent="0.3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str">
        <f>IFERROR(VLOOKUP('Customer Info'!A549,'Customer Info'!A549:C1048,2,FALSE),"Not Found")</f>
        <v>Not Found</v>
      </c>
      <c r="H557" s="6" t="str">
        <f>IFERROR(VLOOKUP('Customer Info'!A549,'Customer Info'!A549:C1048,3,FALSE),"Not Found")</f>
        <v>Not Found</v>
      </c>
      <c r="I557" s="6" t="str">
        <f>IFERROR(VLOOKUP('Customer Info'!A549,'Customer Info'!A549:E1048,5,FALSE),"Not Found")</f>
        <v>Not Found</v>
      </c>
      <c r="J557" s="2">
        <v>218</v>
      </c>
      <c r="K557" s="2">
        <v>200</v>
      </c>
      <c r="L557" s="2">
        <v>2</v>
      </c>
      <c r="M557" s="7">
        <f t="shared" si="40"/>
        <v>400</v>
      </c>
      <c r="N557" s="7">
        <f t="shared" si="41"/>
        <v>436</v>
      </c>
      <c r="O557" s="2">
        <v>65</v>
      </c>
      <c r="P557" s="8">
        <f t="shared" si="42"/>
        <v>501</v>
      </c>
      <c r="Q557" s="8">
        <f t="shared" si="43"/>
        <v>236</v>
      </c>
      <c r="R557" s="2" t="s">
        <v>50</v>
      </c>
      <c r="S557" s="9">
        <f t="shared" si="44"/>
        <v>10.02</v>
      </c>
    </row>
    <row r="558" spans="1:19" x14ac:dyDescent="0.3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str">
        <f>IFERROR(VLOOKUP('Customer Info'!A550,'Customer Info'!A550:C1049,2,FALSE),"Not Found")</f>
        <v>Not Found</v>
      </c>
      <c r="H558" s="6" t="str">
        <f>IFERROR(VLOOKUP('Customer Info'!A550,'Customer Info'!A550:C1049,3,FALSE),"Not Found")</f>
        <v>Not Found</v>
      </c>
      <c r="I558" s="6" t="str">
        <f>IFERROR(VLOOKUP('Customer Info'!A550,'Customer Info'!A550:E1049,5,FALSE),"Not Found")</f>
        <v>Not Found</v>
      </c>
      <c r="J558" s="2">
        <v>2790</v>
      </c>
      <c r="K558" s="2">
        <v>2557</v>
      </c>
      <c r="L558" s="2">
        <v>1</v>
      </c>
      <c r="M558" s="7">
        <f t="shared" si="40"/>
        <v>2557</v>
      </c>
      <c r="N558" s="7">
        <f t="shared" si="41"/>
        <v>2790</v>
      </c>
      <c r="O558" s="2">
        <v>52</v>
      </c>
      <c r="P558" s="8">
        <f t="shared" si="42"/>
        <v>2842</v>
      </c>
      <c r="Q558" s="8">
        <f t="shared" si="43"/>
        <v>233</v>
      </c>
      <c r="R558" s="2" t="s">
        <v>50</v>
      </c>
      <c r="S558" s="9">
        <f t="shared" si="44"/>
        <v>56.84</v>
      </c>
    </row>
    <row r="559" spans="1:19" x14ac:dyDescent="0.3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str">
        <f>IFERROR(VLOOKUP('Customer Info'!A551,'Customer Info'!A551:C1050,2,FALSE),"Not Found")</f>
        <v>Not Found</v>
      </c>
      <c r="H559" s="6" t="str">
        <f>IFERROR(VLOOKUP('Customer Info'!A551,'Customer Info'!A551:C1050,3,FALSE),"Not Found")</f>
        <v>Not Found</v>
      </c>
      <c r="I559" s="6" t="str">
        <f>IFERROR(VLOOKUP('Customer Info'!A551,'Customer Info'!A551:E1050,5,FALSE),"Not Found")</f>
        <v>Not Found</v>
      </c>
      <c r="J559" s="2">
        <v>3408</v>
      </c>
      <c r="K559" s="2">
        <v>3215</v>
      </c>
      <c r="L559" s="2">
        <v>3</v>
      </c>
      <c r="M559" s="7">
        <f t="shared" si="40"/>
        <v>9645</v>
      </c>
      <c r="N559" s="7">
        <f t="shared" si="41"/>
        <v>10224</v>
      </c>
      <c r="O559" s="2">
        <v>83</v>
      </c>
      <c r="P559" s="8">
        <f t="shared" si="42"/>
        <v>10307</v>
      </c>
      <c r="Q559" s="8">
        <f t="shared" si="43"/>
        <v>7009</v>
      </c>
      <c r="R559" s="2" t="s">
        <v>28</v>
      </c>
      <c r="S559" s="9">
        <f t="shared" si="44"/>
        <v>515.35</v>
      </c>
    </row>
    <row r="560" spans="1:19" x14ac:dyDescent="0.3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str">
        <f>IFERROR(VLOOKUP('Customer Info'!A552,'Customer Info'!A552:C1051,2,FALSE),"Not Found")</f>
        <v>Not Found</v>
      </c>
      <c r="H560" s="6" t="str">
        <f>IFERROR(VLOOKUP('Customer Info'!A552,'Customer Info'!A552:C1051,3,FALSE),"Not Found")</f>
        <v>Not Found</v>
      </c>
      <c r="I560" s="6" t="str">
        <f>IFERROR(VLOOKUP('Customer Info'!A552,'Customer Info'!A552:E1051,5,FALSE),"Not Found")</f>
        <v>Not Found</v>
      </c>
      <c r="J560" s="2">
        <v>8878</v>
      </c>
      <c r="K560" s="2">
        <v>7914</v>
      </c>
      <c r="L560" s="2">
        <v>5</v>
      </c>
      <c r="M560" s="7">
        <f t="shared" si="40"/>
        <v>39570</v>
      </c>
      <c r="N560" s="7">
        <f t="shared" si="41"/>
        <v>44390</v>
      </c>
      <c r="O560" s="2">
        <v>80</v>
      </c>
      <c r="P560" s="8">
        <f t="shared" si="42"/>
        <v>44470</v>
      </c>
      <c r="Q560" s="8">
        <f t="shared" si="43"/>
        <v>36476</v>
      </c>
      <c r="R560" s="2" t="s">
        <v>28</v>
      </c>
      <c r="S560" s="9">
        <f t="shared" si="44"/>
        <v>3112.9</v>
      </c>
    </row>
    <row r="561" spans="1:19" x14ac:dyDescent="0.3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str">
        <f>IFERROR(VLOOKUP('Customer Info'!A553,'Customer Info'!A553:C1052,2,FALSE),"Not Found")</f>
        <v>Not Found</v>
      </c>
      <c r="H561" s="6" t="str">
        <f>IFERROR(VLOOKUP('Customer Info'!A553,'Customer Info'!A553:C1052,3,FALSE),"Not Found")</f>
        <v>Not Found</v>
      </c>
      <c r="I561" s="6" t="str">
        <f>IFERROR(VLOOKUP('Customer Info'!A553,'Customer Info'!A553:E1052,5,FALSE),"Not Found")</f>
        <v>Not Found</v>
      </c>
      <c r="J561" s="2">
        <v>1292</v>
      </c>
      <c r="K561" s="2">
        <v>1185</v>
      </c>
      <c r="L561" s="2">
        <v>5</v>
      </c>
      <c r="M561" s="7">
        <f t="shared" si="40"/>
        <v>5925</v>
      </c>
      <c r="N561" s="7">
        <f t="shared" si="41"/>
        <v>6460</v>
      </c>
      <c r="O561" s="2">
        <v>25</v>
      </c>
      <c r="P561" s="8">
        <f t="shared" si="42"/>
        <v>6485</v>
      </c>
      <c r="Q561" s="8">
        <f t="shared" si="43"/>
        <v>5275</v>
      </c>
      <c r="R561" s="2" t="s">
        <v>28</v>
      </c>
      <c r="S561" s="9">
        <f t="shared" si="44"/>
        <v>324.25</v>
      </c>
    </row>
    <row r="562" spans="1:19" x14ac:dyDescent="0.3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str">
        <f>IFERROR(VLOOKUP('Customer Info'!A554,'Customer Info'!A554:C1053,2,FALSE),"Not Found")</f>
        <v>Not Found</v>
      </c>
      <c r="H562" s="6" t="str">
        <f>IFERROR(VLOOKUP('Customer Info'!A554,'Customer Info'!A554:C1053,3,FALSE),"Not Found")</f>
        <v>Not Found</v>
      </c>
      <c r="I562" s="6" t="str">
        <f>IFERROR(VLOOKUP('Customer Info'!A554,'Customer Info'!A554:E1053,5,FALSE),"Not Found")</f>
        <v>Not Found</v>
      </c>
      <c r="J562" s="2">
        <v>68</v>
      </c>
      <c r="K562" s="2">
        <v>63</v>
      </c>
      <c r="L562" s="2">
        <v>2</v>
      </c>
      <c r="M562" s="7">
        <f t="shared" si="40"/>
        <v>126</v>
      </c>
      <c r="N562" s="7">
        <f t="shared" si="41"/>
        <v>136</v>
      </c>
      <c r="O562" s="2">
        <v>10</v>
      </c>
      <c r="P562" s="8">
        <f t="shared" si="42"/>
        <v>146</v>
      </c>
      <c r="Q562" s="8">
        <f t="shared" si="43"/>
        <v>73</v>
      </c>
      <c r="R562" s="2" t="s">
        <v>26</v>
      </c>
      <c r="S562" s="9">
        <f t="shared" si="44"/>
        <v>2.92</v>
      </c>
    </row>
    <row r="563" spans="1:19" x14ac:dyDescent="0.3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str">
        <f>IFERROR(VLOOKUP('Customer Info'!A555,'Customer Info'!A555:C1054,2,FALSE),"Not Found")</f>
        <v>Not Found</v>
      </c>
      <c r="H563" s="6" t="str">
        <f>IFERROR(VLOOKUP('Customer Info'!A555,'Customer Info'!A555:C1054,3,FALSE),"Not Found")</f>
        <v>Not Found</v>
      </c>
      <c r="I563" s="6" t="str">
        <f>IFERROR(VLOOKUP('Customer Info'!A555,'Customer Info'!A555:E1054,5,FALSE),"Not Found")</f>
        <v>Not Found</v>
      </c>
      <c r="J563" s="2">
        <v>179</v>
      </c>
      <c r="K563" s="2">
        <v>166</v>
      </c>
      <c r="L563" s="2">
        <v>1</v>
      </c>
      <c r="M563" s="7">
        <f t="shared" si="40"/>
        <v>166</v>
      </c>
      <c r="N563" s="7">
        <f t="shared" si="41"/>
        <v>179</v>
      </c>
      <c r="O563" s="2">
        <v>30</v>
      </c>
      <c r="P563" s="8">
        <f t="shared" si="42"/>
        <v>209</v>
      </c>
      <c r="Q563" s="8">
        <f t="shared" si="43"/>
        <v>13</v>
      </c>
      <c r="R563" s="2" t="s">
        <v>28</v>
      </c>
      <c r="S563" s="9">
        <f t="shared" si="44"/>
        <v>4.18</v>
      </c>
    </row>
    <row r="564" spans="1:19" x14ac:dyDescent="0.3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str">
        <f>IFERROR(VLOOKUP('Customer Info'!A556,'Customer Info'!A556:C1055,2,FALSE),"Not Found")</f>
        <v>Not Found</v>
      </c>
      <c r="H564" s="6" t="str">
        <f>IFERROR(VLOOKUP('Customer Info'!A556,'Customer Info'!A556:C1055,3,FALSE),"Not Found")</f>
        <v>Not Found</v>
      </c>
      <c r="I564" s="6" t="str">
        <f>IFERROR(VLOOKUP('Customer Info'!A556,'Customer Info'!A556:E1055,5,FALSE),"Not Found")</f>
        <v>Not Found</v>
      </c>
      <c r="J564" s="2">
        <v>8967</v>
      </c>
      <c r="K564" s="2">
        <v>8151</v>
      </c>
      <c r="L564" s="2">
        <v>4</v>
      </c>
      <c r="M564" s="7">
        <f t="shared" si="40"/>
        <v>32604</v>
      </c>
      <c r="N564" s="7">
        <f t="shared" si="41"/>
        <v>35868</v>
      </c>
      <c r="O564" s="2">
        <v>62</v>
      </c>
      <c r="P564" s="8">
        <f t="shared" si="42"/>
        <v>35930</v>
      </c>
      <c r="Q564" s="8">
        <f t="shared" si="43"/>
        <v>27717</v>
      </c>
      <c r="R564" s="2" t="s">
        <v>28</v>
      </c>
      <c r="S564" s="9">
        <f t="shared" si="44"/>
        <v>2515.1000000000004</v>
      </c>
    </row>
    <row r="565" spans="1:19" x14ac:dyDescent="0.3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str">
        <f>IFERROR(VLOOKUP('Customer Info'!A557,'Customer Info'!A557:C1056,2,FALSE),"Not Found")</f>
        <v>Not Found</v>
      </c>
      <c r="H565" s="6" t="str">
        <f>IFERROR(VLOOKUP('Customer Info'!A557,'Customer Info'!A557:C1056,3,FALSE),"Not Found")</f>
        <v>Not Found</v>
      </c>
      <c r="I565" s="6" t="str">
        <f>IFERROR(VLOOKUP('Customer Info'!A557,'Customer Info'!A557:E1056,5,FALSE),"Not Found")</f>
        <v>Not Found</v>
      </c>
      <c r="J565" s="2">
        <v>2243</v>
      </c>
      <c r="K565" s="2">
        <v>2000</v>
      </c>
      <c r="L565" s="2">
        <v>5</v>
      </c>
      <c r="M565" s="7">
        <f t="shared" si="40"/>
        <v>10000</v>
      </c>
      <c r="N565" s="7">
        <f t="shared" si="41"/>
        <v>11215</v>
      </c>
      <c r="O565" s="2">
        <v>41</v>
      </c>
      <c r="P565" s="8">
        <f t="shared" si="42"/>
        <v>11256</v>
      </c>
      <c r="Q565" s="8">
        <f t="shared" si="43"/>
        <v>9215</v>
      </c>
      <c r="R565" s="2" t="s">
        <v>28</v>
      </c>
      <c r="S565" s="9">
        <f t="shared" si="44"/>
        <v>562.80000000000007</v>
      </c>
    </row>
    <row r="566" spans="1:19" x14ac:dyDescent="0.3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str">
        <f>IFERROR(VLOOKUP('Customer Info'!A558,'Customer Info'!A558:C1057,2,FALSE),"Not Found")</f>
        <v>Not Found</v>
      </c>
      <c r="H566" s="6" t="str">
        <f>IFERROR(VLOOKUP('Customer Info'!A558,'Customer Info'!A558:C1057,3,FALSE),"Not Found")</f>
        <v>Not Found</v>
      </c>
      <c r="I566" s="6" t="str">
        <f>IFERROR(VLOOKUP('Customer Info'!A558,'Customer Info'!A558:E1057,5,FALSE),"Not Found")</f>
        <v>Not Found</v>
      </c>
      <c r="J566" s="2">
        <v>2205</v>
      </c>
      <c r="K566" s="2">
        <v>2061</v>
      </c>
      <c r="L566" s="2">
        <v>3</v>
      </c>
      <c r="M566" s="7">
        <f t="shared" si="40"/>
        <v>6183</v>
      </c>
      <c r="N566" s="7">
        <f t="shared" si="41"/>
        <v>6615</v>
      </c>
      <c r="O566" s="2">
        <v>90</v>
      </c>
      <c r="P566" s="8">
        <f t="shared" si="42"/>
        <v>6705</v>
      </c>
      <c r="Q566" s="8">
        <f t="shared" si="43"/>
        <v>4554</v>
      </c>
      <c r="R566" s="2" t="s">
        <v>28</v>
      </c>
      <c r="S566" s="9">
        <f t="shared" si="44"/>
        <v>335.25</v>
      </c>
    </row>
    <row r="567" spans="1:19" x14ac:dyDescent="0.3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str">
        <f>IFERROR(VLOOKUP('Customer Info'!A559,'Customer Info'!A559:C1058,2,FALSE),"Not Found")</f>
        <v>Not Found</v>
      </c>
      <c r="H567" s="6" t="str">
        <f>IFERROR(VLOOKUP('Customer Info'!A559,'Customer Info'!A559:C1058,3,FALSE),"Not Found")</f>
        <v>Not Found</v>
      </c>
      <c r="I567" s="6" t="str">
        <f>IFERROR(VLOOKUP('Customer Info'!A559,'Customer Info'!A559:E1058,5,FALSE),"Not Found")</f>
        <v>Not Found</v>
      </c>
      <c r="J567" s="2">
        <v>3053</v>
      </c>
      <c r="K567" s="2">
        <v>2937</v>
      </c>
      <c r="L567" s="2">
        <v>7</v>
      </c>
      <c r="M567" s="7">
        <f t="shared" si="40"/>
        <v>20559</v>
      </c>
      <c r="N567" s="7">
        <f t="shared" si="41"/>
        <v>21371</v>
      </c>
      <c r="O567" s="2">
        <v>32</v>
      </c>
      <c r="P567" s="8">
        <f t="shared" si="42"/>
        <v>21403</v>
      </c>
      <c r="Q567" s="8">
        <f t="shared" si="43"/>
        <v>18434</v>
      </c>
      <c r="R567" s="2" t="s">
        <v>28</v>
      </c>
      <c r="S567" s="9">
        <f t="shared" si="44"/>
        <v>1070.1500000000001</v>
      </c>
    </row>
    <row r="568" spans="1:19" x14ac:dyDescent="0.3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str">
        <f>IFERROR(VLOOKUP('Customer Info'!A560,'Customer Info'!A560:C1059,2,FALSE),"Not Found")</f>
        <v>Not Found</v>
      </c>
      <c r="H568" s="6" t="str">
        <f>IFERROR(VLOOKUP('Customer Info'!A560,'Customer Info'!A560:C1059,3,FALSE),"Not Found")</f>
        <v>Not Found</v>
      </c>
      <c r="I568" s="6" t="str">
        <f>IFERROR(VLOOKUP('Customer Info'!A560,'Customer Info'!A560:E1059,5,FALSE),"Not Found")</f>
        <v>Not Found</v>
      </c>
      <c r="J568" s="2">
        <v>8665</v>
      </c>
      <c r="K568" s="2">
        <v>7723</v>
      </c>
      <c r="L568" s="2">
        <v>3</v>
      </c>
      <c r="M568" s="7">
        <f t="shared" si="40"/>
        <v>23169</v>
      </c>
      <c r="N568" s="7">
        <f t="shared" si="41"/>
        <v>25995</v>
      </c>
      <c r="O568" s="2">
        <v>52</v>
      </c>
      <c r="P568" s="8">
        <f t="shared" si="42"/>
        <v>26047</v>
      </c>
      <c r="Q568" s="8">
        <f t="shared" si="43"/>
        <v>18272</v>
      </c>
      <c r="R568" s="2" t="s">
        <v>50</v>
      </c>
      <c r="S568" s="9">
        <f t="shared" si="44"/>
        <v>1823.2900000000002</v>
      </c>
    </row>
    <row r="569" spans="1:19" x14ac:dyDescent="0.3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str">
        <f>IFERROR(VLOOKUP('Customer Info'!A561,'Customer Info'!A561:C1060,2,FALSE),"Not Found")</f>
        <v>Not Found</v>
      </c>
      <c r="H569" s="6" t="str">
        <f>IFERROR(VLOOKUP('Customer Info'!A561,'Customer Info'!A561:C1060,3,FALSE),"Not Found")</f>
        <v>Not Found</v>
      </c>
      <c r="I569" s="6" t="str">
        <f>IFERROR(VLOOKUP('Customer Info'!A561,'Customer Info'!A561:E1060,5,FALSE),"Not Found")</f>
        <v>Not Found</v>
      </c>
      <c r="J569" s="2">
        <v>9306</v>
      </c>
      <c r="K569" s="2">
        <v>8461</v>
      </c>
      <c r="L569" s="2">
        <v>2</v>
      </c>
      <c r="M569" s="7">
        <f t="shared" si="40"/>
        <v>16922</v>
      </c>
      <c r="N569" s="7">
        <f t="shared" si="41"/>
        <v>18612</v>
      </c>
      <c r="O569" s="2">
        <v>20</v>
      </c>
      <c r="P569" s="8">
        <f t="shared" si="42"/>
        <v>18632</v>
      </c>
      <c r="Q569" s="8">
        <f t="shared" si="43"/>
        <v>10151</v>
      </c>
      <c r="R569" s="2" t="s">
        <v>28</v>
      </c>
      <c r="S569" s="9">
        <f t="shared" si="44"/>
        <v>931.6</v>
      </c>
    </row>
    <row r="570" spans="1:19" x14ac:dyDescent="0.3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str">
        <f>IFERROR(VLOOKUP('Customer Info'!A562,'Customer Info'!A562:C1061,2,FALSE),"Not Found")</f>
        <v>Not Found</v>
      </c>
      <c r="H570" s="6" t="str">
        <f>IFERROR(VLOOKUP('Customer Info'!A562,'Customer Info'!A562:C1061,3,FALSE),"Not Found")</f>
        <v>Not Found</v>
      </c>
      <c r="I570" s="6" t="str">
        <f>IFERROR(VLOOKUP('Customer Info'!A562,'Customer Info'!A562:E1061,5,FALSE),"Not Found")</f>
        <v>Not Found</v>
      </c>
      <c r="J570" s="2">
        <v>495</v>
      </c>
      <c r="K570" s="2">
        <v>458</v>
      </c>
      <c r="L570" s="2">
        <v>2</v>
      </c>
      <c r="M570" s="7">
        <f t="shared" si="40"/>
        <v>916</v>
      </c>
      <c r="N570" s="7">
        <f t="shared" si="41"/>
        <v>990</v>
      </c>
      <c r="O570" s="2">
        <v>24</v>
      </c>
      <c r="P570" s="8">
        <f t="shared" si="42"/>
        <v>1014</v>
      </c>
      <c r="Q570" s="8">
        <f t="shared" si="43"/>
        <v>532</v>
      </c>
      <c r="R570" s="2" t="s">
        <v>28</v>
      </c>
      <c r="S570" s="9">
        <f t="shared" si="44"/>
        <v>20.28</v>
      </c>
    </row>
    <row r="571" spans="1:19" x14ac:dyDescent="0.3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str">
        <f>IFERROR(VLOOKUP('Customer Info'!A563,'Customer Info'!A563:C1062,2,FALSE),"Not Found")</f>
        <v>Not Found</v>
      </c>
      <c r="H571" s="6" t="str">
        <f>IFERROR(VLOOKUP('Customer Info'!A563,'Customer Info'!A563:C1062,3,FALSE),"Not Found")</f>
        <v>Not Found</v>
      </c>
      <c r="I571" s="6" t="str">
        <f>IFERROR(VLOOKUP('Customer Info'!A563,'Customer Info'!A563:E1062,5,FALSE),"Not Found")</f>
        <v>Not Found</v>
      </c>
      <c r="J571" s="2">
        <v>6354</v>
      </c>
      <c r="K571" s="2">
        <v>5769</v>
      </c>
      <c r="L571" s="2">
        <v>2</v>
      </c>
      <c r="M571" s="7">
        <f t="shared" si="40"/>
        <v>11538</v>
      </c>
      <c r="N571" s="7">
        <f t="shared" si="41"/>
        <v>12708</v>
      </c>
      <c r="O571" s="2">
        <v>26</v>
      </c>
      <c r="P571" s="8">
        <f t="shared" si="42"/>
        <v>12734</v>
      </c>
      <c r="Q571" s="8">
        <f t="shared" si="43"/>
        <v>6939</v>
      </c>
      <c r="R571" s="2" t="s">
        <v>26</v>
      </c>
      <c r="S571" s="9">
        <f t="shared" si="44"/>
        <v>636.70000000000005</v>
      </c>
    </row>
    <row r="572" spans="1:19" x14ac:dyDescent="0.3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str">
        <f>IFERROR(VLOOKUP('Customer Info'!A564,'Customer Info'!A564:C1063,2,FALSE),"Not Found")</f>
        <v>Not Found</v>
      </c>
      <c r="H572" s="6" t="str">
        <f>IFERROR(VLOOKUP('Customer Info'!A564,'Customer Info'!A564:C1063,3,FALSE),"Not Found")</f>
        <v>Not Found</v>
      </c>
      <c r="I572" s="6" t="str">
        <f>IFERROR(VLOOKUP('Customer Info'!A564,'Customer Info'!A564:E1063,5,FALSE),"Not Found")</f>
        <v>Not Found</v>
      </c>
      <c r="J572" s="2">
        <v>139</v>
      </c>
      <c r="K572" s="2">
        <v>133</v>
      </c>
      <c r="L572" s="2">
        <v>3</v>
      </c>
      <c r="M572" s="7">
        <f t="shared" si="40"/>
        <v>399</v>
      </c>
      <c r="N572" s="7">
        <f t="shared" si="41"/>
        <v>417</v>
      </c>
      <c r="O572" s="2">
        <v>30</v>
      </c>
      <c r="P572" s="8">
        <f t="shared" si="42"/>
        <v>447</v>
      </c>
      <c r="Q572" s="8">
        <f t="shared" si="43"/>
        <v>284</v>
      </c>
      <c r="R572" s="2" t="s">
        <v>28</v>
      </c>
      <c r="S572" s="9">
        <f t="shared" si="44"/>
        <v>8.94</v>
      </c>
    </row>
    <row r="573" spans="1:19" x14ac:dyDescent="0.3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str">
        <f>IFERROR(VLOOKUP('Customer Info'!A565,'Customer Info'!A565:C1064,2,FALSE),"Not Found")</f>
        <v>Not Found</v>
      </c>
      <c r="H573" s="6" t="str">
        <f>IFERROR(VLOOKUP('Customer Info'!A565,'Customer Info'!A565:C1064,3,FALSE),"Not Found")</f>
        <v>Not Found</v>
      </c>
      <c r="I573" s="6" t="str">
        <f>IFERROR(VLOOKUP('Customer Info'!A565,'Customer Info'!A565:E1064,5,FALSE),"Not Found")</f>
        <v>Not Found</v>
      </c>
      <c r="J573" s="2">
        <v>3091</v>
      </c>
      <c r="K573" s="2">
        <v>2889</v>
      </c>
      <c r="L573" s="2">
        <v>4</v>
      </c>
      <c r="M573" s="7">
        <f t="shared" si="40"/>
        <v>11556</v>
      </c>
      <c r="N573" s="7">
        <f t="shared" si="41"/>
        <v>12364</v>
      </c>
      <c r="O573" s="2">
        <v>40</v>
      </c>
      <c r="P573" s="8">
        <f t="shared" si="42"/>
        <v>12404</v>
      </c>
      <c r="Q573" s="8">
        <f t="shared" si="43"/>
        <v>9475</v>
      </c>
      <c r="R573" s="2" t="s">
        <v>50</v>
      </c>
      <c r="S573" s="9">
        <f t="shared" si="44"/>
        <v>620.20000000000005</v>
      </c>
    </row>
    <row r="574" spans="1:19" x14ac:dyDescent="0.3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str">
        <f>IFERROR(VLOOKUP('Customer Info'!A566,'Customer Info'!A566:C1065,2,FALSE),"Not Found")</f>
        <v>Not Found</v>
      </c>
      <c r="H574" s="6" t="str">
        <f>IFERROR(VLOOKUP('Customer Info'!A566,'Customer Info'!A566:C1065,3,FALSE),"Not Found")</f>
        <v>Not Found</v>
      </c>
      <c r="I574" s="6" t="str">
        <f>IFERROR(VLOOKUP('Customer Info'!A566,'Customer Info'!A566:E1065,5,FALSE),"Not Found")</f>
        <v>Not Found</v>
      </c>
      <c r="J574" s="2">
        <v>3145</v>
      </c>
      <c r="K574" s="2">
        <v>3025</v>
      </c>
      <c r="L574" s="2">
        <v>3</v>
      </c>
      <c r="M574" s="7">
        <f t="shared" si="40"/>
        <v>9075</v>
      </c>
      <c r="N574" s="7">
        <f t="shared" si="41"/>
        <v>9435</v>
      </c>
      <c r="O574" s="2">
        <v>29</v>
      </c>
      <c r="P574" s="8">
        <f t="shared" si="42"/>
        <v>9464</v>
      </c>
      <c r="Q574" s="8">
        <f t="shared" si="43"/>
        <v>6410</v>
      </c>
      <c r="R574" s="2" t="s">
        <v>28</v>
      </c>
      <c r="S574" s="9">
        <f t="shared" si="44"/>
        <v>473.20000000000005</v>
      </c>
    </row>
    <row r="575" spans="1:19" x14ac:dyDescent="0.3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str">
        <f>IFERROR(VLOOKUP('Customer Info'!A567,'Customer Info'!A567:C1066,2,FALSE),"Not Found")</f>
        <v>Not Found</v>
      </c>
      <c r="H575" s="6" t="str">
        <f>IFERROR(VLOOKUP('Customer Info'!A567,'Customer Info'!A567:C1066,3,FALSE),"Not Found")</f>
        <v>Not Found</v>
      </c>
      <c r="I575" s="6" t="str">
        <f>IFERROR(VLOOKUP('Customer Info'!A567,'Customer Info'!A567:E1066,5,FALSE),"Not Found")</f>
        <v>Not Found</v>
      </c>
      <c r="J575" s="2">
        <v>2342</v>
      </c>
      <c r="K575" s="2">
        <v>2210</v>
      </c>
      <c r="L575" s="2">
        <v>2</v>
      </c>
      <c r="M575" s="7">
        <f t="shared" si="40"/>
        <v>4420</v>
      </c>
      <c r="N575" s="7">
        <f t="shared" si="41"/>
        <v>4684</v>
      </c>
      <c r="O575" s="2">
        <v>24</v>
      </c>
      <c r="P575" s="8">
        <f t="shared" si="42"/>
        <v>4708</v>
      </c>
      <c r="Q575" s="8">
        <f t="shared" si="43"/>
        <v>2474</v>
      </c>
      <c r="R575" s="2" t="s">
        <v>50</v>
      </c>
      <c r="S575" s="9">
        <f t="shared" si="44"/>
        <v>94.16</v>
      </c>
    </row>
    <row r="576" spans="1:19" x14ac:dyDescent="0.3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str">
        <f>IFERROR(VLOOKUP('Customer Info'!A568,'Customer Info'!A568:C1067,2,FALSE),"Not Found")</f>
        <v>Not Found</v>
      </c>
      <c r="H576" s="6" t="str">
        <f>IFERROR(VLOOKUP('Customer Info'!A568,'Customer Info'!A568:C1067,3,FALSE),"Not Found")</f>
        <v>Not Found</v>
      </c>
      <c r="I576" s="6" t="str">
        <f>IFERROR(VLOOKUP('Customer Info'!A568,'Customer Info'!A568:E1067,5,FALSE),"Not Found")</f>
        <v>Not Found</v>
      </c>
      <c r="J576" s="2">
        <v>164</v>
      </c>
      <c r="K576" s="2">
        <v>152</v>
      </c>
      <c r="L576" s="2">
        <v>1</v>
      </c>
      <c r="M576" s="7">
        <f t="shared" si="40"/>
        <v>152</v>
      </c>
      <c r="N576" s="7">
        <f t="shared" si="41"/>
        <v>164</v>
      </c>
      <c r="O576" s="2">
        <v>30</v>
      </c>
      <c r="P576" s="8">
        <f t="shared" si="42"/>
        <v>194</v>
      </c>
      <c r="Q576" s="8">
        <f t="shared" si="43"/>
        <v>12</v>
      </c>
      <c r="R576" s="2" t="s">
        <v>28</v>
      </c>
      <c r="S576" s="9">
        <f t="shared" si="44"/>
        <v>3.88</v>
      </c>
    </row>
    <row r="577" spans="1:19" x14ac:dyDescent="0.3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str">
        <f>IFERROR(VLOOKUP('Customer Info'!A569,'Customer Info'!A569:C1068,2,FALSE),"Not Found")</f>
        <v>Not Found</v>
      </c>
      <c r="H577" s="6" t="str">
        <f>IFERROR(VLOOKUP('Customer Info'!A569,'Customer Info'!A569:C1068,3,FALSE),"Not Found")</f>
        <v>Not Found</v>
      </c>
      <c r="I577" s="6" t="str">
        <f>IFERROR(VLOOKUP('Customer Info'!A569,'Customer Info'!A569:E1068,5,FALSE),"Not Found")</f>
        <v>Not Found</v>
      </c>
      <c r="J577" s="2">
        <v>1700</v>
      </c>
      <c r="K577" s="2">
        <v>1620</v>
      </c>
      <c r="L577" s="2">
        <v>4</v>
      </c>
      <c r="M577" s="7">
        <f t="shared" si="40"/>
        <v>6480</v>
      </c>
      <c r="N577" s="7">
        <f t="shared" si="41"/>
        <v>6800</v>
      </c>
      <c r="O577" s="2">
        <v>51</v>
      </c>
      <c r="P577" s="8">
        <f t="shared" si="42"/>
        <v>6851</v>
      </c>
      <c r="Q577" s="8">
        <f t="shared" si="43"/>
        <v>5180</v>
      </c>
      <c r="R577" s="2" t="s">
        <v>50</v>
      </c>
      <c r="S577" s="9">
        <f t="shared" si="44"/>
        <v>342.55</v>
      </c>
    </row>
    <row r="578" spans="1:19" x14ac:dyDescent="0.3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str">
        <f>IFERROR(VLOOKUP('Customer Info'!A570,'Customer Info'!A570:C1069,2,FALSE),"Not Found")</f>
        <v>Not Found</v>
      </c>
      <c r="H578" s="6" t="str">
        <f>IFERROR(VLOOKUP('Customer Info'!A570,'Customer Info'!A570:C1069,3,FALSE),"Not Found")</f>
        <v>Not Found</v>
      </c>
      <c r="I578" s="6" t="str">
        <f>IFERROR(VLOOKUP('Customer Info'!A570,'Customer Info'!A570:E1069,5,FALSE),"Not Found")</f>
        <v>Not Found</v>
      </c>
      <c r="J578" s="2">
        <v>24662</v>
      </c>
      <c r="K578" s="2">
        <v>23061</v>
      </c>
      <c r="L578" s="2">
        <v>3</v>
      </c>
      <c r="M578" s="7">
        <f t="shared" si="40"/>
        <v>69183</v>
      </c>
      <c r="N578" s="7">
        <f t="shared" si="41"/>
        <v>73986</v>
      </c>
      <c r="O578" s="2">
        <v>87</v>
      </c>
      <c r="P578" s="8">
        <f t="shared" si="42"/>
        <v>74073</v>
      </c>
      <c r="Q578" s="8">
        <f t="shared" si="43"/>
        <v>50925</v>
      </c>
      <c r="R578" s="2" t="s">
        <v>28</v>
      </c>
      <c r="S578" s="9">
        <f t="shared" si="44"/>
        <v>6666.57</v>
      </c>
    </row>
    <row r="579" spans="1:19" x14ac:dyDescent="0.3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str">
        <f>IFERROR(VLOOKUP('Customer Info'!A571,'Customer Info'!A571:C1070,2,FALSE),"Not Found")</f>
        <v>Not Found</v>
      </c>
      <c r="H579" s="6" t="str">
        <f>IFERROR(VLOOKUP('Customer Info'!A571,'Customer Info'!A571:C1070,3,FALSE),"Not Found")</f>
        <v>Not Found</v>
      </c>
      <c r="I579" s="6" t="str">
        <f>IFERROR(VLOOKUP('Customer Info'!A571,'Customer Info'!A571:E1070,5,FALSE),"Not Found")</f>
        <v>Not Found</v>
      </c>
      <c r="J579" s="2">
        <v>224</v>
      </c>
      <c r="K579" s="2">
        <v>210</v>
      </c>
      <c r="L579" s="2">
        <v>3</v>
      </c>
      <c r="M579" s="7">
        <f t="shared" si="40"/>
        <v>630</v>
      </c>
      <c r="N579" s="7">
        <f t="shared" si="41"/>
        <v>672</v>
      </c>
      <c r="O579" s="2">
        <v>34</v>
      </c>
      <c r="P579" s="8">
        <f t="shared" si="42"/>
        <v>706</v>
      </c>
      <c r="Q579" s="8">
        <f t="shared" si="43"/>
        <v>462</v>
      </c>
      <c r="R579" s="2" t="s">
        <v>28</v>
      </c>
      <c r="S579" s="9">
        <f t="shared" si="44"/>
        <v>14.120000000000001</v>
      </c>
    </row>
    <row r="580" spans="1:19" x14ac:dyDescent="0.3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str">
        <f>IFERROR(VLOOKUP('Customer Info'!A572,'Customer Info'!A572:C1071,2,FALSE),"Not Found")</f>
        <v>Not Found</v>
      </c>
      <c r="H580" s="6" t="str">
        <f>IFERROR(VLOOKUP('Customer Info'!A572,'Customer Info'!A572:C1071,3,FALSE),"Not Found")</f>
        <v>Not Found</v>
      </c>
      <c r="I580" s="6" t="str">
        <f>IFERROR(VLOOKUP('Customer Info'!A572,'Customer Info'!A572:E1071,5,FALSE),"Not Found")</f>
        <v>Not Found</v>
      </c>
      <c r="J580" s="2">
        <v>142</v>
      </c>
      <c r="K580" s="2">
        <v>129</v>
      </c>
      <c r="L580" s="2">
        <v>2</v>
      </c>
      <c r="M580" s="7">
        <f t="shared" si="40"/>
        <v>258</v>
      </c>
      <c r="N580" s="7">
        <f t="shared" si="41"/>
        <v>284</v>
      </c>
      <c r="O580" s="2">
        <v>30</v>
      </c>
      <c r="P580" s="8">
        <f t="shared" si="42"/>
        <v>314</v>
      </c>
      <c r="Q580" s="8">
        <f t="shared" si="43"/>
        <v>155</v>
      </c>
      <c r="R580" s="2" t="s">
        <v>28</v>
      </c>
      <c r="S580" s="9">
        <f t="shared" si="44"/>
        <v>6.28</v>
      </c>
    </row>
    <row r="581" spans="1:19" x14ac:dyDescent="0.3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str">
        <f>IFERROR(VLOOKUP('Customer Info'!A573,'Customer Info'!A573:C1072,2,FALSE),"Not Found")</f>
        <v>Not Found</v>
      </c>
      <c r="H581" s="6" t="str">
        <f>IFERROR(VLOOKUP('Customer Info'!A573,'Customer Info'!A573:C1072,3,FALSE),"Not Found")</f>
        <v>Not Found</v>
      </c>
      <c r="I581" s="6" t="str">
        <f>IFERROR(VLOOKUP('Customer Info'!A573,'Customer Info'!A573:E1072,5,FALSE),"Not Found")</f>
        <v>Not Found</v>
      </c>
      <c r="J581" s="2">
        <v>1587</v>
      </c>
      <c r="K581" s="2">
        <v>1428</v>
      </c>
      <c r="L581" s="2">
        <v>2</v>
      </c>
      <c r="M581" s="7">
        <f t="shared" si="40"/>
        <v>2856</v>
      </c>
      <c r="N581" s="7">
        <f t="shared" si="41"/>
        <v>3174</v>
      </c>
      <c r="O581" s="2">
        <v>53</v>
      </c>
      <c r="P581" s="8">
        <f t="shared" si="42"/>
        <v>3227</v>
      </c>
      <c r="Q581" s="8">
        <f t="shared" si="43"/>
        <v>1746</v>
      </c>
      <c r="R581" s="2" t="s">
        <v>56</v>
      </c>
      <c r="S581" s="9">
        <f t="shared" si="44"/>
        <v>64.540000000000006</v>
      </c>
    </row>
    <row r="582" spans="1:19" x14ac:dyDescent="0.3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str">
        <f>IFERROR(VLOOKUP('Customer Info'!A574,'Customer Info'!A574:C1073,2,FALSE),"Not Found")</f>
        <v>Not Found</v>
      </c>
      <c r="H582" s="6" t="str">
        <f>IFERROR(VLOOKUP('Customer Info'!A574,'Customer Info'!A574:C1073,3,FALSE),"Not Found")</f>
        <v>Not Found</v>
      </c>
      <c r="I582" s="6" t="str">
        <f>IFERROR(VLOOKUP('Customer Info'!A574,'Customer Info'!A574:E1073,5,FALSE),"Not Found")</f>
        <v>Not Found</v>
      </c>
      <c r="J582" s="2">
        <v>2829</v>
      </c>
      <c r="K582" s="2">
        <v>2596</v>
      </c>
      <c r="L582" s="2">
        <v>4</v>
      </c>
      <c r="M582" s="7">
        <f t="shared" si="40"/>
        <v>10384</v>
      </c>
      <c r="N582" s="7">
        <f t="shared" si="41"/>
        <v>11316</v>
      </c>
      <c r="O582" s="2">
        <v>44</v>
      </c>
      <c r="P582" s="8">
        <f t="shared" si="42"/>
        <v>11360</v>
      </c>
      <c r="Q582" s="8">
        <f t="shared" si="43"/>
        <v>8720</v>
      </c>
      <c r="R582" s="2" t="s">
        <v>28</v>
      </c>
      <c r="S582" s="9">
        <f t="shared" si="44"/>
        <v>568</v>
      </c>
    </row>
    <row r="583" spans="1:19" x14ac:dyDescent="0.3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str">
        <f>IFERROR(VLOOKUP('Customer Info'!A575,'Customer Info'!A575:C1074,2,FALSE),"Not Found")</f>
        <v>Not Found</v>
      </c>
      <c r="H583" s="6" t="str">
        <f>IFERROR(VLOOKUP('Customer Info'!A575,'Customer Info'!A575:C1074,3,FALSE),"Not Found")</f>
        <v>Not Found</v>
      </c>
      <c r="I583" s="6" t="str">
        <f>IFERROR(VLOOKUP('Customer Info'!A575,'Customer Info'!A575:E1074,5,FALSE),"Not Found")</f>
        <v>Not Found</v>
      </c>
      <c r="J583" s="2">
        <v>8022</v>
      </c>
      <c r="K583" s="2">
        <v>7868</v>
      </c>
      <c r="L583" s="2">
        <v>9</v>
      </c>
      <c r="M583" s="7">
        <f t="shared" si="40"/>
        <v>70812</v>
      </c>
      <c r="N583" s="7">
        <f t="shared" si="41"/>
        <v>72198</v>
      </c>
      <c r="O583" s="2">
        <v>25</v>
      </c>
      <c r="P583" s="8">
        <f t="shared" si="42"/>
        <v>72223</v>
      </c>
      <c r="Q583" s="8">
        <f t="shared" si="43"/>
        <v>64330</v>
      </c>
      <c r="R583" s="2" t="s">
        <v>28</v>
      </c>
      <c r="S583" s="9">
        <f t="shared" si="44"/>
        <v>6500.07</v>
      </c>
    </row>
    <row r="584" spans="1:19" x14ac:dyDescent="0.3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str">
        <f>IFERROR(VLOOKUP('Customer Info'!A576,'Customer Info'!A576:C1075,2,FALSE),"Not Found")</f>
        <v>Not Found</v>
      </c>
      <c r="H584" s="6" t="str">
        <f>IFERROR(VLOOKUP('Customer Info'!A576,'Customer Info'!A576:C1075,3,FALSE),"Not Found")</f>
        <v>Not Found</v>
      </c>
      <c r="I584" s="6" t="str">
        <f>IFERROR(VLOOKUP('Customer Info'!A576,'Customer Info'!A576:E1075,5,FALSE),"Not Found")</f>
        <v>Not Found</v>
      </c>
      <c r="J584" s="2">
        <v>2249</v>
      </c>
      <c r="K584" s="2">
        <v>2102</v>
      </c>
      <c r="L584" s="2">
        <v>3</v>
      </c>
      <c r="M584" s="7">
        <f t="shared" si="40"/>
        <v>6306</v>
      </c>
      <c r="N584" s="7">
        <f t="shared" si="41"/>
        <v>6747</v>
      </c>
      <c r="O584" s="2">
        <v>41</v>
      </c>
      <c r="P584" s="8">
        <f t="shared" si="42"/>
        <v>6788</v>
      </c>
      <c r="Q584" s="8">
        <f t="shared" si="43"/>
        <v>4645</v>
      </c>
      <c r="R584" s="2" t="s">
        <v>28</v>
      </c>
      <c r="S584" s="9">
        <f t="shared" si="44"/>
        <v>339.40000000000003</v>
      </c>
    </row>
    <row r="585" spans="1:19" x14ac:dyDescent="0.3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str">
        <f>IFERROR(VLOOKUP('Customer Info'!A577,'Customer Info'!A577:C1076,2,FALSE),"Not Found")</f>
        <v>Not Found</v>
      </c>
      <c r="H585" s="6" t="str">
        <f>IFERROR(VLOOKUP('Customer Info'!A577,'Customer Info'!A577:C1076,3,FALSE),"Not Found")</f>
        <v>Not Found</v>
      </c>
      <c r="I585" s="6" t="str">
        <f>IFERROR(VLOOKUP('Customer Info'!A577,'Customer Info'!A577:E1076,5,FALSE),"Not Found")</f>
        <v>Not Found</v>
      </c>
      <c r="J585" s="2">
        <v>142</v>
      </c>
      <c r="K585" s="2">
        <v>134</v>
      </c>
      <c r="L585" s="2">
        <v>2</v>
      </c>
      <c r="M585" s="7">
        <f t="shared" si="40"/>
        <v>268</v>
      </c>
      <c r="N585" s="7">
        <f t="shared" si="41"/>
        <v>284</v>
      </c>
      <c r="O585" s="2">
        <v>30</v>
      </c>
      <c r="P585" s="8">
        <f t="shared" si="42"/>
        <v>314</v>
      </c>
      <c r="Q585" s="8">
        <f t="shared" si="43"/>
        <v>150</v>
      </c>
      <c r="R585" s="2" t="s">
        <v>28</v>
      </c>
      <c r="S585" s="9">
        <f t="shared" si="44"/>
        <v>6.28</v>
      </c>
    </row>
    <row r="586" spans="1:19" x14ac:dyDescent="0.3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str">
        <f>IFERROR(VLOOKUP('Customer Info'!A578,'Customer Info'!A578:C1077,2,FALSE),"Not Found")</f>
        <v>Not Found</v>
      </c>
      <c r="H586" s="6" t="str">
        <f>IFERROR(VLOOKUP('Customer Info'!A578,'Customer Info'!A578:C1077,3,FALSE),"Not Found")</f>
        <v>Not Found</v>
      </c>
      <c r="I586" s="6" t="str">
        <f>IFERROR(VLOOKUP('Customer Info'!A578,'Customer Info'!A578:E1077,5,FALSE),"Not Found")</f>
        <v>Not Found</v>
      </c>
      <c r="J586" s="2">
        <v>1103</v>
      </c>
      <c r="K586" s="2">
        <v>1030</v>
      </c>
      <c r="L586" s="2">
        <v>1</v>
      </c>
      <c r="M586" s="7">
        <f t="shared" si="40"/>
        <v>1030</v>
      </c>
      <c r="N586" s="7">
        <f t="shared" si="41"/>
        <v>1103</v>
      </c>
      <c r="O586" s="2">
        <v>45</v>
      </c>
      <c r="P586" s="8">
        <f t="shared" si="42"/>
        <v>1148</v>
      </c>
      <c r="Q586" s="8">
        <f t="shared" si="43"/>
        <v>73</v>
      </c>
      <c r="R586" s="2" t="s">
        <v>28</v>
      </c>
      <c r="S586" s="9">
        <f t="shared" si="44"/>
        <v>22.96</v>
      </c>
    </row>
    <row r="587" spans="1:19" x14ac:dyDescent="0.3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str">
        <f>IFERROR(VLOOKUP('Customer Info'!A579,'Customer Info'!A579:C1078,2,FALSE),"Not Found")</f>
        <v>Not Found</v>
      </c>
      <c r="H587" s="6" t="str">
        <f>IFERROR(VLOOKUP('Customer Info'!A579,'Customer Info'!A579:C1078,3,FALSE),"Not Found")</f>
        <v>Not Found</v>
      </c>
      <c r="I587" s="6" t="str">
        <f>IFERROR(VLOOKUP('Customer Info'!A579,'Customer Info'!A579:E1078,5,FALSE),"Not Found")</f>
        <v>Not Found</v>
      </c>
      <c r="J587" s="2">
        <v>1292</v>
      </c>
      <c r="K587" s="2">
        <v>1185</v>
      </c>
      <c r="L587" s="2">
        <v>14</v>
      </c>
      <c r="M587" s="7">
        <f t="shared" ref="M587:M650" si="45">$K587*$L587</f>
        <v>16590</v>
      </c>
      <c r="N587" s="7">
        <f t="shared" ref="N587:N650" si="46">$J587*$L587</f>
        <v>18088</v>
      </c>
      <c r="O587" s="2">
        <v>54</v>
      </c>
      <c r="P587" s="8">
        <f t="shared" ref="P587:P650" si="47">$N587+$O587</f>
        <v>18142</v>
      </c>
      <c r="Q587" s="8">
        <f t="shared" ref="Q587:Q650" si="48">$N587-$K587</f>
        <v>16903</v>
      </c>
      <c r="R587" s="2" t="s">
        <v>28</v>
      </c>
      <c r="S587" s="9">
        <f t="shared" ref="S587:S650" si="49" xml:space="preserve"> P587 * VLOOKUP(P587, $T$2:$U$6, 2, TRUE)</f>
        <v>907.1</v>
      </c>
    </row>
    <row r="588" spans="1:19" x14ac:dyDescent="0.3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str">
        <f>IFERROR(VLOOKUP('Customer Info'!A580,'Customer Info'!A580:C1079,2,FALSE),"Not Found")</f>
        <v>Not Found</v>
      </c>
      <c r="H588" s="6" t="str">
        <f>IFERROR(VLOOKUP('Customer Info'!A580,'Customer Info'!A580:C1079,3,FALSE),"Not Found")</f>
        <v>Not Found</v>
      </c>
      <c r="I588" s="6" t="str">
        <f>IFERROR(VLOOKUP('Customer Info'!A580,'Customer Info'!A580:E1079,5,FALSE),"Not Found")</f>
        <v>Not Found</v>
      </c>
      <c r="J588" s="2">
        <v>141</v>
      </c>
      <c r="K588" s="2">
        <v>131</v>
      </c>
      <c r="L588" s="2">
        <v>3</v>
      </c>
      <c r="M588" s="7">
        <f t="shared" si="45"/>
        <v>393</v>
      </c>
      <c r="N588" s="7">
        <f t="shared" si="46"/>
        <v>423</v>
      </c>
      <c r="O588" s="2">
        <v>30</v>
      </c>
      <c r="P588" s="8">
        <f t="shared" si="47"/>
        <v>453</v>
      </c>
      <c r="Q588" s="8">
        <f t="shared" si="48"/>
        <v>292</v>
      </c>
      <c r="R588" s="2" t="s">
        <v>50</v>
      </c>
      <c r="S588" s="9">
        <f t="shared" si="49"/>
        <v>9.06</v>
      </c>
    </row>
    <row r="589" spans="1:19" x14ac:dyDescent="0.3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str">
        <f>IFERROR(VLOOKUP('Customer Info'!A581,'Customer Info'!A581:C1080,2,FALSE),"Not Found")</f>
        <v>Not Found</v>
      </c>
      <c r="H589" s="6" t="str">
        <f>IFERROR(VLOOKUP('Customer Info'!A581,'Customer Info'!A581:C1080,3,FALSE),"Not Found")</f>
        <v>Not Found</v>
      </c>
      <c r="I589" s="6" t="str">
        <f>IFERROR(VLOOKUP('Customer Info'!A581,'Customer Info'!A581:E1080,5,FALSE),"Not Found")</f>
        <v>Not Found</v>
      </c>
      <c r="J589" s="2">
        <v>1533</v>
      </c>
      <c r="K589" s="2">
        <v>1406</v>
      </c>
      <c r="L589" s="2">
        <v>3</v>
      </c>
      <c r="M589" s="7">
        <f t="shared" si="45"/>
        <v>4218</v>
      </c>
      <c r="N589" s="7">
        <f t="shared" si="46"/>
        <v>4599</v>
      </c>
      <c r="O589" s="2">
        <v>51</v>
      </c>
      <c r="P589" s="8">
        <f t="shared" si="47"/>
        <v>4650</v>
      </c>
      <c r="Q589" s="8">
        <f t="shared" si="48"/>
        <v>3193</v>
      </c>
      <c r="R589" s="2" t="s">
        <v>26</v>
      </c>
      <c r="S589" s="9">
        <f t="shared" si="49"/>
        <v>93</v>
      </c>
    </row>
    <row r="590" spans="1:19" x14ac:dyDescent="0.3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str">
        <f>IFERROR(VLOOKUP('Customer Info'!A582,'Customer Info'!A582:C1081,2,FALSE),"Not Found")</f>
        <v>Not Found</v>
      </c>
      <c r="H590" s="6" t="str">
        <f>IFERROR(VLOOKUP('Customer Info'!A582,'Customer Info'!A582:C1081,3,FALSE),"Not Found")</f>
        <v>Not Found</v>
      </c>
      <c r="I590" s="6" t="str">
        <f>IFERROR(VLOOKUP('Customer Info'!A582,'Customer Info'!A582:E1081,5,FALSE),"Not Found")</f>
        <v>Not Found</v>
      </c>
      <c r="J590" s="2">
        <v>7327</v>
      </c>
      <c r="K590" s="2">
        <v>6658</v>
      </c>
      <c r="L590" s="2">
        <v>3</v>
      </c>
      <c r="M590" s="7">
        <f t="shared" si="45"/>
        <v>19974</v>
      </c>
      <c r="N590" s="7">
        <f t="shared" si="46"/>
        <v>21981</v>
      </c>
      <c r="O590" s="2">
        <v>60</v>
      </c>
      <c r="P590" s="8">
        <f t="shared" si="47"/>
        <v>22041</v>
      </c>
      <c r="Q590" s="8">
        <f t="shared" si="48"/>
        <v>15323</v>
      </c>
      <c r="R590" s="2" t="s">
        <v>28</v>
      </c>
      <c r="S590" s="9">
        <f t="shared" si="49"/>
        <v>1102.05</v>
      </c>
    </row>
    <row r="591" spans="1:19" x14ac:dyDescent="0.3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str">
        <f>IFERROR(VLOOKUP('Customer Info'!A583,'Customer Info'!A583:C1082,2,FALSE),"Not Found")</f>
        <v>Not Found</v>
      </c>
      <c r="H591" s="6" t="str">
        <f>IFERROR(VLOOKUP('Customer Info'!A583,'Customer Info'!A583:C1082,3,FALSE),"Not Found")</f>
        <v>Not Found</v>
      </c>
      <c r="I591" s="6" t="str">
        <f>IFERROR(VLOOKUP('Customer Info'!A583,'Customer Info'!A583:E1082,5,FALSE),"Not Found")</f>
        <v>Not Found</v>
      </c>
      <c r="J591" s="2">
        <v>542</v>
      </c>
      <c r="K591" s="2">
        <v>492</v>
      </c>
      <c r="L591" s="2">
        <v>2</v>
      </c>
      <c r="M591" s="7">
        <f t="shared" si="45"/>
        <v>984</v>
      </c>
      <c r="N591" s="7">
        <f t="shared" si="46"/>
        <v>1084</v>
      </c>
      <c r="O591" s="2">
        <v>85</v>
      </c>
      <c r="P591" s="8">
        <f t="shared" si="47"/>
        <v>1169</v>
      </c>
      <c r="Q591" s="8">
        <f t="shared" si="48"/>
        <v>592</v>
      </c>
      <c r="R591" s="2" t="s">
        <v>28</v>
      </c>
      <c r="S591" s="9">
        <f t="shared" si="49"/>
        <v>23.38</v>
      </c>
    </row>
    <row r="592" spans="1:19" x14ac:dyDescent="0.3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str">
        <f>IFERROR(VLOOKUP('Customer Info'!A584,'Customer Info'!A584:C1083,2,FALSE),"Not Found")</f>
        <v>Not Found</v>
      </c>
      <c r="H592" s="6" t="str">
        <f>IFERROR(VLOOKUP('Customer Info'!A584,'Customer Info'!A584:C1083,3,FALSE),"Not Found")</f>
        <v>Not Found</v>
      </c>
      <c r="I592" s="6" t="str">
        <f>IFERROR(VLOOKUP('Customer Info'!A584,'Customer Info'!A584:E1083,5,FALSE),"Not Found")</f>
        <v>Not Found</v>
      </c>
      <c r="J592" s="2">
        <v>222</v>
      </c>
      <c r="K592" s="2">
        <v>204</v>
      </c>
      <c r="L592" s="2">
        <v>3</v>
      </c>
      <c r="M592" s="7">
        <f t="shared" si="45"/>
        <v>612</v>
      </c>
      <c r="N592" s="7">
        <f t="shared" si="46"/>
        <v>666</v>
      </c>
      <c r="O592" s="2">
        <v>70</v>
      </c>
      <c r="P592" s="8">
        <f t="shared" si="47"/>
        <v>736</v>
      </c>
      <c r="Q592" s="8">
        <f t="shared" si="48"/>
        <v>462</v>
      </c>
      <c r="R592" s="2" t="s">
        <v>50</v>
      </c>
      <c r="S592" s="9">
        <f t="shared" si="49"/>
        <v>14.72</v>
      </c>
    </row>
    <row r="593" spans="1:19" x14ac:dyDescent="0.3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str">
        <f>IFERROR(VLOOKUP('Customer Info'!A585,'Customer Info'!A585:C1084,2,FALSE),"Not Found")</f>
        <v>Not Found</v>
      </c>
      <c r="H593" s="6" t="str">
        <f>IFERROR(VLOOKUP('Customer Info'!A585,'Customer Info'!A585:C1084,3,FALSE),"Not Found")</f>
        <v>Not Found</v>
      </c>
      <c r="I593" s="6" t="str">
        <f>IFERROR(VLOOKUP('Customer Info'!A585,'Customer Info'!A585:E1084,5,FALSE),"Not Found")</f>
        <v>Not Found</v>
      </c>
      <c r="J593" s="2">
        <v>6337</v>
      </c>
      <c r="K593" s="2">
        <v>6215</v>
      </c>
      <c r="L593" s="2">
        <v>1</v>
      </c>
      <c r="M593" s="7">
        <f t="shared" si="45"/>
        <v>6215</v>
      </c>
      <c r="N593" s="7">
        <f t="shared" si="46"/>
        <v>6337</v>
      </c>
      <c r="O593" s="2">
        <v>51</v>
      </c>
      <c r="P593" s="8">
        <f t="shared" si="47"/>
        <v>6388</v>
      </c>
      <c r="Q593" s="8">
        <f t="shared" si="48"/>
        <v>122</v>
      </c>
      <c r="R593" s="2" t="s">
        <v>50</v>
      </c>
      <c r="S593" s="9">
        <f t="shared" si="49"/>
        <v>319.40000000000003</v>
      </c>
    </row>
    <row r="594" spans="1:19" x14ac:dyDescent="0.3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str">
        <f>IFERROR(VLOOKUP('Customer Info'!A586,'Customer Info'!A586:C1085,2,FALSE),"Not Found")</f>
        <v>Not Found</v>
      </c>
      <c r="H594" s="6" t="str">
        <f>IFERROR(VLOOKUP('Customer Info'!A586,'Customer Info'!A586:C1085,3,FALSE),"Not Found")</f>
        <v>Not Found</v>
      </c>
      <c r="I594" s="6" t="str">
        <f>IFERROR(VLOOKUP('Customer Info'!A586,'Customer Info'!A586:E1085,5,FALSE),"Not Found")</f>
        <v>Not Found</v>
      </c>
      <c r="J594" s="2">
        <v>145</v>
      </c>
      <c r="K594" s="2">
        <v>130</v>
      </c>
      <c r="L594" s="2">
        <v>2</v>
      </c>
      <c r="M594" s="7">
        <f t="shared" si="45"/>
        <v>260</v>
      </c>
      <c r="N594" s="7">
        <f t="shared" si="46"/>
        <v>290</v>
      </c>
      <c r="O594" s="2">
        <v>30</v>
      </c>
      <c r="P594" s="8">
        <f t="shared" si="47"/>
        <v>320</v>
      </c>
      <c r="Q594" s="8">
        <f t="shared" si="48"/>
        <v>160</v>
      </c>
      <c r="R594" s="2" t="s">
        <v>50</v>
      </c>
      <c r="S594" s="9">
        <f t="shared" si="49"/>
        <v>6.4</v>
      </c>
    </row>
    <row r="595" spans="1:19" x14ac:dyDescent="0.3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str">
        <f>IFERROR(VLOOKUP('Customer Info'!A587,'Customer Info'!A587:C1086,2,FALSE),"Not Found")</f>
        <v>Not Found</v>
      </c>
      <c r="H595" s="6" t="str">
        <f>IFERROR(VLOOKUP('Customer Info'!A587,'Customer Info'!A587:C1086,3,FALSE),"Not Found")</f>
        <v>Not Found</v>
      </c>
      <c r="I595" s="6" t="str">
        <f>IFERROR(VLOOKUP('Customer Info'!A587,'Customer Info'!A587:E1086,5,FALSE),"Not Found")</f>
        <v>Not Found</v>
      </c>
      <c r="J595" s="2">
        <v>4577</v>
      </c>
      <c r="K595" s="2">
        <v>4285</v>
      </c>
      <c r="L595" s="2">
        <v>1</v>
      </c>
      <c r="M595" s="7">
        <f t="shared" si="45"/>
        <v>4285</v>
      </c>
      <c r="N595" s="7">
        <f t="shared" si="46"/>
        <v>4577</v>
      </c>
      <c r="O595" s="2">
        <v>33</v>
      </c>
      <c r="P595" s="8">
        <f t="shared" si="47"/>
        <v>4610</v>
      </c>
      <c r="Q595" s="8">
        <f t="shared" si="48"/>
        <v>292</v>
      </c>
      <c r="R595" s="2" t="s">
        <v>28</v>
      </c>
      <c r="S595" s="9">
        <f t="shared" si="49"/>
        <v>92.2</v>
      </c>
    </row>
    <row r="596" spans="1:19" x14ac:dyDescent="0.3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str">
        <f>IFERROR(VLOOKUP('Customer Info'!A588,'Customer Info'!A588:C1087,2,FALSE),"Not Found")</f>
        <v>Not Found</v>
      </c>
      <c r="H596" s="6" t="str">
        <f>IFERROR(VLOOKUP('Customer Info'!A588,'Customer Info'!A588:C1087,3,FALSE),"Not Found")</f>
        <v>Not Found</v>
      </c>
      <c r="I596" s="6" t="str">
        <f>IFERROR(VLOOKUP('Customer Info'!A588,'Customer Info'!A588:E1087,5,FALSE),"Not Found")</f>
        <v>Not Found</v>
      </c>
      <c r="J596" s="2">
        <v>142</v>
      </c>
      <c r="K596" s="2">
        <v>134</v>
      </c>
      <c r="L596" s="2">
        <v>10</v>
      </c>
      <c r="M596" s="7">
        <f t="shared" si="45"/>
        <v>1340</v>
      </c>
      <c r="N596" s="7">
        <f t="shared" si="46"/>
        <v>1420</v>
      </c>
      <c r="O596" s="2">
        <v>30</v>
      </c>
      <c r="P596" s="8">
        <f t="shared" si="47"/>
        <v>1450</v>
      </c>
      <c r="Q596" s="8">
        <f t="shared" si="48"/>
        <v>1286</v>
      </c>
      <c r="R596" s="2" t="s">
        <v>26</v>
      </c>
      <c r="S596" s="9">
        <f t="shared" si="49"/>
        <v>29</v>
      </c>
    </row>
    <row r="597" spans="1:19" x14ac:dyDescent="0.3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str">
        <f>IFERROR(VLOOKUP('Customer Info'!A589,'Customer Info'!A589:C1088,2,FALSE),"Not Found")</f>
        <v>Not Found</v>
      </c>
      <c r="H597" s="6" t="str">
        <f>IFERROR(VLOOKUP('Customer Info'!A589,'Customer Info'!A589:C1088,3,FALSE),"Not Found")</f>
        <v>Not Found</v>
      </c>
      <c r="I597" s="6" t="str">
        <f>IFERROR(VLOOKUP('Customer Info'!A589,'Customer Info'!A589:E1088,5,FALSE),"Not Found")</f>
        <v>Not Found</v>
      </c>
      <c r="J597" s="2">
        <v>4122</v>
      </c>
      <c r="K597" s="2">
        <v>3781</v>
      </c>
      <c r="L597" s="2">
        <v>3</v>
      </c>
      <c r="M597" s="7">
        <f t="shared" si="45"/>
        <v>11343</v>
      </c>
      <c r="N597" s="7">
        <f t="shared" si="46"/>
        <v>12366</v>
      </c>
      <c r="O597" s="2">
        <v>41</v>
      </c>
      <c r="P597" s="8">
        <f t="shared" si="47"/>
        <v>12407</v>
      </c>
      <c r="Q597" s="8">
        <f t="shared" si="48"/>
        <v>8585</v>
      </c>
      <c r="R597" s="2" t="s">
        <v>50</v>
      </c>
      <c r="S597" s="9">
        <f t="shared" si="49"/>
        <v>620.35</v>
      </c>
    </row>
    <row r="598" spans="1:19" x14ac:dyDescent="0.3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str">
        <f>IFERROR(VLOOKUP('Customer Info'!A590,'Customer Info'!A590:C1089,2,FALSE),"Not Found")</f>
        <v>Not Found</v>
      </c>
      <c r="H598" s="6" t="str">
        <f>IFERROR(VLOOKUP('Customer Info'!A590,'Customer Info'!A590:C1089,3,FALSE),"Not Found")</f>
        <v>Not Found</v>
      </c>
      <c r="I598" s="6" t="str">
        <f>IFERROR(VLOOKUP('Customer Info'!A590,'Customer Info'!A590:E1089,5,FALSE),"Not Found")</f>
        <v>Not Found</v>
      </c>
      <c r="J598" s="2">
        <v>206</v>
      </c>
      <c r="K598" s="2">
        <v>189</v>
      </c>
      <c r="L598" s="2">
        <v>5</v>
      </c>
      <c r="M598" s="7">
        <f t="shared" si="45"/>
        <v>945</v>
      </c>
      <c r="N598" s="7">
        <f t="shared" si="46"/>
        <v>1030</v>
      </c>
      <c r="O598" s="2">
        <v>87</v>
      </c>
      <c r="P598" s="8">
        <f t="shared" si="47"/>
        <v>1117</v>
      </c>
      <c r="Q598" s="8">
        <f t="shared" si="48"/>
        <v>841</v>
      </c>
      <c r="R598" s="2" t="s">
        <v>50</v>
      </c>
      <c r="S598" s="9">
        <f t="shared" si="49"/>
        <v>22.34</v>
      </c>
    </row>
    <row r="599" spans="1:19" x14ac:dyDescent="0.3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str">
        <f>IFERROR(VLOOKUP('Customer Info'!A591,'Customer Info'!A591:C1090,2,FALSE),"Not Found")</f>
        <v>Not Found</v>
      </c>
      <c r="H599" s="6" t="str">
        <f>IFERROR(VLOOKUP('Customer Info'!A591,'Customer Info'!A591:C1090,3,FALSE),"Not Found")</f>
        <v>Not Found</v>
      </c>
      <c r="I599" s="6" t="str">
        <f>IFERROR(VLOOKUP('Customer Info'!A591,'Customer Info'!A591:E1090,5,FALSE),"Not Found")</f>
        <v>Not Found</v>
      </c>
      <c r="J599" s="2">
        <v>3224</v>
      </c>
      <c r="K599" s="2">
        <v>2901</v>
      </c>
      <c r="L599" s="2">
        <v>4</v>
      </c>
      <c r="M599" s="7">
        <f t="shared" si="45"/>
        <v>11604</v>
      </c>
      <c r="N599" s="7">
        <f t="shared" si="46"/>
        <v>12896</v>
      </c>
      <c r="O599" s="2">
        <v>75</v>
      </c>
      <c r="P599" s="8">
        <f t="shared" si="47"/>
        <v>12971</v>
      </c>
      <c r="Q599" s="8">
        <f t="shared" si="48"/>
        <v>9995</v>
      </c>
      <c r="R599" s="2" t="s">
        <v>50</v>
      </c>
      <c r="S599" s="9">
        <f t="shared" si="49"/>
        <v>648.55000000000007</v>
      </c>
    </row>
    <row r="600" spans="1:19" x14ac:dyDescent="0.3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str">
        <f>IFERROR(VLOOKUP('Customer Info'!A592,'Customer Info'!A592:C1091,2,FALSE),"Not Found")</f>
        <v>Not Found</v>
      </c>
      <c r="H600" s="6" t="str">
        <f>IFERROR(VLOOKUP('Customer Info'!A592,'Customer Info'!A592:C1091,3,FALSE),"Not Found")</f>
        <v>Not Found</v>
      </c>
      <c r="I600" s="6" t="str">
        <f>IFERROR(VLOOKUP('Customer Info'!A592,'Customer Info'!A592:E1091,5,FALSE),"Not Found")</f>
        <v>Not Found</v>
      </c>
      <c r="J600" s="2">
        <v>7021</v>
      </c>
      <c r="K600" s="2">
        <v>6686</v>
      </c>
      <c r="L600" s="2">
        <v>3</v>
      </c>
      <c r="M600" s="7">
        <f t="shared" si="45"/>
        <v>20058</v>
      </c>
      <c r="N600" s="7">
        <f t="shared" si="46"/>
        <v>21063</v>
      </c>
      <c r="O600" s="2">
        <v>61</v>
      </c>
      <c r="P600" s="8">
        <f t="shared" si="47"/>
        <v>21124</v>
      </c>
      <c r="Q600" s="8">
        <f t="shared" si="48"/>
        <v>14377</v>
      </c>
      <c r="R600" s="2" t="s">
        <v>28</v>
      </c>
      <c r="S600" s="9">
        <f t="shared" si="49"/>
        <v>1056.2</v>
      </c>
    </row>
    <row r="601" spans="1:19" x14ac:dyDescent="0.3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str">
        <f>IFERROR(VLOOKUP('Customer Info'!A593,'Customer Info'!A593:C1092,2,FALSE),"Not Found")</f>
        <v>Not Found</v>
      </c>
      <c r="H601" s="6" t="str">
        <f>IFERROR(VLOOKUP('Customer Info'!A593,'Customer Info'!A593:C1092,3,FALSE),"Not Found")</f>
        <v>Not Found</v>
      </c>
      <c r="I601" s="6" t="str">
        <f>IFERROR(VLOOKUP('Customer Info'!A593,'Customer Info'!A593:E1092,5,FALSE),"Not Found")</f>
        <v>Not Found</v>
      </c>
      <c r="J601" s="2">
        <v>61</v>
      </c>
      <c r="K601" s="2">
        <v>56</v>
      </c>
      <c r="L601" s="2">
        <v>3</v>
      </c>
      <c r="M601" s="7">
        <f t="shared" si="45"/>
        <v>168</v>
      </c>
      <c r="N601" s="7">
        <f t="shared" si="46"/>
        <v>183</v>
      </c>
      <c r="O601" s="2">
        <v>10</v>
      </c>
      <c r="P601" s="8">
        <f t="shared" si="47"/>
        <v>193</v>
      </c>
      <c r="Q601" s="8">
        <f t="shared" si="48"/>
        <v>127</v>
      </c>
      <c r="R601" s="2" t="s">
        <v>28</v>
      </c>
      <c r="S601" s="9">
        <f t="shared" si="49"/>
        <v>3.86</v>
      </c>
    </row>
    <row r="602" spans="1:19" x14ac:dyDescent="0.3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str">
        <f>IFERROR(VLOOKUP('Customer Info'!A594,'Customer Info'!A594:C1093,2,FALSE),"Not Found")</f>
        <v>Not Found</v>
      </c>
      <c r="H602" s="6" t="str">
        <f>IFERROR(VLOOKUP('Customer Info'!A594,'Customer Info'!A594:C1093,3,FALSE),"Not Found")</f>
        <v>Not Found</v>
      </c>
      <c r="I602" s="6" t="str">
        <f>IFERROR(VLOOKUP('Customer Info'!A594,'Customer Info'!A594:E1093,5,FALSE),"Not Found")</f>
        <v>Not Found</v>
      </c>
      <c r="J602" s="2">
        <v>809</v>
      </c>
      <c r="K602" s="2">
        <v>770</v>
      </c>
      <c r="L602" s="2">
        <v>1</v>
      </c>
      <c r="M602" s="7">
        <f t="shared" si="45"/>
        <v>770</v>
      </c>
      <c r="N602" s="7">
        <f t="shared" si="46"/>
        <v>809</v>
      </c>
      <c r="O602" s="2">
        <v>46</v>
      </c>
      <c r="P602" s="8">
        <f t="shared" si="47"/>
        <v>855</v>
      </c>
      <c r="Q602" s="8">
        <f t="shared" si="48"/>
        <v>39</v>
      </c>
      <c r="R602" s="2" t="s">
        <v>28</v>
      </c>
      <c r="S602" s="9">
        <f t="shared" si="49"/>
        <v>17.100000000000001</v>
      </c>
    </row>
    <row r="603" spans="1:19" x14ac:dyDescent="0.3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str">
        <f>IFERROR(VLOOKUP('Customer Info'!A595,'Customer Info'!A595:C1094,2,FALSE),"Not Found")</f>
        <v>Not Found</v>
      </c>
      <c r="H603" s="6" t="str">
        <f>IFERROR(VLOOKUP('Customer Info'!A595,'Customer Info'!A595:C1094,3,FALSE),"Not Found")</f>
        <v>Not Found</v>
      </c>
      <c r="I603" s="6" t="str">
        <f>IFERROR(VLOOKUP('Customer Info'!A595,'Customer Info'!A595:E1094,5,FALSE),"Not Found")</f>
        <v>Not Found</v>
      </c>
      <c r="J603" s="2">
        <v>60</v>
      </c>
      <c r="K603" s="2">
        <v>56</v>
      </c>
      <c r="L603" s="2">
        <v>3</v>
      </c>
      <c r="M603" s="7">
        <f t="shared" si="45"/>
        <v>168</v>
      </c>
      <c r="N603" s="7">
        <f t="shared" si="46"/>
        <v>180</v>
      </c>
      <c r="O603" s="2">
        <v>10</v>
      </c>
      <c r="P603" s="8">
        <f t="shared" si="47"/>
        <v>190</v>
      </c>
      <c r="Q603" s="8">
        <f t="shared" si="48"/>
        <v>124</v>
      </c>
      <c r="R603" s="2" t="s">
        <v>28</v>
      </c>
      <c r="S603" s="9">
        <f t="shared" si="49"/>
        <v>3.8000000000000003</v>
      </c>
    </row>
    <row r="604" spans="1:19" x14ac:dyDescent="0.3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str">
        <f>IFERROR(VLOOKUP('Customer Info'!A596,'Customer Info'!A596:C1095,2,FALSE),"Not Found")</f>
        <v>Not Found</v>
      </c>
      <c r="H604" s="6" t="str">
        <f>IFERROR(VLOOKUP('Customer Info'!A596,'Customer Info'!A596:C1095,3,FALSE),"Not Found")</f>
        <v>Not Found</v>
      </c>
      <c r="I604" s="6" t="str">
        <f>IFERROR(VLOOKUP('Customer Info'!A596,'Customer Info'!A596:E1095,5,FALSE),"Not Found")</f>
        <v>Not Found</v>
      </c>
      <c r="J604" s="2">
        <v>7065</v>
      </c>
      <c r="K604" s="2">
        <v>6545</v>
      </c>
      <c r="L604" s="2">
        <v>1</v>
      </c>
      <c r="M604" s="7">
        <f t="shared" si="45"/>
        <v>6545</v>
      </c>
      <c r="N604" s="7">
        <f t="shared" si="46"/>
        <v>7065</v>
      </c>
      <c r="O604" s="2">
        <v>30</v>
      </c>
      <c r="P604" s="8">
        <f t="shared" si="47"/>
        <v>7095</v>
      </c>
      <c r="Q604" s="8">
        <f t="shared" si="48"/>
        <v>520</v>
      </c>
      <c r="R604" s="2" t="s">
        <v>26</v>
      </c>
      <c r="S604" s="9">
        <f t="shared" si="49"/>
        <v>354.75</v>
      </c>
    </row>
    <row r="605" spans="1:19" x14ac:dyDescent="0.3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str">
        <f>IFERROR(VLOOKUP('Customer Info'!A597,'Customer Info'!A597:C1096,2,FALSE),"Not Found")</f>
        <v>Not Found</v>
      </c>
      <c r="H605" s="6" t="str">
        <f>IFERROR(VLOOKUP('Customer Info'!A597,'Customer Info'!A597:C1096,3,FALSE),"Not Found")</f>
        <v>Not Found</v>
      </c>
      <c r="I605" s="6" t="str">
        <f>IFERROR(VLOOKUP('Customer Info'!A597,'Customer Info'!A597:E1096,5,FALSE),"Not Found")</f>
        <v>Not Found</v>
      </c>
      <c r="J605" s="2">
        <v>1399</v>
      </c>
      <c r="K605" s="2">
        <v>1308</v>
      </c>
      <c r="L605" s="2">
        <v>9</v>
      </c>
      <c r="M605" s="7">
        <f t="shared" si="45"/>
        <v>11772</v>
      </c>
      <c r="N605" s="7">
        <f t="shared" si="46"/>
        <v>12591</v>
      </c>
      <c r="O605" s="2">
        <v>82</v>
      </c>
      <c r="P605" s="8">
        <f t="shared" si="47"/>
        <v>12673</v>
      </c>
      <c r="Q605" s="8">
        <f t="shared" si="48"/>
        <v>11283</v>
      </c>
      <c r="R605" s="2" t="s">
        <v>28</v>
      </c>
      <c r="S605" s="9">
        <f t="shared" si="49"/>
        <v>633.65000000000009</v>
      </c>
    </row>
    <row r="606" spans="1:19" x14ac:dyDescent="0.3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str">
        <f>IFERROR(VLOOKUP('Customer Info'!A598,'Customer Info'!A598:C1097,2,FALSE),"Not Found")</f>
        <v>Not Found</v>
      </c>
      <c r="H606" s="6" t="str">
        <f>IFERROR(VLOOKUP('Customer Info'!A598,'Customer Info'!A598:C1097,3,FALSE),"Not Found")</f>
        <v>Not Found</v>
      </c>
      <c r="I606" s="6" t="str">
        <f>IFERROR(VLOOKUP('Customer Info'!A598,'Customer Info'!A598:E1097,5,FALSE),"Not Found")</f>
        <v>Not Found</v>
      </c>
      <c r="J606" s="2">
        <v>1790</v>
      </c>
      <c r="K606" s="2">
        <v>1706</v>
      </c>
      <c r="L606" s="2">
        <v>2</v>
      </c>
      <c r="M606" s="7">
        <f t="shared" si="45"/>
        <v>3412</v>
      </c>
      <c r="N606" s="7">
        <f t="shared" si="46"/>
        <v>3580</v>
      </c>
      <c r="O606" s="2">
        <v>33</v>
      </c>
      <c r="P606" s="8">
        <f t="shared" si="47"/>
        <v>3613</v>
      </c>
      <c r="Q606" s="8">
        <f t="shared" si="48"/>
        <v>1874</v>
      </c>
      <c r="R606" s="2" t="s">
        <v>50</v>
      </c>
      <c r="S606" s="9">
        <f t="shared" si="49"/>
        <v>72.260000000000005</v>
      </c>
    </row>
    <row r="607" spans="1:19" x14ac:dyDescent="0.3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str">
        <f>IFERROR(VLOOKUP('Customer Info'!A599,'Customer Info'!A599:C1098,2,FALSE),"Not Found")</f>
        <v>Not Found</v>
      </c>
      <c r="H607" s="6" t="str">
        <f>IFERROR(VLOOKUP('Customer Info'!A599,'Customer Info'!A599:C1098,3,FALSE),"Not Found")</f>
        <v>Not Found</v>
      </c>
      <c r="I607" s="6" t="str">
        <f>IFERROR(VLOOKUP('Customer Info'!A599,'Customer Info'!A599:E1098,5,FALSE),"Not Found")</f>
        <v>Not Found</v>
      </c>
      <c r="J607" s="2">
        <v>69</v>
      </c>
      <c r="K607" s="2">
        <v>63</v>
      </c>
      <c r="L607" s="2">
        <v>3</v>
      </c>
      <c r="M607" s="7">
        <f t="shared" si="45"/>
        <v>189</v>
      </c>
      <c r="N607" s="7">
        <f t="shared" si="46"/>
        <v>207</v>
      </c>
      <c r="O607" s="2">
        <v>10</v>
      </c>
      <c r="P607" s="8">
        <f t="shared" si="47"/>
        <v>217</v>
      </c>
      <c r="Q607" s="8">
        <f t="shared" si="48"/>
        <v>144</v>
      </c>
      <c r="R607" s="2" t="s">
        <v>50</v>
      </c>
      <c r="S607" s="9">
        <f t="shared" si="49"/>
        <v>4.34</v>
      </c>
    </row>
    <row r="608" spans="1:19" x14ac:dyDescent="0.3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str">
        <f>IFERROR(VLOOKUP('Customer Info'!A600,'Customer Info'!A600:C1099,2,FALSE),"Not Found")</f>
        <v>Not Found</v>
      </c>
      <c r="H608" s="6" t="str">
        <f>IFERROR(VLOOKUP('Customer Info'!A600,'Customer Info'!A600:C1099,3,FALSE),"Not Found")</f>
        <v>Not Found</v>
      </c>
      <c r="I608" s="6" t="str">
        <f>IFERROR(VLOOKUP('Customer Info'!A600,'Customer Info'!A600:E1099,5,FALSE),"Not Found")</f>
        <v>Not Found</v>
      </c>
      <c r="J608" s="2">
        <v>194</v>
      </c>
      <c r="K608" s="2">
        <v>176</v>
      </c>
      <c r="L608" s="2">
        <v>4</v>
      </c>
      <c r="M608" s="7">
        <f t="shared" si="45"/>
        <v>704</v>
      </c>
      <c r="N608" s="7">
        <f t="shared" si="46"/>
        <v>776</v>
      </c>
      <c r="O608" s="2">
        <v>30</v>
      </c>
      <c r="P608" s="8">
        <f t="shared" si="47"/>
        <v>806</v>
      </c>
      <c r="Q608" s="8">
        <f t="shared" si="48"/>
        <v>600</v>
      </c>
      <c r="R608" s="2" t="s">
        <v>28</v>
      </c>
      <c r="S608" s="9">
        <f t="shared" si="49"/>
        <v>16.12</v>
      </c>
    </row>
    <row r="609" spans="1:19" x14ac:dyDescent="0.3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str">
        <f>IFERROR(VLOOKUP('Customer Info'!A601,'Customer Info'!A601:C1100,2,FALSE),"Not Found")</f>
        <v>Not Found</v>
      </c>
      <c r="H609" s="6" t="str">
        <f>IFERROR(VLOOKUP('Customer Info'!A601,'Customer Info'!A601:C1100,3,FALSE),"Not Found")</f>
        <v>Not Found</v>
      </c>
      <c r="I609" s="6" t="str">
        <f>IFERROR(VLOOKUP('Customer Info'!A601,'Customer Info'!A601:E1100,5,FALSE),"Not Found")</f>
        <v>Not Found</v>
      </c>
      <c r="J609" s="2">
        <v>1125</v>
      </c>
      <c r="K609" s="2">
        <v>1040</v>
      </c>
      <c r="L609" s="2">
        <v>6</v>
      </c>
      <c r="M609" s="7">
        <f t="shared" si="45"/>
        <v>6240</v>
      </c>
      <c r="N609" s="7">
        <f t="shared" si="46"/>
        <v>6750</v>
      </c>
      <c r="O609" s="2">
        <v>40</v>
      </c>
      <c r="P609" s="8">
        <f t="shared" si="47"/>
        <v>6790</v>
      </c>
      <c r="Q609" s="8">
        <f t="shared" si="48"/>
        <v>5710</v>
      </c>
      <c r="R609" s="2" t="s">
        <v>50</v>
      </c>
      <c r="S609" s="9">
        <f t="shared" si="49"/>
        <v>339.5</v>
      </c>
    </row>
    <row r="610" spans="1:19" x14ac:dyDescent="0.3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str">
        <f>IFERROR(VLOOKUP('Customer Info'!A602,'Customer Info'!A602:C1101,2,FALSE),"Not Found")</f>
        <v>Not Found</v>
      </c>
      <c r="H610" s="6" t="str">
        <f>IFERROR(VLOOKUP('Customer Info'!A602,'Customer Info'!A602:C1101,3,FALSE),"Not Found")</f>
        <v>Not Found</v>
      </c>
      <c r="I610" s="6" t="str">
        <f>IFERROR(VLOOKUP('Customer Info'!A602,'Customer Info'!A602:E1101,5,FALSE),"Not Found")</f>
        <v>Not Found</v>
      </c>
      <c r="J610" s="2">
        <v>2271</v>
      </c>
      <c r="K610" s="2">
        <v>2144</v>
      </c>
      <c r="L610" s="2">
        <v>2</v>
      </c>
      <c r="M610" s="7">
        <f t="shared" si="45"/>
        <v>4288</v>
      </c>
      <c r="N610" s="7">
        <f t="shared" si="46"/>
        <v>4542</v>
      </c>
      <c r="O610" s="2">
        <v>51</v>
      </c>
      <c r="P610" s="8">
        <f t="shared" si="47"/>
        <v>4593</v>
      </c>
      <c r="Q610" s="8">
        <f t="shared" si="48"/>
        <v>2398</v>
      </c>
      <c r="R610" s="2" t="s">
        <v>28</v>
      </c>
      <c r="S610" s="9">
        <f t="shared" si="49"/>
        <v>91.86</v>
      </c>
    </row>
    <row r="611" spans="1:19" x14ac:dyDescent="0.3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str">
        <f>IFERROR(VLOOKUP('Customer Info'!A603,'Customer Info'!A603:C1102,2,FALSE),"Not Found")</f>
        <v>Not Found</v>
      </c>
      <c r="H611" s="6" t="str">
        <f>IFERROR(VLOOKUP('Customer Info'!A603,'Customer Info'!A603:C1102,3,FALSE),"Not Found")</f>
        <v>Not Found</v>
      </c>
      <c r="I611" s="6" t="str">
        <f>IFERROR(VLOOKUP('Customer Info'!A603,'Customer Info'!A603:E1102,5,FALSE),"Not Found")</f>
        <v>Not Found</v>
      </c>
      <c r="J611" s="2">
        <v>6585</v>
      </c>
      <c r="K611" s="2">
        <v>6105</v>
      </c>
      <c r="L611" s="2">
        <v>6</v>
      </c>
      <c r="M611" s="7">
        <f t="shared" si="45"/>
        <v>36630</v>
      </c>
      <c r="N611" s="7">
        <f t="shared" si="46"/>
        <v>39510</v>
      </c>
      <c r="O611" s="2">
        <v>25</v>
      </c>
      <c r="P611" s="8">
        <f t="shared" si="47"/>
        <v>39535</v>
      </c>
      <c r="Q611" s="8">
        <f t="shared" si="48"/>
        <v>33405</v>
      </c>
      <c r="R611" s="2" t="s">
        <v>28</v>
      </c>
      <c r="S611" s="9">
        <f t="shared" si="49"/>
        <v>2767.4500000000003</v>
      </c>
    </row>
    <row r="612" spans="1:19" x14ac:dyDescent="0.3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str">
        <f>IFERROR(VLOOKUP('Customer Info'!A604,'Customer Info'!A604:C1103,2,FALSE),"Not Found")</f>
        <v>Not Found</v>
      </c>
      <c r="H612" s="6" t="str">
        <f>IFERROR(VLOOKUP('Customer Info'!A604,'Customer Info'!A604:C1103,3,FALSE),"Not Found")</f>
        <v>Not Found</v>
      </c>
      <c r="I612" s="6" t="str">
        <f>IFERROR(VLOOKUP('Customer Info'!A604,'Customer Info'!A604:E1103,5,FALSE),"Not Found")</f>
        <v>Not Found</v>
      </c>
      <c r="J612" s="2">
        <v>6027</v>
      </c>
      <c r="K612" s="2">
        <v>5694</v>
      </c>
      <c r="L612" s="2">
        <v>4</v>
      </c>
      <c r="M612" s="7">
        <f t="shared" si="45"/>
        <v>22776</v>
      </c>
      <c r="N612" s="7">
        <f t="shared" si="46"/>
        <v>24108</v>
      </c>
      <c r="O612" s="2">
        <v>33</v>
      </c>
      <c r="P612" s="8">
        <f t="shared" si="47"/>
        <v>24141</v>
      </c>
      <c r="Q612" s="8">
        <f t="shared" si="48"/>
        <v>18414</v>
      </c>
      <c r="R612" s="2" t="s">
        <v>50</v>
      </c>
      <c r="S612" s="9">
        <f t="shared" si="49"/>
        <v>1207.05</v>
      </c>
    </row>
    <row r="613" spans="1:19" x14ac:dyDescent="0.3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str">
        <f>IFERROR(VLOOKUP('Customer Info'!A605,'Customer Info'!A605:C1104,2,FALSE),"Not Found")</f>
        <v>Not Found</v>
      </c>
      <c r="H613" s="6" t="str">
        <f>IFERROR(VLOOKUP('Customer Info'!A605,'Customer Info'!A605:C1104,3,FALSE),"Not Found")</f>
        <v>Not Found</v>
      </c>
      <c r="I613" s="6" t="str">
        <f>IFERROR(VLOOKUP('Customer Info'!A605,'Customer Info'!A605:E1104,5,FALSE),"Not Found")</f>
        <v>Not Found</v>
      </c>
      <c r="J613" s="2">
        <v>1358</v>
      </c>
      <c r="K613" s="2">
        <v>1294</v>
      </c>
      <c r="L613" s="2">
        <v>1</v>
      </c>
      <c r="M613" s="7">
        <f t="shared" si="45"/>
        <v>1294</v>
      </c>
      <c r="N613" s="7">
        <f t="shared" si="46"/>
        <v>1358</v>
      </c>
      <c r="O613" s="2">
        <v>94</v>
      </c>
      <c r="P613" s="8">
        <f t="shared" si="47"/>
        <v>1452</v>
      </c>
      <c r="Q613" s="8">
        <f t="shared" si="48"/>
        <v>64</v>
      </c>
      <c r="R613" s="2" t="s">
        <v>28</v>
      </c>
      <c r="S613" s="9">
        <f t="shared" si="49"/>
        <v>29.04</v>
      </c>
    </row>
    <row r="614" spans="1:19" x14ac:dyDescent="0.3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str">
        <f>IFERROR(VLOOKUP('Customer Info'!A606,'Customer Info'!A606:C1105,2,FALSE),"Not Found")</f>
        <v>Not Found</v>
      </c>
      <c r="H614" s="6" t="str">
        <f>IFERROR(VLOOKUP('Customer Info'!A606,'Customer Info'!A606:C1105,3,FALSE),"Not Found")</f>
        <v>Not Found</v>
      </c>
      <c r="I614" s="6" t="str">
        <f>IFERROR(VLOOKUP('Customer Info'!A606,'Customer Info'!A606:E1105,5,FALSE),"Not Found")</f>
        <v>Not Found</v>
      </c>
      <c r="J614" s="2">
        <v>1071</v>
      </c>
      <c r="K614" s="2">
        <v>1010</v>
      </c>
      <c r="L614" s="2">
        <v>3</v>
      </c>
      <c r="M614" s="7">
        <f t="shared" si="45"/>
        <v>3030</v>
      </c>
      <c r="N614" s="7">
        <f t="shared" si="46"/>
        <v>3213</v>
      </c>
      <c r="O614" s="2">
        <v>30</v>
      </c>
      <c r="P614" s="8">
        <f t="shared" si="47"/>
        <v>3243</v>
      </c>
      <c r="Q614" s="8">
        <f t="shared" si="48"/>
        <v>2203</v>
      </c>
      <c r="R614" s="2" t="s">
        <v>28</v>
      </c>
      <c r="S614" s="9">
        <f t="shared" si="49"/>
        <v>64.86</v>
      </c>
    </row>
    <row r="615" spans="1:19" x14ac:dyDescent="0.3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str">
        <f>IFERROR(VLOOKUP('Customer Info'!A607,'Customer Info'!A607:C1106,2,FALSE),"Not Found")</f>
        <v>Not Found</v>
      </c>
      <c r="H615" s="6" t="str">
        <f>IFERROR(VLOOKUP('Customer Info'!A607,'Customer Info'!A607:C1106,3,FALSE),"Not Found")</f>
        <v>Not Found</v>
      </c>
      <c r="I615" s="6" t="str">
        <f>IFERROR(VLOOKUP('Customer Info'!A607,'Customer Info'!A607:E1106,5,FALSE),"Not Found")</f>
        <v>Not Found</v>
      </c>
      <c r="J615" s="2">
        <v>8738</v>
      </c>
      <c r="K615" s="2">
        <v>8162</v>
      </c>
      <c r="L615" s="2">
        <v>4</v>
      </c>
      <c r="M615" s="7">
        <f t="shared" si="45"/>
        <v>32648</v>
      </c>
      <c r="N615" s="7">
        <f t="shared" si="46"/>
        <v>34952</v>
      </c>
      <c r="O615" s="2">
        <v>84</v>
      </c>
      <c r="P615" s="8">
        <f t="shared" si="47"/>
        <v>35036</v>
      </c>
      <c r="Q615" s="8">
        <f t="shared" si="48"/>
        <v>26790</v>
      </c>
      <c r="R615" s="2" t="s">
        <v>28</v>
      </c>
      <c r="S615" s="9">
        <f t="shared" si="49"/>
        <v>2452.5200000000004</v>
      </c>
    </row>
    <row r="616" spans="1:19" x14ac:dyDescent="0.3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str">
        <f>IFERROR(VLOOKUP('Customer Info'!A608,'Customer Info'!A608:C1107,2,FALSE),"Not Found")</f>
        <v>Not Found</v>
      </c>
      <c r="H616" s="6" t="str">
        <f>IFERROR(VLOOKUP('Customer Info'!A608,'Customer Info'!A608:C1107,3,FALSE),"Not Found")</f>
        <v>Not Found</v>
      </c>
      <c r="I616" s="6" t="str">
        <f>IFERROR(VLOOKUP('Customer Info'!A608,'Customer Info'!A608:E1107,5,FALSE),"Not Found")</f>
        <v>Not Found</v>
      </c>
      <c r="J616" s="2">
        <v>100</v>
      </c>
      <c r="K616" s="2">
        <v>95</v>
      </c>
      <c r="L616" s="2">
        <v>1</v>
      </c>
      <c r="M616" s="7">
        <f t="shared" si="45"/>
        <v>95</v>
      </c>
      <c r="N616" s="7">
        <f t="shared" si="46"/>
        <v>100</v>
      </c>
      <c r="O616" s="2">
        <v>10</v>
      </c>
      <c r="P616" s="8">
        <f t="shared" si="47"/>
        <v>110</v>
      </c>
      <c r="Q616" s="8">
        <f t="shared" si="48"/>
        <v>5</v>
      </c>
      <c r="R616" s="2" t="s">
        <v>28</v>
      </c>
      <c r="S616" s="9">
        <f t="shared" si="49"/>
        <v>2.2000000000000002</v>
      </c>
    </row>
    <row r="617" spans="1:19" x14ac:dyDescent="0.3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str">
        <f>IFERROR(VLOOKUP('Customer Info'!A609,'Customer Info'!A609:C1108,2,FALSE),"Not Found")</f>
        <v>Not Found</v>
      </c>
      <c r="H617" s="6" t="str">
        <f>IFERROR(VLOOKUP('Customer Info'!A609,'Customer Info'!A609:C1108,3,FALSE),"Not Found")</f>
        <v>Not Found</v>
      </c>
      <c r="I617" s="6" t="str">
        <f>IFERROR(VLOOKUP('Customer Info'!A609,'Customer Info'!A609:E1108,5,FALSE),"Not Found")</f>
        <v>Not Found</v>
      </c>
      <c r="J617" s="2">
        <v>1482</v>
      </c>
      <c r="K617" s="2">
        <v>1453</v>
      </c>
      <c r="L617" s="2">
        <v>1</v>
      </c>
      <c r="M617" s="7">
        <f t="shared" si="45"/>
        <v>1453</v>
      </c>
      <c r="N617" s="7">
        <f t="shared" si="46"/>
        <v>1482</v>
      </c>
      <c r="O617" s="2">
        <v>69</v>
      </c>
      <c r="P617" s="8">
        <f t="shared" si="47"/>
        <v>1551</v>
      </c>
      <c r="Q617" s="8">
        <f t="shared" si="48"/>
        <v>29</v>
      </c>
      <c r="R617" s="2" t="s">
        <v>28</v>
      </c>
      <c r="S617" s="9">
        <f t="shared" si="49"/>
        <v>31.02</v>
      </c>
    </row>
    <row r="618" spans="1:19" x14ac:dyDescent="0.3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str">
        <f>IFERROR(VLOOKUP('Customer Info'!A610,'Customer Info'!A610:C1109,2,FALSE),"Not Found")</f>
        <v>Not Found</v>
      </c>
      <c r="H618" s="6" t="str">
        <f>IFERROR(VLOOKUP('Customer Info'!A610,'Customer Info'!A610:C1109,3,FALSE),"Not Found")</f>
        <v>Not Found</v>
      </c>
      <c r="I618" s="6" t="str">
        <f>IFERROR(VLOOKUP('Customer Info'!A610,'Customer Info'!A610:E1109,5,FALSE),"Not Found")</f>
        <v>Not Found</v>
      </c>
      <c r="J618" s="2">
        <v>175</v>
      </c>
      <c r="K618" s="2">
        <v>158</v>
      </c>
      <c r="L618" s="2">
        <v>5</v>
      </c>
      <c r="M618" s="7">
        <f t="shared" si="45"/>
        <v>790</v>
      </c>
      <c r="N618" s="7">
        <f t="shared" si="46"/>
        <v>875</v>
      </c>
      <c r="O618" s="2">
        <v>30</v>
      </c>
      <c r="P618" s="8">
        <f t="shared" si="47"/>
        <v>905</v>
      </c>
      <c r="Q618" s="8">
        <f t="shared" si="48"/>
        <v>717</v>
      </c>
      <c r="R618" s="2" t="s">
        <v>28</v>
      </c>
      <c r="S618" s="9">
        <f t="shared" si="49"/>
        <v>18.100000000000001</v>
      </c>
    </row>
    <row r="619" spans="1:19" x14ac:dyDescent="0.3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str">
        <f>IFERROR(VLOOKUP('Customer Info'!A611,'Customer Info'!A611:C1110,2,FALSE),"Not Found")</f>
        <v>Not Found</v>
      </c>
      <c r="H619" s="6" t="str">
        <f>IFERROR(VLOOKUP('Customer Info'!A611,'Customer Info'!A611:C1110,3,FALSE),"Not Found")</f>
        <v>Not Found</v>
      </c>
      <c r="I619" s="6" t="str">
        <f>IFERROR(VLOOKUP('Customer Info'!A611,'Customer Info'!A611:E1110,5,FALSE),"Not Found")</f>
        <v>Not Found</v>
      </c>
      <c r="J619" s="2">
        <v>1790</v>
      </c>
      <c r="K619" s="2">
        <v>1706</v>
      </c>
      <c r="L619" s="2">
        <v>5</v>
      </c>
      <c r="M619" s="7">
        <f t="shared" si="45"/>
        <v>8530</v>
      </c>
      <c r="N619" s="7">
        <f t="shared" si="46"/>
        <v>8950</v>
      </c>
      <c r="O619" s="2">
        <v>92</v>
      </c>
      <c r="P619" s="8">
        <f t="shared" si="47"/>
        <v>9042</v>
      </c>
      <c r="Q619" s="8">
        <f t="shared" si="48"/>
        <v>7244</v>
      </c>
      <c r="R619" s="2" t="s">
        <v>28</v>
      </c>
      <c r="S619" s="9">
        <f t="shared" si="49"/>
        <v>452.1</v>
      </c>
    </row>
    <row r="620" spans="1:19" x14ac:dyDescent="0.3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str">
        <f>IFERROR(VLOOKUP('Customer Info'!A612,'Customer Info'!A612:C1111,2,FALSE),"Not Found")</f>
        <v>Not Found</v>
      </c>
      <c r="H620" s="6" t="str">
        <f>IFERROR(VLOOKUP('Customer Info'!A612,'Customer Info'!A612:C1111,3,FALSE),"Not Found")</f>
        <v>Not Found</v>
      </c>
      <c r="I620" s="6" t="str">
        <f>IFERROR(VLOOKUP('Customer Info'!A612,'Customer Info'!A612:E1111,5,FALSE),"Not Found")</f>
        <v>Not Found</v>
      </c>
      <c r="J620" s="2">
        <v>139</v>
      </c>
      <c r="K620" s="2">
        <v>130</v>
      </c>
      <c r="L620" s="2">
        <v>4</v>
      </c>
      <c r="M620" s="7">
        <f t="shared" si="45"/>
        <v>520</v>
      </c>
      <c r="N620" s="7">
        <f t="shared" si="46"/>
        <v>556</v>
      </c>
      <c r="O620" s="2">
        <v>30</v>
      </c>
      <c r="P620" s="8">
        <f t="shared" si="47"/>
        <v>586</v>
      </c>
      <c r="Q620" s="8">
        <f t="shared" si="48"/>
        <v>426</v>
      </c>
      <c r="R620" s="2" t="s">
        <v>28</v>
      </c>
      <c r="S620" s="9">
        <f t="shared" si="49"/>
        <v>11.72</v>
      </c>
    </row>
    <row r="621" spans="1:19" x14ac:dyDescent="0.3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str">
        <f>IFERROR(VLOOKUP('Customer Info'!A613,'Customer Info'!A613:C1112,2,FALSE),"Not Found")</f>
        <v>Not Found</v>
      </c>
      <c r="H621" s="6" t="str">
        <f>IFERROR(VLOOKUP('Customer Info'!A613,'Customer Info'!A613:C1112,3,FALSE),"Not Found")</f>
        <v>Not Found</v>
      </c>
      <c r="I621" s="6" t="str">
        <f>IFERROR(VLOOKUP('Customer Info'!A613,'Customer Info'!A613:E1112,5,FALSE),"Not Found")</f>
        <v>Not Found</v>
      </c>
      <c r="J621" s="2">
        <v>5836</v>
      </c>
      <c r="K621" s="2">
        <v>5457</v>
      </c>
      <c r="L621" s="2">
        <v>4</v>
      </c>
      <c r="M621" s="7">
        <f t="shared" si="45"/>
        <v>21828</v>
      </c>
      <c r="N621" s="7">
        <f t="shared" si="46"/>
        <v>23344</v>
      </c>
      <c r="O621" s="2">
        <v>51</v>
      </c>
      <c r="P621" s="8">
        <f t="shared" si="47"/>
        <v>23395</v>
      </c>
      <c r="Q621" s="8">
        <f t="shared" si="48"/>
        <v>17887</v>
      </c>
      <c r="R621" s="2" t="s">
        <v>28</v>
      </c>
      <c r="S621" s="9">
        <f t="shared" si="49"/>
        <v>1169.75</v>
      </c>
    </row>
    <row r="622" spans="1:19" x14ac:dyDescent="0.3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str">
        <f>IFERROR(VLOOKUP('Customer Info'!A614,'Customer Info'!A614:C1113,2,FALSE),"Not Found")</f>
        <v>Not Found</v>
      </c>
      <c r="H622" s="6" t="str">
        <f>IFERROR(VLOOKUP('Customer Info'!A614,'Customer Info'!A614:C1113,3,FALSE),"Not Found")</f>
        <v>Not Found</v>
      </c>
      <c r="I622" s="6" t="str">
        <f>IFERROR(VLOOKUP('Customer Info'!A614,'Customer Info'!A614:E1113,5,FALSE),"Not Found")</f>
        <v>Not Found</v>
      </c>
      <c r="J622" s="2">
        <v>4714</v>
      </c>
      <c r="K622" s="2">
        <v>4323</v>
      </c>
      <c r="L622" s="2">
        <v>3</v>
      </c>
      <c r="M622" s="7">
        <f t="shared" si="45"/>
        <v>12969</v>
      </c>
      <c r="N622" s="7">
        <f t="shared" si="46"/>
        <v>14142</v>
      </c>
      <c r="O622" s="2">
        <v>84</v>
      </c>
      <c r="P622" s="8">
        <f t="shared" si="47"/>
        <v>14226</v>
      </c>
      <c r="Q622" s="8">
        <f t="shared" si="48"/>
        <v>9819</v>
      </c>
      <c r="R622" s="2" t="s">
        <v>28</v>
      </c>
      <c r="S622" s="9">
        <f t="shared" si="49"/>
        <v>711.30000000000007</v>
      </c>
    </row>
    <row r="623" spans="1:19" x14ac:dyDescent="0.3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str">
        <f>IFERROR(VLOOKUP('Customer Info'!A615,'Customer Info'!A615:C1114,2,FALSE),"Not Found")</f>
        <v>Not Found</v>
      </c>
      <c r="H623" s="6" t="str">
        <f>IFERROR(VLOOKUP('Customer Info'!A615,'Customer Info'!A615:C1114,3,FALSE),"Not Found")</f>
        <v>Not Found</v>
      </c>
      <c r="I623" s="6" t="str">
        <f>IFERROR(VLOOKUP('Customer Info'!A615,'Customer Info'!A615:E1114,5,FALSE),"Not Found")</f>
        <v>Not Found</v>
      </c>
      <c r="J623" s="2">
        <v>37949</v>
      </c>
      <c r="K623" s="2">
        <v>34816</v>
      </c>
      <c r="L623" s="2">
        <v>7</v>
      </c>
      <c r="M623" s="7">
        <f t="shared" si="45"/>
        <v>243712</v>
      </c>
      <c r="N623" s="7">
        <f t="shared" si="46"/>
        <v>265643</v>
      </c>
      <c r="O623" s="2">
        <v>64</v>
      </c>
      <c r="P623" s="8">
        <f t="shared" si="47"/>
        <v>265707</v>
      </c>
      <c r="Q623" s="8">
        <f t="shared" si="48"/>
        <v>230827</v>
      </c>
      <c r="R623" s="2" t="s">
        <v>28</v>
      </c>
      <c r="S623" s="9">
        <f t="shared" si="49"/>
        <v>31884.84</v>
      </c>
    </row>
    <row r="624" spans="1:19" x14ac:dyDescent="0.3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str">
        <f>IFERROR(VLOOKUP('Customer Info'!A616,'Customer Info'!A616:C1115,2,FALSE),"Not Found")</f>
        <v>Not Found</v>
      </c>
      <c r="H624" s="6" t="str">
        <f>IFERROR(VLOOKUP('Customer Info'!A616,'Customer Info'!A616:C1115,3,FALSE),"Not Found")</f>
        <v>Not Found</v>
      </c>
      <c r="I624" s="6" t="str">
        <f>IFERROR(VLOOKUP('Customer Info'!A616,'Customer Info'!A616:E1115,5,FALSE),"Not Found")</f>
        <v>Not Found</v>
      </c>
      <c r="J624" s="2">
        <v>1441</v>
      </c>
      <c r="K624" s="2">
        <v>1360</v>
      </c>
      <c r="L624" s="2">
        <v>4</v>
      </c>
      <c r="M624" s="7">
        <f t="shared" si="45"/>
        <v>5440</v>
      </c>
      <c r="N624" s="7">
        <f t="shared" si="46"/>
        <v>5764</v>
      </c>
      <c r="O624" s="2">
        <v>78</v>
      </c>
      <c r="P624" s="8">
        <f t="shared" si="47"/>
        <v>5842</v>
      </c>
      <c r="Q624" s="8">
        <f t="shared" si="48"/>
        <v>4404</v>
      </c>
      <c r="R624" s="2" t="s">
        <v>50</v>
      </c>
      <c r="S624" s="9">
        <f t="shared" si="49"/>
        <v>292.10000000000002</v>
      </c>
    </row>
    <row r="625" spans="1:19" x14ac:dyDescent="0.3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str">
        <f>IFERROR(VLOOKUP('Customer Info'!A617,'Customer Info'!A617:C1116,2,FALSE),"Not Found")</f>
        <v>Not Found</v>
      </c>
      <c r="H625" s="6" t="str">
        <f>IFERROR(VLOOKUP('Customer Info'!A617,'Customer Info'!A617:C1116,3,FALSE),"Not Found")</f>
        <v>Not Found</v>
      </c>
      <c r="I625" s="6" t="str">
        <f>IFERROR(VLOOKUP('Customer Info'!A617,'Customer Info'!A617:E1116,5,FALSE),"Not Found")</f>
        <v>Not Found</v>
      </c>
      <c r="J625" s="2">
        <v>82</v>
      </c>
      <c r="K625" s="2">
        <v>79</v>
      </c>
      <c r="L625" s="2">
        <v>3</v>
      </c>
      <c r="M625" s="7">
        <f t="shared" si="45"/>
        <v>237</v>
      </c>
      <c r="N625" s="7">
        <f t="shared" si="46"/>
        <v>246</v>
      </c>
      <c r="O625" s="2">
        <v>10</v>
      </c>
      <c r="P625" s="8">
        <f t="shared" si="47"/>
        <v>256</v>
      </c>
      <c r="Q625" s="8">
        <f t="shared" si="48"/>
        <v>167</v>
      </c>
      <c r="R625" s="2" t="s">
        <v>28</v>
      </c>
      <c r="S625" s="9">
        <f t="shared" si="49"/>
        <v>5.12</v>
      </c>
    </row>
    <row r="626" spans="1:19" x14ac:dyDescent="0.3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str">
        <f>IFERROR(VLOOKUP('Customer Info'!A618,'Customer Info'!A618:C1117,2,FALSE),"Not Found")</f>
        <v>Not Found</v>
      </c>
      <c r="H626" s="6" t="str">
        <f>IFERROR(VLOOKUP('Customer Info'!A618,'Customer Info'!A618:C1117,3,FALSE),"Not Found")</f>
        <v>Not Found</v>
      </c>
      <c r="I626" s="6" t="str">
        <f>IFERROR(VLOOKUP('Customer Info'!A618,'Customer Info'!A618:E1117,5,FALSE),"Not Found")</f>
        <v>Not Found</v>
      </c>
      <c r="J626" s="2">
        <v>60</v>
      </c>
      <c r="K626" s="2">
        <v>58</v>
      </c>
      <c r="L626" s="2">
        <v>4</v>
      </c>
      <c r="M626" s="7">
        <f t="shared" si="45"/>
        <v>232</v>
      </c>
      <c r="N626" s="7">
        <f t="shared" si="46"/>
        <v>240</v>
      </c>
      <c r="O626" s="2">
        <v>10</v>
      </c>
      <c r="P626" s="8">
        <f t="shared" si="47"/>
        <v>250</v>
      </c>
      <c r="Q626" s="8">
        <f t="shared" si="48"/>
        <v>182</v>
      </c>
      <c r="R626" s="2" t="s">
        <v>28</v>
      </c>
      <c r="S626" s="9">
        <f t="shared" si="49"/>
        <v>5</v>
      </c>
    </row>
    <row r="627" spans="1:19" x14ac:dyDescent="0.3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str">
        <f>IFERROR(VLOOKUP('Customer Info'!A619,'Customer Info'!A619:C1118,2,FALSE),"Not Found")</f>
        <v>Not Found</v>
      </c>
      <c r="H627" s="6" t="str">
        <f>IFERROR(VLOOKUP('Customer Info'!A619,'Customer Info'!A619:C1118,3,FALSE),"Not Found")</f>
        <v>Not Found</v>
      </c>
      <c r="I627" s="6" t="str">
        <f>IFERROR(VLOOKUP('Customer Info'!A619,'Customer Info'!A619:E1118,5,FALSE),"Not Found")</f>
        <v>Not Found</v>
      </c>
      <c r="J627" s="2">
        <v>7534</v>
      </c>
      <c r="K627" s="2">
        <v>7106</v>
      </c>
      <c r="L627" s="2">
        <v>7</v>
      </c>
      <c r="M627" s="7">
        <f t="shared" si="45"/>
        <v>49742</v>
      </c>
      <c r="N627" s="7">
        <f t="shared" si="46"/>
        <v>52738</v>
      </c>
      <c r="O627" s="2">
        <v>63</v>
      </c>
      <c r="P627" s="8">
        <f t="shared" si="47"/>
        <v>52801</v>
      </c>
      <c r="Q627" s="8">
        <f t="shared" si="48"/>
        <v>45632</v>
      </c>
      <c r="R627" s="2" t="s">
        <v>28</v>
      </c>
      <c r="S627" s="9">
        <f t="shared" si="49"/>
        <v>4752.09</v>
      </c>
    </row>
    <row r="628" spans="1:19" x14ac:dyDescent="0.3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str">
        <f>IFERROR(VLOOKUP('Customer Info'!A620,'Customer Info'!A620:C1119,2,FALSE),"Not Found")</f>
        <v>Not Found</v>
      </c>
      <c r="H628" s="6" t="str">
        <f>IFERROR(VLOOKUP('Customer Info'!A620,'Customer Info'!A620:C1119,3,FALSE),"Not Found")</f>
        <v>Not Found</v>
      </c>
      <c r="I628" s="6" t="str">
        <f>IFERROR(VLOOKUP('Customer Info'!A620,'Customer Info'!A620:E1119,5,FALSE),"Not Found")</f>
        <v>Not Found</v>
      </c>
      <c r="J628" s="2">
        <v>8665</v>
      </c>
      <c r="K628" s="2">
        <v>7723</v>
      </c>
      <c r="L628" s="2">
        <v>3</v>
      </c>
      <c r="M628" s="7">
        <f t="shared" si="45"/>
        <v>23169</v>
      </c>
      <c r="N628" s="7">
        <f t="shared" si="46"/>
        <v>25995</v>
      </c>
      <c r="O628" s="2">
        <v>20</v>
      </c>
      <c r="P628" s="8">
        <f t="shared" si="47"/>
        <v>26015</v>
      </c>
      <c r="Q628" s="8">
        <f t="shared" si="48"/>
        <v>18272</v>
      </c>
      <c r="R628" s="2" t="s">
        <v>28</v>
      </c>
      <c r="S628" s="9">
        <f t="shared" si="49"/>
        <v>1821.0500000000002</v>
      </c>
    </row>
    <row r="629" spans="1:19" x14ac:dyDescent="0.3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str">
        <f>IFERROR(VLOOKUP('Customer Info'!A621,'Customer Info'!A621:C1120,2,FALSE),"Not Found")</f>
        <v>Not Found</v>
      </c>
      <c r="H629" s="6" t="str">
        <f>IFERROR(VLOOKUP('Customer Info'!A621,'Customer Info'!A621:C1120,3,FALSE),"Not Found")</f>
        <v>Not Found</v>
      </c>
      <c r="I629" s="6" t="str">
        <f>IFERROR(VLOOKUP('Customer Info'!A621,'Customer Info'!A621:E1120,5,FALSE),"Not Found")</f>
        <v>Not Found</v>
      </c>
      <c r="J629" s="2">
        <v>7534</v>
      </c>
      <c r="K629" s="2">
        <v>7106</v>
      </c>
      <c r="L629" s="2">
        <v>2</v>
      </c>
      <c r="M629" s="7">
        <f t="shared" si="45"/>
        <v>14212</v>
      </c>
      <c r="N629" s="7">
        <f t="shared" si="46"/>
        <v>15068</v>
      </c>
      <c r="O629" s="2">
        <v>93</v>
      </c>
      <c r="P629" s="8">
        <f t="shared" si="47"/>
        <v>15161</v>
      </c>
      <c r="Q629" s="8">
        <f t="shared" si="48"/>
        <v>7962</v>
      </c>
      <c r="R629" s="2" t="s">
        <v>28</v>
      </c>
      <c r="S629" s="9">
        <f t="shared" si="49"/>
        <v>758.05000000000007</v>
      </c>
    </row>
    <row r="630" spans="1:19" x14ac:dyDescent="0.3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str">
        <f>IFERROR(VLOOKUP('Customer Info'!A622,'Customer Info'!A622:C1121,2,FALSE),"Not Found")</f>
        <v>Not Found</v>
      </c>
      <c r="H630" s="6" t="str">
        <f>IFERROR(VLOOKUP('Customer Info'!A622,'Customer Info'!A622:C1121,3,FALSE),"Not Found")</f>
        <v>Not Found</v>
      </c>
      <c r="I630" s="6" t="str">
        <f>IFERROR(VLOOKUP('Customer Info'!A622,'Customer Info'!A622:E1121,5,FALSE),"Not Found")</f>
        <v>Not Found</v>
      </c>
      <c r="J630" s="2">
        <v>191</v>
      </c>
      <c r="K630" s="2">
        <v>170</v>
      </c>
      <c r="L630" s="2">
        <v>1</v>
      </c>
      <c r="M630" s="7">
        <f t="shared" si="45"/>
        <v>170</v>
      </c>
      <c r="N630" s="7">
        <f t="shared" si="46"/>
        <v>191</v>
      </c>
      <c r="O630" s="2">
        <v>30</v>
      </c>
      <c r="P630" s="8">
        <f t="shared" si="47"/>
        <v>221</v>
      </c>
      <c r="Q630" s="8">
        <f t="shared" si="48"/>
        <v>21</v>
      </c>
      <c r="R630" s="2" t="s">
        <v>28</v>
      </c>
      <c r="S630" s="9">
        <f t="shared" si="49"/>
        <v>4.42</v>
      </c>
    </row>
    <row r="631" spans="1:19" x14ac:dyDescent="0.3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str">
        <f>IFERROR(VLOOKUP('Customer Info'!A623,'Customer Info'!A623:C1122,2,FALSE),"Not Found")</f>
        <v>Not Found</v>
      </c>
      <c r="H631" s="6" t="str">
        <f>IFERROR(VLOOKUP('Customer Info'!A623,'Customer Info'!A623:C1122,3,FALSE),"Not Found")</f>
        <v>Not Found</v>
      </c>
      <c r="I631" s="6" t="str">
        <f>IFERROR(VLOOKUP('Customer Info'!A623,'Customer Info'!A623:E1122,5,FALSE),"Not Found")</f>
        <v>Not Found</v>
      </c>
      <c r="J631" s="2">
        <v>193</v>
      </c>
      <c r="K631" s="2">
        <v>173</v>
      </c>
      <c r="L631" s="2">
        <v>5</v>
      </c>
      <c r="M631" s="7">
        <f t="shared" si="45"/>
        <v>865</v>
      </c>
      <c r="N631" s="7">
        <f t="shared" si="46"/>
        <v>965</v>
      </c>
      <c r="O631" s="2">
        <v>30</v>
      </c>
      <c r="P631" s="8">
        <f t="shared" si="47"/>
        <v>995</v>
      </c>
      <c r="Q631" s="8">
        <f t="shared" si="48"/>
        <v>792</v>
      </c>
      <c r="R631" s="2" t="s">
        <v>50</v>
      </c>
      <c r="S631" s="9">
        <f t="shared" si="49"/>
        <v>19.900000000000002</v>
      </c>
    </row>
    <row r="632" spans="1:19" x14ac:dyDescent="0.3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str">
        <f>IFERROR(VLOOKUP('Customer Info'!A624,'Customer Info'!A624:C1123,2,FALSE),"Not Found")</f>
        <v>Not Found</v>
      </c>
      <c r="H632" s="6" t="str">
        <f>IFERROR(VLOOKUP('Customer Info'!A624,'Customer Info'!A624:C1123,3,FALSE),"Not Found")</f>
        <v>Not Found</v>
      </c>
      <c r="I632" s="6" t="str">
        <f>IFERROR(VLOOKUP('Customer Info'!A624,'Customer Info'!A624:E1123,5,FALSE),"Not Found")</f>
        <v>Not Found</v>
      </c>
      <c r="J632" s="2">
        <v>2540</v>
      </c>
      <c r="K632" s="2">
        <v>2397</v>
      </c>
      <c r="L632" s="2">
        <v>1</v>
      </c>
      <c r="M632" s="7">
        <f t="shared" si="45"/>
        <v>2397</v>
      </c>
      <c r="N632" s="7">
        <f t="shared" si="46"/>
        <v>2540</v>
      </c>
      <c r="O632" s="2">
        <v>84</v>
      </c>
      <c r="P632" s="8">
        <f t="shared" si="47"/>
        <v>2624</v>
      </c>
      <c r="Q632" s="8">
        <f t="shared" si="48"/>
        <v>143</v>
      </c>
      <c r="R632" s="2" t="s">
        <v>28</v>
      </c>
      <c r="S632" s="9">
        <f t="shared" si="49"/>
        <v>52.480000000000004</v>
      </c>
    </row>
    <row r="633" spans="1:19" x14ac:dyDescent="0.3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str">
        <f>IFERROR(VLOOKUP('Customer Info'!A625,'Customer Info'!A625:C1124,2,FALSE),"Not Found")</f>
        <v>Not Found</v>
      </c>
      <c r="H633" s="6" t="str">
        <f>IFERROR(VLOOKUP('Customer Info'!A625,'Customer Info'!A625:C1124,3,FALSE),"Not Found")</f>
        <v>Not Found</v>
      </c>
      <c r="I633" s="6" t="str">
        <f>IFERROR(VLOOKUP('Customer Info'!A625,'Customer Info'!A625:E1124,5,FALSE),"Not Found")</f>
        <v>Not Found</v>
      </c>
      <c r="J633" s="2">
        <v>6520</v>
      </c>
      <c r="K633" s="2">
        <v>5985</v>
      </c>
      <c r="L633" s="2">
        <v>4</v>
      </c>
      <c r="M633" s="7">
        <f t="shared" si="45"/>
        <v>23940</v>
      </c>
      <c r="N633" s="7">
        <f t="shared" si="46"/>
        <v>26080</v>
      </c>
      <c r="O633" s="2">
        <v>36</v>
      </c>
      <c r="P633" s="8">
        <f t="shared" si="47"/>
        <v>26116</v>
      </c>
      <c r="Q633" s="8">
        <f t="shared" si="48"/>
        <v>20095</v>
      </c>
      <c r="R633" s="2" t="s">
        <v>28</v>
      </c>
      <c r="S633" s="9">
        <f t="shared" si="49"/>
        <v>1828.1200000000001</v>
      </c>
    </row>
    <row r="634" spans="1:19" x14ac:dyDescent="0.3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str">
        <f>IFERROR(VLOOKUP('Customer Info'!A626,'Customer Info'!A626:C1125,2,FALSE),"Not Found")</f>
        <v>Not Found</v>
      </c>
      <c r="H634" s="6" t="str">
        <f>IFERROR(VLOOKUP('Customer Info'!A626,'Customer Info'!A626:C1125,3,FALSE),"Not Found")</f>
        <v>Not Found</v>
      </c>
      <c r="I634" s="6" t="str">
        <f>IFERROR(VLOOKUP('Customer Info'!A626,'Customer Info'!A626:E1125,5,FALSE),"Not Found")</f>
        <v>Not Found</v>
      </c>
      <c r="J634" s="2">
        <v>162</v>
      </c>
      <c r="K634" s="2">
        <v>148</v>
      </c>
      <c r="L634" s="2">
        <v>2</v>
      </c>
      <c r="M634" s="7">
        <f t="shared" si="45"/>
        <v>296</v>
      </c>
      <c r="N634" s="7">
        <f t="shared" si="46"/>
        <v>324</v>
      </c>
      <c r="O634" s="2">
        <v>30</v>
      </c>
      <c r="P634" s="8">
        <f t="shared" si="47"/>
        <v>354</v>
      </c>
      <c r="Q634" s="8">
        <f t="shared" si="48"/>
        <v>176</v>
      </c>
      <c r="R634" s="2" t="s">
        <v>28</v>
      </c>
      <c r="S634" s="9">
        <f t="shared" si="49"/>
        <v>7.08</v>
      </c>
    </row>
    <row r="635" spans="1:19" x14ac:dyDescent="0.3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str">
        <f>IFERROR(VLOOKUP('Customer Info'!A627,'Customer Info'!A627:C1126,2,FALSE),"Not Found")</f>
        <v>Not Found</v>
      </c>
      <c r="H635" s="6" t="str">
        <f>IFERROR(VLOOKUP('Customer Info'!A627,'Customer Info'!A627:C1126,3,FALSE),"Not Found")</f>
        <v>Not Found</v>
      </c>
      <c r="I635" s="6" t="str">
        <f>IFERROR(VLOOKUP('Customer Info'!A627,'Customer Info'!A627:E1126,5,FALSE),"Not Found")</f>
        <v>Not Found</v>
      </c>
      <c r="J635" s="2">
        <v>1635</v>
      </c>
      <c r="K635" s="2">
        <v>1573</v>
      </c>
      <c r="L635" s="2">
        <v>2</v>
      </c>
      <c r="M635" s="7">
        <f t="shared" si="45"/>
        <v>3146</v>
      </c>
      <c r="N635" s="7">
        <f t="shared" si="46"/>
        <v>3270</v>
      </c>
      <c r="O635" s="2">
        <v>57</v>
      </c>
      <c r="P635" s="8">
        <f t="shared" si="47"/>
        <v>3327</v>
      </c>
      <c r="Q635" s="8">
        <f t="shared" si="48"/>
        <v>1697</v>
      </c>
      <c r="R635" s="2" t="s">
        <v>50</v>
      </c>
      <c r="S635" s="9">
        <f t="shared" si="49"/>
        <v>66.540000000000006</v>
      </c>
    </row>
    <row r="636" spans="1:19" x14ac:dyDescent="0.3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str">
        <f>IFERROR(VLOOKUP('Customer Info'!A628,'Customer Info'!A628:C1127,2,FALSE),"Not Found")</f>
        <v>Not Found</v>
      </c>
      <c r="H636" s="6" t="str">
        <f>IFERROR(VLOOKUP('Customer Info'!A628,'Customer Info'!A628:C1127,3,FALSE),"Not Found")</f>
        <v>Not Found</v>
      </c>
      <c r="I636" s="6" t="str">
        <f>IFERROR(VLOOKUP('Customer Info'!A628,'Customer Info'!A628:E1127,5,FALSE),"Not Found")</f>
        <v>Not Found</v>
      </c>
      <c r="J636" s="2">
        <v>1619</v>
      </c>
      <c r="K636" s="2">
        <v>1442</v>
      </c>
      <c r="L636" s="2">
        <v>2</v>
      </c>
      <c r="M636" s="7">
        <f t="shared" si="45"/>
        <v>2884</v>
      </c>
      <c r="N636" s="7">
        <f t="shared" si="46"/>
        <v>3238</v>
      </c>
      <c r="O636" s="2">
        <v>96</v>
      </c>
      <c r="P636" s="8">
        <f t="shared" si="47"/>
        <v>3334</v>
      </c>
      <c r="Q636" s="8">
        <f t="shared" si="48"/>
        <v>1796</v>
      </c>
      <c r="R636" s="2" t="s">
        <v>50</v>
      </c>
      <c r="S636" s="9">
        <f t="shared" si="49"/>
        <v>66.680000000000007</v>
      </c>
    </row>
    <row r="637" spans="1:19" x14ac:dyDescent="0.3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str">
        <f>IFERROR(VLOOKUP('Customer Info'!A629,'Customer Info'!A629:C1128,2,FALSE),"Not Found")</f>
        <v>Not Found</v>
      </c>
      <c r="H637" s="6" t="str">
        <f>IFERROR(VLOOKUP('Customer Info'!A629,'Customer Info'!A629:C1128,3,FALSE),"Not Found")</f>
        <v>Not Found</v>
      </c>
      <c r="I637" s="6" t="str">
        <f>IFERROR(VLOOKUP('Customer Info'!A629,'Customer Info'!A629:E1128,5,FALSE),"Not Found")</f>
        <v>Not Found</v>
      </c>
      <c r="J637" s="2">
        <v>199</v>
      </c>
      <c r="K637" s="2">
        <v>176</v>
      </c>
      <c r="L637" s="2">
        <v>2</v>
      </c>
      <c r="M637" s="7">
        <f t="shared" si="45"/>
        <v>352</v>
      </c>
      <c r="N637" s="7">
        <f t="shared" si="46"/>
        <v>398</v>
      </c>
      <c r="O637" s="2">
        <v>30</v>
      </c>
      <c r="P637" s="8">
        <f t="shared" si="47"/>
        <v>428</v>
      </c>
      <c r="Q637" s="8">
        <f t="shared" si="48"/>
        <v>222</v>
      </c>
      <c r="R637" s="2" t="s">
        <v>28</v>
      </c>
      <c r="S637" s="9">
        <f t="shared" si="49"/>
        <v>8.56</v>
      </c>
    </row>
    <row r="638" spans="1:19" x14ac:dyDescent="0.3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str">
        <f>IFERROR(VLOOKUP('Customer Info'!A630,'Customer Info'!A630:C1129,2,FALSE),"Not Found")</f>
        <v>Not Found</v>
      </c>
      <c r="H638" s="6" t="str">
        <f>IFERROR(VLOOKUP('Customer Info'!A630,'Customer Info'!A630:C1129,3,FALSE),"Not Found")</f>
        <v>Not Found</v>
      </c>
      <c r="I638" s="6" t="str">
        <f>IFERROR(VLOOKUP('Customer Info'!A630,'Customer Info'!A630:E1129,5,FALSE),"Not Found")</f>
        <v>Not Found</v>
      </c>
      <c r="J638" s="2">
        <v>77</v>
      </c>
      <c r="K638" s="2">
        <v>73</v>
      </c>
      <c r="L638" s="2">
        <v>1</v>
      </c>
      <c r="M638" s="7">
        <f t="shared" si="45"/>
        <v>73</v>
      </c>
      <c r="N638" s="7">
        <f t="shared" si="46"/>
        <v>77</v>
      </c>
      <c r="O638" s="2">
        <v>10</v>
      </c>
      <c r="P638" s="8">
        <f t="shared" si="47"/>
        <v>87</v>
      </c>
      <c r="Q638" s="8">
        <f t="shared" si="48"/>
        <v>4</v>
      </c>
      <c r="R638" s="2" t="s">
        <v>28</v>
      </c>
      <c r="S638" s="9">
        <f t="shared" si="49"/>
        <v>1.74</v>
      </c>
    </row>
    <row r="639" spans="1:19" x14ac:dyDescent="0.3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str">
        <f>IFERROR(VLOOKUP('Customer Info'!A631,'Customer Info'!A631:C1130,2,FALSE),"Not Found")</f>
        <v>Not Found</v>
      </c>
      <c r="H639" s="6" t="str">
        <f>IFERROR(VLOOKUP('Customer Info'!A631,'Customer Info'!A631:C1130,3,FALSE),"Not Found")</f>
        <v>Not Found</v>
      </c>
      <c r="I639" s="6" t="str">
        <f>IFERROR(VLOOKUP('Customer Info'!A631,'Customer Info'!A631:E1130,5,FALSE),"Not Found")</f>
        <v>Not Found</v>
      </c>
      <c r="J639" s="2">
        <v>79</v>
      </c>
      <c r="K639" s="2">
        <v>75</v>
      </c>
      <c r="L639" s="2">
        <v>2</v>
      </c>
      <c r="M639" s="7">
        <f t="shared" si="45"/>
        <v>150</v>
      </c>
      <c r="N639" s="7">
        <f t="shared" si="46"/>
        <v>158</v>
      </c>
      <c r="O639" s="2">
        <v>10</v>
      </c>
      <c r="P639" s="8">
        <f t="shared" si="47"/>
        <v>168</v>
      </c>
      <c r="Q639" s="8">
        <f t="shared" si="48"/>
        <v>83</v>
      </c>
      <c r="R639" s="2" t="s">
        <v>50</v>
      </c>
      <c r="S639" s="9">
        <f t="shared" si="49"/>
        <v>3.36</v>
      </c>
    </row>
    <row r="640" spans="1:19" x14ac:dyDescent="0.3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str">
        <f>IFERROR(VLOOKUP('Customer Info'!A632,'Customer Info'!A632:C1131,2,FALSE),"Not Found")</f>
        <v>Not Found</v>
      </c>
      <c r="H640" s="6" t="str">
        <f>IFERROR(VLOOKUP('Customer Info'!A632,'Customer Info'!A632:C1131,3,FALSE),"Not Found")</f>
        <v>Not Found</v>
      </c>
      <c r="I640" s="6" t="str">
        <f>IFERROR(VLOOKUP('Customer Info'!A632,'Customer Info'!A632:E1131,5,FALSE),"Not Found")</f>
        <v>Not Found</v>
      </c>
      <c r="J640" s="2">
        <v>7327</v>
      </c>
      <c r="K640" s="2">
        <v>6658</v>
      </c>
      <c r="L640" s="2">
        <v>4</v>
      </c>
      <c r="M640" s="7">
        <f t="shared" si="45"/>
        <v>26632</v>
      </c>
      <c r="N640" s="7">
        <f t="shared" si="46"/>
        <v>29308</v>
      </c>
      <c r="O640" s="2">
        <v>43</v>
      </c>
      <c r="P640" s="8">
        <f t="shared" si="47"/>
        <v>29351</v>
      </c>
      <c r="Q640" s="8">
        <f t="shared" si="48"/>
        <v>22650</v>
      </c>
      <c r="R640" s="2" t="s">
        <v>28</v>
      </c>
      <c r="S640" s="9">
        <f t="shared" si="49"/>
        <v>2054.5700000000002</v>
      </c>
    </row>
    <row r="641" spans="1:19" x14ac:dyDescent="0.3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str">
        <f>IFERROR(VLOOKUP('Customer Info'!A633,'Customer Info'!A633:C1132,2,FALSE),"Not Found")</f>
        <v>Not Found</v>
      </c>
      <c r="H641" s="6" t="str">
        <f>IFERROR(VLOOKUP('Customer Info'!A633,'Customer Info'!A633:C1132,3,FALSE),"Not Found")</f>
        <v>Not Found</v>
      </c>
      <c r="I641" s="6" t="str">
        <f>IFERROR(VLOOKUP('Customer Info'!A633,'Customer Info'!A633:E1132,5,FALSE),"Not Found")</f>
        <v>Not Found</v>
      </c>
      <c r="J641" s="2">
        <v>1528</v>
      </c>
      <c r="K641" s="2">
        <v>1348</v>
      </c>
      <c r="L641" s="2">
        <v>4</v>
      </c>
      <c r="M641" s="7">
        <f t="shared" si="45"/>
        <v>5392</v>
      </c>
      <c r="N641" s="7">
        <f t="shared" si="46"/>
        <v>6112</v>
      </c>
      <c r="O641" s="2">
        <v>35</v>
      </c>
      <c r="P641" s="8">
        <f t="shared" si="47"/>
        <v>6147</v>
      </c>
      <c r="Q641" s="8">
        <f t="shared" si="48"/>
        <v>4764</v>
      </c>
      <c r="R641" s="2" t="s">
        <v>28</v>
      </c>
      <c r="S641" s="9">
        <f t="shared" si="49"/>
        <v>307.35000000000002</v>
      </c>
    </row>
    <row r="642" spans="1:19" x14ac:dyDescent="0.3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str">
        <f>IFERROR(VLOOKUP('Customer Info'!A634,'Customer Info'!A634:C1133,2,FALSE),"Not Found")</f>
        <v>Not Found</v>
      </c>
      <c r="H642" s="6" t="str">
        <f>IFERROR(VLOOKUP('Customer Info'!A634,'Customer Info'!A634:C1133,3,FALSE),"Not Found")</f>
        <v>Not Found</v>
      </c>
      <c r="I642" s="6" t="str">
        <f>IFERROR(VLOOKUP('Customer Info'!A634,'Customer Info'!A634:E1133,5,FALSE),"Not Found")</f>
        <v>Not Found</v>
      </c>
      <c r="J642" s="2">
        <v>8026</v>
      </c>
      <c r="K642" s="2">
        <v>7572</v>
      </c>
      <c r="L642" s="2">
        <v>6</v>
      </c>
      <c r="M642" s="7">
        <f t="shared" si="45"/>
        <v>45432</v>
      </c>
      <c r="N642" s="7">
        <f t="shared" si="46"/>
        <v>48156</v>
      </c>
      <c r="O642" s="2">
        <v>54</v>
      </c>
      <c r="P642" s="8">
        <f t="shared" si="47"/>
        <v>48210</v>
      </c>
      <c r="Q642" s="8">
        <f t="shared" si="48"/>
        <v>40584</v>
      </c>
      <c r="R642" s="2" t="s">
        <v>28</v>
      </c>
      <c r="S642" s="9">
        <f t="shared" si="49"/>
        <v>3374.7000000000003</v>
      </c>
    </row>
    <row r="643" spans="1:19" x14ac:dyDescent="0.3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str">
        <f>IFERROR(VLOOKUP('Customer Info'!A635,'Customer Info'!A635:C1134,2,FALSE),"Not Found")</f>
        <v>Not Found</v>
      </c>
      <c r="H643" s="6" t="str">
        <f>IFERROR(VLOOKUP('Customer Info'!A635,'Customer Info'!A635:C1134,3,FALSE),"Not Found")</f>
        <v>Not Found</v>
      </c>
      <c r="I643" s="6" t="str">
        <f>IFERROR(VLOOKUP('Customer Info'!A635,'Customer Info'!A635:E1134,5,FALSE),"Not Found")</f>
        <v>Not Found</v>
      </c>
      <c r="J643" s="2">
        <v>2697</v>
      </c>
      <c r="K643" s="2">
        <v>2498</v>
      </c>
      <c r="L643" s="2">
        <v>3</v>
      </c>
      <c r="M643" s="7">
        <f t="shared" si="45"/>
        <v>7494</v>
      </c>
      <c r="N643" s="7">
        <f t="shared" si="46"/>
        <v>8091</v>
      </c>
      <c r="O643" s="2">
        <v>41</v>
      </c>
      <c r="P643" s="8">
        <f t="shared" si="47"/>
        <v>8132</v>
      </c>
      <c r="Q643" s="8">
        <f t="shared" si="48"/>
        <v>5593</v>
      </c>
      <c r="R643" s="2" t="s">
        <v>50</v>
      </c>
      <c r="S643" s="9">
        <f t="shared" si="49"/>
        <v>406.6</v>
      </c>
    </row>
    <row r="644" spans="1:19" x14ac:dyDescent="0.3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str">
        <f>IFERROR(VLOOKUP('Customer Info'!A636,'Customer Info'!A636:C1135,2,FALSE),"Not Found")</f>
        <v>Not Found</v>
      </c>
      <c r="H644" s="6" t="str">
        <f>IFERROR(VLOOKUP('Customer Info'!A636,'Customer Info'!A636:C1135,3,FALSE),"Not Found")</f>
        <v>Not Found</v>
      </c>
      <c r="I644" s="6" t="str">
        <f>IFERROR(VLOOKUP('Customer Info'!A636,'Customer Info'!A636:E1135,5,FALSE),"Not Found")</f>
        <v>Not Found</v>
      </c>
      <c r="J644" s="2">
        <v>6087</v>
      </c>
      <c r="K644" s="2">
        <v>5808</v>
      </c>
      <c r="L644" s="2">
        <v>2</v>
      </c>
      <c r="M644" s="7">
        <f t="shared" si="45"/>
        <v>11616</v>
      </c>
      <c r="N644" s="7">
        <f t="shared" si="46"/>
        <v>12174</v>
      </c>
      <c r="O644" s="2">
        <v>75</v>
      </c>
      <c r="P644" s="8">
        <f t="shared" si="47"/>
        <v>12249</v>
      </c>
      <c r="Q644" s="8">
        <f t="shared" si="48"/>
        <v>6366</v>
      </c>
      <c r="R644" s="2" t="s">
        <v>50</v>
      </c>
      <c r="S644" s="9">
        <f t="shared" si="49"/>
        <v>612.45000000000005</v>
      </c>
    </row>
    <row r="645" spans="1:19" x14ac:dyDescent="0.3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str">
        <f>IFERROR(VLOOKUP('Customer Info'!A637,'Customer Info'!A637:C1136,2,FALSE),"Not Found")</f>
        <v>Not Found</v>
      </c>
      <c r="H645" s="6" t="str">
        <f>IFERROR(VLOOKUP('Customer Info'!A637,'Customer Info'!A637:C1136,3,FALSE),"Not Found")</f>
        <v>Not Found</v>
      </c>
      <c r="I645" s="6" t="str">
        <f>IFERROR(VLOOKUP('Customer Info'!A637,'Customer Info'!A637:E1136,5,FALSE),"Not Found")</f>
        <v>Not Found</v>
      </c>
      <c r="J645" s="2">
        <v>151</v>
      </c>
      <c r="K645" s="2">
        <v>139</v>
      </c>
      <c r="L645" s="2">
        <v>1</v>
      </c>
      <c r="M645" s="7">
        <f t="shared" si="45"/>
        <v>139</v>
      </c>
      <c r="N645" s="7">
        <f t="shared" si="46"/>
        <v>151</v>
      </c>
      <c r="O645" s="2">
        <v>30</v>
      </c>
      <c r="P645" s="8">
        <f t="shared" si="47"/>
        <v>181</v>
      </c>
      <c r="Q645" s="8">
        <f t="shared" si="48"/>
        <v>12</v>
      </c>
      <c r="R645" s="2" t="s">
        <v>28</v>
      </c>
      <c r="S645" s="9">
        <f t="shared" si="49"/>
        <v>3.62</v>
      </c>
    </row>
    <row r="646" spans="1:19" x14ac:dyDescent="0.3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str">
        <f>IFERROR(VLOOKUP('Customer Info'!A638,'Customer Info'!A638:C1137,2,FALSE),"Not Found")</f>
        <v>Not Found</v>
      </c>
      <c r="H646" s="6" t="str">
        <f>IFERROR(VLOOKUP('Customer Info'!A638,'Customer Info'!A638:C1137,3,FALSE),"Not Found")</f>
        <v>Not Found</v>
      </c>
      <c r="I646" s="6" t="str">
        <f>IFERROR(VLOOKUP('Customer Info'!A638,'Customer Info'!A638:E1137,5,FALSE),"Not Found")</f>
        <v>Not Found</v>
      </c>
      <c r="J646" s="2">
        <v>3192</v>
      </c>
      <c r="K646" s="2">
        <v>3011</v>
      </c>
      <c r="L646" s="2">
        <v>4</v>
      </c>
      <c r="M646" s="7">
        <f t="shared" si="45"/>
        <v>12044</v>
      </c>
      <c r="N646" s="7">
        <f t="shared" si="46"/>
        <v>12768</v>
      </c>
      <c r="O646" s="2">
        <v>50</v>
      </c>
      <c r="P646" s="8">
        <f t="shared" si="47"/>
        <v>12818</v>
      </c>
      <c r="Q646" s="8">
        <f t="shared" si="48"/>
        <v>9757</v>
      </c>
      <c r="R646" s="2" t="s">
        <v>26</v>
      </c>
      <c r="S646" s="9">
        <f t="shared" si="49"/>
        <v>640.90000000000009</v>
      </c>
    </row>
    <row r="647" spans="1:19" x14ac:dyDescent="0.3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str">
        <f>IFERROR(VLOOKUP('Customer Info'!A639,'Customer Info'!A639:C1138,2,FALSE),"Not Found")</f>
        <v>Not Found</v>
      </c>
      <c r="H647" s="6" t="str">
        <f>IFERROR(VLOOKUP('Customer Info'!A639,'Customer Info'!A639:C1138,3,FALSE),"Not Found")</f>
        <v>Not Found</v>
      </c>
      <c r="I647" s="6" t="str">
        <f>IFERROR(VLOOKUP('Customer Info'!A639,'Customer Info'!A639:E1138,5,FALSE),"Not Found")</f>
        <v>Not Found</v>
      </c>
      <c r="J647" s="2">
        <v>6664</v>
      </c>
      <c r="K647" s="2">
        <v>6473</v>
      </c>
      <c r="L647" s="2">
        <v>2</v>
      </c>
      <c r="M647" s="7">
        <f t="shared" si="45"/>
        <v>12946</v>
      </c>
      <c r="N647" s="7">
        <f t="shared" si="46"/>
        <v>13328</v>
      </c>
      <c r="O647" s="2">
        <v>38</v>
      </c>
      <c r="P647" s="8">
        <f t="shared" si="47"/>
        <v>13366</v>
      </c>
      <c r="Q647" s="8">
        <f t="shared" si="48"/>
        <v>6855</v>
      </c>
      <c r="R647" s="2" t="s">
        <v>28</v>
      </c>
      <c r="S647" s="9">
        <f t="shared" si="49"/>
        <v>668.30000000000007</v>
      </c>
    </row>
    <row r="648" spans="1:19" x14ac:dyDescent="0.3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str">
        <f>IFERROR(VLOOKUP('Customer Info'!A640,'Customer Info'!A640:C1139,2,FALSE),"Not Found")</f>
        <v>Not Found</v>
      </c>
      <c r="H648" s="6" t="str">
        <f>IFERROR(VLOOKUP('Customer Info'!A640,'Customer Info'!A640:C1139,3,FALSE),"Not Found")</f>
        <v>Not Found</v>
      </c>
      <c r="I648" s="6" t="str">
        <f>IFERROR(VLOOKUP('Customer Info'!A640,'Customer Info'!A640:E1139,5,FALSE),"Not Found")</f>
        <v>Not Found</v>
      </c>
      <c r="J648" s="2">
        <v>1925</v>
      </c>
      <c r="K648" s="2">
        <v>1834</v>
      </c>
      <c r="L648" s="2">
        <v>2</v>
      </c>
      <c r="M648" s="7">
        <f t="shared" si="45"/>
        <v>3668</v>
      </c>
      <c r="N648" s="7">
        <f t="shared" si="46"/>
        <v>3850</v>
      </c>
      <c r="O648" s="2">
        <v>75</v>
      </c>
      <c r="P648" s="8">
        <f t="shared" si="47"/>
        <v>3925</v>
      </c>
      <c r="Q648" s="8">
        <f t="shared" si="48"/>
        <v>2016</v>
      </c>
      <c r="R648" s="2" t="s">
        <v>28</v>
      </c>
      <c r="S648" s="9">
        <f t="shared" si="49"/>
        <v>78.5</v>
      </c>
    </row>
    <row r="649" spans="1:19" x14ac:dyDescent="0.3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str">
        <f>IFERROR(VLOOKUP('Customer Info'!A641,'Customer Info'!A641:C1140,2,FALSE),"Not Found")</f>
        <v>Not Found</v>
      </c>
      <c r="H649" s="6" t="str">
        <f>IFERROR(VLOOKUP('Customer Info'!A641,'Customer Info'!A641:C1140,3,FALSE),"Not Found")</f>
        <v>Not Found</v>
      </c>
      <c r="I649" s="6" t="str">
        <f>IFERROR(VLOOKUP('Customer Info'!A641,'Customer Info'!A641:E1140,5,FALSE),"Not Found")</f>
        <v>Not Found</v>
      </c>
      <c r="J649" s="2">
        <v>6585</v>
      </c>
      <c r="K649" s="2">
        <v>6105</v>
      </c>
      <c r="L649" s="2">
        <v>3</v>
      </c>
      <c r="M649" s="7">
        <f t="shared" si="45"/>
        <v>18315</v>
      </c>
      <c r="N649" s="7">
        <f t="shared" si="46"/>
        <v>19755</v>
      </c>
      <c r="O649" s="2">
        <v>72</v>
      </c>
      <c r="P649" s="8">
        <f t="shared" si="47"/>
        <v>19827</v>
      </c>
      <c r="Q649" s="8">
        <f t="shared" si="48"/>
        <v>13650</v>
      </c>
      <c r="R649" s="2" t="s">
        <v>26</v>
      </c>
      <c r="S649" s="9">
        <f t="shared" si="49"/>
        <v>991.35</v>
      </c>
    </row>
    <row r="650" spans="1:19" x14ac:dyDescent="0.3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str">
        <f>IFERROR(VLOOKUP('Customer Info'!A642,'Customer Info'!A642:C1141,2,FALSE),"Not Found")</f>
        <v>Not Found</v>
      </c>
      <c r="H650" s="6" t="str">
        <f>IFERROR(VLOOKUP('Customer Info'!A642,'Customer Info'!A642:C1141,3,FALSE),"Not Found")</f>
        <v>Not Found</v>
      </c>
      <c r="I650" s="6" t="str">
        <f>IFERROR(VLOOKUP('Customer Info'!A642,'Customer Info'!A642:E1141,5,FALSE),"Not Found")</f>
        <v>Not Found</v>
      </c>
      <c r="J650" s="2">
        <v>2088</v>
      </c>
      <c r="K650" s="2">
        <v>1970</v>
      </c>
      <c r="L650" s="2">
        <v>7</v>
      </c>
      <c r="M650" s="7">
        <f t="shared" si="45"/>
        <v>13790</v>
      </c>
      <c r="N650" s="7">
        <f t="shared" si="46"/>
        <v>14616</v>
      </c>
      <c r="O650" s="2">
        <v>91</v>
      </c>
      <c r="P650" s="8">
        <f t="shared" si="47"/>
        <v>14707</v>
      </c>
      <c r="Q650" s="8">
        <f t="shared" si="48"/>
        <v>12646</v>
      </c>
      <c r="R650" s="2" t="s">
        <v>28</v>
      </c>
      <c r="S650" s="9">
        <f t="shared" si="49"/>
        <v>735.35</v>
      </c>
    </row>
    <row r="651" spans="1:19" x14ac:dyDescent="0.3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str">
        <f>IFERROR(VLOOKUP('Customer Info'!A643,'Customer Info'!A643:C1142,2,FALSE),"Not Found")</f>
        <v>Not Found</v>
      </c>
      <c r="H651" s="6" t="str">
        <f>IFERROR(VLOOKUP('Customer Info'!A643,'Customer Info'!A643:C1142,3,FALSE),"Not Found")</f>
        <v>Not Found</v>
      </c>
      <c r="I651" s="6" t="str">
        <f>IFERROR(VLOOKUP('Customer Info'!A643,'Customer Info'!A643:E1142,5,FALSE),"Not Found")</f>
        <v>Not Found</v>
      </c>
      <c r="J651" s="2">
        <v>4246</v>
      </c>
      <c r="K651" s="2">
        <v>3857</v>
      </c>
      <c r="L651" s="2">
        <v>4</v>
      </c>
      <c r="M651" s="7">
        <f t="shared" ref="M651:M714" si="50">$K651*$L651</f>
        <v>15428</v>
      </c>
      <c r="N651" s="7">
        <f t="shared" ref="N651:N714" si="51">$J651*$L651</f>
        <v>16984</v>
      </c>
      <c r="O651" s="2">
        <v>76</v>
      </c>
      <c r="P651" s="8">
        <f t="shared" ref="P651:P714" si="52">$N651+$O651</f>
        <v>17060</v>
      </c>
      <c r="Q651" s="8">
        <f t="shared" ref="Q651:Q714" si="53">$N651-$K651</f>
        <v>13127</v>
      </c>
      <c r="R651" s="2" t="s">
        <v>26</v>
      </c>
      <c r="S651" s="9">
        <f t="shared" ref="S651:S714" si="54" xml:space="preserve"> P651 * VLOOKUP(P651, $T$2:$U$6, 2, TRUE)</f>
        <v>853</v>
      </c>
    </row>
    <row r="652" spans="1:19" x14ac:dyDescent="0.3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str">
        <f>IFERROR(VLOOKUP('Customer Info'!A644,'Customer Info'!A644:C1143,2,FALSE),"Not Found")</f>
        <v>Not Found</v>
      </c>
      <c r="H652" s="6" t="str">
        <f>IFERROR(VLOOKUP('Customer Info'!A644,'Customer Info'!A644:C1143,3,FALSE),"Not Found")</f>
        <v>Not Found</v>
      </c>
      <c r="I652" s="6" t="str">
        <f>IFERROR(VLOOKUP('Customer Info'!A644,'Customer Info'!A644:E1143,5,FALSE),"Not Found")</f>
        <v>Not Found</v>
      </c>
      <c r="J652" s="2">
        <v>68</v>
      </c>
      <c r="K652" s="2">
        <v>63</v>
      </c>
      <c r="L652" s="2">
        <v>4</v>
      </c>
      <c r="M652" s="7">
        <f t="shared" si="50"/>
        <v>252</v>
      </c>
      <c r="N652" s="7">
        <f t="shared" si="51"/>
        <v>272</v>
      </c>
      <c r="O652" s="2">
        <v>10</v>
      </c>
      <c r="P652" s="8">
        <f t="shared" si="52"/>
        <v>282</v>
      </c>
      <c r="Q652" s="8">
        <f t="shared" si="53"/>
        <v>209</v>
      </c>
      <c r="R652" s="2" t="s">
        <v>50</v>
      </c>
      <c r="S652" s="9">
        <f t="shared" si="54"/>
        <v>5.64</v>
      </c>
    </row>
    <row r="653" spans="1:19" x14ac:dyDescent="0.3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str">
        <f>IFERROR(VLOOKUP('Customer Info'!A645,'Customer Info'!A645:C1144,2,FALSE),"Not Found")</f>
        <v>Not Found</v>
      </c>
      <c r="H653" s="6" t="str">
        <f>IFERROR(VLOOKUP('Customer Info'!A645,'Customer Info'!A645:C1144,3,FALSE),"Not Found")</f>
        <v>Not Found</v>
      </c>
      <c r="I653" s="6" t="str">
        <f>IFERROR(VLOOKUP('Customer Info'!A645,'Customer Info'!A645:E1144,5,FALSE),"Not Found")</f>
        <v>Not Found</v>
      </c>
      <c r="J653" s="2">
        <v>2551</v>
      </c>
      <c r="K653" s="2">
        <v>2456</v>
      </c>
      <c r="L653" s="2">
        <v>4</v>
      </c>
      <c r="M653" s="7">
        <f t="shared" si="50"/>
        <v>9824</v>
      </c>
      <c r="N653" s="7">
        <f t="shared" si="51"/>
        <v>10204</v>
      </c>
      <c r="O653" s="2">
        <v>51</v>
      </c>
      <c r="P653" s="8">
        <f t="shared" si="52"/>
        <v>10255</v>
      </c>
      <c r="Q653" s="8">
        <f t="shared" si="53"/>
        <v>7748</v>
      </c>
      <c r="R653" s="2" t="s">
        <v>28</v>
      </c>
      <c r="S653" s="9">
        <f t="shared" si="54"/>
        <v>512.75</v>
      </c>
    </row>
    <row r="654" spans="1:19" x14ac:dyDescent="0.3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str">
        <f>IFERROR(VLOOKUP('Customer Info'!A646,'Customer Info'!A646:C1145,2,FALSE),"Not Found")</f>
        <v>Not Found</v>
      </c>
      <c r="H654" s="6" t="str">
        <f>IFERROR(VLOOKUP('Customer Info'!A646,'Customer Info'!A646:C1145,3,FALSE),"Not Found")</f>
        <v>Not Found</v>
      </c>
      <c r="I654" s="6" t="str">
        <f>IFERROR(VLOOKUP('Customer Info'!A646,'Customer Info'!A646:E1145,5,FALSE),"Not Found")</f>
        <v>Not Found</v>
      </c>
      <c r="J654" s="2">
        <v>2759</v>
      </c>
      <c r="K654" s="2">
        <v>2628</v>
      </c>
      <c r="L654" s="2">
        <v>4</v>
      </c>
      <c r="M654" s="7">
        <f t="shared" si="50"/>
        <v>10512</v>
      </c>
      <c r="N654" s="7">
        <f t="shared" si="51"/>
        <v>11036</v>
      </c>
      <c r="O654" s="2">
        <v>52</v>
      </c>
      <c r="P654" s="8">
        <f t="shared" si="52"/>
        <v>11088</v>
      </c>
      <c r="Q654" s="8">
        <f t="shared" si="53"/>
        <v>8408</v>
      </c>
      <c r="R654" s="2" t="s">
        <v>28</v>
      </c>
      <c r="S654" s="9">
        <f t="shared" si="54"/>
        <v>554.4</v>
      </c>
    </row>
    <row r="655" spans="1:19" x14ac:dyDescent="0.3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str">
        <f>IFERROR(VLOOKUP('Customer Info'!A647,'Customer Info'!A647:C1146,2,FALSE),"Not Found")</f>
        <v>Not Found</v>
      </c>
      <c r="H655" s="6" t="str">
        <f>IFERROR(VLOOKUP('Customer Info'!A647,'Customer Info'!A647:C1146,3,FALSE),"Not Found")</f>
        <v>Not Found</v>
      </c>
      <c r="I655" s="6" t="str">
        <f>IFERROR(VLOOKUP('Customer Info'!A647,'Customer Info'!A647:E1146,5,FALSE),"Not Found")</f>
        <v>Not Found</v>
      </c>
      <c r="J655" s="2">
        <v>1601</v>
      </c>
      <c r="K655" s="2">
        <v>1510</v>
      </c>
      <c r="L655" s="2">
        <v>2</v>
      </c>
      <c r="M655" s="7">
        <f t="shared" si="50"/>
        <v>3020</v>
      </c>
      <c r="N655" s="7">
        <f t="shared" si="51"/>
        <v>3202</v>
      </c>
      <c r="O655" s="2">
        <v>21</v>
      </c>
      <c r="P655" s="8">
        <f t="shared" si="52"/>
        <v>3223</v>
      </c>
      <c r="Q655" s="8">
        <f t="shared" si="53"/>
        <v>1692</v>
      </c>
      <c r="R655" s="2" t="s">
        <v>28</v>
      </c>
      <c r="S655" s="9">
        <f t="shared" si="54"/>
        <v>64.460000000000008</v>
      </c>
    </row>
    <row r="656" spans="1:19" x14ac:dyDescent="0.3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str">
        <f>IFERROR(VLOOKUP('Customer Info'!A648,'Customer Info'!A648:C1147,2,FALSE),"Not Found")</f>
        <v>Not Found</v>
      </c>
      <c r="H656" s="6" t="str">
        <f>IFERROR(VLOOKUP('Customer Info'!A648,'Customer Info'!A648:C1147,3,FALSE),"Not Found")</f>
        <v>Not Found</v>
      </c>
      <c r="I656" s="6" t="str">
        <f>IFERROR(VLOOKUP('Customer Info'!A648,'Customer Info'!A648:E1147,5,FALSE),"Not Found")</f>
        <v>Not Found</v>
      </c>
      <c r="J656" s="2">
        <v>1103</v>
      </c>
      <c r="K656" s="2">
        <v>1030</v>
      </c>
      <c r="L656" s="2">
        <v>2</v>
      </c>
      <c r="M656" s="7">
        <f t="shared" si="50"/>
        <v>2060</v>
      </c>
      <c r="N656" s="7">
        <f t="shared" si="51"/>
        <v>2206</v>
      </c>
      <c r="O656" s="2">
        <v>29</v>
      </c>
      <c r="P656" s="8">
        <f t="shared" si="52"/>
        <v>2235</v>
      </c>
      <c r="Q656" s="8">
        <f t="shared" si="53"/>
        <v>1176</v>
      </c>
      <c r="R656" s="2" t="s">
        <v>50</v>
      </c>
      <c r="S656" s="9">
        <f t="shared" si="54"/>
        <v>44.7</v>
      </c>
    </row>
    <row r="657" spans="1:19" x14ac:dyDescent="0.3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str">
        <f>IFERROR(VLOOKUP('Customer Info'!A649,'Customer Info'!A649:C1148,2,FALSE),"Not Found")</f>
        <v>Not Found</v>
      </c>
      <c r="H657" s="6" t="str">
        <f>IFERROR(VLOOKUP('Customer Info'!A649,'Customer Info'!A649:C1148,3,FALSE),"Not Found")</f>
        <v>Not Found</v>
      </c>
      <c r="I657" s="6" t="str">
        <f>IFERROR(VLOOKUP('Customer Info'!A649,'Customer Info'!A649:E1148,5,FALSE),"Not Found")</f>
        <v>Not Found</v>
      </c>
      <c r="J657" s="2">
        <v>825</v>
      </c>
      <c r="K657" s="2">
        <v>793</v>
      </c>
      <c r="L657" s="2">
        <v>4</v>
      </c>
      <c r="M657" s="7">
        <f t="shared" si="50"/>
        <v>3172</v>
      </c>
      <c r="N657" s="7">
        <f t="shared" si="51"/>
        <v>3300</v>
      </c>
      <c r="O657" s="2">
        <v>88</v>
      </c>
      <c r="P657" s="8">
        <f t="shared" si="52"/>
        <v>3388</v>
      </c>
      <c r="Q657" s="8">
        <f t="shared" si="53"/>
        <v>2507</v>
      </c>
      <c r="R657" s="2" t="s">
        <v>28</v>
      </c>
      <c r="S657" s="9">
        <f t="shared" si="54"/>
        <v>67.760000000000005</v>
      </c>
    </row>
    <row r="658" spans="1:19" x14ac:dyDescent="0.3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str">
        <f>IFERROR(VLOOKUP('Customer Info'!A650,'Customer Info'!A650:C1149,2,FALSE),"Not Found")</f>
        <v>Not Found</v>
      </c>
      <c r="H658" s="6" t="str">
        <f>IFERROR(VLOOKUP('Customer Info'!A650,'Customer Info'!A650:C1149,3,FALSE),"Not Found")</f>
        <v>Not Found</v>
      </c>
      <c r="I658" s="6" t="str">
        <f>IFERROR(VLOOKUP('Customer Info'!A650,'Customer Info'!A650:E1149,5,FALSE),"Not Found")</f>
        <v>Not Found</v>
      </c>
      <c r="J658" s="2">
        <v>139</v>
      </c>
      <c r="K658" s="2">
        <v>133</v>
      </c>
      <c r="L658" s="2">
        <v>6</v>
      </c>
      <c r="M658" s="7">
        <f t="shared" si="50"/>
        <v>798</v>
      </c>
      <c r="N658" s="7">
        <f t="shared" si="51"/>
        <v>834</v>
      </c>
      <c r="O658" s="2">
        <v>30</v>
      </c>
      <c r="P658" s="8">
        <f t="shared" si="52"/>
        <v>864</v>
      </c>
      <c r="Q658" s="8">
        <f t="shared" si="53"/>
        <v>701</v>
      </c>
      <c r="R658" s="2" t="s">
        <v>28</v>
      </c>
      <c r="S658" s="9">
        <f t="shared" si="54"/>
        <v>17.28</v>
      </c>
    </row>
    <row r="659" spans="1:19" x14ac:dyDescent="0.3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str">
        <f>IFERROR(VLOOKUP('Customer Info'!A651,'Customer Info'!A651:C1150,2,FALSE),"Not Found")</f>
        <v>Not Found</v>
      </c>
      <c r="H659" s="6" t="str">
        <f>IFERROR(VLOOKUP('Customer Info'!A651,'Customer Info'!A651:C1150,3,FALSE),"Not Found")</f>
        <v>Not Found</v>
      </c>
      <c r="I659" s="6" t="str">
        <f>IFERROR(VLOOKUP('Customer Info'!A651,'Customer Info'!A651:E1150,5,FALSE),"Not Found")</f>
        <v>Not Found</v>
      </c>
      <c r="J659" s="2">
        <v>1574</v>
      </c>
      <c r="K659" s="2">
        <v>1375</v>
      </c>
      <c r="L659" s="2">
        <v>1</v>
      </c>
      <c r="M659" s="7">
        <f t="shared" si="50"/>
        <v>1375</v>
      </c>
      <c r="N659" s="7">
        <f t="shared" si="51"/>
        <v>1574</v>
      </c>
      <c r="O659" s="2">
        <v>37</v>
      </c>
      <c r="P659" s="8">
        <f t="shared" si="52"/>
        <v>1611</v>
      </c>
      <c r="Q659" s="8">
        <f t="shared" si="53"/>
        <v>199</v>
      </c>
      <c r="R659" s="2" t="s">
        <v>50</v>
      </c>
      <c r="S659" s="9">
        <f t="shared" si="54"/>
        <v>32.22</v>
      </c>
    </row>
    <row r="660" spans="1:19" x14ac:dyDescent="0.3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str">
        <f>IFERROR(VLOOKUP('Customer Info'!A652,'Customer Info'!A652:C1151,2,FALSE),"Not Found")</f>
        <v>Not Found</v>
      </c>
      <c r="H660" s="6" t="str">
        <f>IFERROR(VLOOKUP('Customer Info'!A652,'Customer Info'!A652:C1151,3,FALSE),"Not Found")</f>
        <v>Not Found</v>
      </c>
      <c r="I660" s="6" t="str">
        <f>IFERROR(VLOOKUP('Customer Info'!A652,'Customer Info'!A652:E1151,5,FALSE),"Not Found")</f>
        <v>Not Found</v>
      </c>
      <c r="J660" s="2">
        <v>1845</v>
      </c>
      <c r="K660" s="2">
        <v>1742</v>
      </c>
      <c r="L660" s="2">
        <v>6</v>
      </c>
      <c r="M660" s="7">
        <f t="shared" si="50"/>
        <v>10452</v>
      </c>
      <c r="N660" s="7">
        <f t="shared" si="51"/>
        <v>11070</v>
      </c>
      <c r="O660" s="2">
        <v>79</v>
      </c>
      <c r="P660" s="8">
        <f t="shared" si="52"/>
        <v>11149</v>
      </c>
      <c r="Q660" s="8">
        <f t="shared" si="53"/>
        <v>9328</v>
      </c>
      <c r="R660" s="2" t="s">
        <v>28</v>
      </c>
      <c r="S660" s="9">
        <f t="shared" si="54"/>
        <v>557.45000000000005</v>
      </c>
    </row>
    <row r="661" spans="1:19" x14ac:dyDescent="0.3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str">
        <f>IFERROR(VLOOKUP('Customer Info'!A653,'Customer Info'!A653:C1152,2,FALSE),"Not Found")</f>
        <v>Not Found</v>
      </c>
      <c r="H661" s="6" t="str">
        <f>IFERROR(VLOOKUP('Customer Info'!A653,'Customer Info'!A653:C1152,3,FALSE),"Not Found")</f>
        <v>Not Found</v>
      </c>
      <c r="I661" s="6" t="str">
        <f>IFERROR(VLOOKUP('Customer Info'!A653,'Customer Info'!A653:E1152,5,FALSE),"Not Found")</f>
        <v>Not Found</v>
      </c>
      <c r="J661" s="2">
        <v>4784</v>
      </c>
      <c r="K661" s="2">
        <v>4518</v>
      </c>
      <c r="L661" s="2">
        <v>3</v>
      </c>
      <c r="M661" s="7">
        <f t="shared" si="50"/>
        <v>13554</v>
      </c>
      <c r="N661" s="7">
        <f t="shared" si="51"/>
        <v>14352</v>
      </c>
      <c r="O661" s="2">
        <v>79</v>
      </c>
      <c r="P661" s="8">
        <f t="shared" si="52"/>
        <v>14431</v>
      </c>
      <c r="Q661" s="8">
        <f t="shared" si="53"/>
        <v>9834</v>
      </c>
      <c r="R661" s="2" t="s">
        <v>28</v>
      </c>
      <c r="S661" s="9">
        <f t="shared" si="54"/>
        <v>721.55000000000007</v>
      </c>
    </row>
    <row r="662" spans="1:19" x14ac:dyDescent="0.3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str">
        <f>IFERROR(VLOOKUP('Customer Info'!A654,'Customer Info'!A654:C1153,2,FALSE),"Not Found")</f>
        <v>Not Found</v>
      </c>
      <c r="H662" s="6" t="str">
        <f>IFERROR(VLOOKUP('Customer Info'!A654,'Customer Info'!A654:C1153,3,FALSE),"Not Found")</f>
        <v>Not Found</v>
      </c>
      <c r="I662" s="6" t="str">
        <f>IFERROR(VLOOKUP('Customer Info'!A654,'Customer Info'!A654:E1153,5,FALSE),"Not Found")</f>
        <v>Not Found</v>
      </c>
      <c r="J662" s="2">
        <v>829</v>
      </c>
      <c r="K662" s="2">
        <v>761</v>
      </c>
      <c r="L662" s="2">
        <v>7</v>
      </c>
      <c r="M662" s="7">
        <f t="shared" si="50"/>
        <v>5327</v>
      </c>
      <c r="N662" s="7">
        <f t="shared" si="51"/>
        <v>5803</v>
      </c>
      <c r="O662" s="2">
        <v>29</v>
      </c>
      <c r="P662" s="8">
        <f t="shared" si="52"/>
        <v>5832</v>
      </c>
      <c r="Q662" s="8">
        <f t="shared" si="53"/>
        <v>5042</v>
      </c>
      <c r="R662" s="2" t="s">
        <v>26</v>
      </c>
      <c r="S662" s="9">
        <f t="shared" si="54"/>
        <v>291.60000000000002</v>
      </c>
    </row>
    <row r="663" spans="1:19" x14ac:dyDescent="0.3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str">
        <f>IFERROR(VLOOKUP('Customer Info'!A655,'Customer Info'!A655:C1154,2,FALSE),"Not Found")</f>
        <v>Not Found</v>
      </c>
      <c r="H663" s="6" t="str">
        <f>IFERROR(VLOOKUP('Customer Info'!A655,'Customer Info'!A655:C1154,3,FALSE),"Not Found")</f>
        <v>Not Found</v>
      </c>
      <c r="I663" s="6" t="str">
        <f>IFERROR(VLOOKUP('Customer Info'!A655,'Customer Info'!A655:E1154,5,FALSE),"Not Found")</f>
        <v>Not Found</v>
      </c>
      <c r="J663" s="2">
        <v>5882</v>
      </c>
      <c r="K663" s="2">
        <v>5713</v>
      </c>
      <c r="L663" s="2">
        <v>7</v>
      </c>
      <c r="M663" s="7">
        <f t="shared" si="50"/>
        <v>39991</v>
      </c>
      <c r="N663" s="7">
        <f t="shared" si="51"/>
        <v>41174</v>
      </c>
      <c r="O663" s="2">
        <v>58</v>
      </c>
      <c r="P663" s="8">
        <f t="shared" si="52"/>
        <v>41232</v>
      </c>
      <c r="Q663" s="8">
        <f t="shared" si="53"/>
        <v>35461</v>
      </c>
      <c r="R663" s="2" t="s">
        <v>50</v>
      </c>
      <c r="S663" s="9">
        <f t="shared" si="54"/>
        <v>2886.2400000000002</v>
      </c>
    </row>
    <row r="664" spans="1:19" x14ac:dyDescent="0.3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str">
        <f>IFERROR(VLOOKUP('Customer Info'!A656,'Customer Info'!A656:C1155,2,FALSE),"Not Found")</f>
        <v>Not Found</v>
      </c>
      <c r="H664" s="6" t="str">
        <f>IFERROR(VLOOKUP('Customer Info'!A656,'Customer Info'!A656:C1155,3,FALSE),"Not Found")</f>
        <v>Not Found</v>
      </c>
      <c r="I664" s="6" t="str">
        <f>IFERROR(VLOOKUP('Customer Info'!A656,'Customer Info'!A656:E1155,5,FALSE),"Not Found")</f>
        <v>Not Found</v>
      </c>
      <c r="J664" s="2">
        <v>77</v>
      </c>
      <c r="K664" s="2">
        <v>73</v>
      </c>
      <c r="L664" s="2">
        <v>2</v>
      </c>
      <c r="M664" s="7">
        <f t="shared" si="50"/>
        <v>146</v>
      </c>
      <c r="N664" s="7">
        <f t="shared" si="51"/>
        <v>154</v>
      </c>
      <c r="O664" s="2">
        <v>10</v>
      </c>
      <c r="P664" s="8">
        <f t="shared" si="52"/>
        <v>164</v>
      </c>
      <c r="Q664" s="8">
        <f t="shared" si="53"/>
        <v>81</v>
      </c>
      <c r="R664" s="2" t="s">
        <v>26</v>
      </c>
      <c r="S664" s="9">
        <f t="shared" si="54"/>
        <v>3.2800000000000002</v>
      </c>
    </row>
    <row r="665" spans="1:19" x14ac:dyDescent="0.3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str">
        <f>IFERROR(VLOOKUP('Customer Info'!A657,'Customer Info'!A657:C1156,2,FALSE),"Not Found")</f>
        <v>Not Found</v>
      </c>
      <c r="H665" s="6" t="str">
        <f>IFERROR(VLOOKUP('Customer Info'!A657,'Customer Info'!A657:C1156,3,FALSE),"Not Found")</f>
        <v>Not Found</v>
      </c>
      <c r="I665" s="6" t="str">
        <f>IFERROR(VLOOKUP('Customer Info'!A657,'Customer Info'!A657:E1156,5,FALSE),"Not Found")</f>
        <v>Not Found</v>
      </c>
      <c r="J665" s="2">
        <v>6598</v>
      </c>
      <c r="K665" s="2">
        <v>6346</v>
      </c>
      <c r="L665" s="2">
        <v>1</v>
      </c>
      <c r="M665" s="7">
        <f t="shared" si="50"/>
        <v>6346</v>
      </c>
      <c r="N665" s="7">
        <f t="shared" si="51"/>
        <v>6598</v>
      </c>
      <c r="O665" s="2">
        <v>91</v>
      </c>
      <c r="P665" s="8">
        <f t="shared" si="52"/>
        <v>6689</v>
      </c>
      <c r="Q665" s="8">
        <f t="shared" si="53"/>
        <v>252</v>
      </c>
      <c r="R665" s="2" t="s">
        <v>28</v>
      </c>
      <c r="S665" s="9">
        <f t="shared" si="54"/>
        <v>334.45000000000005</v>
      </c>
    </row>
    <row r="666" spans="1:19" x14ac:dyDescent="0.3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str">
        <f>IFERROR(VLOOKUP('Customer Info'!A658,'Customer Info'!A658:C1157,2,FALSE),"Not Found")</f>
        <v>Not Found</v>
      </c>
      <c r="H666" s="6" t="str">
        <f>IFERROR(VLOOKUP('Customer Info'!A658,'Customer Info'!A658:C1157,3,FALSE),"Not Found")</f>
        <v>Not Found</v>
      </c>
      <c r="I666" s="6" t="str">
        <f>IFERROR(VLOOKUP('Customer Info'!A658,'Customer Info'!A658:E1157,5,FALSE),"Not Found")</f>
        <v>Not Found</v>
      </c>
      <c r="J666" s="2">
        <v>664</v>
      </c>
      <c r="K666" s="2">
        <v>576</v>
      </c>
      <c r="L666" s="2">
        <v>4</v>
      </c>
      <c r="M666" s="7">
        <f t="shared" si="50"/>
        <v>2304</v>
      </c>
      <c r="N666" s="7">
        <f t="shared" si="51"/>
        <v>2656</v>
      </c>
      <c r="O666" s="2">
        <v>45</v>
      </c>
      <c r="P666" s="8">
        <f t="shared" si="52"/>
        <v>2701</v>
      </c>
      <c r="Q666" s="8">
        <f t="shared" si="53"/>
        <v>2080</v>
      </c>
      <c r="R666" s="2" t="s">
        <v>28</v>
      </c>
      <c r="S666" s="9">
        <f t="shared" si="54"/>
        <v>54.02</v>
      </c>
    </row>
    <row r="667" spans="1:19" x14ac:dyDescent="0.3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str">
        <f>IFERROR(VLOOKUP('Customer Info'!A659,'Customer Info'!A659:C1158,2,FALSE),"Not Found")</f>
        <v>Not Found</v>
      </c>
      <c r="H667" s="6" t="str">
        <f>IFERROR(VLOOKUP('Customer Info'!A659,'Customer Info'!A659:C1158,3,FALSE),"Not Found")</f>
        <v>Not Found</v>
      </c>
      <c r="I667" s="6" t="str">
        <f>IFERROR(VLOOKUP('Customer Info'!A659,'Customer Info'!A659:E1158,5,FALSE),"Not Found")</f>
        <v>Not Found</v>
      </c>
      <c r="J667" s="2">
        <v>139</v>
      </c>
      <c r="K667" s="2">
        <v>130</v>
      </c>
      <c r="L667" s="2">
        <v>7</v>
      </c>
      <c r="M667" s="7">
        <f t="shared" si="50"/>
        <v>910</v>
      </c>
      <c r="N667" s="7">
        <f t="shared" si="51"/>
        <v>973</v>
      </c>
      <c r="O667" s="2">
        <v>30</v>
      </c>
      <c r="P667" s="8">
        <f t="shared" si="52"/>
        <v>1003</v>
      </c>
      <c r="Q667" s="8">
        <f t="shared" si="53"/>
        <v>843</v>
      </c>
      <c r="R667" s="2" t="s">
        <v>50</v>
      </c>
      <c r="S667" s="9">
        <f t="shared" si="54"/>
        <v>20.059999999999999</v>
      </c>
    </row>
    <row r="668" spans="1:19" x14ac:dyDescent="0.3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str">
        <f>IFERROR(VLOOKUP('Customer Info'!A660,'Customer Info'!A660:C1159,2,FALSE),"Not Found")</f>
        <v>Not Found</v>
      </c>
      <c r="H668" s="6" t="str">
        <f>IFERROR(VLOOKUP('Customer Info'!A660,'Customer Info'!A660:C1159,3,FALSE),"Not Found")</f>
        <v>Not Found</v>
      </c>
      <c r="I668" s="6" t="str">
        <f>IFERROR(VLOOKUP('Customer Info'!A660,'Customer Info'!A660:E1159,5,FALSE),"Not Found")</f>
        <v>Not Found</v>
      </c>
      <c r="J668" s="2">
        <v>2466</v>
      </c>
      <c r="K668" s="2">
        <v>2350</v>
      </c>
      <c r="L668" s="2">
        <v>3</v>
      </c>
      <c r="M668" s="7">
        <f t="shared" si="50"/>
        <v>7050</v>
      </c>
      <c r="N668" s="7">
        <f t="shared" si="51"/>
        <v>7398</v>
      </c>
      <c r="O668" s="2">
        <v>38</v>
      </c>
      <c r="P668" s="8">
        <f t="shared" si="52"/>
        <v>7436</v>
      </c>
      <c r="Q668" s="8">
        <f t="shared" si="53"/>
        <v>5048</v>
      </c>
      <c r="R668" s="2" t="s">
        <v>28</v>
      </c>
      <c r="S668" s="9">
        <f t="shared" si="54"/>
        <v>371.8</v>
      </c>
    </row>
    <row r="669" spans="1:19" x14ac:dyDescent="0.3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str">
        <f>IFERROR(VLOOKUP('Customer Info'!A661,'Customer Info'!A661:C1160,2,FALSE),"Not Found")</f>
        <v>Not Found</v>
      </c>
      <c r="H669" s="6" t="str">
        <f>IFERROR(VLOOKUP('Customer Info'!A661,'Customer Info'!A661:C1160,3,FALSE),"Not Found")</f>
        <v>Not Found</v>
      </c>
      <c r="I669" s="6" t="str">
        <f>IFERROR(VLOOKUP('Customer Info'!A661,'Customer Info'!A661:E1160,5,FALSE),"Not Found")</f>
        <v>Not Found</v>
      </c>
      <c r="J669" s="2">
        <v>6717</v>
      </c>
      <c r="K669" s="2">
        <v>6288</v>
      </c>
      <c r="L669" s="2">
        <v>3</v>
      </c>
      <c r="M669" s="7">
        <f t="shared" si="50"/>
        <v>18864</v>
      </c>
      <c r="N669" s="7">
        <f t="shared" si="51"/>
        <v>20151</v>
      </c>
      <c r="O669" s="2">
        <v>44</v>
      </c>
      <c r="P669" s="8">
        <f t="shared" si="52"/>
        <v>20195</v>
      </c>
      <c r="Q669" s="8">
        <f t="shared" si="53"/>
        <v>13863</v>
      </c>
      <c r="R669" s="2" t="s">
        <v>26</v>
      </c>
      <c r="S669" s="9">
        <f t="shared" si="54"/>
        <v>1009.75</v>
      </c>
    </row>
    <row r="670" spans="1:19" x14ac:dyDescent="0.3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str">
        <f>IFERROR(VLOOKUP('Customer Info'!A662,'Customer Info'!A662:C1161,2,FALSE),"Not Found")</f>
        <v>Not Found</v>
      </c>
      <c r="H670" s="6" t="str">
        <f>IFERROR(VLOOKUP('Customer Info'!A662,'Customer Info'!A662:C1161,3,FALSE),"Not Found")</f>
        <v>Not Found</v>
      </c>
      <c r="I670" s="6" t="str">
        <f>IFERROR(VLOOKUP('Customer Info'!A662,'Customer Info'!A662:E1161,5,FALSE),"Not Found")</f>
        <v>Not Found</v>
      </c>
      <c r="J670" s="2">
        <v>8651</v>
      </c>
      <c r="K670" s="2">
        <v>8081</v>
      </c>
      <c r="L670" s="2">
        <v>11</v>
      </c>
      <c r="M670" s="7">
        <f t="shared" si="50"/>
        <v>88891</v>
      </c>
      <c r="N670" s="7">
        <f t="shared" si="51"/>
        <v>95161</v>
      </c>
      <c r="O670" s="2">
        <v>27</v>
      </c>
      <c r="P670" s="8">
        <f t="shared" si="52"/>
        <v>95188</v>
      </c>
      <c r="Q670" s="8">
        <f t="shared" si="53"/>
        <v>87080</v>
      </c>
      <c r="R670" s="2" t="s">
        <v>28</v>
      </c>
      <c r="S670" s="9">
        <f t="shared" si="54"/>
        <v>8566.92</v>
      </c>
    </row>
    <row r="671" spans="1:19" x14ac:dyDescent="0.3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str">
        <f>IFERROR(VLOOKUP('Customer Info'!A663,'Customer Info'!A663:C1162,2,FALSE),"Not Found")</f>
        <v>Not Found</v>
      </c>
      <c r="H671" s="6" t="str">
        <f>IFERROR(VLOOKUP('Customer Info'!A663,'Customer Info'!A663:C1162,3,FALSE),"Not Found")</f>
        <v>Not Found</v>
      </c>
      <c r="I671" s="6" t="str">
        <f>IFERROR(VLOOKUP('Customer Info'!A663,'Customer Info'!A663:E1162,5,FALSE),"Not Found")</f>
        <v>Not Found</v>
      </c>
      <c r="J671" s="2">
        <v>210</v>
      </c>
      <c r="K671" s="2">
        <v>193</v>
      </c>
      <c r="L671" s="2">
        <v>2</v>
      </c>
      <c r="M671" s="7">
        <f t="shared" si="50"/>
        <v>386</v>
      </c>
      <c r="N671" s="7">
        <f t="shared" si="51"/>
        <v>420</v>
      </c>
      <c r="O671" s="2">
        <v>23</v>
      </c>
      <c r="P671" s="8">
        <f t="shared" si="52"/>
        <v>443</v>
      </c>
      <c r="Q671" s="8">
        <f t="shared" si="53"/>
        <v>227</v>
      </c>
      <c r="R671" s="2" t="s">
        <v>28</v>
      </c>
      <c r="S671" s="9">
        <f t="shared" si="54"/>
        <v>8.86</v>
      </c>
    </row>
    <row r="672" spans="1:19" x14ac:dyDescent="0.3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str">
        <f>IFERROR(VLOOKUP('Customer Info'!A664,'Customer Info'!A664:C1163,2,FALSE),"Not Found")</f>
        <v>Not Found</v>
      </c>
      <c r="H672" s="6" t="str">
        <f>IFERROR(VLOOKUP('Customer Info'!A664,'Customer Info'!A664:C1163,3,FALSE),"Not Found")</f>
        <v>Not Found</v>
      </c>
      <c r="I672" s="6" t="str">
        <f>IFERROR(VLOOKUP('Customer Info'!A664,'Customer Info'!A664:E1163,5,FALSE),"Not Found")</f>
        <v>Not Found</v>
      </c>
      <c r="J672" s="2">
        <v>6012</v>
      </c>
      <c r="K672" s="2">
        <v>5677</v>
      </c>
      <c r="L672" s="2">
        <v>1</v>
      </c>
      <c r="M672" s="7">
        <f t="shared" si="50"/>
        <v>5677</v>
      </c>
      <c r="N672" s="7">
        <f t="shared" si="51"/>
        <v>6012</v>
      </c>
      <c r="O672" s="2">
        <v>44</v>
      </c>
      <c r="P672" s="8">
        <f t="shared" si="52"/>
        <v>6056</v>
      </c>
      <c r="Q672" s="8">
        <f t="shared" si="53"/>
        <v>335</v>
      </c>
      <c r="R672" s="2" t="s">
        <v>28</v>
      </c>
      <c r="S672" s="9">
        <f t="shared" si="54"/>
        <v>302.8</v>
      </c>
    </row>
    <row r="673" spans="1:19" x14ac:dyDescent="0.3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str">
        <f>IFERROR(VLOOKUP('Customer Info'!A665,'Customer Info'!A665:C1164,2,FALSE),"Not Found")</f>
        <v>Not Found</v>
      </c>
      <c r="H673" s="6" t="str">
        <f>IFERROR(VLOOKUP('Customer Info'!A665,'Customer Info'!A665:C1164,3,FALSE),"Not Found")</f>
        <v>Not Found</v>
      </c>
      <c r="I673" s="6" t="str">
        <f>IFERROR(VLOOKUP('Customer Info'!A665,'Customer Info'!A665:E1164,5,FALSE),"Not Found")</f>
        <v>Not Found</v>
      </c>
      <c r="J673" s="2">
        <v>1635</v>
      </c>
      <c r="K673" s="2">
        <v>1573</v>
      </c>
      <c r="L673" s="2">
        <v>1</v>
      </c>
      <c r="M673" s="7">
        <f t="shared" si="50"/>
        <v>1573</v>
      </c>
      <c r="N673" s="7">
        <f t="shared" si="51"/>
        <v>1635</v>
      </c>
      <c r="O673" s="2">
        <v>52</v>
      </c>
      <c r="P673" s="8">
        <f t="shared" si="52"/>
        <v>1687</v>
      </c>
      <c r="Q673" s="8">
        <f t="shared" si="53"/>
        <v>62</v>
      </c>
      <c r="R673" s="2" t="s">
        <v>50</v>
      </c>
      <c r="S673" s="9">
        <f t="shared" si="54"/>
        <v>33.74</v>
      </c>
    </row>
    <row r="674" spans="1:19" x14ac:dyDescent="0.3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str">
        <f>IFERROR(VLOOKUP('Customer Info'!A666,'Customer Info'!A666:C1165,2,FALSE),"Not Found")</f>
        <v>Not Found</v>
      </c>
      <c r="H674" s="6" t="str">
        <f>IFERROR(VLOOKUP('Customer Info'!A666,'Customer Info'!A666:C1165,3,FALSE),"Not Found")</f>
        <v>Not Found</v>
      </c>
      <c r="I674" s="6" t="str">
        <f>IFERROR(VLOOKUP('Customer Info'!A666,'Customer Info'!A666:E1165,5,FALSE),"Not Found")</f>
        <v>Not Found</v>
      </c>
      <c r="J674" s="2">
        <v>8026</v>
      </c>
      <c r="K674" s="2">
        <v>7572</v>
      </c>
      <c r="L674" s="2">
        <v>7</v>
      </c>
      <c r="M674" s="7">
        <f t="shared" si="50"/>
        <v>53004</v>
      </c>
      <c r="N674" s="7">
        <f t="shared" si="51"/>
        <v>56182</v>
      </c>
      <c r="O674" s="2">
        <v>86</v>
      </c>
      <c r="P674" s="8">
        <f t="shared" si="52"/>
        <v>56268</v>
      </c>
      <c r="Q674" s="8">
        <f t="shared" si="53"/>
        <v>48610</v>
      </c>
      <c r="R674" s="2" t="s">
        <v>26</v>
      </c>
      <c r="S674" s="9">
        <f t="shared" si="54"/>
        <v>5064.12</v>
      </c>
    </row>
    <row r="675" spans="1:19" x14ac:dyDescent="0.3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str">
        <f>IFERROR(VLOOKUP('Customer Info'!A667,'Customer Info'!A667:C1166,2,FALSE),"Not Found")</f>
        <v>Not Found</v>
      </c>
      <c r="H675" s="6" t="str">
        <f>IFERROR(VLOOKUP('Customer Info'!A667,'Customer Info'!A667:C1166,3,FALSE),"Not Found")</f>
        <v>Not Found</v>
      </c>
      <c r="I675" s="6" t="str">
        <f>IFERROR(VLOOKUP('Customer Info'!A667,'Customer Info'!A667:E1166,5,FALSE),"Not Found")</f>
        <v>Not Found</v>
      </c>
      <c r="J675" s="2">
        <v>1246</v>
      </c>
      <c r="K675" s="2">
        <v>1164</v>
      </c>
      <c r="L675" s="2">
        <v>1</v>
      </c>
      <c r="M675" s="7">
        <f t="shared" si="50"/>
        <v>1164</v>
      </c>
      <c r="N675" s="7">
        <f t="shared" si="51"/>
        <v>1246</v>
      </c>
      <c r="O675" s="2">
        <v>85</v>
      </c>
      <c r="P675" s="8">
        <f t="shared" si="52"/>
        <v>1331</v>
      </c>
      <c r="Q675" s="8">
        <f t="shared" si="53"/>
        <v>82</v>
      </c>
      <c r="R675" s="2" t="s">
        <v>50</v>
      </c>
      <c r="S675" s="9">
        <f t="shared" si="54"/>
        <v>26.62</v>
      </c>
    </row>
    <row r="676" spans="1:19" x14ac:dyDescent="0.3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str">
        <f>IFERROR(VLOOKUP('Customer Info'!A668,'Customer Info'!A668:C1167,2,FALSE),"Not Found")</f>
        <v>Not Found</v>
      </c>
      <c r="H676" s="6" t="str">
        <f>IFERROR(VLOOKUP('Customer Info'!A668,'Customer Info'!A668:C1167,3,FALSE),"Not Found")</f>
        <v>Not Found</v>
      </c>
      <c r="I676" s="6" t="str">
        <f>IFERROR(VLOOKUP('Customer Info'!A668,'Customer Info'!A668:E1167,5,FALSE),"Not Found")</f>
        <v>Not Found</v>
      </c>
      <c r="J676" s="2">
        <v>2874</v>
      </c>
      <c r="K676" s="2">
        <v>2583</v>
      </c>
      <c r="L676" s="2">
        <v>5</v>
      </c>
      <c r="M676" s="7">
        <f t="shared" si="50"/>
        <v>12915</v>
      </c>
      <c r="N676" s="7">
        <f t="shared" si="51"/>
        <v>14370</v>
      </c>
      <c r="O676" s="2">
        <v>96</v>
      </c>
      <c r="P676" s="8">
        <f t="shared" si="52"/>
        <v>14466</v>
      </c>
      <c r="Q676" s="8">
        <f t="shared" si="53"/>
        <v>11787</v>
      </c>
      <c r="R676" s="2" t="s">
        <v>28</v>
      </c>
      <c r="S676" s="9">
        <f t="shared" si="54"/>
        <v>723.30000000000007</v>
      </c>
    </row>
    <row r="677" spans="1:19" x14ac:dyDescent="0.3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str">
        <f>IFERROR(VLOOKUP('Customer Info'!A669,'Customer Info'!A669:C1168,2,FALSE),"Not Found")</f>
        <v>Not Found</v>
      </c>
      <c r="H677" s="6" t="str">
        <f>IFERROR(VLOOKUP('Customer Info'!A669,'Customer Info'!A669:C1168,3,FALSE),"Not Found")</f>
        <v>Not Found</v>
      </c>
      <c r="I677" s="6" t="str">
        <f>IFERROR(VLOOKUP('Customer Info'!A669,'Customer Info'!A669:E1168,5,FALSE),"Not Found")</f>
        <v>Not Found</v>
      </c>
      <c r="J677" s="2">
        <v>827</v>
      </c>
      <c r="K677" s="2">
        <v>788</v>
      </c>
      <c r="L677" s="2">
        <v>6</v>
      </c>
      <c r="M677" s="7">
        <f t="shared" si="50"/>
        <v>4728</v>
      </c>
      <c r="N677" s="7">
        <f t="shared" si="51"/>
        <v>4962</v>
      </c>
      <c r="O677" s="2">
        <v>62</v>
      </c>
      <c r="P677" s="8">
        <f t="shared" si="52"/>
        <v>5024</v>
      </c>
      <c r="Q677" s="8">
        <f t="shared" si="53"/>
        <v>4174</v>
      </c>
      <c r="R677" s="2" t="s">
        <v>28</v>
      </c>
      <c r="S677" s="9">
        <f t="shared" si="54"/>
        <v>251.20000000000002</v>
      </c>
    </row>
    <row r="678" spans="1:19" x14ac:dyDescent="0.3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str">
        <f>IFERROR(VLOOKUP('Customer Info'!A670,'Customer Info'!A670:C1169,2,FALSE),"Not Found")</f>
        <v>Not Found</v>
      </c>
      <c r="H678" s="6" t="str">
        <f>IFERROR(VLOOKUP('Customer Info'!A670,'Customer Info'!A670:C1169,3,FALSE),"Not Found")</f>
        <v>Not Found</v>
      </c>
      <c r="I678" s="6" t="str">
        <f>IFERROR(VLOOKUP('Customer Info'!A670,'Customer Info'!A670:E1169,5,FALSE),"Not Found")</f>
        <v>Not Found</v>
      </c>
      <c r="J678" s="2">
        <v>827</v>
      </c>
      <c r="K678" s="2">
        <v>788</v>
      </c>
      <c r="L678" s="2">
        <v>4</v>
      </c>
      <c r="M678" s="7">
        <f t="shared" si="50"/>
        <v>3152</v>
      </c>
      <c r="N678" s="7">
        <f t="shared" si="51"/>
        <v>3308</v>
      </c>
      <c r="O678" s="2">
        <v>68</v>
      </c>
      <c r="P678" s="8">
        <f t="shared" si="52"/>
        <v>3376</v>
      </c>
      <c r="Q678" s="8">
        <f t="shared" si="53"/>
        <v>2520</v>
      </c>
      <c r="R678" s="2" t="s">
        <v>26</v>
      </c>
      <c r="S678" s="9">
        <f t="shared" si="54"/>
        <v>67.52</v>
      </c>
    </row>
    <row r="679" spans="1:19" x14ac:dyDescent="0.3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str">
        <f>IFERROR(VLOOKUP('Customer Info'!A671,'Customer Info'!A671:C1170,2,FALSE),"Not Found")</f>
        <v>Not Found</v>
      </c>
      <c r="H679" s="6" t="str">
        <f>IFERROR(VLOOKUP('Customer Info'!A671,'Customer Info'!A671:C1170,3,FALSE),"Not Found")</f>
        <v>Not Found</v>
      </c>
      <c r="I679" s="6" t="str">
        <f>IFERROR(VLOOKUP('Customer Info'!A671,'Customer Info'!A671:E1170,5,FALSE),"Not Found")</f>
        <v>Not Found</v>
      </c>
      <c r="J679" s="2">
        <v>3224</v>
      </c>
      <c r="K679" s="2">
        <v>2901</v>
      </c>
      <c r="L679" s="2">
        <v>2</v>
      </c>
      <c r="M679" s="7">
        <f t="shared" si="50"/>
        <v>5802</v>
      </c>
      <c r="N679" s="7">
        <f t="shared" si="51"/>
        <v>6448</v>
      </c>
      <c r="O679" s="2">
        <v>57</v>
      </c>
      <c r="P679" s="8">
        <f t="shared" si="52"/>
        <v>6505</v>
      </c>
      <c r="Q679" s="8">
        <f t="shared" si="53"/>
        <v>3547</v>
      </c>
      <c r="R679" s="2" t="s">
        <v>28</v>
      </c>
      <c r="S679" s="9">
        <f t="shared" si="54"/>
        <v>325.25</v>
      </c>
    </row>
    <row r="680" spans="1:19" x14ac:dyDescent="0.3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str">
        <f>IFERROR(VLOOKUP('Customer Info'!A672,'Customer Info'!A672:C1171,2,FALSE),"Not Found")</f>
        <v>Not Found</v>
      </c>
      <c r="H680" s="6" t="str">
        <f>IFERROR(VLOOKUP('Customer Info'!A672,'Customer Info'!A672:C1171,3,FALSE),"Not Found")</f>
        <v>Not Found</v>
      </c>
      <c r="I680" s="6" t="str">
        <f>IFERROR(VLOOKUP('Customer Info'!A672,'Customer Info'!A672:E1171,5,FALSE),"Not Found")</f>
        <v>Not Found</v>
      </c>
      <c r="J680" s="2">
        <v>62</v>
      </c>
      <c r="K680" s="2">
        <v>58</v>
      </c>
      <c r="L680" s="2">
        <v>2</v>
      </c>
      <c r="M680" s="7">
        <f t="shared" si="50"/>
        <v>116</v>
      </c>
      <c r="N680" s="7">
        <f t="shared" si="51"/>
        <v>124</v>
      </c>
      <c r="O680" s="2">
        <v>10</v>
      </c>
      <c r="P680" s="8">
        <f t="shared" si="52"/>
        <v>134</v>
      </c>
      <c r="Q680" s="8">
        <f t="shared" si="53"/>
        <v>66</v>
      </c>
      <c r="R680" s="2" t="s">
        <v>28</v>
      </c>
      <c r="S680" s="9">
        <f t="shared" si="54"/>
        <v>2.68</v>
      </c>
    </row>
    <row r="681" spans="1:19" x14ac:dyDescent="0.3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str">
        <f>IFERROR(VLOOKUP('Customer Info'!A673,'Customer Info'!A673:C1172,2,FALSE),"Not Found")</f>
        <v>Not Found</v>
      </c>
      <c r="H681" s="6" t="str">
        <f>IFERROR(VLOOKUP('Customer Info'!A673,'Customer Info'!A673:C1172,3,FALSE),"Not Found")</f>
        <v>Not Found</v>
      </c>
      <c r="I681" s="6" t="str">
        <f>IFERROR(VLOOKUP('Customer Info'!A673,'Customer Info'!A673:E1172,5,FALSE),"Not Found")</f>
        <v>Not Found</v>
      </c>
      <c r="J681" s="2">
        <v>2759</v>
      </c>
      <c r="K681" s="2">
        <v>2628</v>
      </c>
      <c r="L681" s="2">
        <v>6</v>
      </c>
      <c r="M681" s="7">
        <f t="shared" si="50"/>
        <v>15768</v>
      </c>
      <c r="N681" s="7">
        <f t="shared" si="51"/>
        <v>16554</v>
      </c>
      <c r="O681" s="2">
        <v>67</v>
      </c>
      <c r="P681" s="8">
        <f t="shared" si="52"/>
        <v>16621</v>
      </c>
      <c r="Q681" s="8">
        <f t="shared" si="53"/>
        <v>13926</v>
      </c>
      <c r="R681" s="2" t="s">
        <v>28</v>
      </c>
      <c r="S681" s="9">
        <f t="shared" si="54"/>
        <v>831.05000000000007</v>
      </c>
    </row>
    <row r="682" spans="1:19" x14ac:dyDescent="0.3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str">
        <f>IFERROR(VLOOKUP('Customer Info'!A674,'Customer Info'!A674:C1173,2,FALSE),"Not Found")</f>
        <v>Not Found</v>
      </c>
      <c r="H682" s="6" t="str">
        <f>IFERROR(VLOOKUP('Customer Info'!A674,'Customer Info'!A674:C1173,3,FALSE),"Not Found")</f>
        <v>Not Found</v>
      </c>
      <c r="I682" s="6" t="str">
        <f>IFERROR(VLOOKUP('Customer Info'!A674,'Customer Info'!A674:E1173,5,FALSE),"Not Found")</f>
        <v>Not Found</v>
      </c>
      <c r="J682" s="2">
        <v>3256</v>
      </c>
      <c r="K682" s="2">
        <v>2959</v>
      </c>
      <c r="L682" s="2">
        <v>5</v>
      </c>
      <c r="M682" s="7">
        <f t="shared" si="50"/>
        <v>14795</v>
      </c>
      <c r="N682" s="7">
        <f t="shared" si="51"/>
        <v>16280</v>
      </c>
      <c r="O682" s="2">
        <v>34</v>
      </c>
      <c r="P682" s="8">
        <f t="shared" si="52"/>
        <v>16314</v>
      </c>
      <c r="Q682" s="8">
        <f t="shared" si="53"/>
        <v>13321</v>
      </c>
      <c r="R682" s="2" t="s">
        <v>56</v>
      </c>
      <c r="S682" s="9">
        <f t="shared" si="54"/>
        <v>815.7</v>
      </c>
    </row>
    <row r="683" spans="1:19" x14ac:dyDescent="0.3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str">
        <f>IFERROR(VLOOKUP('Customer Info'!A675,'Customer Info'!A675:C1174,2,FALSE),"Not Found")</f>
        <v>Not Found</v>
      </c>
      <c r="H683" s="6" t="str">
        <f>IFERROR(VLOOKUP('Customer Info'!A675,'Customer Info'!A675:C1174,3,FALSE),"Not Found")</f>
        <v>Not Found</v>
      </c>
      <c r="I683" s="6" t="str">
        <f>IFERROR(VLOOKUP('Customer Info'!A675,'Customer Info'!A675:E1174,5,FALSE),"Not Found")</f>
        <v>Not Found</v>
      </c>
      <c r="J683" s="2">
        <v>100</v>
      </c>
      <c r="K683" s="2">
        <v>95</v>
      </c>
      <c r="L683" s="2">
        <v>2</v>
      </c>
      <c r="M683" s="7">
        <f t="shared" si="50"/>
        <v>190</v>
      </c>
      <c r="N683" s="7">
        <f t="shared" si="51"/>
        <v>200</v>
      </c>
      <c r="O683" s="2">
        <v>10</v>
      </c>
      <c r="P683" s="8">
        <f t="shared" si="52"/>
        <v>210</v>
      </c>
      <c r="Q683" s="8">
        <f t="shared" si="53"/>
        <v>105</v>
      </c>
      <c r="R683" s="2" t="s">
        <v>50</v>
      </c>
      <c r="S683" s="9">
        <f t="shared" si="54"/>
        <v>4.2</v>
      </c>
    </row>
    <row r="684" spans="1:19" x14ac:dyDescent="0.3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str">
        <f>IFERROR(VLOOKUP('Customer Info'!A676,'Customer Info'!A676:C1175,2,FALSE),"Not Found")</f>
        <v>Not Found</v>
      </c>
      <c r="H684" s="6" t="str">
        <f>IFERROR(VLOOKUP('Customer Info'!A676,'Customer Info'!A676:C1175,3,FALSE),"Not Found")</f>
        <v>Not Found</v>
      </c>
      <c r="I684" s="6" t="str">
        <f>IFERROR(VLOOKUP('Customer Info'!A676,'Customer Info'!A676:E1175,5,FALSE),"Not Found")</f>
        <v>Not Found</v>
      </c>
      <c r="J684" s="2">
        <v>63</v>
      </c>
      <c r="K684" s="2">
        <v>58</v>
      </c>
      <c r="L684" s="2">
        <v>2</v>
      </c>
      <c r="M684" s="7">
        <f t="shared" si="50"/>
        <v>116</v>
      </c>
      <c r="N684" s="7">
        <f t="shared" si="51"/>
        <v>126</v>
      </c>
      <c r="O684" s="2">
        <v>10</v>
      </c>
      <c r="P684" s="8">
        <f t="shared" si="52"/>
        <v>136</v>
      </c>
      <c r="Q684" s="8">
        <f t="shared" si="53"/>
        <v>68</v>
      </c>
      <c r="R684" s="2" t="s">
        <v>28</v>
      </c>
      <c r="S684" s="9">
        <f t="shared" si="54"/>
        <v>2.72</v>
      </c>
    </row>
    <row r="685" spans="1:19" x14ac:dyDescent="0.3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str">
        <f>IFERROR(VLOOKUP('Customer Info'!A677,'Customer Info'!A677:C1176,2,FALSE),"Not Found")</f>
        <v>Not Found</v>
      </c>
      <c r="H685" s="6" t="str">
        <f>IFERROR(VLOOKUP('Customer Info'!A677,'Customer Info'!A677:C1176,3,FALSE),"Not Found")</f>
        <v>Not Found</v>
      </c>
      <c r="I685" s="6" t="str">
        <f>IFERROR(VLOOKUP('Customer Info'!A677,'Customer Info'!A677:E1176,5,FALSE),"Not Found")</f>
        <v>Not Found</v>
      </c>
      <c r="J685" s="2">
        <v>3224</v>
      </c>
      <c r="K685" s="2">
        <v>2984</v>
      </c>
      <c r="L685" s="2">
        <v>7</v>
      </c>
      <c r="M685" s="7">
        <f t="shared" si="50"/>
        <v>20888</v>
      </c>
      <c r="N685" s="7">
        <f t="shared" si="51"/>
        <v>22568</v>
      </c>
      <c r="O685" s="2">
        <v>52</v>
      </c>
      <c r="P685" s="8">
        <f t="shared" si="52"/>
        <v>22620</v>
      </c>
      <c r="Q685" s="8">
        <f t="shared" si="53"/>
        <v>19584</v>
      </c>
      <c r="R685" s="2" t="s">
        <v>26</v>
      </c>
      <c r="S685" s="9">
        <f t="shared" si="54"/>
        <v>1131</v>
      </c>
    </row>
    <row r="686" spans="1:19" x14ac:dyDescent="0.3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str">
        <f>IFERROR(VLOOKUP('Customer Info'!A678,'Customer Info'!A678:C1177,2,FALSE),"Not Found")</f>
        <v>Not Found</v>
      </c>
      <c r="H686" s="6" t="str">
        <f>IFERROR(VLOOKUP('Customer Info'!A678,'Customer Info'!A678:C1177,3,FALSE),"Not Found")</f>
        <v>Not Found</v>
      </c>
      <c r="I686" s="6" t="str">
        <f>IFERROR(VLOOKUP('Customer Info'!A678,'Customer Info'!A678:E1177,5,FALSE),"Not Found")</f>
        <v>Not Found</v>
      </c>
      <c r="J686" s="2">
        <v>1587</v>
      </c>
      <c r="K686" s="2">
        <v>1428</v>
      </c>
      <c r="L686" s="2">
        <v>3</v>
      </c>
      <c r="M686" s="7">
        <f t="shared" si="50"/>
        <v>4284</v>
      </c>
      <c r="N686" s="7">
        <f t="shared" si="51"/>
        <v>4761</v>
      </c>
      <c r="O686" s="2">
        <v>76</v>
      </c>
      <c r="P686" s="8">
        <f t="shared" si="52"/>
        <v>4837</v>
      </c>
      <c r="Q686" s="8">
        <f t="shared" si="53"/>
        <v>3333</v>
      </c>
      <c r="R686" s="2" t="s">
        <v>28</v>
      </c>
      <c r="S686" s="9">
        <f t="shared" si="54"/>
        <v>96.740000000000009</v>
      </c>
    </row>
    <row r="687" spans="1:19" x14ac:dyDescent="0.3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str">
        <f>IFERROR(VLOOKUP('Customer Info'!A679,'Customer Info'!A679:C1178,2,FALSE),"Not Found")</f>
        <v>Not Found</v>
      </c>
      <c r="H687" s="6" t="str">
        <f>IFERROR(VLOOKUP('Customer Info'!A679,'Customer Info'!A679:C1178,3,FALSE),"Not Found")</f>
        <v>Not Found</v>
      </c>
      <c r="I687" s="6" t="str">
        <f>IFERROR(VLOOKUP('Customer Info'!A679,'Customer Info'!A679:E1178,5,FALSE),"Not Found")</f>
        <v>Not Found</v>
      </c>
      <c r="J687" s="2">
        <v>1169</v>
      </c>
      <c r="K687" s="2">
        <v>1103</v>
      </c>
      <c r="L687" s="2">
        <v>2</v>
      </c>
      <c r="M687" s="7">
        <f t="shared" si="50"/>
        <v>2206</v>
      </c>
      <c r="N687" s="7">
        <f t="shared" si="51"/>
        <v>2338</v>
      </c>
      <c r="O687" s="2">
        <v>26</v>
      </c>
      <c r="P687" s="8">
        <f t="shared" si="52"/>
        <v>2364</v>
      </c>
      <c r="Q687" s="8">
        <f t="shared" si="53"/>
        <v>1235</v>
      </c>
      <c r="R687" s="2" t="s">
        <v>50</v>
      </c>
      <c r="S687" s="9">
        <f t="shared" si="54"/>
        <v>47.28</v>
      </c>
    </row>
    <row r="688" spans="1:19" x14ac:dyDescent="0.3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str">
        <f>IFERROR(VLOOKUP('Customer Info'!A680,'Customer Info'!A680:C1179,2,FALSE),"Not Found")</f>
        <v>Not Found</v>
      </c>
      <c r="H688" s="6" t="str">
        <f>IFERROR(VLOOKUP('Customer Info'!A680,'Customer Info'!A680:C1179,3,FALSE),"Not Found")</f>
        <v>Not Found</v>
      </c>
      <c r="I688" s="6" t="str">
        <f>IFERROR(VLOOKUP('Customer Info'!A680,'Customer Info'!A680:E1179,5,FALSE),"Not Found")</f>
        <v>Not Found</v>
      </c>
      <c r="J688" s="2">
        <v>1721</v>
      </c>
      <c r="K688" s="2">
        <v>1640</v>
      </c>
      <c r="L688" s="2">
        <v>3</v>
      </c>
      <c r="M688" s="7">
        <f t="shared" si="50"/>
        <v>4920</v>
      </c>
      <c r="N688" s="7">
        <f t="shared" si="51"/>
        <v>5163</v>
      </c>
      <c r="O688" s="2">
        <v>89</v>
      </c>
      <c r="P688" s="8">
        <f t="shared" si="52"/>
        <v>5252</v>
      </c>
      <c r="Q688" s="8">
        <f t="shared" si="53"/>
        <v>3523</v>
      </c>
      <c r="R688" s="2" t="s">
        <v>28</v>
      </c>
      <c r="S688" s="9">
        <f t="shared" si="54"/>
        <v>262.60000000000002</v>
      </c>
    </row>
    <row r="689" spans="1:19" x14ac:dyDescent="0.3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str">
        <f>IFERROR(VLOOKUP('Customer Info'!A681,'Customer Info'!A681:C1180,2,FALSE),"Not Found")</f>
        <v>Not Found</v>
      </c>
      <c r="H689" s="6" t="str">
        <f>IFERROR(VLOOKUP('Customer Info'!A681,'Customer Info'!A681:C1180,3,FALSE),"Not Found")</f>
        <v>Not Found</v>
      </c>
      <c r="I689" s="6" t="str">
        <f>IFERROR(VLOOKUP('Customer Info'!A681,'Customer Info'!A681:E1180,5,FALSE),"Not Found")</f>
        <v>Not Found</v>
      </c>
      <c r="J689" s="2">
        <v>1734</v>
      </c>
      <c r="K689" s="2">
        <v>1702</v>
      </c>
      <c r="L689" s="2">
        <v>4</v>
      </c>
      <c r="M689" s="7">
        <f t="shared" si="50"/>
        <v>6808</v>
      </c>
      <c r="N689" s="7">
        <f t="shared" si="51"/>
        <v>6936</v>
      </c>
      <c r="O689" s="2">
        <v>89</v>
      </c>
      <c r="P689" s="8">
        <f t="shared" si="52"/>
        <v>7025</v>
      </c>
      <c r="Q689" s="8">
        <f t="shared" si="53"/>
        <v>5234</v>
      </c>
      <c r="R689" s="2" t="s">
        <v>50</v>
      </c>
      <c r="S689" s="9">
        <f t="shared" si="54"/>
        <v>351.25</v>
      </c>
    </row>
    <row r="690" spans="1:19" x14ac:dyDescent="0.3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str">
        <f>IFERROR(VLOOKUP('Customer Info'!A682,'Customer Info'!A682:C1181,2,FALSE),"Not Found")</f>
        <v>Not Found</v>
      </c>
      <c r="H690" s="6" t="str">
        <f>IFERROR(VLOOKUP('Customer Info'!A682,'Customer Info'!A682:C1181,3,FALSE),"Not Found")</f>
        <v>Not Found</v>
      </c>
      <c r="I690" s="6" t="str">
        <f>IFERROR(VLOOKUP('Customer Info'!A682,'Customer Info'!A682:E1181,5,FALSE),"Not Found")</f>
        <v>Not Found</v>
      </c>
      <c r="J690" s="2">
        <v>7609</v>
      </c>
      <c r="K690" s="2">
        <v>7248</v>
      </c>
      <c r="L690" s="2">
        <v>4</v>
      </c>
      <c r="M690" s="7">
        <f t="shared" si="50"/>
        <v>28992</v>
      </c>
      <c r="N690" s="7">
        <f t="shared" si="51"/>
        <v>30436</v>
      </c>
      <c r="O690" s="2">
        <v>27</v>
      </c>
      <c r="P690" s="8">
        <f t="shared" si="52"/>
        <v>30463</v>
      </c>
      <c r="Q690" s="8">
        <f t="shared" si="53"/>
        <v>23188</v>
      </c>
      <c r="R690" s="2" t="s">
        <v>26</v>
      </c>
      <c r="S690" s="9">
        <f t="shared" si="54"/>
        <v>2132.4100000000003</v>
      </c>
    </row>
    <row r="691" spans="1:19" x14ac:dyDescent="0.3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str">
        <f>IFERROR(VLOOKUP('Customer Info'!A683,'Customer Info'!A683:C1182,2,FALSE),"Not Found")</f>
        <v>Not Found</v>
      </c>
      <c r="H691" s="6" t="str">
        <f>IFERROR(VLOOKUP('Customer Info'!A683,'Customer Info'!A683:C1182,3,FALSE),"Not Found")</f>
        <v>Not Found</v>
      </c>
      <c r="I691" s="6" t="str">
        <f>IFERROR(VLOOKUP('Customer Info'!A683,'Customer Info'!A683:E1182,5,FALSE),"Not Found")</f>
        <v>Not Found</v>
      </c>
      <c r="J691" s="2">
        <v>1181</v>
      </c>
      <c r="K691" s="2">
        <v>1136</v>
      </c>
      <c r="L691" s="2">
        <v>2</v>
      </c>
      <c r="M691" s="7">
        <f t="shared" si="50"/>
        <v>2272</v>
      </c>
      <c r="N691" s="7">
        <f t="shared" si="51"/>
        <v>2362</v>
      </c>
      <c r="O691" s="2">
        <v>70</v>
      </c>
      <c r="P691" s="8">
        <f t="shared" si="52"/>
        <v>2432</v>
      </c>
      <c r="Q691" s="8">
        <f t="shared" si="53"/>
        <v>1226</v>
      </c>
      <c r="R691" s="2" t="s">
        <v>28</v>
      </c>
      <c r="S691" s="9">
        <f t="shared" si="54"/>
        <v>48.64</v>
      </c>
    </row>
    <row r="692" spans="1:19" x14ac:dyDescent="0.3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str">
        <f>IFERROR(VLOOKUP('Customer Info'!A684,'Customer Info'!A684:C1183,2,FALSE),"Not Found")</f>
        <v>Not Found</v>
      </c>
      <c r="H692" s="6" t="str">
        <f>IFERROR(VLOOKUP('Customer Info'!A684,'Customer Info'!A684:C1183,3,FALSE),"Not Found")</f>
        <v>Not Found</v>
      </c>
      <c r="I692" s="6" t="str">
        <f>IFERROR(VLOOKUP('Customer Info'!A684,'Customer Info'!A684:E1183,5,FALSE),"Not Found")</f>
        <v>Not Found</v>
      </c>
      <c r="J692" s="2">
        <v>1585</v>
      </c>
      <c r="K692" s="2">
        <v>1495</v>
      </c>
      <c r="L692" s="2">
        <v>6</v>
      </c>
      <c r="M692" s="7">
        <f t="shared" si="50"/>
        <v>8970</v>
      </c>
      <c r="N692" s="7">
        <f t="shared" si="51"/>
        <v>9510</v>
      </c>
      <c r="O692" s="2">
        <v>47</v>
      </c>
      <c r="P692" s="8">
        <f t="shared" si="52"/>
        <v>9557</v>
      </c>
      <c r="Q692" s="8">
        <f t="shared" si="53"/>
        <v>8015</v>
      </c>
      <c r="R692" s="2" t="s">
        <v>28</v>
      </c>
      <c r="S692" s="9">
        <f t="shared" si="54"/>
        <v>477.85</v>
      </c>
    </row>
    <row r="693" spans="1:19" x14ac:dyDescent="0.3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str">
        <f>IFERROR(VLOOKUP('Customer Info'!A685,'Customer Info'!A685:C1184,2,FALSE),"Not Found")</f>
        <v>Not Found</v>
      </c>
      <c r="H693" s="6" t="str">
        <f>IFERROR(VLOOKUP('Customer Info'!A685,'Customer Info'!A685:C1184,3,FALSE),"Not Found")</f>
        <v>Not Found</v>
      </c>
      <c r="I693" s="6" t="str">
        <f>IFERROR(VLOOKUP('Customer Info'!A685,'Customer Info'!A685:E1184,5,FALSE),"Not Found")</f>
        <v>Not Found</v>
      </c>
      <c r="J693" s="2">
        <v>2644</v>
      </c>
      <c r="K693" s="2">
        <v>2425</v>
      </c>
      <c r="L693" s="2">
        <v>1</v>
      </c>
      <c r="M693" s="7">
        <f t="shared" si="50"/>
        <v>2425</v>
      </c>
      <c r="N693" s="7">
        <f t="shared" si="51"/>
        <v>2644</v>
      </c>
      <c r="O693" s="2">
        <v>24</v>
      </c>
      <c r="P693" s="8">
        <f t="shared" si="52"/>
        <v>2668</v>
      </c>
      <c r="Q693" s="8">
        <f t="shared" si="53"/>
        <v>219</v>
      </c>
      <c r="R693" s="2" t="s">
        <v>28</v>
      </c>
      <c r="S693" s="9">
        <f t="shared" si="54"/>
        <v>53.36</v>
      </c>
    </row>
    <row r="694" spans="1:19" x14ac:dyDescent="0.3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str">
        <f>IFERROR(VLOOKUP('Customer Info'!A686,'Customer Info'!A686:C1185,2,FALSE),"Not Found")</f>
        <v>Not Found</v>
      </c>
      <c r="H694" s="6" t="str">
        <f>IFERROR(VLOOKUP('Customer Info'!A686,'Customer Info'!A686:C1185,3,FALSE),"Not Found")</f>
        <v>Not Found</v>
      </c>
      <c r="I694" s="6" t="str">
        <f>IFERROR(VLOOKUP('Customer Info'!A686,'Customer Info'!A686:E1185,5,FALSE),"Not Found")</f>
        <v>Not Found</v>
      </c>
      <c r="J694" s="2">
        <v>1332</v>
      </c>
      <c r="K694" s="2">
        <v>1209</v>
      </c>
      <c r="L694" s="2">
        <v>1</v>
      </c>
      <c r="M694" s="7">
        <f t="shared" si="50"/>
        <v>1209</v>
      </c>
      <c r="N694" s="7">
        <f t="shared" si="51"/>
        <v>1332</v>
      </c>
      <c r="O694" s="2">
        <v>63</v>
      </c>
      <c r="P694" s="8">
        <f t="shared" si="52"/>
        <v>1395</v>
      </c>
      <c r="Q694" s="8">
        <f t="shared" si="53"/>
        <v>123</v>
      </c>
      <c r="R694" s="2" t="s">
        <v>50</v>
      </c>
      <c r="S694" s="9">
        <f t="shared" si="54"/>
        <v>27.900000000000002</v>
      </c>
    </row>
    <row r="695" spans="1:19" x14ac:dyDescent="0.3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str">
        <f>IFERROR(VLOOKUP('Customer Info'!A687,'Customer Info'!A687:C1186,2,FALSE),"Not Found")</f>
        <v>Not Found</v>
      </c>
      <c r="H695" s="6" t="str">
        <f>IFERROR(VLOOKUP('Customer Info'!A687,'Customer Info'!A687:C1186,3,FALSE),"Not Found")</f>
        <v>Not Found</v>
      </c>
      <c r="I695" s="6" t="str">
        <f>IFERROR(VLOOKUP('Customer Info'!A687,'Customer Info'!A687:E1186,5,FALSE),"Not Found")</f>
        <v>Not Found</v>
      </c>
      <c r="J695" s="2">
        <v>128</v>
      </c>
      <c r="K695" s="2">
        <v>115</v>
      </c>
      <c r="L695" s="2">
        <v>3</v>
      </c>
      <c r="M695" s="7">
        <f t="shared" si="50"/>
        <v>345</v>
      </c>
      <c r="N695" s="7">
        <f t="shared" si="51"/>
        <v>384</v>
      </c>
      <c r="O695" s="2">
        <v>30</v>
      </c>
      <c r="P695" s="8">
        <f t="shared" si="52"/>
        <v>414</v>
      </c>
      <c r="Q695" s="8">
        <f t="shared" si="53"/>
        <v>269</v>
      </c>
      <c r="R695" s="2" t="s">
        <v>28</v>
      </c>
      <c r="S695" s="9">
        <f t="shared" si="54"/>
        <v>8.2799999999999994</v>
      </c>
    </row>
    <row r="696" spans="1:19" x14ac:dyDescent="0.3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str">
        <f>IFERROR(VLOOKUP('Customer Info'!A688,'Customer Info'!A688:C1187,2,FALSE),"Not Found")</f>
        <v>Not Found</v>
      </c>
      <c r="H696" s="6" t="str">
        <f>IFERROR(VLOOKUP('Customer Info'!A688,'Customer Info'!A688:C1187,3,FALSE),"Not Found")</f>
        <v>Not Found</v>
      </c>
      <c r="I696" s="6" t="str">
        <f>IFERROR(VLOOKUP('Customer Info'!A688,'Customer Info'!A688:E1187,5,FALSE),"Not Found")</f>
        <v>Not Found</v>
      </c>
      <c r="J696" s="2">
        <v>1441</v>
      </c>
      <c r="K696" s="2">
        <v>1360</v>
      </c>
      <c r="L696" s="2">
        <v>1</v>
      </c>
      <c r="M696" s="7">
        <f t="shared" si="50"/>
        <v>1360</v>
      </c>
      <c r="N696" s="7">
        <f t="shared" si="51"/>
        <v>1441</v>
      </c>
      <c r="O696" s="2">
        <v>22</v>
      </c>
      <c r="P696" s="8">
        <f t="shared" si="52"/>
        <v>1463</v>
      </c>
      <c r="Q696" s="8">
        <f t="shared" si="53"/>
        <v>81</v>
      </c>
      <c r="R696" s="2" t="s">
        <v>26</v>
      </c>
      <c r="S696" s="9">
        <f t="shared" si="54"/>
        <v>29.26</v>
      </c>
    </row>
    <row r="697" spans="1:19" x14ac:dyDescent="0.3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str">
        <f>IFERROR(VLOOKUP('Customer Info'!A689,'Customer Info'!A689:C1188,2,FALSE),"Not Found")</f>
        <v>Not Found</v>
      </c>
      <c r="H697" s="6" t="str">
        <f>IFERROR(VLOOKUP('Customer Info'!A689,'Customer Info'!A689:C1188,3,FALSE),"Not Found")</f>
        <v>Not Found</v>
      </c>
      <c r="I697" s="6" t="str">
        <f>IFERROR(VLOOKUP('Customer Info'!A689,'Customer Info'!A689:E1188,5,FALSE),"Not Found")</f>
        <v>Not Found</v>
      </c>
      <c r="J697" s="2">
        <v>2501</v>
      </c>
      <c r="K697" s="2">
        <v>2361</v>
      </c>
      <c r="L697" s="2">
        <v>2</v>
      </c>
      <c r="M697" s="7">
        <f t="shared" si="50"/>
        <v>4722</v>
      </c>
      <c r="N697" s="7">
        <f t="shared" si="51"/>
        <v>5002</v>
      </c>
      <c r="O697" s="2">
        <v>42</v>
      </c>
      <c r="P697" s="8">
        <f t="shared" si="52"/>
        <v>5044</v>
      </c>
      <c r="Q697" s="8">
        <f t="shared" si="53"/>
        <v>2641</v>
      </c>
      <c r="R697" s="2" t="s">
        <v>28</v>
      </c>
      <c r="S697" s="9">
        <f t="shared" si="54"/>
        <v>252.20000000000002</v>
      </c>
    </row>
    <row r="698" spans="1:19" x14ac:dyDescent="0.3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str">
        <f>IFERROR(VLOOKUP('Customer Info'!A690,'Customer Info'!A690:C1189,2,FALSE),"Not Found")</f>
        <v>Not Found</v>
      </c>
      <c r="H698" s="6" t="str">
        <f>IFERROR(VLOOKUP('Customer Info'!A690,'Customer Info'!A690:C1189,3,FALSE),"Not Found")</f>
        <v>Not Found</v>
      </c>
      <c r="I698" s="6" t="str">
        <f>IFERROR(VLOOKUP('Customer Info'!A690,'Customer Info'!A690:E1189,5,FALSE),"Not Found")</f>
        <v>Not Found</v>
      </c>
      <c r="J698" s="2">
        <v>7623</v>
      </c>
      <c r="K698" s="2">
        <v>7064</v>
      </c>
      <c r="L698" s="2">
        <v>6</v>
      </c>
      <c r="M698" s="7">
        <f t="shared" si="50"/>
        <v>42384</v>
      </c>
      <c r="N698" s="7">
        <f t="shared" si="51"/>
        <v>45738</v>
      </c>
      <c r="O698" s="2">
        <v>91</v>
      </c>
      <c r="P698" s="8">
        <f t="shared" si="52"/>
        <v>45829</v>
      </c>
      <c r="Q698" s="8">
        <f t="shared" si="53"/>
        <v>38674</v>
      </c>
      <c r="R698" s="2" t="s">
        <v>28</v>
      </c>
      <c r="S698" s="9">
        <f t="shared" si="54"/>
        <v>3208.03</v>
      </c>
    </row>
    <row r="699" spans="1:19" x14ac:dyDescent="0.3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str">
        <f>IFERROR(VLOOKUP('Customer Info'!A691,'Customer Info'!A691:C1190,2,FALSE),"Not Found")</f>
        <v>Not Found</v>
      </c>
      <c r="H699" s="6" t="str">
        <f>IFERROR(VLOOKUP('Customer Info'!A691,'Customer Info'!A691:C1190,3,FALSE),"Not Found")</f>
        <v>Not Found</v>
      </c>
      <c r="I699" s="6" t="str">
        <f>IFERROR(VLOOKUP('Customer Info'!A691,'Customer Info'!A691:E1190,5,FALSE),"Not Found")</f>
        <v>Not Found</v>
      </c>
      <c r="J699" s="2">
        <v>2503</v>
      </c>
      <c r="K699" s="2">
        <v>2454</v>
      </c>
      <c r="L699" s="2">
        <v>1</v>
      </c>
      <c r="M699" s="7">
        <f t="shared" si="50"/>
        <v>2454</v>
      </c>
      <c r="N699" s="7">
        <f t="shared" si="51"/>
        <v>2503</v>
      </c>
      <c r="O699" s="2">
        <v>81</v>
      </c>
      <c r="P699" s="8">
        <f t="shared" si="52"/>
        <v>2584</v>
      </c>
      <c r="Q699" s="8">
        <f t="shared" si="53"/>
        <v>49</v>
      </c>
      <c r="R699" s="2" t="s">
        <v>28</v>
      </c>
      <c r="S699" s="9">
        <f t="shared" si="54"/>
        <v>51.68</v>
      </c>
    </row>
    <row r="700" spans="1:19" x14ac:dyDescent="0.3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str">
        <f>IFERROR(VLOOKUP('Customer Info'!A692,'Customer Info'!A692:C1191,2,FALSE),"Not Found")</f>
        <v>Not Found</v>
      </c>
      <c r="H700" s="6" t="str">
        <f>IFERROR(VLOOKUP('Customer Info'!A692,'Customer Info'!A692:C1191,3,FALSE),"Not Found")</f>
        <v>Not Found</v>
      </c>
      <c r="I700" s="6" t="str">
        <f>IFERROR(VLOOKUP('Customer Info'!A692,'Customer Info'!A692:E1191,5,FALSE),"Not Found")</f>
        <v>Not Found</v>
      </c>
      <c r="J700" s="2">
        <v>1686</v>
      </c>
      <c r="K700" s="2">
        <v>1591</v>
      </c>
      <c r="L700" s="2">
        <v>9</v>
      </c>
      <c r="M700" s="7">
        <f t="shared" si="50"/>
        <v>14319</v>
      </c>
      <c r="N700" s="7">
        <f t="shared" si="51"/>
        <v>15174</v>
      </c>
      <c r="O700" s="2">
        <v>29</v>
      </c>
      <c r="P700" s="8">
        <f t="shared" si="52"/>
        <v>15203</v>
      </c>
      <c r="Q700" s="8">
        <f t="shared" si="53"/>
        <v>13583</v>
      </c>
      <c r="R700" s="2" t="s">
        <v>28</v>
      </c>
      <c r="S700" s="9">
        <f t="shared" si="54"/>
        <v>760.15000000000009</v>
      </c>
    </row>
    <row r="701" spans="1:19" x14ac:dyDescent="0.3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str">
        <f>IFERROR(VLOOKUP('Customer Info'!A693,'Customer Info'!A693:C1192,2,FALSE),"Not Found")</f>
        <v>Not Found</v>
      </c>
      <c r="H701" s="6" t="str">
        <f>IFERROR(VLOOKUP('Customer Info'!A693,'Customer Info'!A693:C1192,3,FALSE),"Not Found")</f>
        <v>Not Found</v>
      </c>
      <c r="I701" s="6" t="str">
        <f>IFERROR(VLOOKUP('Customer Info'!A693,'Customer Info'!A693:E1192,5,FALSE),"Not Found")</f>
        <v>Not Found</v>
      </c>
      <c r="J701" s="2">
        <v>1911</v>
      </c>
      <c r="K701" s="2">
        <v>1785</v>
      </c>
      <c r="L701" s="2">
        <v>8</v>
      </c>
      <c r="M701" s="7">
        <f t="shared" si="50"/>
        <v>14280</v>
      </c>
      <c r="N701" s="7">
        <f t="shared" si="51"/>
        <v>15288</v>
      </c>
      <c r="O701" s="2">
        <v>48</v>
      </c>
      <c r="P701" s="8">
        <f t="shared" si="52"/>
        <v>15336</v>
      </c>
      <c r="Q701" s="8">
        <f t="shared" si="53"/>
        <v>13503</v>
      </c>
      <c r="R701" s="2" t="s">
        <v>50</v>
      </c>
      <c r="S701" s="9">
        <f t="shared" si="54"/>
        <v>766.80000000000007</v>
      </c>
    </row>
    <row r="702" spans="1:19" x14ac:dyDescent="0.3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str">
        <f>IFERROR(VLOOKUP('Customer Info'!A694,'Customer Info'!A694:C1193,2,FALSE),"Not Found")</f>
        <v>Not Found</v>
      </c>
      <c r="H702" s="6" t="str">
        <f>IFERROR(VLOOKUP('Customer Info'!A694,'Customer Info'!A694:C1193,3,FALSE),"Not Found")</f>
        <v>Not Found</v>
      </c>
      <c r="I702" s="6" t="str">
        <f>IFERROR(VLOOKUP('Customer Info'!A694,'Customer Info'!A694:E1193,5,FALSE),"Not Found")</f>
        <v>Not Found</v>
      </c>
      <c r="J702" s="2">
        <v>179</v>
      </c>
      <c r="K702" s="2">
        <v>166</v>
      </c>
      <c r="L702" s="2">
        <v>4</v>
      </c>
      <c r="M702" s="7">
        <f t="shared" si="50"/>
        <v>664</v>
      </c>
      <c r="N702" s="7">
        <f t="shared" si="51"/>
        <v>716</v>
      </c>
      <c r="O702" s="2">
        <v>30</v>
      </c>
      <c r="P702" s="8">
        <f t="shared" si="52"/>
        <v>746</v>
      </c>
      <c r="Q702" s="8">
        <f t="shared" si="53"/>
        <v>550</v>
      </c>
      <c r="R702" s="2" t="s">
        <v>28</v>
      </c>
      <c r="S702" s="9">
        <f t="shared" si="54"/>
        <v>14.92</v>
      </c>
    </row>
    <row r="703" spans="1:19" x14ac:dyDescent="0.3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str">
        <f>IFERROR(VLOOKUP('Customer Info'!A695,'Customer Info'!A695:C1194,2,FALSE),"Not Found")</f>
        <v>Not Found</v>
      </c>
      <c r="H703" s="6" t="str">
        <f>IFERROR(VLOOKUP('Customer Info'!A695,'Customer Info'!A695:C1194,3,FALSE),"Not Found")</f>
        <v>Not Found</v>
      </c>
      <c r="I703" s="6" t="str">
        <f>IFERROR(VLOOKUP('Customer Info'!A695,'Customer Info'!A695:E1194,5,FALSE),"Not Found")</f>
        <v>Not Found</v>
      </c>
      <c r="J703" s="2">
        <v>1048</v>
      </c>
      <c r="K703" s="2">
        <v>979</v>
      </c>
      <c r="L703" s="2">
        <v>11</v>
      </c>
      <c r="M703" s="7">
        <f t="shared" si="50"/>
        <v>10769</v>
      </c>
      <c r="N703" s="7">
        <f t="shared" si="51"/>
        <v>11528</v>
      </c>
      <c r="O703" s="2">
        <v>61</v>
      </c>
      <c r="P703" s="8">
        <f t="shared" si="52"/>
        <v>11589</v>
      </c>
      <c r="Q703" s="8">
        <f t="shared" si="53"/>
        <v>10549</v>
      </c>
      <c r="R703" s="2" t="s">
        <v>28</v>
      </c>
      <c r="S703" s="9">
        <f t="shared" si="54"/>
        <v>579.45000000000005</v>
      </c>
    </row>
    <row r="704" spans="1:19" x14ac:dyDescent="0.3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str">
        <f>IFERROR(VLOOKUP('Customer Info'!A696,'Customer Info'!A696:C1195,2,FALSE),"Not Found")</f>
        <v>Not Found</v>
      </c>
      <c r="H704" s="6" t="str">
        <f>IFERROR(VLOOKUP('Customer Info'!A696,'Customer Info'!A696:C1195,3,FALSE),"Not Found")</f>
        <v>Not Found</v>
      </c>
      <c r="I704" s="6" t="str">
        <f>IFERROR(VLOOKUP('Customer Info'!A696,'Customer Info'!A696:E1195,5,FALSE),"Not Found")</f>
        <v>Not Found</v>
      </c>
      <c r="J704" s="2">
        <v>167</v>
      </c>
      <c r="K704" s="2">
        <v>152</v>
      </c>
      <c r="L704" s="2">
        <v>1</v>
      </c>
      <c r="M704" s="7">
        <f t="shared" si="50"/>
        <v>152</v>
      </c>
      <c r="N704" s="7">
        <f t="shared" si="51"/>
        <v>167</v>
      </c>
      <c r="O704" s="2">
        <v>30</v>
      </c>
      <c r="P704" s="8">
        <f t="shared" si="52"/>
        <v>197</v>
      </c>
      <c r="Q704" s="8">
        <f t="shared" si="53"/>
        <v>15</v>
      </c>
      <c r="R704" s="2" t="s">
        <v>26</v>
      </c>
      <c r="S704" s="9">
        <f t="shared" si="54"/>
        <v>3.94</v>
      </c>
    </row>
    <row r="705" spans="1:19" x14ac:dyDescent="0.3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str">
        <f>IFERROR(VLOOKUP('Customer Info'!A697,'Customer Info'!A697:C1196,2,FALSE),"Not Found")</f>
        <v>Not Found</v>
      </c>
      <c r="H705" s="6" t="str">
        <f>IFERROR(VLOOKUP('Customer Info'!A697,'Customer Info'!A697:C1196,3,FALSE),"Not Found")</f>
        <v>Not Found</v>
      </c>
      <c r="I705" s="6" t="str">
        <f>IFERROR(VLOOKUP('Customer Info'!A697,'Customer Info'!A697:E1196,5,FALSE),"Not Found")</f>
        <v>Not Found</v>
      </c>
      <c r="J705" s="2">
        <v>2759</v>
      </c>
      <c r="K705" s="2">
        <v>2628</v>
      </c>
      <c r="L705" s="2">
        <v>13</v>
      </c>
      <c r="M705" s="7">
        <f t="shared" si="50"/>
        <v>34164</v>
      </c>
      <c r="N705" s="7">
        <f t="shared" si="51"/>
        <v>35867</v>
      </c>
      <c r="O705" s="2">
        <v>33</v>
      </c>
      <c r="P705" s="8">
        <f t="shared" si="52"/>
        <v>35900</v>
      </c>
      <c r="Q705" s="8">
        <f t="shared" si="53"/>
        <v>33239</v>
      </c>
      <c r="R705" s="2" t="s">
        <v>28</v>
      </c>
      <c r="S705" s="9">
        <f t="shared" si="54"/>
        <v>2513.0000000000005</v>
      </c>
    </row>
    <row r="706" spans="1:19" x14ac:dyDescent="0.3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str">
        <f>IFERROR(VLOOKUP('Customer Info'!A698,'Customer Info'!A698:C1197,2,FALSE),"Not Found")</f>
        <v>Not Found</v>
      </c>
      <c r="H706" s="6" t="str">
        <f>IFERROR(VLOOKUP('Customer Info'!A698,'Customer Info'!A698:C1197,3,FALSE),"Not Found")</f>
        <v>Not Found</v>
      </c>
      <c r="I706" s="6" t="str">
        <f>IFERROR(VLOOKUP('Customer Info'!A698,'Customer Info'!A698:E1197,5,FALSE),"Not Found")</f>
        <v>Not Found</v>
      </c>
      <c r="J706" s="2">
        <v>8160</v>
      </c>
      <c r="K706" s="2">
        <v>7475</v>
      </c>
      <c r="L706" s="2">
        <v>2</v>
      </c>
      <c r="M706" s="7">
        <f t="shared" si="50"/>
        <v>14950</v>
      </c>
      <c r="N706" s="7">
        <f t="shared" si="51"/>
        <v>16320</v>
      </c>
      <c r="O706" s="2">
        <v>71</v>
      </c>
      <c r="P706" s="8">
        <f t="shared" si="52"/>
        <v>16391</v>
      </c>
      <c r="Q706" s="8">
        <f t="shared" si="53"/>
        <v>8845</v>
      </c>
      <c r="R706" s="2" t="s">
        <v>26</v>
      </c>
      <c r="S706" s="9">
        <f t="shared" si="54"/>
        <v>819.55000000000007</v>
      </c>
    </row>
    <row r="707" spans="1:19" x14ac:dyDescent="0.3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str">
        <f>IFERROR(VLOOKUP('Customer Info'!A699,'Customer Info'!A699:C1198,2,FALSE),"Not Found")</f>
        <v>Not Found</v>
      </c>
      <c r="H707" s="6" t="str">
        <f>IFERROR(VLOOKUP('Customer Info'!A699,'Customer Info'!A699:C1198,3,FALSE),"Not Found")</f>
        <v>Not Found</v>
      </c>
      <c r="I707" s="6" t="str">
        <f>IFERROR(VLOOKUP('Customer Info'!A699,'Customer Info'!A699:E1198,5,FALSE),"Not Found")</f>
        <v>Not Found</v>
      </c>
      <c r="J707" s="2">
        <v>82</v>
      </c>
      <c r="K707" s="2">
        <v>79</v>
      </c>
      <c r="L707" s="2">
        <v>2</v>
      </c>
      <c r="M707" s="7">
        <f t="shared" si="50"/>
        <v>158</v>
      </c>
      <c r="N707" s="7">
        <f t="shared" si="51"/>
        <v>164</v>
      </c>
      <c r="O707" s="2">
        <v>10</v>
      </c>
      <c r="P707" s="8">
        <f t="shared" si="52"/>
        <v>174</v>
      </c>
      <c r="Q707" s="8">
        <f t="shared" si="53"/>
        <v>85</v>
      </c>
      <c r="R707" s="2" t="s">
        <v>28</v>
      </c>
      <c r="S707" s="9">
        <f t="shared" si="54"/>
        <v>3.48</v>
      </c>
    </row>
    <row r="708" spans="1:19" x14ac:dyDescent="0.3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str">
        <f>IFERROR(VLOOKUP('Customer Info'!A700,'Customer Info'!A700:C1199,2,FALSE),"Not Found")</f>
        <v>Not Found</v>
      </c>
      <c r="H708" s="6" t="str">
        <f>IFERROR(VLOOKUP('Customer Info'!A700,'Customer Info'!A700:C1199,3,FALSE),"Not Found")</f>
        <v>Not Found</v>
      </c>
      <c r="I708" s="6" t="str">
        <f>IFERROR(VLOOKUP('Customer Info'!A700,'Customer Info'!A700:E1199,5,FALSE),"Not Found")</f>
        <v>Not Found</v>
      </c>
      <c r="J708" s="2">
        <v>1601</v>
      </c>
      <c r="K708" s="2">
        <v>1510</v>
      </c>
      <c r="L708" s="2">
        <v>3</v>
      </c>
      <c r="M708" s="7">
        <f t="shared" si="50"/>
        <v>4530</v>
      </c>
      <c r="N708" s="7">
        <f t="shared" si="51"/>
        <v>4803</v>
      </c>
      <c r="O708" s="2">
        <v>96</v>
      </c>
      <c r="P708" s="8">
        <f t="shared" si="52"/>
        <v>4899</v>
      </c>
      <c r="Q708" s="8">
        <f t="shared" si="53"/>
        <v>3293</v>
      </c>
      <c r="R708" s="2" t="s">
        <v>28</v>
      </c>
      <c r="S708" s="9">
        <f t="shared" si="54"/>
        <v>97.98</v>
      </c>
    </row>
    <row r="709" spans="1:19" x14ac:dyDescent="0.3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str">
        <f>IFERROR(VLOOKUP('Customer Info'!A701,'Customer Info'!A701:C1200,2,FALSE),"Not Found")</f>
        <v>Not Found</v>
      </c>
      <c r="H709" s="6" t="str">
        <f>IFERROR(VLOOKUP('Customer Info'!A701,'Customer Info'!A701:C1200,3,FALSE),"Not Found")</f>
        <v>Not Found</v>
      </c>
      <c r="I709" s="6" t="str">
        <f>IFERROR(VLOOKUP('Customer Info'!A701,'Customer Info'!A701:E1200,5,FALSE),"Not Found")</f>
        <v>Not Found</v>
      </c>
      <c r="J709" s="2">
        <v>81</v>
      </c>
      <c r="K709" s="2">
        <v>77</v>
      </c>
      <c r="L709" s="2">
        <v>1</v>
      </c>
      <c r="M709" s="7">
        <f t="shared" si="50"/>
        <v>77</v>
      </c>
      <c r="N709" s="7">
        <f t="shared" si="51"/>
        <v>81</v>
      </c>
      <c r="O709" s="2">
        <v>10</v>
      </c>
      <c r="P709" s="8">
        <f t="shared" si="52"/>
        <v>91</v>
      </c>
      <c r="Q709" s="8">
        <f t="shared" si="53"/>
        <v>4</v>
      </c>
      <c r="R709" s="2" t="s">
        <v>28</v>
      </c>
      <c r="S709" s="9">
        <f t="shared" si="54"/>
        <v>1.82</v>
      </c>
    </row>
    <row r="710" spans="1:19" x14ac:dyDescent="0.3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str">
        <f>IFERROR(VLOOKUP('Customer Info'!A702,'Customer Info'!A702:C1201,2,FALSE),"Not Found")</f>
        <v>Not Found</v>
      </c>
      <c r="H710" s="6" t="str">
        <f>IFERROR(VLOOKUP('Customer Info'!A702,'Customer Info'!A702:C1201,3,FALSE),"Not Found")</f>
        <v>Not Found</v>
      </c>
      <c r="I710" s="6" t="str">
        <f>IFERROR(VLOOKUP('Customer Info'!A702,'Customer Info'!A702:E1201,5,FALSE),"Not Found")</f>
        <v>Not Found</v>
      </c>
      <c r="J710" s="2">
        <v>1125</v>
      </c>
      <c r="K710" s="2">
        <v>1040</v>
      </c>
      <c r="L710" s="2">
        <v>2</v>
      </c>
      <c r="M710" s="7">
        <f t="shared" si="50"/>
        <v>2080</v>
      </c>
      <c r="N710" s="7">
        <f t="shared" si="51"/>
        <v>2250</v>
      </c>
      <c r="O710" s="2">
        <v>76</v>
      </c>
      <c r="P710" s="8">
        <f t="shared" si="52"/>
        <v>2326</v>
      </c>
      <c r="Q710" s="8">
        <f t="shared" si="53"/>
        <v>1210</v>
      </c>
      <c r="R710" s="2" t="s">
        <v>50</v>
      </c>
      <c r="S710" s="9">
        <f t="shared" si="54"/>
        <v>46.52</v>
      </c>
    </row>
    <row r="711" spans="1:19" x14ac:dyDescent="0.3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str">
        <f>IFERROR(VLOOKUP('Customer Info'!A703,'Customer Info'!A703:C1202,2,FALSE),"Not Found")</f>
        <v>Not Found</v>
      </c>
      <c r="H711" s="6" t="str">
        <f>IFERROR(VLOOKUP('Customer Info'!A703,'Customer Info'!A703:C1202,3,FALSE),"Not Found")</f>
        <v>Not Found</v>
      </c>
      <c r="I711" s="6" t="str">
        <f>IFERROR(VLOOKUP('Customer Info'!A703,'Customer Info'!A703:E1202,5,FALSE),"Not Found")</f>
        <v>Not Found</v>
      </c>
      <c r="J711" s="2">
        <v>6354</v>
      </c>
      <c r="K711" s="2">
        <v>5769</v>
      </c>
      <c r="L711" s="2">
        <v>3</v>
      </c>
      <c r="M711" s="7">
        <f t="shared" si="50"/>
        <v>17307</v>
      </c>
      <c r="N711" s="7">
        <f t="shared" si="51"/>
        <v>19062</v>
      </c>
      <c r="O711" s="2">
        <v>58</v>
      </c>
      <c r="P711" s="8">
        <f t="shared" si="52"/>
        <v>19120</v>
      </c>
      <c r="Q711" s="8">
        <f t="shared" si="53"/>
        <v>13293</v>
      </c>
      <c r="R711" s="2" t="s">
        <v>28</v>
      </c>
      <c r="S711" s="9">
        <f t="shared" si="54"/>
        <v>956</v>
      </c>
    </row>
    <row r="712" spans="1:19" x14ac:dyDescent="0.3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str">
        <f>IFERROR(VLOOKUP('Customer Info'!A704,'Customer Info'!A704:C1203,2,FALSE),"Not Found")</f>
        <v>Not Found</v>
      </c>
      <c r="H712" s="6" t="str">
        <f>IFERROR(VLOOKUP('Customer Info'!A704,'Customer Info'!A704:C1203,3,FALSE),"Not Found")</f>
        <v>Not Found</v>
      </c>
      <c r="I712" s="6" t="str">
        <f>IFERROR(VLOOKUP('Customer Info'!A704,'Customer Info'!A704:E1203,5,FALSE),"Not Found")</f>
        <v>Not Found</v>
      </c>
      <c r="J712" s="2">
        <v>1790</v>
      </c>
      <c r="K712" s="2">
        <v>1706</v>
      </c>
      <c r="L712" s="2">
        <v>2</v>
      </c>
      <c r="M712" s="7">
        <f t="shared" si="50"/>
        <v>3412</v>
      </c>
      <c r="N712" s="7">
        <f t="shared" si="51"/>
        <v>3580</v>
      </c>
      <c r="O712" s="2">
        <v>86</v>
      </c>
      <c r="P712" s="8">
        <f t="shared" si="52"/>
        <v>3666</v>
      </c>
      <c r="Q712" s="8">
        <f t="shared" si="53"/>
        <v>1874</v>
      </c>
      <c r="R712" s="2" t="s">
        <v>26</v>
      </c>
      <c r="S712" s="9">
        <f t="shared" si="54"/>
        <v>73.320000000000007</v>
      </c>
    </row>
    <row r="713" spans="1:19" x14ac:dyDescent="0.3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str">
        <f>IFERROR(VLOOKUP('Customer Info'!A705,'Customer Info'!A705:C1204,2,FALSE),"Not Found")</f>
        <v>Not Found</v>
      </c>
      <c r="H713" s="6" t="str">
        <f>IFERROR(VLOOKUP('Customer Info'!A705,'Customer Info'!A705:C1204,3,FALSE),"Not Found")</f>
        <v>Not Found</v>
      </c>
      <c r="I713" s="6" t="str">
        <f>IFERROR(VLOOKUP('Customer Info'!A705,'Customer Info'!A705:E1204,5,FALSE),"Not Found")</f>
        <v>Not Found</v>
      </c>
      <c r="J713" s="2">
        <v>805</v>
      </c>
      <c r="K713" s="2">
        <v>746</v>
      </c>
      <c r="L713" s="2">
        <v>2</v>
      </c>
      <c r="M713" s="7">
        <f t="shared" si="50"/>
        <v>1492</v>
      </c>
      <c r="N713" s="7">
        <f t="shared" si="51"/>
        <v>1610</v>
      </c>
      <c r="O713" s="2">
        <v>28</v>
      </c>
      <c r="P713" s="8">
        <f t="shared" si="52"/>
        <v>1638</v>
      </c>
      <c r="Q713" s="8">
        <f t="shared" si="53"/>
        <v>864</v>
      </c>
      <c r="R713" s="2" t="s">
        <v>28</v>
      </c>
      <c r="S713" s="9">
        <f t="shared" si="54"/>
        <v>32.76</v>
      </c>
    </row>
    <row r="714" spans="1:19" x14ac:dyDescent="0.3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str">
        <f>IFERROR(VLOOKUP('Customer Info'!A706,'Customer Info'!A706:C1205,2,FALSE),"Not Found")</f>
        <v>Not Found</v>
      </c>
      <c r="H714" s="6" t="str">
        <f>IFERROR(VLOOKUP('Customer Info'!A706,'Customer Info'!A706:C1205,3,FALSE),"Not Found")</f>
        <v>Not Found</v>
      </c>
      <c r="I714" s="6" t="str">
        <f>IFERROR(VLOOKUP('Customer Info'!A706,'Customer Info'!A706:E1205,5,FALSE),"Not Found")</f>
        <v>Not Found</v>
      </c>
      <c r="J714" s="2">
        <v>92</v>
      </c>
      <c r="K714" s="2">
        <v>85</v>
      </c>
      <c r="L714" s="2">
        <v>1</v>
      </c>
      <c r="M714" s="7">
        <f t="shared" si="50"/>
        <v>85</v>
      </c>
      <c r="N714" s="7">
        <f t="shared" si="51"/>
        <v>92</v>
      </c>
      <c r="O714" s="2">
        <v>10</v>
      </c>
      <c r="P714" s="8">
        <f t="shared" si="52"/>
        <v>102</v>
      </c>
      <c r="Q714" s="8">
        <f t="shared" si="53"/>
        <v>7</v>
      </c>
      <c r="R714" s="2" t="s">
        <v>28</v>
      </c>
      <c r="S714" s="9">
        <f t="shared" si="54"/>
        <v>2.04</v>
      </c>
    </row>
    <row r="715" spans="1:19" x14ac:dyDescent="0.3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str">
        <f>IFERROR(VLOOKUP('Customer Info'!A707,'Customer Info'!A707:C1206,2,FALSE),"Not Found")</f>
        <v>Not Found</v>
      </c>
      <c r="H715" s="6" t="str">
        <f>IFERROR(VLOOKUP('Customer Info'!A707,'Customer Info'!A707:C1206,3,FALSE),"Not Found")</f>
        <v>Not Found</v>
      </c>
      <c r="I715" s="6" t="str">
        <f>IFERROR(VLOOKUP('Customer Info'!A707,'Customer Info'!A707:E1206,5,FALSE),"Not Found")</f>
        <v>Not Found</v>
      </c>
      <c r="J715" s="2">
        <v>1635</v>
      </c>
      <c r="K715" s="2">
        <v>1573</v>
      </c>
      <c r="L715" s="2">
        <v>2</v>
      </c>
      <c r="M715" s="7">
        <f t="shared" ref="M715:M778" si="55">$K715*$L715</f>
        <v>3146</v>
      </c>
      <c r="N715" s="7">
        <f t="shared" ref="N715:N778" si="56">$J715*$L715</f>
        <v>3270</v>
      </c>
      <c r="O715" s="2">
        <v>39</v>
      </c>
      <c r="P715" s="8">
        <f t="shared" ref="P715:P778" si="57">$N715+$O715</f>
        <v>3309</v>
      </c>
      <c r="Q715" s="8">
        <f t="shared" ref="Q715:Q778" si="58">$N715-$K715</f>
        <v>1697</v>
      </c>
      <c r="R715" s="2" t="s">
        <v>50</v>
      </c>
      <c r="S715" s="9">
        <f t="shared" ref="S715:S778" si="59" xml:space="preserve"> P715 * VLOOKUP(P715, $T$2:$U$6, 2, TRUE)</f>
        <v>66.180000000000007</v>
      </c>
    </row>
    <row r="716" spans="1:19" x14ac:dyDescent="0.3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str">
        <f>IFERROR(VLOOKUP('Customer Info'!A708,'Customer Info'!A708:C1207,2,FALSE),"Not Found")</f>
        <v>Not Found</v>
      </c>
      <c r="H716" s="6" t="str">
        <f>IFERROR(VLOOKUP('Customer Info'!A708,'Customer Info'!A708:C1207,3,FALSE),"Not Found")</f>
        <v>Not Found</v>
      </c>
      <c r="I716" s="6" t="str">
        <f>IFERROR(VLOOKUP('Customer Info'!A708,'Customer Info'!A708:E1207,5,FALSE),"Not Found")</f>
        <v>Not Found</v>
      </c>
      <c r="J716" s="2">
        <v>1686</v>
      </c>
      <c r="K716" s="2">
        <v>1591</v>
      </c>
      <c r="L716" s="2">
        <v>4</v>
      </c>
      <c r="M716" s="7">
        <f t="shared" si="55"/>
        <v>6364</v>
      </c>
      <c r="N716" s="7">
        <f t="shared" si="56"/>
        <v>6744</v>
      </c>
      <c r="O716" s="2">
        <v>35</v>
      </c>
      <c r="P716" s="8">
        <f t="shared" si="57"/>
        <v>6779</v>
      </c>
      <c r="Q716" s="8">
        <f t="shared" si="58"/>
        <v>5153</v>
      </c>
      <c r="R716" s="2" t="s">
        <v>28</v>
      </c>
      <c r="S716" s="9">
        <f t="shared" si="59"/>
        <v>338.95000000000005</v>
      </c>
    </row>
    <row r="717" spans="1:19" x14ac:dyDescent="0.3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str">
        <f>IFERROR(VLOOKUP('Customer Info'!A709,'Customer Info'!A709:C1208,2,FALSE),"Not Found")</f>
        <v>Not Found</v>
      </c>
      <c r="H717" s="6" t="str">
        <f>IFERROR(VLOOKUP('Customer Info'!A709,'Customer Info'!A709:C1208,3,FALSE),"Not Found")</f>
        <v>Not Found</v>
      </c>
      <c r="I717" s="6" t="str">
        <f>IFERROR(VLOOKUP('Customer Info'!A709,'Customer Info'!A709:E1208,5,FALSE),"Not Found")</f>
        <v>Not Found</v>
      </c>
      <c r="J717" s="2">
        <v>1623</v>
      </c>
      <c r="K717" s="2">
        <v>1546</v>
      </c>
      <c r="L717" s="2">
        <v>5</v>
      </c>
      <c r="M717" s="7">
        <f t="shared" si="55"/>
        <v>7730</v>
      </c>
      <c r="N717" s="7">
        <f t="shared" si="56"/>
        <v>8115</v>
      </c>
      <c r="O717" s="2">
        <v>99</v>
      </c>
      <c r="P717" s="8">
        <f t="shared" si="57"/>
        <v>8214</v>
      </c>
      <c r="Q717" s="8">
        <f t="shared" si="58"/>
        <v>6569</v>
      </c>
      <c r="R717" s="2" t="s">
        <v>28</v>
      </c>
      <c r="S717" s="9">
        <f t="shared" si="59"/>
        <v>410.70000000000005</v>
      </c>
    </row>
    <row r="718" spans="1:19" x14ac:dyDescent="0.3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str">
        <f>IFERROR(VLOOKUP('Customer Info'!A710,'Customer Info'!A710:C1209,2,FALSE),"Not Found")</f>
        <v>Not Found</v>
      </c>
      <c r="H718" s="6" t="str">
        <f>IFERROR(VLOOKUP('Customer Info'!A710,'Customer Info'!A710:C1209,3,FALSE),"Not Found")</f>
        <v>Not Found</v>
      </c>
      <c r="I718" s="6" t="str">
        <f>IFERROR(VLOOKUP('Customer Info'!A710,'Customer Info'!A710:E1209,5,FALSE),"Not Found")</f>
        <v>Not Found</v>
      </c>
      <c r="J718" s="2">
        <v>199</v>
      </c>
      <c r="K718" s="2">
        <v>176</v>
      </c>
      <c r="L718" s="2">
        <v>1</v>
      </c>
      <c r="M718" s="7">
        <f t="shared" si="55"/>
        <v>176</v>
      </c>
      <c r="N718" s="7">
        <f t="shared" si="56"/>
        <v>199</v>
      </c>
      <c r="O718" s="2">
        <v>30</v>
      </c>
      <c r="P718" s="8">
        <f t="shared" si="57"/>
        <v>229</v>
      </c>
      <c r="Q718" s="8">
        <f t="shared" si="58"/>
        <v>23</v>
      </c>
      <c r="R718" s="2" t="s">
        <v>28</v>
      </c>
      <c r="S718" s="9">
        <f t="shared" si="59"/>
        <v>4.58</v>
      </c>
    </row>
    <row r="719" spans="1:19" x14ac:dyDescent="0.3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str">
        <f>IFERROR(VLOOKUP('Customer Info'!A711,'Customer Info'!A711:C1210,2,FALSE),"Not Found")</f>
        <v>Not Found</v>
      </c>
      <c r="H719" s="6" t="str">
        <f>IFERROR(VLOOKUP('Customer Info'!A711,'Customer Info'!A711:C1210,3,FALSE),"Not Found")</f>
        <v>Not Found</v>
      </c>
      <c r="I719" s="6" t="str">
        <f>IFERROR(VLOOKUP('Customer Info'!A711,'Customer Info'!A711:E1210,5,FALSE),"Not Found")</f>
        <v>Not Found</v>
      </c>
      <c r="J719" s="2">
        <v>224</v>
      </c>
      <c r="K719" s="2">
        <v>210</v>
      </c>
      <c r="L719" s="2">
        <v>5</v>
      </c>
      <c r="M719" s="7">
        <f t="shared" si="55"/>
        <v>1050</v>
      </c>
      <c r="N719" s="7">
        <f t="shared" si="56"/>
        <v>1120</v>
      </c>
      <c r="O719" s="2">
        <v>41</v>
      </c>
      <c r="P719" s="8">
        <f t="shared" si="57"/>
        <v>1161</v>
      </c>
      <c r="Q719" s="8">
        <f t="shared" si="58"/>
        <v>910</v>
      </c>
      <c r="R719" s="2" t="s">
        <v>28</v>
      </c>
      <c r="S719" s="9">
        <f t="shared" si="59"/>
        <v>23.22</v>
      </c>
    </row>
    <row r="720" spans="1:19" x14ac:dyDescent="0.3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str">
        <f>IFERROR(VLOOKUP('Customer Info'!A712,'Customer Info'!A712:C1211,2,FALSE),"Not Found")</f>
        <v>Not Found</v>
      </c>
      <c r="H720" s="6" t="str">
        <f>IFERROR(VLOOKUP('Customer Info'!A712,'Customer Info'!A712:C1211,3,FALSE),"Not Found")</f>
        <v>Not Found</v>
      </c>
      <c r="I720" s="6" t="str">
        <f>IFERROR(VLOOKUP('Customer Info'!A712,'Customer Info'!A712:E1211,5,FALSE),"Not Found")</f>
        <v>Not Found</v>
      </c>
      <c r="J720" s="2">
        <v>4846</v>
      </c>
      <c r="K720" s="2">
        <v>4492</v>
      </c>
      <c r="L720" s="2">
        <v>7</v>
      </c>
      <c r="M720" s="7">
        <f t="shared" si="55"/>
        <v>31444</v>
      </c>
      <c r="N720" s="7">
        <f t="shared" si="56"/>
        <v>33922</v>
      </c>
      <c r="O720" s="2">
        <v>86</v>
      </c>
      <c r="P720" s="8">
        <f t="shared" si="57"/>
        <v>34008</v>
      </c>
      <c r="Q720" s="8">
        <f t="shared" si="58"/>
        <v>29430</v>
      </c>
      <c r="R720" s="2" t="s">
        <v>28</v>
      </c>
      <c r="S720" s="9">
        <f t="shared" si="59"/>
        <v>2380.5600000000004</v>
      </c>
    </row>
    <row r="721" spans="1:19" x14ac:dyDescent="0.3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str">
        <f>IFERROR(VLOOKUP('Customer Info'!A713,'Customer Info'!A713:C1212,2,FALSE),"Not Found")</f>
        <v>Not Found</v>
      </c>
      <c r="H721" s="6" t="str">
        <f>IFERROR(VLOOKUP('Customer Info'!A713,'Customer Info'!A713:C1212,3,FALSE),"Not Found")</f>
        <v>Not Found</v>
      </c>
      <c r="I721" s="6" t="str">
        <f>IFERROR(VLOOKUP('Customer Info'!A713,'Customer Info'!A713:E1212,5,FALSE),"Not Found")</f>
        <v>Not Found</v>
      </c>
      <c r="J721" s="2">
        <v>1845</v>
      </c>
      <c r="K721" s="2">
        <v>1742</v>
      </c>
      <c r="L721" s="2">
        <v>2</v>
      </c>
      <c r="M721" s="7">
        <f t="shared" si="55"/>
        <v>3484</v>
      </c>
      <c r="N721" s="7">
        <f t="shared" si="56"/>
        <v>3690</v>
      </c>
      <c r="O721" s="2">
        <v>92</v>
      </c>
      <c r="P721" s="8">
        <f t="shared" si="57"/>
        <v>3782</v>
      </c>
      <c r="Q721" s="8">
        <f t="shared" si="58"/>
        <v>1948</v>
      </c>
      <c r="R721" s="2" t="s">
        <v>26</v>
      </c>
      <c r="S721" s="9">
        <f t="shared" si="59"/>
        <v>75.64</v>
      </c>
    </row>
    <row r="722" spans="1:19" x14ac:dyDescent="0.3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str">
        <f>IFERROR(VLOOKUP('Customer Info'!A714,'Customer Info'!A714:C1213,2,FALSE),"Not Found")</f>
        <v>Not Found</v>
      </c>
      <c r="H722" s="6" t="str">
        <f>IFERROR(VLOOKUP('Customer Info'!A714,'Customer Info'!A714:C1213,3,FALSE),"Not Found")</f>
        <v>Not Found</v>
      </c>
      <c r="I722" s="6" t="str">
        <f>IFERROR(VLOOKUP('Customer Info'!A714,'Customer Info'!A714:E1213,5,FALSE),"Not Found")</f>
        <v>Not Found</v>
      </c>
      <c r="J722" s="2">
        <v>1385</v>
      </c>
      <c r="K722" s="2">
        <v>1295</v>
      </c>
      <c r="L722" s="2">
        <v>5</v>
      </c>
      <c r="M722" s="7">
        <f t="shared" si="55"/>
        <v>6475</v>
      </c>
      <c r="N722" s="7">
        <f t="shared" si="56"/>
        <v>6925</v>
      </c>
      <c r="O722" s="2">
        <v>25</v>
      </c>
      <c r="P722" s="8">
        <f t="shared" si="57"/>
        <v>6950</v>
      </c>
      <c r="Q722" s="8">
        <f t="shared" si="58"/>
        <v>5630</v>
      </c>
      <c r="R722" s="2" t="s">
        <v>50</v>
      </c>
      <c r="S722" s="9">
        <f t="shared" si="59"/>
        <v>347.5</v>
      </c>
    </row>
    <row r="723" spans="1:19" x14ac:dyDescent="0.3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str">
        <f>IFERROR(VLOOKUP('Customer Info'!A715,'Customer Info'!A715:C1214,2,FALSE),"Not Found")</f>
        <v>Not Found</v>
      </c>
      <c r="H723" s="6" t="str">
        <f>IFERROR(VLOOKUP('Customer Info'!A715,'Customer Info'!A715:C1214,3,FALSE),"Not Found")</f>
        <v>Not Found</v>
      </c>
      <c r="I723" s="6" t="str">
        <f>IFERROR(VLOOKUP('Customer Info'!A715,'Customer Info'!A715:E1214,5,FALSE),"Not Found")</f>
        <v>Not Found</v>
      </c>
      <c r="J723" s="2">
        <v>1169</v>
      </c>
      <c r="K723" s="2">
        <v>1072</v>
      </c>
      <c r="L723" s="2">
        <v>2</v>
      </c>
      <c r="M723" s="7">
        <f t="shared" si="55"/>
        <v>2144</v>
      </c>
      <c r="N723" s="7">
        <f t="shared" si="56"/>
        <v>2338</v>
      </c>
      <c r="O723" s="2">
        <v>41</v>
      </c>
      <c r="P723" s="8">
        <f t="shared" si="57"/>
        <v>2379</v>
      </c>
      <c r="Q723" s="8">
        <f t="shared" si="58"/>
        <v>1266</v>
      </c>
      <c r="R723" s="2" t="s">
        <v>50</v>
      </c>
      <c r="S723" s="9">
        <f t="shared" si="59"/>
        <v>47.58</v>
      </c>
    </row>
    <row r="724" spans="1:19" x14ac:dyDescent="0.3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str">
        <f>IFERROR(VLOOKUP('Customer Info'!A716,'Customer Info'!A716:C1215,2,FALSE),"Not Found")</f>
        <v>Not Found</v>
      </c>
      <c r="H724" s="6" t="str">
        <f>IFERROR(VLOOKUP('Customer Info'!A716,'Customer Info'!A716:C1215,3,FALSE),"Not Found")</f>
        <v>Not Found</v>
      </c>
      <c r="I724" s="6" t="str">
        <f>IFERROR(VLOOKUP('Customer Info'!A716,'Customer Info'!A716:E1215,5,FALSE),"Not Found")</f>
        <v>Not Found</v>
      </c>
      <c r="J724" s="2">
        <v>71</v>
      </c>
      <c r="K724" s="2">
        <v>64</v>
      </c>
      <c r="L724" s="2">
        <v>7</v>
      </c>
      <c r="M724" s="7">
        <f t="shared" si="55"/>
        <v>448</v>
      </c>
      <c r="N724" s="7">
        <f t="shared" si="56"/>
        <v>497</v>
      </c>
      <c r="O724" s="2">
        <v>10</v>
      </c>
      <c r="P724" s="8">
        <f t="shared" si="57"/>
        <v>507</v>
      </c>
      <c r="Q724" s="8">
        <f t="shared" si="58"/>
        <v>433</v>
      </c>
      <c r="R724" s="2" t="s">
        <v>50</v>
      </c>
      <c r="S724" s="9">
        <f t="shared" si="59"/>
        <v>10.14</v>
      </c>
    </row>
    <row r="725" spans="1:19" x14ac:dyDescent="0.3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str">
        <f>IFERROR(VLOOKUP('Customer Info'!A717,'Customer Info'!A717:C1216,2,FALSE),"Not Found")</f>
        <v>Not Found</v>
      </c>
      <c r="H725" s="6" t="str">
        <f>IFERROR(VLOOKUP('Customer Info'!A717,'Customer Info'!A717:C1216,3,FALSE),"Not Found")</f>
        <v>Not Found</v>
      </c>
      <c r="I725" s="6" t="str">
        <f>IFERROR(VLOOKUP('Customer Info'!A717,'Customer Info'!A717:E1216,5,FALSE),"Not Found")</f>
        <v>Not Found</v>
      </c>
      <c r="J725" s="2">
        <v>139</v>
      </c>
      <c r="K725" s="2">
        <v>133</v>
      </c>
      <c r="L725" s="2">
        <v>3</v>
      </c>
      <c r="M725" s="7">
        <f t="shared" si="55"/>
        <v>399</v>
      </c>
      <c r="N725" s="7">
        <f t="shared" si="56"/>
        <v>417</v>
      </c>
      <c r="O725" s="2">
        <v>30</v>
      </c>
      <c r="P725" s="8">
        <f t="shared" si="57"/>
        <v>447</v>
      </c>
      <c r="Q725" s="8">
        <f t="shared" si="58"/>
        <v>284</v>
      </c>
      <c r="R725" s="2" t="s">
        <v>50</v>
      </c>
      <c r="S725" s="9">
        <f t="shared" si="59"/>
        <v>8.94</v>
      </c>
    </row>
    <row r="726" spans="1:19" x14ac:dyDescent="0.3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str">
        <f>IFERROR(VLOOKUP('Customer Info'!A718,'Customer Info'!A718:C1217,2,FALSE),"Not Found")</f>
        <v>Not Found</v>
      </c>
      <c r="H726" s="6" t="str">
        <f>IFERROR(VLOOKUP('Customer Info'!A718,'Customer Info'!A718:C1217,3,FALSE),"Not Found")</f>
        <v>Not Found</v>
      </c>
      <c r="I726" s="6" t="str">
        <f>IFERROR(VLOOKUP('Customer Info'!A718,'Customer Info'!A718:E1217,5,FALSE),"Not Found")</f>
        <v>Not Found</v>
      </c>
      <c r="J726" s="2">
        <v>224</v>
      </c>
      <c r="K726" s="2">
        <v>210</v>
      </c>
      <c r="L726" s="2">
        <v>1</v>
      </c>
      <c r="M726" s="7">
        <f t="shared" si="55"/>
        <v>210</v>
      </c>
      <c r="N726" s="7">
        <f t="shared" si="56"/>
        <v>224</v>
      </c>
      <c r="O726" s="2">
        <v>97</v>
      </c>
      <c r="P726" s="8">
        <f t="shared" si="57"/>
        <v>321</v>
      </c>
      <c r="Q726" s="8">
        <f t="shared" si="58"/>
        <v>14</v>
      </c>
      <c r="R726" s="2" t="s">
        <v>50</v>
      </c>
      <c r="S726" s="9">
        <f t="shared" si="59"/>
        <v>6.42</v>
      </c>
    </row>
    <row r="727" spans="1:19" x14ac:dyDescent="0.3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str">
        <f>IFERROR(VLOOKUP('Customer Info'!A719,'Customer Info'!A719:C1218,2,FALSE),"Not Found")</f>
        <v>Not Found</v>
      </c>
      <c r="H727" s="6" t="str">
        <f>IFERROR(VLOOKUP('Customer Info'!A719,'Customer Info'!A719:C1218,3,FALSE),"Not Found")</f>
        <v>Not Found</v>
      </c>
      <c r="I727" s="6" t="str">
        <f>IFERROR(VLOOKUP('Customer Info'!A719,'Customer Info'!A719:E1218,5,FALSE),"Not Found")</f>
        <v>Not Found</v>
      </c>
      <c r="J727" s="2">
        <v>279</v>
      </c>
      <c r="K727" s="2">
        <v>254</v>
      </c>
      <c r="L727" s="2">
        <v>4</v>
      </c>
      <c r="M727" s="7">
        <f t="shared" si="55"/>
        <v>1016</v>
      </c>
      <c r="N727" s="7">
        <f t="shared" si="56"/>
        <v>1116</v>
      </c>
      <c r="O727" s="2">
        <v>78</v>
      </c>
      <c r="P727" s="8">
        <f t="shared" si="57"/>
        <v>1194</v>
      </c>
      <c r="Q727" s="8">
        <f t="shared" si="58"/>
        <v>862</v>
      </c>
      <c r="R727" s="2" t="s">
        <v>50</v>
      </c>
      <c r="S727" s="9">
        <f t="shared" si="59"/>
        <v>23.88</v>
      </c>
    </row>
    <row r="728" spans="1:19" x14ac:dyDescent="0.3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str">
        <f>IFERROR(VLOOKUP('Customer Info'!A720,'Customer Info'!A720:C1219,2,FALSE),"Not Found")</f>
        <v>Not Found</v>
      </c>
      <c r="H728" s="6" t="str">
        <f>IFERROR(VLOOKUP('Customer Info'!A720,'Customer Info'!A720:C1219,3,FALSE),"Not Found")</f>
        <v>Not Found</v>
      </c>
      <c r="I728" s="6" t="str">
        <f>IFERROR(VLOOKUP('Customer Info'!A720,'Customer Info'!A720:E1219,5,FALSE),"Not Found")</f>
        <v>Not Found</v>
      </c>
      <c r="J728" s="2">
        <v>4904</v>
      </c>
      <c r="K728" s="2">
        <v>4499</v>
      </c>
      <c r="L728" s="2">
        <v>5</v>
      </c>
      <c r="M728" s="7">
        <f t="shared" si="55"/>
        <v>22495</v>
      </c>
      <c r="N728" s="7">
        <f t="shared" si="56"/>
        <v>24520</v>
      </c>
      <c r="O728" s="2">
        <v>82</v>
      </c>
      <c r="P728" s="8">
        <f t="shared" si="57"/>
        <v>24602</v>
      </c>
      <c r="Q728" s="8">
        <f t="shared" si="58"/>
        <v>20021</v>
      </c>
      <c r="R728" s="2" t="s">
        <v>28</v>
      </c>
      <c r="S728" s="9">
        <f t="shared" si="59"/>
        <v>1230.1000000000001</v>
      </c>
    </row>
    <row r="729" spans="1:19" x14ac:dyDescent="0.3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str">
        <f>IFERROR(VLOOKUP('Customer Info'!A721,'Customer Info'!A721:C1220,2,FALSE),"Not Found")</f>
        <v>Not Found</v>
      </c>
      <c r="H729" s="6" t="str">
        <f>IFERROR(VLOOKUP('Customer Info'!A721,'Customer Info'!A721:C1220,3,FALSE),"Not Found")</f>
        <v>Not Found</v>
      </c>
      <c r="I729" s="6" t="str">
        <f>IFERROR(VLOOKUP('Customer Info'!A721,'Customer Info'!A721:E1220,5,FALSE),"Not Found")</f>
        <v>Not Found</v>
      </c>
      <c r="J729" s="2">
        <v>135</v>
      </c>
      <c r="K729" s="2">
        <v>129</v>
      </c>
      <c r="L729" s="2">
        <v>2</v>
      </c>
      <c r="M729" s="7">
        <f t="shared" si="55"/>
        <v>258</v>
      </c>
      <c r="N729" s="7">
        <f t="shared" si="56"/>
        <v>270</v>
      </c>
      <c r="O729" s="2">
        <v>30</v>
      </c>
      <c r="P729" s="8">
        <f t="shared" si="57"/>
        <v>300</v>
      </c>
      <c r="Q729" s="8">
        <f t="shared" si="58"/>
        <v>141</v>
      </c>
      <c r="R729" s="2" t="s">
        <v>28</v>
      </c>
      <c r="S729" s="9">
        <f t="shared" si="59"/>
        <v>6</v>
      </c>
    </row>
    <row r="730" spans="1:19" x14ac:dyDescent="0.3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str">
        <f>IFERROR(VLOOKUP('Customer Info'!A722,'Customer Info'!A722:C1221,2,FALSE),"Not Found")</f>
        <v>Not Found</v>
      </c>
      <c r="H730" s="6" t="str">
        <f>IFERROR(VLOOKUP('Customer Info'!A722,'Customer Info'!A722:C1221,3,FALSE),"Not Found")</f>
        <v>Not Found</v>
      </c>
      <c r="I730" s="6" t="str">
        <f>IFERROR(VLOOKUP('Customer Info'!A722,'Customer Info'!A722:E1221,5,FALSE),"Not Found")</f>
        <v>Not Found</v>
      </c>
      <c r="J730" s="2">
        <v>520</v>
      </c>
      <c r="K730" s="2">
        <v>477</v>
      </c>
      <c r="L730" s="2">
        <v>4</v>
      </c>
      <c r="M730" s="7">
        <f t="shared" si="55"/>
        <v>1908</v>
      </c>
      <c r="N730" s="7">
        <f t="shared" si="56"/>
        <v>2080</v>
      </c>
      <c r="O730" s="2">
        <v>67</v>
      </c>
      <c r="P730" s="8">
        <f t="shared" si="57"/>
        <v>2147</v>
      </c>
      <c r="Q730" s="8">
        <f t="shared" si="58"/>
        <v>1603</v>
      </c>
      <c r="R730" s="2" t="s">
        <v>28</v>
      </c>
      <c r="S730" s="9">
        <f t="shared" si="59"/>
        <v>42.94</v>
      </c>
    </row>
    <row r="731" spans="1:19" x14ac:dyDescent="0.3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str">
        <f>IFERROR(VLOOKUP('Customer Info'!A723,'Customer Info'!A723:C1222,2,FALSE),"Not Found")</f>
        <v>Not Found</v>
      </c>
      <c r="H731" s="6" t="str">
        <f>IFERROR(VLOOKUP('Customer Info'!A723,'Customer Info'!A723:C1222,3,FALSE),"Not Found")</f>
        <v>Not Found</v>
      </c>
      <c r="I731" s="6" t="str">
        <f>IFERROR(VLOOKUP('Customer Info'!A723,'Customer Info'!A723:E1222,5,FALSE),"Not Found")</f>
        <v>Not Found</v>
      </c>
      <c r="J731" s="2">
        <v>666</v>
      </c>
      <c r="K731" s="2">
        <v>641</v>
      </c>
      <c r="L731" s="2">
        <v>6</v>
      </c>
      <c r="M731" s="7">
        <f t="shared" si="55"/>
        <v>3846</v>
      </c>
      <c r="N731" s="7">
        <f t="shared" si="56"/>
        <v>3996</v>
      </c>
      <c r="O731" s="2">
        <v>30</v>
      </c>
      <c r="P731" s="8">
        <f t="shared" si="57"/>
        <v>4026</v>
      </c>
      <c r="Q731" s="8">
        <f t="shared" si="58"/>
        <v>3355</v>
      </c>
      <c r="R731" s="2" t="s">
        <v>50</v>
      </c>
      <c r="S731" s="9">
        <f t="shared" si="59"/>
        <v>80.52</v>
      </c>
    </row>
    <row r="732" spans="1:19" x14ac:dyDescent="0.3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str">
        <f>IFERROR(VLOOKUP('Customer Info'!A724,'Customer Info'!A724:C1223,2,FALSE),"Not Found")</f>
        <v>Not Found</v>
      </c>
      <c r="H732" s="6" t="str">
        <f>IFERROR(VLOOKUP('Customer Info'!A724,'Customer Info'!A724:C1223,3,FALSE),"Not Found")</f>
        <v>Not Found</v>
      </c>
      <c r="I732" s="6" t="str">
        <f>IFERROR(VLOOKUP('Customer Info'!A724,'Customer Info'!A724:E1223,5,FALSE),"Not Found")</f>
        <v>Not Found</v>
      </c>
      <c r="J732" s="2">
        <v>4577</v>
      </c>
      <c r="K732" s="2">
        <v>4285</v>
      </c>
      <c r="L732" s="2">
        <v>2</v>
      </c>
      <c r="M732" s="7">
        <f t="shared" si="55"/>
        <v>8570</v>
      </c>
      <c r="N732" s="7">
        <f t="shared" si="56"/>
        <v>9154</v>
      </c>
      <c r="O732" s="2">
        <v>20</v>
      </c>
      <c r="P732" s="8">
        <f t="shared" si="57"/>
        <v>9174</v>
      </c>
      <c r="Q732" s="8">
        <f t="shared" si="58"/>
        <v>4869</v>
      </c>
      <c r="R732" s="2" t="s">
        <v>28</v>
      </c>
      <c r="S732" s="9">
        <f t="shared" si="59"/>
        <v>458.70000000000005</v>
      </c>
    </row>
    <row r="733" spans="1:19" x14ac:dyDescent="0.3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str">
        <f>IFERROR(VLOOKUP('Customer Info'!A725,'Customer Info'!A725:C1224,2,FALSE),"Not Found")</f>
        <v>Not Found</v>
      </c>
      <c r="H733" s="6" t="str">
        <f>IFERROR(VLOOKUP('Customer Info'!A725,'Customer Info'!A725:C1224,3,FALSE),"Not Found")</f>
        <v>Not Found</v>
      </c>
      <c r="I733" s="6" t="str">
        <f>IFERROR(VLOOKUP('Customer Info'!A725,'Customer Info'!A725:E1224,5,FALSE),"Not Found")</f>
        <v>Not Found</v>
      </c>
      <c r="J733" s="2">
        <v>169</v>
      </c>
      <c r="K733" s="2">
        <v>160</v>
      </c>
      <c r="L733" s="2">
        <v>3</v>
      </c>
      <c r="M733" s="7">
        <f t="shared" si="55"/>
        <v>480</v>
      </c>
      <c r="N733" s="7">
        <f t="shared" si="56"/>
        <v>507</v>
      </c>
      <c r="O733" s="2">
        <v>30</v>
      </c>
      <c r="P733" s="8">
        <f t="shared" si="57"/>
        <v>537</v>
      </c>
      <c r="Q733" s="8">
        <f t="shared" si="58"/>
        <v>347</v>
      </c>
      <c r="R733" s="2" t="s">
        <v>50</v>
      </c>
      <c r="S733" s="9">
        <f t="shared" si="59"/>
        <v>10.74</v>
      </c>
    </row>
    <row r="734" spans="1:19" x14ac:dyDescent="0.3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str">
        <f>IFERROR(VLOOKUP('Customer Info'!A726,'Customer Info'!A726:C1225,2,FALSE),"Not Found")</f>
        <v>Not Found</v>
      </c>
      <c r="H734" s="6" t="str">
        <f>IFERROR(VLOOKUP('Customer Info'!A726,'Customer Info'!A726:C1225,3,FALSE),"Not Found")</f>
        <v>Not Found</v>
      </c>
      <c r="I734" s="6" t="str">
        <f>IFERROR(VLOOKUP('Customer Info'!A726,'Customer Info'!A726:E1225,5,FALSE),"Not Found")</f>
        <v>Not Found</v>
      </c>
      <c r="J734" s="2">
        <v>27691</v>
      </c>
      <c r="K734" s="2">
        <v>25616</v>
      </c>
      <c r="L734" s="2">
        <v>5</v>
      </c>
      <c r="M734" s="7">
        <f t="shared" si="55"/>
        <v>128080</v>
      </c>
      <c r="N734" s="7">
        <f t="shared" si="56"/>
        <v>138455</v>
      </c>
      <c r="O734" s="2">
        <v>57</v>
      </c>
      <c r="P734" s="8">
        <f t="shared" si="57"/>
        <v>138512</v>
      </c>
      <c r="Q734" s="8">
        <f t="shared" si="58"/>
        <v>112839</v>
      </c>
      <c r="R734" s="2" t="s">
        <v>56</v>
      </c>
      <c r="S734" s="9">
        <f t="shared" si="59"/>
        <v>16621.439999999999</v>
      </c>
    </row>
    <row r="735" spans="1:19" x14ac:dyDescent="0.3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str">
        <f>IFERROR(VLOOKUP('Customer Info'!A727,'Customer Info'!A727:C1226,2,FALSE),"Not Found")</f>
        <v>Not Found</v>
      </c>
      <c r="H735" s="6" t="str">
        <f>IFERROR(VLOOKUP('Customer Info'!A727,'Customer Info'!A727:C1226,3,FALSE),"Not Found")</f>
        <v>Not Found</v>
      </c>
      <c r="I735" s="6" t="str">
        <f>IFERROR(VLOOKUP('Customer Info'!A727,'Customer Info'!A727:E1226,5,FALSE),"Not Found")</f>
        <v>Not Found</v>
      </c>
      <c r="J735" s="2">
        <v>27691</v>
      </c>
      <c r="K735" s="2">
        <v>25616</v>
      </c>
      <c r="L735" s="2">
        <v>3</v>
      </c>
      <c r="M735" s="7">
        <f t="shared" si="55"/>
        <v>76848</v>
      </c>
      <c r="N735" s="7">
        <f t="shared" si="56"/>
        <v>83073</v>
      </c>
      <c r="O735" s="2">
        <v>97</v>
      </c>
      <c r="P735" s="8">
        <f t="shared" si="57"/>
        <v>83170</v>
      </c>
      <c r="Q735" s="8">
        <f t="shared" si="58"/>
        <v>57457</v>
      </c>
      <c r="R735" s="2" t="s">
        <v>28</v>
      </c>
      <c r="S735" s="9">
        <f t="shared" si="59"/>
        <v>7485.2999999999993</v>
      </c>
    </row>
    <row r="736" spans="1:19" x14ac:dyDescent="0.3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str">
        <f>IFERROR(VLOOKUP('Customer Info'!A728,'Customer Info'!A728:C1227,2,FALSE),"Not Found")</f>
        <v>Not Found</v>
      </c>
      <c r="H736" s="6" t="str">
        <f>IFERROR(VLOOKUP('Customer Info'!A728,'Customer Info'!A728:C1227,3,FALSE),"Not Found")</f>
        <v>Not Found</v>
      </c>
      <c r="I736" s="6" t="str">
        <f>IFERROR(VLOOKUP('Customer Info'!A728,'Customer Info'!A728:E1227,5,FALSE),"Not Found")</f>
        <v>Not Found</v>
      </c>
      <c r="J736" s="2">
        <v>185</v>
      </c>
      <c r="K736" s="2">
        <v>174</v>
      </c>
      <c r="L736" s="2">
        <v>3</v>
      </c>
      <c r="M736" s="7">
        <f t="shared" si="55"/>
        <v>522</v>
      </c>
      <c r="N736" s="7">
        <f t="shared" si="56"/>
        <v>555</v>
      </c>
      <c r="O736" s="2">
        <v>30</v>
      </c>
      <c r="P736" s="8">
        <f t="shared" si="57"/>
        <v>585</v>
      </c>
      <c r="Q736" s="8">
        <f t="shared" si="58"/>
        <v>381</v>
      </c>
      <c r="R736" s="2" t="s">
        <v>28</v>
      </c>
      <c r="S736" s="9">
        <f t="shared" si="59"/>
        <v>11.700000000000001</v>
      </c>
    </row>
    <row r="737" spans="1:19" x14ac:dyDescent="0.3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str">
        <f>IFERROR(VLOOKUP('Customer Info'!A729,'Customer Info'!A729:C1228,2,FALSE),"Not Found")</f>
        <v>Not Found</v>
      </c>
      <c r="H737" s="6" t="str">
        <f>IFERROR(VLOOKUP('Customer Info'!A729,'Customer Info'!A729:C1228,3,FALSE),"Not Found")</f>
        <v>Not Found</v>
      </c>
      <c r="I737" s="6" t="str">
        <f>IFERROR(VLOOKUP('Customer Info'!A729,'Customer Info'!A729:E1228,5,FALSE),"Not Found")</f>
        <v>Not Found</v>
      </c>
      <c r="J737" s="2">
        <v>1637</v>
      </c>
      <c r="K737" s="2">
        <v>1532</v>
      </c>
      <c r="L737" s="2">
        <v>1</v>
      </c>
      <c r="M737" s="7">
        <f t="shared" si="55"/>
        <v>1532</v>
      </c>
      <c r="N737" s="7">
        <f t="shared" si="56"/>
        <v>1637</v>
      </c>
      <c r="O737" s="2">
        <v>75</v>
      </c>
      <c r="P737" s="8">
        <f t="shared" si="57"/>
        <v>1712</v>
      </c>
      <c r="Q737" s="8">
        <f t="shared" si="58"/>
        <v>105</v>
      </c>
      <c r="R737" s="2" t="s">
        <v>26</v>
      </c>
      <c r="S737" s="9">
        <f t="shared" si="59"/>
        <v>34.24</v>
      </c>
    </row>
    <row r="738" spans="1:19" x14ac:dyDescent="0.3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str">
        <f>IFERROR(VLOOKUP('Customer Info'!A730,'Customer Info'!A730:C1229,2,FALSE),"Not Found")</f>
        <v>Not Found</v>
      </c>
      <c r="H738" s="6" t="str">
        <f>IFERROR(VLOOKUP('Customer Info'!A730,'Customer Info'!A730:C1229,3,FALSE),"Not Found")</f>
        <v>Not Found</v>
      </c>
      <c r="I738" s="6" t="str">
        <f>IFERROR(VLOOKUP('Customer Info'!A730,'Customer Info'!A730:E1229,5,FALSE),"Not Found")</f>
        <v>Not Found</v>
      </c>
      <c r="J738" s="2">
        <v>1569</v>
      </c>
      <c r="K738" s="2">
        <v>1466</v>
      </c>
      <c r="L738" s="2">
        <v>2</v>
      </c>
      <c r="M738" s="7">
        <f t="shared" si="55"/>
        <v>2932</v>
      </c>
      <c r="N738" s="7">
        <f t="shared" si="56"/>
        <v>3138</v>
      </c>
      <c r="O738" s="2">
        <v>95</v>
      </c>
      <c r="P738" s="8">
        <f t="shared" si="57"/>
        <v>3233</v>
      </c>
      <c r="Q738" s="8">
        <f t="shared" si="58"/>
        <v>1672</v>
      </c>
      <c r="R738" s="2" t="s">
        <v>28</v>
      </c>
      <c r="S738" s="9">
        <f t="shared" si="59"/>
        <v>64.66</v>
      </c>
    </row>
    <row r="739" spans="1:19" x14ac:dyDescent="0.3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str">
        <f>IFERROR(VLOOKUP('Customer Info'!A731,'Customer Info'!A731:C1230,2,FALSE),"Not Found")</f>
        <v>Not Found</v>
      </c>
      <c r="H739" s="6" t="str">
        <f>IFERROR(VLOOKUP('Customer Info'!A731,'Customer Info'!A731:C1230,3,FALSE),"Not Found")</f>
        <v>Not Found</v>
      </c>
      <c r="I739" s="6" t="str">
        <f>IFERROR(VLOOKUP('Customer Info'!A731,'Customer Info'!A731:E1230,5,FALSE),"Not Found")</f>
        <v>Not Found</v>
      </c>
      <c r="J739" s="2">
        <v>208</v>
      </c>
      <c r="K739" s="2">
        <v>187</v>
      </c>
      <c r="L739" s="2">
        <v>2</v>
      </c>
      <c r="M739" s="7">
        <f t="shared" si="55"/>
        <v>374</v>
      </c>
      <c r="N739" s="7">
        <f t="shared" si="56"/>
        <v>416</v>
      </c>
      <c r="O739" s="2">
        <v>85</v>
      </c>
      <c r="P739" s="8">
        <f t="shared" si="57"/>
        <v>501</v>
      </c>
      <c r="Q739" s="8">
        <f t="shared" si="58"/>
        <v>229</v>
      </c>
      <c r="R739" s="2" t="s">
        <v>28</v>
      </c>
      <c r="S739" s="9">
        <f t="shared" si="59"/>
        <v>10.02</v>
      </c>
    </row>
    <row r="740" spans="1:19" x14ac:dyDescent="0.3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str">
        <f>IFERROR(VLOOKUP('Customer Info'!A732,'Customer Info'!A732:C1231,2,FALSE),"Not Found")</f>
        <v>Not Found</v>
      </c>
      <c r="H740" s="6" t="str">
        <f>IFERROR(VLOOKUP('Customer Info'!A732,'Customer Info'!A732:C1231,3,FALSE),"Not Found")</f>
        <v>Not Found</v>
      </c>
      <c r="I740" s="6" t="str">
        <f>IFERROR(VLOOKUP('Customer Info'!A732,'Customer Info'!A732:E1231,5,FALSE),"Not Found")</f>
        <v>Not Found</v>
      </c>
      <c r="J740" s="2">
        <v>1017</v>
      </c>
      <c r="K740" s="2">
        <v>950</v>
      </c>
      <c r="L740" s="2">
        <v>2</v>
      </c>
      <c r="M740" s="7">
        <f t="shared" si="55"/>
        <v>1900</v>
      </c>
      <c r="N740" s="7">
        <f t="shared" si="56"/>
        <v>2034</v>
      </c>
      <c r="O740" s="2">
        <v>80</v>
      </c>
      <c r="P740" s="8">
        <f t="shared" si="57"/>
        <v>2114</v>
      </c>
      <c r="Q740" s="8">
        <f t="shared" si="58"/>
        <v>1084</v>
      </c>
      <c r="R740" s="2" t="s">
        <v>28</v>
      </c>
      <c r="S740" s="9">
        <f t="shared" si="59"/>
        <v>42.28</v>
      </c>
    </row>
    <row r="741" spans="1:19" x14ac:dyDescent="0.3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str">
        <f>IFERROR(VLOOKUP('Customer Info'!A733,'Customer Info'!A733:C1232,2,FALSE),"Not Found")</f>
        <v>Not Found</v>
      </c>
      <c r="H741" s="6" t="str">
        <f>IFERROR(VLOOKUP('Customer Info'!A733,'Customer Info'!A733:C1232,3,FALSE),"Not Found")</f>
        <v>Not Found</v>
      </c>
      <c r="I741" s="6" t="str">
        <f>IFERROR(VLOOKUP('Customer Info'!A733,'Customer Info'!A733:E1232,5,FALSE),"Not Found")</f>
        <v>Not Found</v>
      </c>
      <c r="J741" s="2">
        <v>7327</v>
      </c>
      <c r="K741" s="2">
        <v>6658</v>
      </c>
      <c r="L741" s="2">
        <v>3</v>
      </c>
      <c r="M741" s="7">
        <f t="shared" si="55"/>
        <v>19974</v>
      </c>
      <c r="N741" s="7">
        <f t="shared" si="56"/>
        <v>21981</v>
      </c>
      <c r="O741" s="2">
        <v>91</v>
      </c>
      <c r="P741" s="8">
        <f t="shared" si="57"/>
        <v>22072</v>
      </c>
      <c r="Q741" s="8">
        <f t="shared" si="58"/>
        <v>15323</v>
      </c>
      <c r="R741" s="2" t="s">
        <v>28</v>
      </c>
      <c r="S741" s="9">
        <f t="shared" si="59"/>
        <v>1103.6000000000001</v>
      </c>
    </row>
    <row r="742" spans="1:19" x14ac:dyDescent="0.3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str">
        <f>IFERROR(VLOOKUP('Customer Info'!A734,'Customer Info'!A734:C1233,2,FALSE),"Not Found")</f>
        <v>Not Found</v>
      </c>
      <c r="H742" s="6" t="str">
        <f>IFERROR(VLOOKUP('Customer Info'!A734,'Customer Info'!A734:C1233,3,FALSE),"Not Found")</f>
        <v>Not Found</v>
      </c>
      <c r="I742" s="6" t="str">
        <f>IFERROR(VLOOKUP('Customer Info'!A734,'Customer Info'!A734:E1233,5,FALSE),"Not Found")</f>
        <v>Not Found</v>
      </c>
      <c r="J742" s="2">
        <v>1585</v>
      </c>
      <c r="K742" s="2">
        <v>1495</v>
      </c>
      <c r="L742" s="2">
        <v>8</v>
      </c>
      <c r="M742" s="7">
        <f t="shared" si="55"/>
        <v>11960</v>
      </c>
      <c r="N742" s="7">
        <f t="shared" si="56"/>
        <v>12680</v>
      </c>
      <c r="O742" s="2">
        <v>100</v>
      </c>
      <c r="P742" s="8">
        <f t="shared" si="57"/>
        <v>12780</v>
      </c>
      <c r="Q742" s="8">
        <f t="shared" si="58"/>
        <v>11185</v>
      </c>
      <c r="R742" s="2" t="s">
        <v>28</v>
      </c>
      <c r="S742" s="9">
        <f t="shared" si="59"/>
        <v>639</v>
      </c>
    </row>
    <row r="743" spans="1:19" x14ac:dyDescent="0.3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str">
        <f>IFERROR(VLOOKUP('Customer Info'!A735,'Customer Info'!A735:C1234,2,FALSE),"Not Found")</f>
        <v>Not Found</v>
      </c>
      <c r="H743" s="6" t="str">
        <f>IFERROR(VLOOKUP('Customer Info'!A735,'Customer Info'!A735:C1234,3,FALSE),"Not Found")</f>
        <v>Not Found</v>
      </c>
      <c r="I743" s="6" t="str">
        <f>IFERROR(VLOOKUP('Customer Info'!A735,'Customer Info'!A735:E1234,5,FALSE),"Not Found")</f>
        <v>Not Found</v>
      </c>
      <c r="J743" s="2">
        <v>405</v>
      </c>
      <c r="K743" s="2">
        <v>381</v>
      </c>
      <c r="L743" s="2">
        <v>2</v>
      </c>
      <c r="M743" s="7">
        <f t="shared" si="55"/>
        <v>762</v>
      </c>
      <c r="N743" s="7">
        <f t="shared" si="56"/>
        <v>810</v>
      </c>
      <c r="O743" s="2">
        <v>35</v>
      </c>
      <c r="P743" s="8">
        <f t="shared" si="57"/>
        <v>845</v>
      </c>
      <c r="Q743" s="8">
        <f t="shared" si="58"/>
        <v>429</v>
      </c>
      <c r="R743" s="2" t="s">
        <v>26</v>
      </c>
      <c r="S743" s="9">
        <f t="shared" si="59"/>
        <v>16.899999999999999</v>
      </c>
    </row>
    <row r="744" spans="1:19" x14ac:dyDescent="0.3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str">
        <f>IFERROR(VLOOKUP('Customer Info'!A736,'Customer Info'!A736:C1235,2,FALSE),"Not Found")</f>
        <v>Not Found</v>
      </c>
      <c r="H744" s="6" t="str">
        <f>IFERROR(VLOOKUP('Customer Info'!A736,'Customer Info'!A736:C1235,3,FALSE),"Not Found")</f>
        <v>Not Found</v>
      </c>
      <c r="I744" s="6" t="str">
        <f>IFERROR(VLOOKUP('Customer Info'!A736,'Customer Info'!A736:E1235,5,FALSE),"Not Found")</f>
        <v>Not Found</v>
      </c>
      <c r="J744" s="2">
        <v>1809</v>
      </c>
      <c r="K744" s="2">
        <v>1691</v>
      </c>
      <c r="L744" s="2">
        <v>6</v>
      </c>
      <c r="M744" s="7">
        <f t="shared" si="55"/>
        <v>10146</v>
      </c>
      <c r="N744" s="7">
        <f t="shared" si="56"/>
        <v>10854</v>
      </c>
      <c r="O744" s="2">
        <v>61</v>
      </c>
      <c r="P744" s="8">
        <f t="shared" si="57"/>
        <v>10915</v>
      </c>
      <c r="Q744" s="8">
        <f t="shared" si="58"/>
        <v>9163</v>
      </c>
      <c r="R744" s="2" t="s">
        <v>28</v>
      </c>
      <c r="S744" s="9">
        <f t="shared" si="59"/>
        <v>545.75</v>
      </c>
    </row>
    <row r="745" spans="1:19" x14ac:dyDescent="0.3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str">
        <f>IFERROR(VLOOKUP('Customer Info'!A737,'Customer Info'!A737:C1236,2,FALSE),"Not Found")</f>
        <v>Not Found</v>
      </c>
      <c r="H745" s="6" t="str">
        <f>IFERROR(VLOOKUP('Customer Info'!A737,'Customer Info'!A737:C1236,3,FALSE),"Not Found")</f>
        <v>Not Found</v>
      </c>
      <c r="I745" s="6" t="str">
        <f>IFERROR(VLOOKUP('Customer Info'!A737,'Customer Info'!A737:E1236,5,FALSE),"Not Found")</f>
        <v>Not Found</v>
      </c>
      <c r="J745" s="2">
        <v>1576</v>
      </c>
      <c r="K745" s="2">
        <v>1531</v>
      </c>
      <c r="L745" s="2">
        <v>2</v>
      </c>
      <c r="M745" s="7">
        <f t="shared" si="55"/>
        <v>3062</v>
      </c>
      <c r="N745" s="7">
        <f t="shared" si="56"/>
        <v>3152</v>
      </c>
      <c r="O745" s="2">
        <v>63</v>
      </c>
      <c r="P745" s="8">
        <f t="shared" si="57"/>
        <v>3215</v>
      </c>
      <c r="Q745" s="8">
        <f t="shared" si="58"/>
        <v>1621</v>
      </c>
      <c r="R745" s="2" t="s">
        <v>26</v>
      </c>
      <c r="S745" s="9">
        <f t="shared" si="59"/>
        <v>64.3</v>
      </c>
    </row>
    <row r="746" spans="1:19" x14ac:dyDescent="0.3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str">
        <f>IFERROR(VLOOKUP('Customer Info'!A738,'Customer Info'!A738:C1237,2,FALSE),"Not Found")</f>
        <v>Not Found</v>
      </c>
      <c r="H746" s="6" t="str">
        <f>IFERROR(VLOOKUP('Customer Info'!A738,'Customer Info'!A738:C1237,3,FALSE),"Not Found")</f>
        <v>Not Found</v>
      </c>
      <c r="I746" s="6" t="str">
        <f>IFERROR(VLOOKUP('Customer Info'!A738,'Customer Info'!A738:E1237,5,FALSE),"Not Found")</f>
        <v>Not Found</v>
      </c>
      <c r="J746" s="2">
        <v>1574</v>
      </c>
      <c r="K746" s="2">
        <v>1458</v>
      </c>
      <c r="L746" s="2">
        <v>1</v>
      </c>
      <c r="M746" s="7">
        <f t="shared" si="55"/>
        <v>1458</v>
      </c>
      <c r="N746" s="7">
        <f t="shared" si="56"/>
        <v>1574</v>
      </c>
      <c r="O746" s="2">
        <v>88</v>
      </c>
      <c r="P746" s="8">
        <f t="shared" si="57"/>
        <v>1662</v>
      </c>
      <c r="Q746" s="8">
        <f t="shared" si="58"/>
        <v>116</v>
      </c>
      <c r="R746" s="2" t="s">
        <v>26</v>
      </c>
      <c r="S746" s="9">
        <f t="shared" si="59"/>
        <v>33.24</v>
      </c>
    </row>
    <row r="747" spans="1:19" x14ac:dyDescent="0.3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str">
        <f>IFERROR(VLOOKUP('Customer Info'!A739,'Customer Info'!A739:C1238,2,FALSE),"Not Found")</f>
        <v>Not Found</v>
      </c>
      <c r="H747" s="6" t="str">
        <f>IFERROR(VLOOKUP('Customer Info'!A739,'Customer Info'!A739:C1238,3,FALSE),"Not Found")</f>
        <v>Not Found</v>
      </c>
      <c r="I747" s="6" t="str">
        <f>IFERROR(VLOOKUP('Customer Info'!A739,'Customer Info'!A739:E1238,5,FALSE),"Not Found")</f>
        <v>Not Found</v>
      </c>
      <c r="J747" s="2">
        <v>809</v>
      </c>
      <c r="K747" s="2">
        <v>770</v>
      </c>
      <c r="L747" s="2">
        <v>7</v>
      </c>
      <c r="M747" s="7">
        <f t="shared" si="55"/>
        <v>5390</v>
      </c>
      <c r="N747" s="7">
        <f t="shared" si="56"/>
        <v>5663</v>
      </c>
      <c r="O747" s="2">
        <v>28</v>
      </c>
      <c r="P747" s="8">
        <f t="shared" si="57"/>
        <v>5691</v>
      </c>
      <c r="Q747" s="8">
        <f t="shared" si="58"/>
        <v>4893</v>
      </c>
      <c r="R747" s="2" t="s">
        <v>50</v>
      </c>
      <c r="S747" s="9">
        <f t="shared" si="59"/>
        <v>284.55</v>
      </c>
    </row>
    <row r="748" spans="1:19" x14ac:dyDescent="0.3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str">
        <f>IFERROR(VLOOKUP('Customer Info'!A740,'Customer Info'!A740:C1239,2,FALSE),"Not Found")</f>
        <v>Not Found</v>
      </c>
      <c r="H748" s="6" t="str">
        <f>IFERROR(VLOOKUP('Customer Info'!A740,'Customer Info'!A740:C1239,3,FALSE),"Not Found")</f>
        <v>Not Found</v>
      </c>
      <c r="I748" s="6" t="str">
        <f>IFERROR(VLOOKUP('Customer Info'!A740,'Customer Info'!A740:E1239,5,FALSE),"Not Found")</f>
        <v>Not Found</v>
      </c>
      <c r="J748" s="2">
        <v>2151</v>
      </c>
      <c r="K748" s="2">
        <v>2009</v>
      </c>
      <c r="L748" s="2">
        <v>4</v>
      </c>
      <c r="M748" s="7">
        <f t="shared" si="55"/>
        <v>8036</v>
      </c>
      <c r="N748" s="7">
        <f t="shared" si="56"/>
        <v>8604</v>
      </c>
      <c r="O748" s="2">
        <v>30</v>
      </c>
      <c r="P748" s="8">
        <f t="shared" si="57"/>
        <v>8634</v>
      </c>
      <c r="Q748" s="8">
        <f t="shared" si="58"/>
        <v>6595</v>
      </c>
      <c r="R748" s="2" t="s">
        <v>28</v>
      </c>
      <c r="S748" s="9">
        <f t="shared" si="59"/>
        <v>431.70000000000005</v>
      </c>
    </row>
    <row r="749" spans="1:19" x14ac:dyDescent="0.3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str">
        <f>IFERROR(VLOOKUP('Customer Info'!A741,'Customer Info'!A741:C1240,2,FALSE),"Not Found")</f>
        <v>Not Found</v>
      </c>
      <c r="H749" s="6" t="str">
        <f>IFERROR(VLOOKUP('Customer Info'!A741,'Customer Info'!A741:C1240,3,FALSE),"Not Found")</f>
        <v>Not Found</v>
      </c>
      <c r="I749" s="6" t="str">
        <f>IFERROR(VLOOKUP('Customer Info'!A741,'Customer Info'!A741:E1240,5,FALSE),"Not Found")</f>
        <v>Not Found</v>
      </c>
      <c r="J749" s="2">
        <v>199</v>
      </c>
      <c r="K749" s="2">
        <v>176</v>
      </c>
      <c r="L749" s="2">
        <v>7</v>
      </c>
      <c r="M749" s="7">
        <f t="shared" si="55"/>
        <v>1232</v>
      </c>
      <c r="N749" s="7">
        <f t="shared" si="56"/>
        <v>1393</v>
      </c>
      <c r="O749" s="2">
        <v>30</v>
      </c>
      <c r="P749" s="8">
        <f t="shared" si="57"/>
        <v>1423</v>
      </c>
      <c r="Q749" s="8">
        <f t="shared" si="58"/>
        <v>1217</v>
      </c>
      <c r="R749" s="2" t="s">
        <v>26</v>
      </c>
      <c r="S749" s="9">
        <f t="shared" si="59"/>
        <v>28.46</v>
      </c>
    </row>
    <row r="750" spans="1:19" x14ac:dyDescent="0.3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str">
        <f>IFERROR(VLOOKUP('Customer Info'!A742,'Customer Info'!A742:C1241,2,FALSE),"Not Found")</f>
        <v>Not Found</v>
      </c>
      <c r="H750" s="6" t="str">
        <f>IFERROR(VLOOKUP('Customer Info'!A742,'Customer Info'!A742:C1241,3,FALSE),"Not Found")</f>
        <v>Not Found</v>
      </c>
      <c r="I750" s="6" t="str">
        <f>IFERROR(VLOOKUP('Customer Info'!A742,'Customer Info'!A742:E1241,5,FALSE),"Not Found")</f>
        <v>Not Found</v>
      </c>
      <c r="J750" s="2">
        <v>3354</v>
      </c>
      <c r="K750" s="2">
        <v>3102</v>
      </c>
      <c r="L750" s="2">
        <v>9</v>
      </c>
      <c r="M750" s="7">
        <f t="shared" si="55"/>
        <v>27918</v>
      </c>
      <c r="N750" s="7">
        <f t="shared" si="56"/>
        <v>30186</v>
      </c>
      <c r="O750" s="2">
        <v>91</v>
      </c>
      <c r="P750" s="8">
        <f t="shared" si="57"/>
        <v>30277</v>
      </c>
      <c r="Q750" s="8">
        <f t="shared" si="58"/>
        <v>27084</v>
      </c>
      <c r="R750" s="2" t="s">
        <v>28</v>
      </c>
      <c r="S750" s="9">
        <f t="shared" si="59"/>
        <v>2119.3900000000003</v>
      </c>
    </row>
    <row r="751" spans="1:19" x14ac:dyDescent="0.3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str">
        <f>IFERROR(VLOOKUP('Customer Info'!A743,'Customer Info'!A743:C1242,2,FALSE),"Not Found")</f>
        <v>Not Found</v>
      </c>
      <c r="H751" s="6" t="str">
        <f>IFERROR(VLOOKUP('Customer Info'!A743,'Customer Info'!A743:C1242,3,FALSE),"Not Found")</f>
        <v>Not Found</v>
      </c>
      <c r="I751" s="6" t="str">
        <f>IFERROR(VLOOKUP('Customer Info'!A743,'Customer Info'!A743:E1242,5,FALSE),"Not Found")</f>
        <v>Not Found</v>
      </c>
      <c r="J751" s="2">
        <v>914</v>
      </c>
      <c r="K751" s="2">
        <v>830</v>
      </c>
      <c r="L751" s="2">
        <v>2</v>
      </c>
      <c r="M751" s="7">
        <f t="shared" si="55"/>
        <v>1660</v>
      </c>
      <c r="N751" s="7">
        <f t="shared" si="56"/>
        <v>1828</v>
      </c>
      <c r="O751" s="2">
        <v>83</v>
      </c>
      <c r="P751" s="8">
        <f t="shared" si="57"/>
        <v>1911</v>
      </c>
      <c r="Q751" s="8">
        <f t="shared" si="58"/>
        <v>998</v>
      </c>
      <c r="R751" s="2" t="s">
        <v>28</v>
      </c>
      <c r="S751" s="9">
        <f t="shared" si="59"/>
        <v>38.22</v>
      </c>
    </row>
    <row r="752" spans="1:19" x14ac:dyDescent="0.3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str">
        <f>IFERROR(VLOOKUP('Customer Info'!A744,'Customer Info'!A744:C1243,2,FALSE),"Not Found")</f>
        <v>Not Found</v>
      </c>
      <c r="H752" s="6" t="str">
        <f>IFERROR(VLOOKUP('Customer Info'!A744,'Customer Info'!A744:C1243,3,FALSE),"Not Found")</f>
        <v>Not Found</v>
      </c>
      <c r="I752" s="6" t="str">
        <f>IFERROR(VLOOKUP('Customer Info'!A744,'Customer Info'!A744:E1243,5,FALSE),"Not Found")</f>
        <v>Not Found</v>
      </c>
      <c r="J752" s="2">
        <v>474</v>
      </c>
      <c r="K752" s="2">
        <v>443</v>
      </c>
      <c r="L752" s="2">
        <v>6</v>
      </c>
      <c r="M752" s="7">
        <f t="shared" si="55"/>
        <v>2658</v>
      </c>
      <c r="N752" s="7">
        <f t="shared" si="56"/>
        <v>2844</v>
      </c>
      <c r="O752" s="2">
        <v>91</v>
      </c>
      <c r="P752" s="8">
        <f t="shared" si="57"/>
        <v>2935</v>
      </c>
      <c r="Q752" s="8">
        <f t="shared" si="58"/>
        <v>2401</v>
      </c>
      <c r="R752" s="2" t="s">
        <v>28</v>
      </c>
      <c r="S752" s="9">
        <f t="shared" si="59"/>
        <v>58.7</v>
      </c>
    </row>
    <row r="753" spans="1:19" x14ac:dyDescent="0.3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str">
        <f>IFERROR(VLOOKUP('Customer Info'!A745,'Customer Info'!A745:C1244,2,FALSE),"Not Found")</f>
        <v>Not Found</v>
      </c>
      <c r="H753" s="6" t="str">
        <f>IFERROR(VLOOKUP('Customer Info'!A745,'Customer Info'!A745:C1244,3,FALSE),"Not Found")</f>
        <v>Not Found</v>
      </c>
      <c r="I753" s="6" t="str">
        <f>IFERROR(VLOOKUP('Customer Info'!A745,'Customer Info'!A745:E1244,5,FALSE),"Not Found")</f>
        <v>Not Found</v>
      </c>
      <c r="J753" s="2">
        <v>6585</v>
      </c>
      <c r="K753" s="2">
        <v>6105</v>
      </c>
      <c r="L753" s="2">
        <v>9</v>
      </c>
      <c r="M753" s="7">
        <f t="shared" si="55"/>
        <v>54945</v>
      </c>
      <c r="N753" s="7">
        <f t="shared" si="56"/>
        <v>59265</v>
      </c>
      <c r="O753" s="2">
        <v>52</v>
      </c>
      <c r="P753" s="8">
        <f t="shared" si="57"/>
        <v>59317</v>
      </c>
      <c r="Q753" s="8">
        <f t="shared" si="58"/>
        <v>53160</v>
      </c>
      <c r="R753" s="2" t="s">
        <v>28</v>
      </c>
      <c r="S753" s="9">
        <f t="shared" si="59"/>
        <v>5338.53</v>
      </c>
    </row>
    <row r="754" spans="1:19" x14ac:dyDescent="0.3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str">
        <f>IFERROR(VLOOKUP('Customer Info'!A746,'Customer Info'!A746:C1245,2,FALSE),"Not Found")</f>
        <v>Not Found</v>
      </c>
      <c r="H754" s="6" t="str">
        <f>IFERROR(VLOOKUP('Customer Info'!A746,'Customer Info'!A746:C1245,3,FALSE),"Not Found")</f>
        <v>Not Found</v>
      </c>
      <c r="I754" s="6" t="str">
        <f>IFERROR(VLOOKUP('Customer Info'!A746,'Customer Info'!A746:E1245,5,FALSE),"Not Found")</f>
        <v>Not Found</v>
      </c>
      <c r="J754" s="2">
        <v>139</v>
      </c>
      <c r="K754" s="2">
        <v>133</v>
      </c>
      <c r="L754" s="2">
        <v>3</v>
      </c>
      <c r="M754" s="7">
        <f t="shared" si="55"/>
        <v>399</v>
      </c>
      <c r="N754" s="7">
        <f t="shared" si="56"/>
        <v>417</v>
      </c>
      <c r="O754" s="2">
        <v>30</v>
      </c>
      <c r="P754" s="8">
        <f t="shared" si="57"/>
        <v>447</v>
      </c>
      <c r="Q754" s="8">
        <f t="shared" si="58"/>
        <v>284</v>
      </c>
      <c r="R754" s="2" t="s">
        <v>28</v>
      </c>
      <c r="S754" s="9">
        <f t="shared" si="59"/>
        <v>8.94</v>
      </c>
    </row>
    <row r="755" spans="1:19" x14ac:dyDescent="0.3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str">
        <f>IFERROR(VLOOKUP('Customer Info'!A747,'Customer Info'!A747:C1246,2,FALSE),"Not Found")</f>
        <v>Not Found</v>
      </c>
      <c r="H755" s="6" t="str">
        <f>IFERROR(VLOOKUP('Customer Info'!A747,'Customer Info'!A747:C1246,3,FALSE),"Not Found")</f>
        <v>Not Found</v>
      </c>
      <c r="I755" s="6" t="str">
        <f>IFERROR(VLOOKUP('Customer Info'!A747,'Customer Info'!A747:E1246,5,FALSE),"Not Found")</f>
        <v>Not Found</v>
      </c>
      <c r="J755" s="2">
        <v>2808</v>
      </c>
      <c r="K755" s="2">
        <v>2674</v>
      </c>
      <c r="L755" s="2">
        <v>4</v>
      </c>
      <c r="M755" s="7">
        <f t="shared" si="55"/>
        <v>10696</v>
      </c>
      <c r="N755" s="7">
        <f t="shared" si="56"/>
        <v>11232</v>
      </c>
      <c r="O755" s="2">
        <v>47</v>
      </c>
      <c r="P755" s="8">
        <f t="shared" si="57"/>
        <v>11279</v>
      </c>
      <c r="Q755" s="8">
        <f t="shared" si="58"/>
        <v>8558</v>
      </c>
      <c r="R755" s="2" t="s">
        <v>50</v>
      </c>
      <c r="S755" s="9">
        <f t="shared" si="59"/>
        <v>563.95000000000005</v>
      </c>
    </row>
    <row r="756" spans="1:19" x14ac:dyDescent="0.3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str">
        <f>IFERROR(VLOOKUP('Customer Info'!A748,'Customer Info'!A748:C1247,2,FALSE),"Not Found")</f>
        <v>Not Found</v>
      </c>
      <c r="H756" s="6" t="str">
        <f>IFERROR(VLOOKUP('Customer Info'!A748,'Customer Info'!A748:C1247,3,FALSE),"Not Found")</f>
        <v>Not Found</v>
      </c>
      <c r="I756" s="6" t="str">
        <f>IFERROR(VLOOKUP('Customer Info'!A748,'Customer Info'!A748:E1247,5,FALSE),"Not Found")</f>
        <v>Not Found</v>
      </c>
      <c r="J756" s="2">
        <v>2907</v>
      </c>
      <c r="K756" s="2">
        <v>2667</v>
      </c>
      <c r="L756" s="2">
        <v>3</v>
      </c>
      <c r="M756" s="7">
        <f t="shared" si="55"/>
        <v>8001</v>
      </c>
      <c r="N756" s="7">
        <f t="shared" si="56"/>
        <v>8721</v>
      </c>
      <c r="O756" s="2">
        <v>59</v>
      </c>
      <c r="P756" s="8">
        <f t="shared" si="57"/>
        <v>8780</v>
      </c>
      <c r="Q756" s="8">
        <f t="shared" si="58"/>
        <v>6054</v>
      </c>
      <c r="R756" s="2" t="s">
        <v>50</v>
      </c>
      <c r="S756" s="9">
        <f t="shared" si="59"/>
        <v>439</v>
      </c>
    </row>
    <row r="757" spans="1:19" x14ac:dyDescent="0.3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str">
        <f>IFERROR(VLOOKUP('Customer Info'!A749,'Customer Info'!A749:C1248,2,FALSE),"Not Found")</f>
        <v>Not Found</v>
      </c>
      <c r="H757" s="6" t="str">
        <f>IFERROR(VLOOKUP('Customer Info'!A749,'Customer Info'!A749:C1248,3,FALSE),"Not Found")</f>
        <v>Not Found</v>
      </c>
      <c r="I757" s="6" t="str">
        <f>IFERROR(VLOOKUP('Customer Info'!A749,'Customer Info'!A749:E1248,5,FALSE),"Not Found")</f>
        <v>Not Found</v>
      </c>
      <c r="J757" s="2">
        <v>851</v>
      </c>
      <c r="K757" s="2">
        <v>773</v>
      </c>
      <c r="L757" s="2">
        <v>6</v>
      </c>
      <c r="M757" s="7">
        <f t="shared" si="55"/>
        <v>4638</v>
      </c>
      <c r="N757" s="7">
        <f t="shared" si="56"/>
        <v>5106</v>
      </c>
      <c r="O757" s="2">
        <v>62</v>
      </c>
      <c r="P757" s="8">
        <f t="shared" si="57"/>
        <v>5168</v>
      </c>
      <c r="Q757" s="8">
        <f t="shared" si="58"/>
        <v>4333</v>
      </c>
      <c r="R757" s="2" t="s">
        <v>28</v>
      </c>
      <c r="S757" s="9">
        <f t="shared" si="59"/>
        <v>258.40000000000003</v>
      </c>
    </row>
    <row r="758" spans="1:19" x14ac:dyDescent="0.3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str">
        <f>IFERROR(VLOOKUP('Customer Info'!A750,'Customer Info'!A750:C1249,2,FALSE),"Not Found")</f>
        <v>Not Found</v>
      </c>
      <c r="H758" s="6" t="str">
        <f>IFERROR(VLOOKUP('Customer Info'!A750,'Customer Info'!A750:C1249,3,FALSE),"Not Found")</f>
        <v>Not Found</v>
      </c>
      <c r="I758" s="6" t="str">
        <f>IFERROR(VLOOKUP('Customer Info'!A750,'Customer Info'!A750:E1249,5,FALSE),"Not Found")</f>
        <v>Not Found</v>
      </c>
      <c r="J758" s="2">
        <v>2222</v>
      </c>
      <c r="K758" s="2">
        <v>2081</v>
      </c>
      <c r="L758" s="2">
        <v>4</v>
      </c>
      <c r="M758" s="7">
        <f t="shared" si="55"/>
        <v>8324</v>
      </c>
      <c r="N758" s="7">
        <f t="shared" si="56"/>
        <v>8888</v>
      </c>
      <c r="O758" s="2">
        <v>88</v>
      </c>
      <c r="P758" s="8">
        <f t="shared" si="57"/>
        <v>8976</v>
      </c>
      <c r="Q758" s="8">
        <f t="shared" si="58"/>
        <v>6807</v>
      </c>
      <c r="R758" s="2" t="s">
        <v>26</v>
      </c>
      <c r="S758" s="9">
        <f t="shared" si="59"/>
        <v>448.8</v>
      </c>
    </row>
    <row r="759" spans="1:19" x14ac:dyDescent="0.3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str">
        <f>IFERROR(VLOOKUP('Customer Info'!A751,'Customer Info'!A751:C1250,2,FALSE),"Not Found")</f>
        <v>Not Found</v>
      </c>
      <c r="H759" s="6" t="str">
        <f>IFERROR(VLOOKUP('Customer Info'!A751,'Customer Info'!A751:C1250,3,FALSE),"Not Found")</f>
        <v>Not Found</v>
      </c>
      <c r="I759" s="6" t="str">
        <f>IFERROR(VLOOKUP('Customer Info'!A751,'Customer Info'!A751:E1250,5,FALSE),"Not Found")</f>
        <v>Not Found</v>
      </c>
      <c r="J759" s="2">
        <v>6274</v>
      </c>
      <c r="K759" s="2">
        <v>6093</v>
      </c>
      <c r="L759" s="2">
        <v>4</v>
      </c>
      <c r="M759" s="7">
        <f t="shared" si="55"/>
        <v>24372</v>
      </c>
      <c r="N759" s="7">
        <f t="shared" si="56"/>
        <v>25096</v>
      </c>
      <c r="O759" s="2">
        <v>77</v>
      </c>
      <c r="P759" s="8">
        <f t="shared" si="57"/>
        <v>25173</v>
      </c>
      <c r="Q759" s="8">
        <f t="shared" si="58"/>
        <v>19003</v>
      </c>
      <c r="R759" s="2" t="s">
        <v>26</v>
      </c>
      <c r="S759" s="9">
        <f t="shared" si="59"/>
        <v>1762.1100000000001</v>
      </c>
    </row>
    <row r="760" spans="1:19" x14ac:dyDescent="0.3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str">
        <f>IFERROR(VLOOKUP('Customer Info'!A752,'Customer Info'!A752:C1251,2,FALSE),"Not Found")</f>
        <v>Not Found</v>
      </c>
      <c r="H760" s="6" t="str">
        <f>IFERROR(VLOOKUP('Customer Info'!A752,'Customer Info'!A752:C1251,3,FALSE),"Not Found")</f>
        <v>Not Found</v>
      </c>
      <c r="I760" s="6" t="str">
        <f>IFERROR(VLOOKUP('Customer Info'!A752,'Customer Info'!A752:E1251,5,FALSE),"Not Found")</f>
        <v>Not Found</v>
      </c>
      <c r="J760" s="2">
        <v>8752</v>
      </c>
      <c r="K760" s="2">
        <v>7877</v>
      </c>
      <c r="L760" s="2">
        <v>4</v>
      </c>
      <c r="M760" s="7">
        <f t="shared" si="55"/>
        <v>31508</v>
      </c>
      <c r="N760" s="7">
        <f t="shared" si="56"/>
        <v>35008</v>
      </c>
      <c r="O760" s="2">
        <v>20</v>
      </c>
      <c r="P760" s="8">
        <f t="shared" si="57"/>
        <v>35028</v>
      </c>
      <c r="Q760" s="8">
        <f t="shared" si="58"/>
        <v>27131</v>
      </c>
      <c r="R760" s="2" t="s">
        <v>50</v>
      </c>
      <c r="S760" s="9">
        <f t="shared" si="59"/>
        <v>2451.96</v>
      </c>
    </row>
    <row r="761" spans="1:19" x14ac:dyDescent="0.3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str">
        <f>IFERROR(VLOOKUP('Customer Info'!A753,'Customer Info'!A753:C1252,2,FALSE),"Not Found")</f>
        <v>Not Found</v>
      </c>
      <c r="H761" s="6" t="str">
        <f>IFERROR(VLOOKUP('Customer Info'!A753,'Customer Info'!A753:C1252,3,FALSE),"Not Found")</f>
        <v>Not Found</v>
      </c>
      <c r="I761" s="6" t="str">
        <f>IFERROR(VLOOKUP('Customer Info'!A753,'Customer Info'!A753:E1252,5,FALSE),"Not Found")</f>
        <v>Not Found</v>
      </c>
      <c r="J761" s="2">
        <v>96</v>
      </c>
      <c r="K761" s="2">
        <v>87</v>
      </c>
      <c r="L761" s="2">
        <v>4</v>
      </c>
      <c r="M761" s="7">
        <f t="shared" si="55"/>
        <v>348</v>
      </c>
      <c r="N761" s="7">
        <f t="shared" si="56"/>
        <v>384</v>
      </c>
      <c r="O761" s="2">
        <v>10</v>
      </c>
      <c r="P761" s="8">
        <f t="shared" si="57"/>
        <v>394</v>
      </c>
      <c r="Q761" s="8">
        <f t="shared" si="58"/>
        <v>297</v>
      </c>
      <c r="R761" s="2" t="s">
        <v>28</v>
      </c>
      <c r="S761" s="9">
        <f t="shared" si="59"/>
        <v>7.88</v>
      </c>
    </row>
    <row r="762" spans="1:19" x14ac:dyDescent="0.3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str">
        <f>IFERROR(VLOOKUP('Customer Info'!A754,'Customer Info'!A754:C1253,2,FALSE),"Not Found")</f>
        <v>Not Found</v>
      </c>
      <c r="H762" s="6" t="str">
        <f>IFERROR(VLOOKUP('Customer Info'!A754,'Customer Info'!A754:C1253,3,FALSE),"Not Found")</f>
        <v>Not Found</v>
      </c>
      <c r="I762" s="6" t="str">
        <f>IFERROR(VLOOKUP('Customer Info'!A754,'Customer Info'!A754:E1253,5,FALSE),"Not Found")</f>
        <v>Not Found</v>
      </c>
      <c r="J762" s="2">
        <v>5894</v>
      </c>
      <c r="K762" s="2">
        <v>5621</v>
      </c>
      <c r="L762" s="2">
        <v>5</v>
      </c>
      <c r="M762" s="7">
        <f t="shared" si="55"/>
        <v>28105</v>
      </c>
      <c r="N762" s="7">
        <f t="shared" si="56"/>
        <v>29470</v>
      </c>
      <c r="O762" s="2">
        <v>84</v>
      </c>
      <c r="P762" s="8">
        <f t="shared" si="57"/>
        <v>29554</v>
      </c>
      <c r="Q762" s="8">
        <f t="shared" si="58"/>
        <v>23849</v>
      </c>
      <c r="R762" s="2" t="s">
        <v>50</v>
      </c>
      <c r="S762" s="9">
        <f t="shared" si="59"/>
        <v>2068.7800000000002</v>
      </c>
    </row>
    <row r="763" spans="1:19" x14ac:dyDescent="0.3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str">
        <f>IFERROR(VLOOKUP('Customer Info'!A755,'Customer Info'!A755:C1254,2,FALSE),"Not Found")</f>
        <v>Not Found</v>
      </c>
      <c r="H763" s="6" t="str">
        <f>IFERROR(VLOOKUP('Customer Info'!A755,'Customer Info'!A755:C1254,3,FALSE),"Not Found")</f>
        <v>Not Found</v>
      </c>
      <c r="I763" s="6" t="str">
        <f>IFERROR(VLOOKUP('Customer Info'!A755,'Customer Info'!A755:E1254,5,FALSE),"Not Found")</f>
        <v>Not Found</v>
      </c>
      <c r="J763" s="2">
        <v>1717</v>
      </c>
      <c r="K763" s="2">
        <v>1652</v>
      </c>
      <c r="L763" s="2">
        <v>5</v>
      </c>
      <c r="M763" s="7">
        <f t="shared" si="55"/>
        <v>8260</v>
      </c>
      <c r="N763" s="7">
        <f t="shared" si="56"/>
        <v>8585</v>
      </c>
      <c r="O763" s="2">
        <v>31</v>
      </c>
      <c r="P763" s="8">
        <f t="shared" si="57"/>
        <v>8616</v>
      </c>
      <c r="Q763" s="8">
        <f t="shared" si="58"/>
        <v>6933</v>
      </c>
      <c r="R763" s="2" t="s">
        <v>50</v>
      </c>
      <c r="S763" s="9">
        <f t="shared" si="59"/>
        <v>430.8</v>
      </c>
    </row>
    <row r="764" spans="1:19" x14ac:dyDescent="0.3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str">
        <f>IFERROR(VLOOKUP('Customer Info'!A756,'Customer Info'!A756:C1255,2,FALSE),"Not Found")</f>
        <v>Not Found</v>
      </c>
      <c r="H764" s="6" t="str">
        <f>IFERROR(VLOOKUP('Customer Info'!A756,'Customer Info'!A756:C1255,3,FALSE),"Not Found")</f>
        <v>Not Found</v>
      </c>
      <c r="I764" s="6" t="str">
        <f>IFERROR(VLOOKUP('Customer Info'!A756,'Customer Info'!A756:E1255,5,FALSE),"Not Found")</f>
        <v>Not Found</v>
      </c>
      <c r="J764" s="2">
        <v>1413</v>
      </c>
      <c r="K764" s="2">
        <v>1334</v>
      </c>
      <c r="L764" s="2">
        <v>3</v>
      </c>
      <c r="M764" s="7">
        <f t="shared" si="55"/>
        <v>4002</v>
      </c>
      <c r="N764" s="7">
        <f t="shared" si="56"/>
        <v>4239</v>
      </c>
      <c r="O764" s="2">
        <v>87</v>
      </c>
      <c r="P764" s="8">
        <f t="shared" si="57"/>
        <v>4326</v>
      </c>
      <c r="Q764" s="8">
        <f t="shared" si="58"/>
        <v>2905</v>
      </c>
      <c r="R764" s="2" t="s">
        <v>28</v>
      </c>
      <c r="S764" s="9">
        <f t="shared" si="59"/>
        <v>86.52</v>
      </c>
    </row>
    <row r="765" spans="1:19" x14ac:dyDescent="0.3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str">
        <f>IFERROR(VLOOKUP('Customer Info'!A757,'Customer Info'!A757:C1256,2,FALSE),"Not Found")</f>
        <v>Not Found</v>
      </c>
      <c r="H765" s="6" t="str">
        <f>IFERROR(VLOOKUP('Customer Info'!A757,'Customer Info'!A757:C1256,3,FALSE),"Not Found")</f>
        <v>Not Found</v>
      </c>
      <c r="I765" s="6" t="str">
        <f>IFERROR(VLOOKUP('Customer Info'!A757,'Customer Info'!A757:E1256,5,FALSE),"Not Found")</f>
        <v>Not Found</v>
      </c>
      <c r="J765" s="2">
        <v>3053</v>
      </c>
      <c r="K765" s="2">
        <v>2937</v>
      </c>
      <c r="L765" s="2">
        <v>1</v>
      </c>
      <c r="M765" s="7">
        <f t="shared" si="55"/>
        <v>2937</v>
      </c>
      <c r="N765" s="7">
        <f t="shared" si="56"/>
        <v>3053</v>
      </c>
      <c r="O765" s="2">
        <v>27</v>
      </c>
      <c r="P765" s="8">
        <f t="shared" si="57"/>
        <v>3080</v>
      </c>
      <c r="Q765" s="8">
        <f t="shared" si="58"/>
        <v>116</v>
      </c>
      <c r="R765" s="2" t="s">
        <v>28</v>
      </c>
      <c r="S765" s="9">
        <f t="shared" si="59"/>
        <v>61.6</v>
      </c>
    </row>
    <row r="766" spans="1:19" x14ac:dyDescent="0.3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str">
        <f>IFERROR(VLOOKUP('Customer Info'!A758,'Customer Info'!A758:C1257,2,FALSE),"Not Found")</f>
        <v>Not Found</v>
      </c>
      <c r="H766" s="6" t="str">
        <f>IFERROR(VLOOKUP('Customer Info'!A758,'Customer Info'!A758:C1257,3,FALSE),"Not Found")</f>
        <v>Not Found</v>
      </c>
      <c r="I766" s="6" t="str">
        <f>IFERROR(VLOOKUP('Customer Info'!A758,'Customer Info'!A758:E1257,5,FALSE),"Not Found")</f>
        <v>Not Found</v>
      </c>
      <c r="J766" s="2">
        <v>7922</v>
      </c>
      <c r="K766" s="2">
        <v>7328</v>
      </c>
      <c r="L766" s="2">
        <v>2</v>
      </c>
      <c r="M766" s="7">
        <f t="shared" si="55"/>
        <v>14656</v>
      </c>
      <c r="N766" s="7">
        <f t="shared" si="56"/>
        <v>15844</v>
      </c>
      <c r="O766" s="2">
        <v>28</v>
      </c>
      <c r="P766" s="8">
        <f t="shared" si="57"/>
        <v>15872</v>
      </c>
      <c r="Q766" s="8">
        <f t="shared" si="58"/>
        <v>8516</v>
      </c>
      <c r="R766" s="2" t="s">
        <v>28</v>
      </c>
      <c r="S766" s="9">
        <f t="shared" si="59"/>
        <v>793.6</v>
      </c>
    </row>
    <row r="767" spans="1:19" x14ac:dyDescent="0.3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str">
        <f>IFERROR(VLOOKUP('Customer Info'!A759,'Customer Info'!A759:C1258,2,FALSE),"Not Found")</f>
        <v>Not Found</v>
      </c>
      <c r="H767" s="6" t="str">
        <f>IFERROR(VLOOKUP('Customer Info'!A759,'Customer Info'!A759:C1258,3,FALSE),"Not Found")</f>
        <v>Not Found</v>
      </c>
      <c r="I767" s="6" t="str">
        <f>IFERROR(VLOOKUP('Customer Info'!A759,'Customer Info'!A759:E1258,5,FALSE),"Not Found")</f>
        <v>Not Found</v>
      </c>
      <c r="J767" s="2">
        <v>27691</v>
      </c>
      <c r="K767" s="2">
        <v>25616</v>
      </c>
      <c r="L767" s="2">
        <v>8</v>
      </c>
      <c r="M767" s="7">
        <f t="shared" si="55"/>
        <v>204928</v>
      </c>
      <c r="N767" s="7">
        <f t="shared" si="56"/>
        <v>221528</v>
      </c>
      <c r="O767" s="2">
        <v>39</v>
      </c>
      <c r="P767" s="8">
        <f t="shared" si="57"/>
        <v>221567</v>
      </c>
      <c r="Q767" s="8">
        <f t="shared" si="58"/>
        <v>195912</v>
      </c>
      <c r="R767" s="2" t="s">
        <v>28</v>
      </c>
      <c r="S767" s="9">
        <f t="shared" si="59"/>
        <v>26588.039999999997</v>
      </c>
    </row>
    <row r="768" spans="1:19" x14ac:dyDescent="0.3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str">
        <f>IFERROR(VLOOKUP('Customer Info'!A760,'Customer Info'!A760:C1259,2,FALSE),"Not Found")</f>
        <v>Not Found</v>
      </c>
      <c r="H768" s="6" t="str">
        <f>IFERROR(VLOOKUP('Customer Info'!A760,'Customer Info'!A760:C1259,3,FALSE),"Not Found")</f>
        <v>Not Found</v>
      </c>
      <c r="I768" s="6" t="str">
        <f>IFERROR(VLOOKUP('Customer Info'!A760,'Customer Info'!A760:E1259,5,FALSE),"Not Found")</f>
        <v>Not Found</v>
      </c>
      <c r="J768" s="2">
        <v>6717</v>
      </c>
      <c r="K768" s="2">
        <v>6288</v>
      </c>
      <c r="L768" s="2">
        <v>6</v>
      </c>
      <c r="M768" s="7">
        <f t="shared" si="55"/>
        <v>37728</v>
      </c>
      <c r="N768" s="7">
        <f t="shared" si="56"/>
        <v>40302</v>
      </c>
      <c r="O768" s="2">
        <v>54</v>
      </c>
      <c r="P768" s="8">
        <f t="shared" si="57"/>
        <v>40356</v>
      </c>
      <c r="Q768" s="8">
        <f t="shared" si="58"/>
        <v>34014</v>
      </c>
      <c r="R768" s="2" t="s">
        <v>28</v>
      </c>
      <c r="S768" s="9">
        <f t="shared" si="59"/>
        <v>2824.92</v>
      </c>
    </row>
    <row r="769" spans="1:19" x14ac:dyDescent="0.3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str">
        <f>IFERROR(VLOOKUP('Customer Info'!A761,'Customer Info'!A761:C1260,2,FALSE),"Not Found")</f>
        <v>Not Found</v>
      </c>
      <c r="H769" s="6" t="str">
        <f>IFERROR(VLOOKUP('Customer Info'!A761,'Customer Info'!A761:C1260,3,FALSE),"Not Found")</f>
        <v>Not Found</v>
      </c>
      <c r="I769" s="6" t="str">
        <f>IFERROR(VLOOKUP('Customer Info'!A761,'Customer Info'!A761:E1260,5,FALSE),"Not Found")</f>
        <v>Not Found</v>
      </c>
      <c r="J769" s="2">
        <v>3354</v>
      </c>
      <c r="K769" s="2">
        <v>3102</v>
      </c>
      <c r="L769" s="2">
        <v>4</v>
      </c>
      <c r="M769" s="7">
        <f t="shared" si="55"/>
        <v>12408</v>
      </c>
      <c r="N769" s="7">
        <f t="shared" si="56"/>
        <v>13416</v>
      </c>
      <c r="O769" s="2">
        <v>93</v>
      </c>
      <c r="P769" s="8">
        <f t="shared" si="57"/>
        <v>13509</v>
      </c>
      <c r="Q769" s="8">
        <f t="shared" si="58"/>
        <v>10314</v>
      </c>
      <c r="R769" s="2" t="s">
        <v>28</v>
      </c>
      <c r="S769" s="9">
        <f t="shared" si="59"/>
        <v>675.45</v>
      </c>
    </row>
    <row r="770" spans="1:19" x14ac:dyDescent="0.3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str">
        <f>IFERROR(VLOOKUP('Customer Info'!A762,'Customer Info'!A762:C1261,2,FALSE),"Not Found")</f>
        <v>Not Found</v>
      </c>
      <c r="H770" s="6" t="str">
        <f>IFERROR(VLOOKUP('Customer Info'!A762,'Customer Info'!A762:C1261,3,FALSE),"Not Found")</f>
        <v>Not Found</v>
      </c>
      <c r="I770" s="6" t="str">
        <f>IFERROR(VLOOKUP('Customer Info'!A762,'Customer Info'!A762:E1261,5,FALSE),"Not Found")</f>
        <v>Not Found</v>
      </c>
      <c r="J770" s="2">
        <v>1453</v>
      </c>
      <c r="K770" s="2">
        <v>1411</v>
      </c>
      <c r="L770" s="2">
        <v>2</v>
      </c>
      <c r="M770" s="7">
        <f t="shared" si="55"/>
        <v>2822</v>
      </c>
      <c r="N770" s="7">
        <f t="shared" si="56"/>
        <v>2906</v>
      </c>
      <c r="O770" s="2">
        <v>76</v>
      </c>
      <c r="P770" s="8">
        <f t="shared" si="57"/>
        <v>2982</v>
      </c>
      <c r="Q770" s="8">
        <f t="shared" si="58"/>
        <v>1495</v>
      </c>
      <c r="R770" s="2" t="s">
        <v>28</v>
      </c>
      <c r="S770" s="9">
        <f t="shared" si="59"/>
        <v>59.64</v>
      </c>
    </row>
    <row r="771" spans="1:19" x14ac:dyDescent="0.3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str">
        <f>IFERROR(VLOOKUP('Customer Info'!A763,'Customer Info'!A763:C1262,2,FALSE),"Not Found")</f>
        <v>Not Found</v>
      </c>
      <c r="H771" s="6" t="str">
        <f>IFERROR(VLOOKUP('Customer Info'!A763,'Customer Info'!A763:C1262,3,FALSE),"Not Found")</f>
        <v>Not Found</v>
      </c>
      <c r="I771" s="6" t="str">
        <f>IFERROR(VLOOKUP('Customer Info'!A763,'Customer Info'!A763:E1262,5,FALSE),"Not Found")</f>
        <v>Not Found</v>
      </c>
      <c r="J771" s="2">
        <v>681</v>
      </c>
      <c r="K771" s="2">
        <v>642</v>
      </c>
      <c r="L771" s="2">
        <v>2</v>
      </c>
      <c r="M771" s="7">
        <f t="shared" si="55"/>
        <v>1284</v>
      </c>
      <c r="N771" s="7">
        <f t="shared" si="56"/>
        <v>1362</v>
      </c>
      <c r="O771" s="2">
        <v>58</v>
      </c>
      <c r="P771" s="8">
        <f t="shared" si="57"/>
        <v>1420</v>
      </c>
      <c r="Q771" s="8">
        <f t="shared" si="58"/>
        <v>720</v>
      </c>
      <c r="R771" s="2" t="s">
        <v>28</v>
      </c>
      <c r="S771" s="9">
        <f t="shared" si="59"/>
        <v>28.400000000000002</v>
      </c>
    </row>
    <row r="772" spans="1:19" x14ac:dyDescent="0.3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str">
        <f>IFERROR(VLOOKUP('Customer Info'!A764,'Customer Info'!A764:C1263,2,FALSE),"Not Found")</f>
        <v>Not Found</v>
      </c>
      <c r="H772" s="6" t="str">
        <f>IFERROR(VLOOKUP('Customer Info'!A764,'Customer Info'!A764:C1263,3,FALSE),"Not Found")</f>
        <v>Not Found</v>
      </c>
      <c r="I772" s="6" t="str">
        <f>IFERROR(VLOOKUP('Customer Info'!A764,'Customer Info'!A764:E1263,5,FALSE),"Not Found")</f>
        <v>Not Found</v>
      </c>
      <c r="J772" s="2">
        <v>68</v>
      </c>
      <c r="K772" s="2">
        <v>63</v>
      </c>
      <c r="L772" s="2">
        <v>4</v>
      </c>
      <c r="M772" s="7">
        <f t="shared" si="55"/>
        <v>252</v>
      </c>
      <c r="N772" s="7">
        <f t="shared" si="56"/>
        <v>272</v>
      </c>
      <c r="O772" s="2">
        <v>10</v>
      </c>
      <c r="P772" s="8">
        <f t="shared" si="57"/>
        <v>282</v>
      </c>
      <c r="Q772" s="8">
        <f t="shared" si="58"/>
        <v>209</v>
      </c>
      <c r="R772" s="2" t="s">
        <v>28</v>
      </c>
      <c r="S772" s="9">
        <f t="shared" si="59"/>
        <v>5.64</v>
      </c>
    </row>
    <row r="773" spans="1:19" x14ac:dyDescent="0.3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str">
        <f>IFERROR(VLOOKUP('Customer Info'!A765,'Customer Info'!A765:C1264,2,FALSE),"Not Found")</f>
        <v>Not Found</v>
      </c>
      <c r="H773" s="6" t="str">
        <f>IFERROR(VLOOKUP('Customer Info'!A765,'Customer Info'!A765:C1264,3,FALSE),"Not Found")</f>
        <v>Not Found</v>
      </c>
      <c r="I773" s="6" t="str">
        <f>IFERROR(VLOOKUP('Customer Info'!A765,'Customer Info'!A765:E1264,5,FALSE),"Not Found")</f>
        <v>Not Found</v>
      </c>
      <c r="J773" s="2">
        <v>8160</v>
      </c>
      <c r="K773" s="2">
        <v>7475</v>
      </c>
      <c r="L773" s="2">
        <v>3</v>
      </c>
      <c r="M773" s="7">
        <f t="shared" si="55"/>
        <v>22425</v>
      </c>
      <c r="N773" s="7">
        <f t="shared" si="56"/>
        <v>24480</v>
      </c>
      <c r="O773" s="2">
        <v>59</v>
      </c>
      <c r="P773" s="8">
        <f t="shared" si="57"/>
        <v>24539</v>
      </c>
      <c r="Q773" s="8">
        <f t="shared" si="58"/>
        <v>17005</v>
      </c>
      <c r="R773" s="2" t="s">
        <v>28</v>
      </c>
      <c r="S773" s="9">
        <f t="shared" si="59"/>
        <v>1226.95</v>
      </c>
    </row>
    <row r="774" spans="1:19" x14ac:dyDescent="0.3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str">
        <f>IFERROR(VLOOKUP('Customer Info'!A766,'Customer Info'!A766:C1265,2,FALSE),"Not Found")</f>
        <v>Not Found</v>
      </c>
      <c r="H774" s="6" t="str">
        <f>IFERROR(VLOOKUP('Customer Info'!A766,'Customer Info'!A766:C1265,3,FALSE),"Not Found")</f>
        <v>Not Found</v>
      </c>
      <c r="I774" s="6" t="str">
        <f>IFERROR(VLOOKUP('Customer Info'!A766,'Customer Info'!A766:E1265,5,FALSE),"Not Found")</f>
        <v>Not Found</v>
      </c>
      <c r="J774" s="2">
        <v>1968</v>
      </c>
      <c r="K774" s="2">
        <v>1821</v>
      </c>
      <c r="L774" s="2">
        <v>3</v>
      </c>
      <c r="M774" s="7">
        <f t="shared" si="55"/>
        <v>5463</v>
      </c>
      <c r="N774" s="7">
        <f t="shared" si="56"/>
        <v>5904</v>
      </c>
      <c r="O774" s="2">
        <v>99</v>
      </c>
      <c r="P774" s="8">
        <f t="shared" si="57"/>
        <v>6003</v>
      </c>
      <c r="Q774" s="8">
        <f t="shared" si="58"/>
        <v>4083</v>
      </c>
      <c r="R774" s="2" t="s">
        <v>28</v>
      </c>
      <c r="S774" s="9">
        <f t="shared" si="59"/>
        <v>300.15000000000003</v>
      </c>
    </row>
    <row r="775" spans="1:19" x14ac:dyDescent="0.3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str">
        <f>IFERROR(VLOOKUP('Customer Info'!A767,'Customer Info'!A767:C1266,2,FALSE),"Not Found")</f>
        <v>Not Found</v>
      </c>
      <c r="H775" s="6" t="str">
        <f>IFERROR(VLOOKUP('Customer Info'!A767,'Customer Info'!A767:C1266,3,FALSE),"Not Found")</f>
        <v>Not Found</v>
      </c>
      <c r="I775" s="6" t="str">
        <f>IFERROR(VLOOKUP('Customer Info'!A767,'Customer Info'!A767:E1266,5,FALSE),"Not Found")</f>
        <v>Not Found</v>
      </c>
      <c r="J775" s="2">
        <v>2808</v>
      </c>
      <c r="K775" s="2">
        <v>2674</v>
      </c>
      <c r="L775" s="2">
        <v>4</v>
      </c>
      <c r="M775" s="7">
        <f t="shared" si="55"/>
        <v>10696</v>
      </c>
      <c r="N775" s="7">
        <f t="shared" si="56"/>
        <v>11232</v>
      </c>
      <c r="O775" s="2">
        <v>61</v>
      </c>
      <c r="P775" s="8">
        <f t="shared" si="57"/>
        <v>11293</v>
      </c>
      <c r="Q775" s="8">
        <f t="shared" si="58"/>
        <v>8558</v>
      </c>
      <c r="R775" s="2" t="s">
        <v>50</v>
      </c>
      <c r="S775" s="9">
        <f t="shared" si="59"/>
        <v>564.65</v>
      </c>
    </row>
    <row r="776" spans="1:19" x14ac:dyDescent="0.3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str">
        <f>IFERROR(VLOOKUP('Customer Info'!A768,'Customer Info'!A768:C1267,2,FALSE),"Not Found")</f>
        <v>Not Found</v>
      </c>
      <c r="H776" s="6" t="str">
        <f>IFERROR(VLOOKUP('Customer Info'!A768,'Customer Info'!A768:C1267,3,FALSE),"Not Found")</f>
        <v>Not Found</v>
      </c>
      <c r="I776" s="6" t="str">
        <f>IFERROR(VLOOKUP('Customer Info'!A768,'Customer Info'!A768:E1267,5,FALSE),"Not Found")</f>
        <v>Not Found</v>
      </c>
      <c r="J776" s="2">
        <v>516</v>
      </c>
      <c r="K776" s="2">
        <v>473</v>
      </c>
      <c r="L776" s="2">
        <v>2</v>
      </c>
      <c r="M776" s="7">
        <f t="shared" si="55"/>
        <v>946</v>
      </c>
      <c r="N776" s="7">
        <f t="shared" si="56"/>
        <v>1032</v>
      </c>
      <c r="O776" s="2">
        <v>51</v>
      </c>
      <c r="P776" s="8">
        <f t="shared" si="57"/>
        <v>1083</v>
      </c>
      <c r="Q776" s="8">
        <f t="shared" si="58"/>
        <v>559</v>
      </c>
      <c r="R776" s="2" t="s">
        <v>28</v>
      </c>
      <c r="S776" s="9">
        <f t="shared" si="59"/>
        <v>21.66</v>
      </c>
    </row>
    <row r="777" spans="1:19" x14ac:dyDescent="0.3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str">
        <f>IFERROR(VLOOKUP('Customer Info'!A769,'Customer Info'!A769:C1268,2,FALSE),"Not Found")</f>
        <v>Not Found</v>
      </c>
      <c r="H777" s="6" t="str">
        <f>IFERROR(VLOOKUP('Customer Info'!A769,'Customer Info'!A769:C1268,3,FALSE),"Not Found")</f>
        <v>Not Found</v>
      </c>
      <c r="I777" s="6" t="str">
        <f>IFERROR(VLOOKUP('Customer Info'!A769,'Customer Info'!A769:E1268,5,FALSE),"Not Found")</f>
        <v>Not Found</v>
      </c>
      <c r="J777" s="2">
        <v>2602</v>
      </c>
      <c r="K777" s="2">
        <v>2363</v>
      </c>
      <c r="L777" s="2">
        <v>3</v>
      </c>
      <c r="M777" s="7">
        <f t="shared" si="55"/>
        <v>7089</v>
      </c>
      <c r="N777" s="7">
        <f t="shared" si="56"/>
        <v>7806</v>
      </c>
      <c r="O777" s="2">
        <v>63</v>
      </c>
      <c r="P777" s="8">
        <f t="shared" si="57"/>
        <v>7869</v>
      </c>
      <c r="Q777" s="8">
        <f t="shared" si="58"/>
        <v>5443</v>
      </c>
      <c r="R777" s="2" t="s">
        <v>50</v>
      </c>
      <c r="S777" s="9">
        <f t="shared" si="59"/>
        <v>393.45000000000005</v>
      </c>
    </row>
    <row r="778" spans="1:19" x14ac:dyDescent="0.3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str">
        <f>IFERROR(VLOOKUP('Customer Info'!A770,'Customer Info'!A770:C1269,2,FALSE),"Not Found")</f>
        <v>Not Found</v>
      </c>
      <c r="H778" s="6" t="str">
        <f>IFERROR(VLOOKUP('Customer Info'!A770,'Customer Info'!A770:C1269,3,FALSE),"Not Found")</f>
        <v>Not Found</v>
      </c>
      <c r="I778" s="6" t="str">
        <f>IFERROR(VLOOKUP('Customer Info'!A770,'Customer Info'!A770:E1269,5,FALSE),"Not Found")</f>
        <v>Not Found</v>
      </c>
      <c r="J778" s="2">
        <v>1654</v>
      </c>
      <c r="K778" s="2">
        <v>1577</v>
      </c>
      <c r="L778" s="2">
        <v>2</v>
      </c>
      <c r="M778" s="7">
        <f t="shared" si="55"/>
        <v>3154</v>
      </c>
      <c r="N778" s="7">
        <f t="shared" si="56"/>
        <v>3308</v>
      </c>
      <c r="O778" s="2">
        <v>32</v>
      </c>
      <c r="P778" s="8">
        <f t="shared" si="57"/>
        <v>3340</v>
      </c>
      <c r="Q778" s="8">
        <f t="shared" si="58"/>
        <v>1731</v>
      </c>
      <c r="R778" s="2" t="s">
        <v>56</v>
      </c>
      <c r="S778" s="9">
        <f t="shared" si="59"/>
        <v>66.8</v>
      </c>
    </row>
    <row r="779" spans="1:19" x14ac:dyDescent="0.3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str">
        <f>IFERROR(VLOOKUP('Customer Info'!A771,'Customer Info'!A771:C1270,2,FALSE),"Not Found")</f>
        <v>Not Found</v>
      </c>
      <c r="H779" s="6" t="str">
        <f>IFERROR(VLOOKUP('Customer Info'!A771,'Customer Info'!A771:C1270,3,FALSE),"Not Found")</f>
        <v>Not Found</v>
      </c>
      <c r="I779" s="6" t="str">
        <f>IFERROR(VLOOKUP('Customer Info'!A771,'Customer Info'!A771:E1270,5,FALSE),"Not Found")</f>
        <v>Not Found</v>
      </c>
      <c r="J779" s="2">
        <v>1808</v>
      </c>
      <c r="K779" s="2">
        <v>1740</v>
      </c>
      <c r="L779" s="2">
        <v>2</v>
      </c>
      <c r="M779" s="7">
        <f t="shared" ref="M779:M842" si="60">$K779*$L779</f>
        <v>3480</v>
      </c>
      <c r="N779" s="7">
        <f t="shared" ref="N779:N842" si="61">$J779*$L779</f>
        <v>3616</v>
      </c>
      <c r="O779" s="2">
        <v>35</v>
      </c>
      <c r="P779" s="8">
        <f t="shared" ref="P779:P842" si="62">$N779+$O779</f>
        <v>3651</v>
      </c>
      <c r="Q779" s="8">
        <f t="shared" ref="Q779:Q842" si="63">$N779-$K779</f>
        <v>1876</v>
      </c>
      <c r="R779" s="2" t="s">
        <v>28</v>
      </c>
      <c r="S779" s="9">
        <f t="shared" ref="S779:S842" si="64" xml:space="preserve"> P779 * VLOOKUP(P779, $T$2:$U$6, 2, TRUE)</f>
        <v>73.02</v>
      </c>
    </row>
    <row r="780" spans="1:19" x14ac:dyDescent="0.3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str">
        <f>IFERROR(VLOOKUP('Customer Info'!A772,'Customer Info'!A772:C1271,2,FALSE),"Not Found")</f>
        <v>Not Found</v>
      </c>
      <c r="H780" s="6" t="str">
        <f>IFERROR(VLOOKUP('Customer Info'!A772,'Customer Info'!A772:C1271,3,FALSE),"Not Found")</f>
        <v>Not Found</v>
      </c>
      <c r="I780" s="6" t="str">
        <f>IFERROR(VLOOKUP('Customer Info'!A772,'Customer Info'!A772:E1271,5,FALSE),"Not Found")</f>
        <v>Not Found</v>
      </c>
      <c r="J780" s="2">
        <v>6012</v>
      </c>
      <c r="K780" s="2">
        <v>5677</v>
      </c>
      <c r="L780" s="2">
        <v>3</v>
      </c>
      <c r="M780" s="7">
        <f t="shared" si="60"/>
        <v>17031</v>
      </c>
      <c r="N780" s="7">
        <f t="shared" si="61"/>
        <v>18036</v>
      </c>
      <c r="O780" s="2">
        <v>75</v>
      </c>
      <c r="P780" s="8">
        <f t="shared" si="62"/>
        <v>18111</v>
      </c>
      <c r="Q780" s="8">
        <f t="shared" si="63"/>
        <v>12359</v>
      </c>
      <c r="R780" s="2" t="s">
        <v>28</v>
      </c>
      <c r="S780" s="9">
        <f t="shared" si="64"/>
        <v>905.55000000000007</v>
      </c>
    </row>
    <row r="781" spans="1:19" x14ac:dyDescent="0.3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str">
        <f>IFERROR(VLOOKUP('Customer Info'!A773,'Customer Info'!A773:C1272,2,FALSE),"Not Found")</f>
        <v>Not Found</v>
      </c>
      <c r="H781" s="6" t="str">
        <f>IFERROR(VLOOKUP('Customer Info'!A773,'Customer Info'!A773:C1272,3,FALSE),"Not Found")</f>
        <v>Not Found</v>
      </c>
      <c r="I781" s="6" t="str">
        <f>IFERROR(VLOOKUP('Customer Info'!A773,'Customer Info'!A773:E1272,5,FALSE),"Not Found")</f>
        <v>Not Found</v>
      </c>
      <c r="J781" s="2">
        <v>2960</v>
      </c>
      <c r="K781" s="2">
        <v>2635</v>
      </c>
      <c r="L781" s="2">
        <v>4</v>
      </c>
      <c r="M781" s="7">
        <f t="shared" si="60"/>
        <v>10540</v>
      </c>
      <c r="N781" s="7">
        <f t="shared" si="61"/>
        <v>11840</v>
      </c>
      <c r="O781" s="2">
        <v>34</v>
      </c>
      <c r="P781" s="8">
        <f t="shared" si="62"/>
        <v>11874</v>
      </c>
      <c r="Q781" s="8">
        <f t="shared" si="63"/>
        <v>9205</v>
      </c>
      <c r="R781" s="2" t="s">
        <v>28</v>
      </c>
      <c r="S781" s="9">
        <f t="shared" si="64"/>
        <v>593.70000000000005</v>
      </c>
    </row>
    <row r="782" spans="1:19" x14ac:dyDescent="0.3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str">
        <f>IFERROR(VLOOKUP('Customer Info'!A774,'Customer Info'!A774:C1273,2,FALSE),"Not Found")</f>
        <v>Not Found</v>
      </c>
      <c r="H782" s="6" t="str">
        <f>IFERROR(VLOOKUP('Customer Info'!A774,'Customer Info'!A774:C1273,3,FALSE),"Not Found")</f>
        <v>Not Found</v>
      </c>
      <c r="I782" s="6" t="str">
        <f>IFERROR(VLOOKUP('Customer Info'!A774,'Customer Info'!A774:E1273,5,FALSE),"Not Found")</f>
        <v>Not Found</v>
      </c>
      <c r="J782" s="2">
        <v>63</v>
      </c>
      <c r="K782" s="2">
        <v>59</v>
      </c>
      <c r="L782" s="2">
        <v>4</v>
      </c>
      <c r="M782" s="7">
        <f t="shared" si="60"/>
        <v>236</v>
      </c>
      <c r="N782" s="7">
        <f t="shared" si="61"/>
        <v>252</v>
      </c>
      <c r="O782" s="2">
        <v>10</v>
      </c>
      <c r="P782" s="8">
        <f t="shared" si="62"/>
        <v>262</v>
      </c>
      <c r="Q782" s="8">
        <f t="shared" si="63"/>
        <v>193</v>
      </c>
      <c r="R782" s="2" t="s">
        <v>50</v>
      </c>
      <c r="S782" s="9">
        <f t="shared" si="64"/>
        <v>5.24</v>
      </c>
    </row>
    <row r="783" spans="1:19" x14ac:dyDescent="0.3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str">
        <f>IFERROR(VLOOKUP('Customer Info'!A775,'Customer Info'!A775:C1274,2,FALSE),"Not Found")</f>
        <v>Not Found</v>
      </c>
      <c r="H783" s="6" t="str">
        <f>IFERROR(VLOOKUP('Customer Info'!A775,'Customer Info'!A775:C1274,3,FALSE),"Not Found")</f>
        <v>Not Found</v>
      </c>
      <c r="I783" s="6" t="str">
        <f>IFERROR(VLOOKUP('Customer Info'!A775,'Customer Info'!A775:E1274,5,FALSE),"Not Found")</f>
        <v>Not Found</v>
      </c>
      <c r="J783" s="2">
        <v>37949</v>
      </c>
      <c r="K783" s="2">
        <v>34816</v>
      </c>
      <c r="L783" s="2">
        <v>1</v>
      </c>
      <c r="M783" s="7">
        <f t="shared" si="60"/>
        <v>34816</v>
      </c>
      <c r="N783" s="7">
        <f t="shared" si="61"/>
        <v>37949</v>
      </c>
      <c r="O783" s="2">
        <v>49</v>
      </c>
      <c r="P783" s="8">
        <f t="shared" si="62"/>
        <v>37998</v>
      </c>
      <c r="Q783" s="8">
        <f t="shared" si="63"/>
        <v>3133</v>
      </c>
      <c r="R783" s="2" t="s">
        <v>28</v>
      </c>
      <c r="S783" s="9">
        <f t="shared" si="64"/>
        <v>2659.86</v>
      </c>
    </row>
    <row r="784" spans="1:19" x14ac:dyDescent="0.3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str">
        <f>IFERROR(VLOOKUP('Customer Info'!A776,'Customer Info'!A776:C1275,2,FALSE),"Not Found")</f>
        <v>Not Found</v>
      </c>
      <c r="H784" s="6" t="str">
        <f>IFERROR(VLOOKUP('Customer Info'!A776,'Customer Info'!A776:C1275,3,FALSE),"Not Found")</f>
        <v>Not Found</v>
      </c>
      <c r="I784" s="6" t="str">
        <f>IFERROR(VLOOKUP('Customer Info'!A776,'Customer Info'!A776:E1275,5,FALSE),"Not Found")</f>
        <v>Not Found</v>
      </c>
      <c r="J784" s="2">
        <v>6611</v>
      </c>
      <c r="K784" s="2">
        <v>5943</v>
      </c>
      <c r="L784" s="2">
        <v>1</v>
      </c>
      <c r="M784" s="7">
        <f t="shared" si="60"/>
        <v>5943</v>
      </c>
      <c r="N784" s="7">
        <f t="shared" si="61"/>
        <v>6611</v>
      </c>
      <c r="O784" s="2">
        <v>83</v>
      </c>
      <c r="P784" s="8">
        <f t="shared" si="62"/>
        <v>6694</v>
      </c>
      <c r="Q784" s="8">
        <f t="shared" si="63"/>
        <v>668</v>
      </c>
      <c r="R784" s="2" t="s">
        <v>50</v>
      </c>
      <c r="S784" s="9">
        <f t="shared" si="64"/>
        <v>334.70000000000005</v>
      </c>
    </row>
    <row r="785" spans="1:19" x14ac:dyDescent="0.3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str">
        <f>IFERROR(VLOOKUP('Customer Info'!A777,'Customer Info'!A777:C1276,2,FALSE),"Not Found")</f>
        <v>Not Found</v>
      </c>
      <c r="H785" s="6" t="str">
        <f>IFERROR(VLOOKUP('Customer Info'!A777,'Customer Info'!A777:C1276,3,FALSE),"Not Found")</f>
        <v>Not Found</v>
      </c>
      <c r="I785" s="6" t="str">
        <f>IFERROR(VLOOKUP('Customer Info'!A777,'Customer Info'!A777:E1276,5,FALSE),"Not Found")</f>
        <v>Not Found</v>
      </c>
      <c r="J785" s="2">
        <v>7623</v>
      </c>
      <c r="K785" s="2">
        <v>7064</v>
      </c>
      <c r="L785" s="2">
        <v>4</v>
      </c>
      <c r="M785" s="7">
        <f t="shared" si="60"/>
        <v>28256</v>
      </c>
      <c r="N785" s="7">
        <f t="shared" si="61"/>
        <v>30492</v>
      </c>
      <c r="O785" s="2">
        <v>42</v>
      </c>
      <c r="P785" s="8">
        <f t="shared" si="62"/>
        <v>30534</v>
      </c>
      <c r="Q785" s="8">
        <f t="shared" si="63"/>
        <v>23428</v>
      </c>
      <c r="R785" s="2" t="s">
        <v>28</v>
      </c>
      <c r="S785" s="9">
        <f t="shared" si="64"/>
        <v>2137.38</v>
      </c>
    </row>
    <row r="786" spans="1:19" x14ac:dyDescent="0.3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str">
        <f>IFERROR(VLOOKUP('Customer Info'!A778,'Customer Info'!A778:C1277,2,FALSE),"Not Found")</f>
        <v>Not Found</v>
      </c>
      <c r="H786" s="6" t="str">
        <f>IFERROR(VLOOKUP('Customer Info'!A778,'Customer Info'!A778:C1277,3,FALSE),"Not Found")</f>
        <v>Not Found</v>
      </c>
      <c r="I786" s="6" t="str">
        <f>IFERROR(VLOOKUP('Customer Info'!A778,'Customer Info'!A778:E1277,5,FALSE),"Not Found")</f>
        <v>Not Found</v>
      </c>
      <c r="J786" s="2">
        <v>36778</v>
      </c>
      <c r="K786" s="2">
        <v>34709</v>
      </c>
      <c r="L786" s="2">
        <v>10</v>
      </c>
      <c r="M786" s="7">
        <f t="shared" si="60"/>
        <v>347090</v>
      </c>
      <c r="N786" s="7">
        <f t="shared" si="61"/>
        <v>367780</v>
      </c>
      <c r="O786" s="2">
        <v>66</v>
      </c>
      <c r="P786" s="8">
        <f t="shared" si="62"/>
        <v>367846</v>
      </c>
      <c r="Q786" s="8">
        <f t="shared" si="63"/>
        <v>333071</v>
      </c>
      <c r="R786" s="2" t="s">
        <v>28</v>
      </c>
      <c r="S786" s="9">
        <f t="shared" si="64"/>
        <v>44141.52</v>
      </c>
    </row>
    <row r="787" spans="1:19" x14ac:dyDescent="0.3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str">
        <f>IFERROR(VLOOKUP('Customer Info'!A779,'Customer Info'!A779:C1278,2,FALSE),"Not Found")</f>
        <v>Not Found</v>
      </c>
      <c r="H787" s="6" t="str">
        <f>IFERROR(VLOOKUP('Customer Info'!A779,'Customer Info'!A779:C1278,3,FALSE),"Not Found")</f>
        <v>Not Found</v>
      </c>
      <c r="I787" s="6" t="str">
        <f>IFERROR(VLOOKUP('Customer Info'!A779,'Customer Info'!A779:E1278,5,FALSE),"Not Found")</f>
        <v>Not Found</v>
      </c>
      <c r="J787" s="2">
        <v>1845</v>
      </c>
      <c r="K787" s="2">
        <v>1742</v>
      </c>
      <c r="L787" s="2">
        <v>4</v>
      </c>
      <c r="M787" s="7">
        <f t="shared" si="60"/>
        <v>6968</v>
      </c>
      <c r="N787" s="7">
        <f t="shared" si="61"/>
        <v>7380</v>
      </c>
      <c r="O787" s="2">
        <v>83</v>
      </c>
      <c r="P787" s="8">
        <f t="shared" si="62"/>
        <v>7463</v>
      </c>
      <c r="Q787" s="8">
        <f t="shared" si="63"/>
        <v>5638</v>
      </c>
      <c r="R787" s="2" t="s">
        <v>28</v>
      </c>
      <c r="S787" s="9">
        <f t="shared" si="64"/>
        <v>373.15000000000003</v>
      </c>
    </row>
    <row r="788" spans="1:19" x14ac:dyDescent="0.3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str">
        <f>IFERROR(VLOOKUP('Customer Info'!A780,'Customer Info'!A780:C1279,2,FALSE),"Not Found")</f>
        <v>Not Found</v>
      </c>
      <c r="H788" s="6" t="str">
        <f>IFERROR(VLOOKUP('Customer Info'!A780,'Customer Info'!A780:C1279,3,FALSE),"Not Found")</f>
        <v>Not Found</v>
      </c>
      <c r="I788" s="6" t="str">
        <f>IFERROR(VLOOKUP('Customer Info'!A780,'Customer Info'!A780:E1279,5,FALSE),"Not Found")</f>
        <v>Not Found</v>
      </c>
      <c r="J788" s="2">
        <v>1556</v>
      </c>
      <c r="K788" s="2">
        <v>1414</v>
      </c>
      <c r="L788" s="2">
        <v>3</v>
      </c>
      <c r="M788" s="7">
        <f t="shared" si="60"/>
        <v>4242</v>
      </c>
      <c r="N788" s="7">
        <f t="shared" si="61"/>
        <v>4668</v>
      </c>
      <c r="O788" s="2">
        <v>90</v>
      </c>
      <c r="P788" s="8">
        <f t="shared" si="62"/>
        <v>4758</v>
      </c>
      <c r="Q788" s="8">
        <f t="shared" si="63"/>
        <v>3254</v>
      </c>
      <c r="R788" s="2" t="s">
        <v>28</v>
      </c>
      <c r="S788" s="9">
        <f t="shared" si="64"/>
        <v>95.16</v>
      </c>
    </row>
    <row r="789" spans="1:19" x14ac:dyDescent="0.3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str">
        <f>IFERROR(VLOOKUP('Customer Info'!A781,'Customer Info'!A781:C1280,2,FALSE),"Not Found")</f>
        <v>Not Found</v>
      </c>
      <c r="H789" s="6" t="str">
        <f>IFERROR(VLOOKUP('Customer Info'!A781,'Customer Info'!A781:C1280,3,FALSE),"Not Found")</f>
        <v>Not Found</v>
      </c>
      <c r="I789" s="6" t="str">
        <f>IFERROR(VLOOKUP('Customer Info'!A781,'Customer Info'!A781:E1280,5,FALSE),"Not Found")</f>
        <v>Not Found</v>
      </c>
      <c r="J789" s="2">
        <v>474</v>
      </c>
      <c r="K789" s="2">
        <v>443</v>
      </c>
      <c r="L789" s="2">
        <v>5</v>
      </c>
      <c r="M789" s="7">
        <f t="shared" si="60"/>
        <v>2215</v>
      </c>
      <c r="N789" s="7">
        <f t="shared" si="61"/>
        <v>2370</v>
      </c>
      <c r="O789" s="2">
        <v>29</v>
      </c>
      <c r="P789" s="8">
        <f t="shared" si="62"/>
        <v>2399</v>
      </c>
      <c r="Q789" s="8">
        <f t="shared" si="63"/>
        <v>1927</v>
      </c>
      <c r="R789" s="2" t="s">
        <v>50</v>
      </c>
      <c r="S789" s="9">
        <f t="shared" si="64"/>
        <v>47.980000000000004</v>
      </c>
    </row>
    <row r="790" spans="1:19" x14ac:dyDescent="0.3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str">
        <f>IFERROR(VLOOKUP('Customer Info'!A782,'Customer Info'!A782:C1281,2,FALSE),"Not Found")</f>
        <v>Not Found</v>
      </c>
      <c r="H790" s="6" t="str">
        <f>IFERROR(VLOOKUP('Customer Info'!A782,'Customer Info'!A782:C1281,3,FALSE),"Not Found")</f>
        <v>Not Found</v>
      </c>
      <c r="I790" s="6" t="str">
        <f>IFERROR(VLOOKUP('Customer Info'!A782,'Customer Info'!A782:E1281,5,FALSE),"Not Found")</f>
        <v>Not Found</v>
      </c>
      <c r="J790" s="2">
        <v>4704</v>
      </c>
      <c r="K790" s="2">
        <v>4361</v>
      </c>
      <c r="L790" s="2">
        <v>1</v>
      </c>
      <c r="M790" s="7">
        <f t="shared" si="60"/>
        <v>4361</v>
      </c>
      <c r="N790" s="7">
        <f t="shared" si="61"/>
        <v>4704</v>
      </c>
      <c r="O790" s="2">
        <v>48</v>
      </c>
      <c r="P790" s="8">
        <f t="shared" si="62"/>
        <v>4752</v>
      </c>
      <c r="Q790" s="8">
        <f t="shared" si="63"/>
        <v>343</v>
      </c>
      <c r="R790" s="2" t="s">
        <v>26</v>
      </c>
      <c r="S790" s="9">
        <f t="shared" si="64"/>
        <v>95.04</v>
      </c>
    </row>
    <row r="791" spans="1:19" x14ac:dyDescent="0.3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str">
        <f>IFERROR(VLOOKUP('Customer Info'!A783,'Customer Info'!A783:C1282,2,FALSE),"Not Found")</f>
        <v>Not Found</v>
      </c>
      <c r="H791" s="6" t="str">
        <f>IFERROR(VLOOKUP('Customer Info'!A783,'Customer Info'!A783:C1282,3,FALSE),"Not Found")</f>
        <v>Not Found</v>
      </c>
      <c r="I791" s="6" t="str">
        <f>IFERROR(VLOOKUP('Customer Info'!A783,'Customer Info'!A783:E1282,5,FALSE),"Not Found")</f>
        <v>Not Found</v>
      </c>
      <c r="J791" s="2">
        <v>8869</v>
      </c>
      <c r="K791" s="2">
        <v>7906</v>
      </c>
      <c r="L791" s="2">
        <v>1</v>
      </c>
      <c r="M791" s="7">
        <f t="shared" si="60"/>
        <v>7906</v>
      </c>
      <c r="N791" s="7">
        <f t="shared" si="61"/>
        <v>8869</v>
      </c>
      <c r="O791" s="2">
        <v>60</v>
      </c>
      <c r="P791" s="8">
        <f t="shared" si="62"/>
        <v>8929</v>
      </c>
      <c r="Q791" s="8">
        <f t="shared" si="63"/>
        <v>963</v>
      </c>
      <c r="R791" s="2" t="s">
        <v>28</v>
      </c>
      <c r="S791" s="9">
        <f t="shared" si="64"/>
        <v>446.45000000000005</v>
      </c>
    </row>
    <row r="792" spans="1:19" x14ac:dyDescent="0.3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str">
        <f>IFERROR(VLOOKUP('Customer Info'!A784,'Customer Info'!A784:C1283,2,FALSE),"Not Found")</f>
        <v>Not Found</v>
      </c>
      <c r="H792" s="6" t="str">
        <f>IFERROR(VLOOKUP('Customer Info'!A784,'Customer Info'!A784:C1283,3,FALSE),"Not Found")</f>
        <v>Not Found</v>
      </c>
      <c r="I792" s="6" t="str">
        <f>IFERROR(VLOOKUP('Customer Info'!A784,'Customer Info'!A784:E1283,5,FALSE),"Not Found")</f>
        <v>Not Found</v>
      </c>
      <c r="J792" s="2">
        <v>472</v>
      </c>
      <c r="K792" s="2">
        <v>432</v>
      </c>
      <c r="L792" s="2">
        <v>7</v>
      </c>
      <c r="M792" s="7">
        <f t="shared" si="60"/>
        <v>3024</v>
      </c>
      <c r="N792" s="7">
        <f t="shared" si="61"/>
        <v>3304</v>
      </c>
      <c r="O792" s="2">
        <v>91</v>
      </c>
      <c r="P792" s="8">
        <f t="shared" si="62"/>
        <v>3395</v>
      </c>
      <c r="Q792" s="8">
        <f t="shared" si="63"/>
        <v>2872</v>
      </c>
      <c r="R792" s="2" t="s">
        <v>50</v>
      </c>
      <c r="S792" s="9">
        <f t="shared" si="64"/>
        <v>67.900000000000006</v>
      </c>
    </row>
    <row r="793" spans="1:19" x14ac:dyDescent="0.3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str">
        <f>IFERROR(VLOOKUP('Customer Info'!A785,'Customer Info'!A785:C1284,2,FALSE),"Not Found")</f>
        <v>Not Found</v>
      </c>
      <c r="H793" s="6" t="str">
        <f>IFERROR(VLOOKUP('Customer Info'!A785,'Customer Info'!A785:C1284,3,FALSE),"Not Found")</f>
        <v>Not Found</v>
      </c>
      <c r="I793" s="6" t="str">
        <f>IFERROR(VLOOKUP('Customer Info'!A785,'Customer Info'!A785:E1284,5,FALSE),"Not Found")</f>
        <v>Not Found</v>
      </c>
      <c r="J793" s="2">
        <v>4798</v>
      </c>
      <c r="K793" s="2">
        <v>4448</v>
      </c>
      <c r="L793" s="2">
        <v>5</v>
      </c>
      <c r="M793" s="7">
        <f t="shared" si="60"/>
        <v>22240</v>
      </c>
      <c r="N793" s="7">
        <f t="shared" si="61"/>
        <v>23990</v>
      </c>
      <c r="O793" s="2">
        <v>64</v>
      </c>
      <c r="P793" s="8">
        <f t="shared" si="62"/>
        <v>24054</v>
      </c>
      <c r="Q793" s="8">
        <f t="shared" si="63"/>
        <v>19542</v>
      </c>
      <c r="R793" s="2" t="s">
        <v>50</v>
      </c>
      <c r="S793" s="9">
        <f t="shared" si="64"/>
        <v>1202.7</v>
      </c>
    </row>
    <row r="794" spans="1:19" x14ac:dyDescent="0.3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str">
        <f>IFERROR(VLOOKUP('Customer Info'!A786,'Customer Info'!A786:C1285,2,FALSE),"Not Found")</f>
        <v>Not Found</v>
      </c>
      <c r="H794" s="6" t="str">
        <f>IFERROR(VLOOKUP('Customer Info'!A786,'Customer Info'!A786:C1285,3,FALSE),"Not Found")</f>
        <v>Not Found</v>
      </c>
      <c r="I794" s="6" t="str">
        <f>IFERROR(VLOOKUP('Customer Info'!A786,'Customer Info'!A786:E1285,5,FALSE),"Not Found")</f>
        <v>Not Found</v>
      </c>
      <c r="J794" s="2">
        <v>4737</v>
      </c>
      <c r="K794" s="2">
        <v>4473</v>
      </c>
      <c r="L794" s="2">
        <v>4</v>
      </c>
      <c r="M794" s="7">
        <f t="shared" si="60"/>
        <v>17892</v>
      </c>
      <c r="N794" s="7">
        <f t="shared" si="61"/>
        <v>18948</v>
      </c>
      <c r="O794" s="2">
        <v>34</v>
      </c>
      <c r="P794" s="8">
        <f t="shared" si="62"/>
        <v>18982</v>
      </c>
      <c r="Q794" s="8">
        <f t="shared" si="63"/>
        <v>14475</v>
      </c>
      <c r="R794" s="2" t="s">
        <v>28</v>
      </c>
      <c r="S794" s="9">
        <f t="shared" si="64"/>
        <v>949.1</v>
      </c>
    </row>
    <row r="795" spans="1:19" x14ac:dyDescent="0.3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str">
        <f>IFERROR(VLOOKUP('Customer Info'!A787,'Customer Info'!A787:C1286,2,FALSE),"Not Found")</f>
        <v>Not Found</v>
      </c>
      <c r="H795" s="6" t="str">
        <f>IFERROR(VLOOKUP('Customer Info'!A787,'Customer Info'!A787:C1286,3,FALSE),"Not Found")</f>
        <v>Not Found</v>
      </c>
      <c r="I795" s="6" t="str">
        <f>IFERROR(VLOOKUP('Customer Info'!A787,'Customer Info'!A787:E1286,5,FALSE),"Not Found")</f>
        <v>Not Found</v>
      </c>
      <c r="J795" s="2">
        <v>7212</v>
      </c>
      <c r="K795" s="2">
        <v>6737</v>
      </c>
      <c r="L795" s="2">
        <v>5</v>
      </c>
      <c r="M795" s="7">
        <f t="shared" si="60"/>
        <v>33685</v>
      </c>
      <c r="N795" s="7">
        <f t="shared" si="61"/>
        <v>36060</v>
      </c>
      <c r="O795" s="2">
        <v>93</v>
      </c>
      <c r="P795" s="8">
        <f t="shared" si="62"/>
        <v>36153</v>
      </c>
      <c r="Q795" s="8">
        <f t="shared" si="63"/>
        <v>29323</v>
      </c>
      <c r="R795" s="2" t="s">
        <v>26</v>
      </c>
      <c r="S795" s="9">
        <f t="shared" si="64"/>
        <v>2530.71</v>
      </c>
    </row>
    <row r="796" spans="1:19" x14ac:dyDescent="0.3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str">
        <f>IFERROR(VLOOKUP('Customer Info'!A788,'Customer Info'!A788:C1287,2,FALSE),"Not Found")</f>
        <v>Not Found</v>
      </c>
      <c r="H796" s="6" t="str">
        <f>IFERROR(VLOOKUP('Customer Info'!A788,'Customer Info'!A788:C1287,3,FALSE),"Not Found")</f>
        <v>Not Found</v>
      </c>
      <c r="I796" s="6" t="str">
        <f>IFERROR(VLOOKUP('Customer Info'!A788,'Customer Info'!A788:E1287,5,FALSE),"Not Found")</f>
        <v>Not Found</v>
      </c>
      <c r="J796" s="2">
        <v>131</v>
      </c>
      <c r="K796" s="2">
        <v>124</v>
      </c>
      <c r="L796" s="2">
        <v>3</v>
      </c>
      <c r="M796" s="7">
        <f t="shared" si="60"/>
        <v>372</v>
      </c>
      <c r="N796" s="7">
        <f t="shared" si="61"/>
        <v>393</v>
      </c>
      <c r="O796" s="2">
        <v>30</v>
      </c>
      <c r="P796" s="8">
        <f t="shared" si="62"/>
        <v>423</v>
      </c>
      <c r="Q796" s="8">
        <f t="shared" si="63"/>
        <v>269</v>
      </c>
      <c r="R796" s="2" t="s">
        <v>28</v>
      </c>
      <c r="S796" s="9">
        <f t="shared" si="64"/>
        <v>8.4600000000000009</v>
      </c>
    </row>
    <row r="797" spans="1:19" x14ac:dyDescent="0.3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str">
        <f>IFERROR(VLOOKUP('Customer Info'!A789,'Customer Info'!A789:C1288,2,FALSE),"Not Found")</f>
        <v>Not Found</v>
      </c>
      <c r="H797" s="6" t="str">
        <f>IFERROR(VLOOKUP('Customer Info'!A789,'Customer Info'!A789:C1288,3,FALSE),"Not Found")</f>
        <v>Not Found</v>
      </c>
      <c r="I797" s="6" t="str">
        <f>IFERROR(VLOOKUP('Customer Info'!A789,'Customer Info'!A789:E1288,5,FALSE),"Not Found")</f>
        <v>Not Found</v>
      </c>
      <c r="J797" s="2">
        <v>7001</v>
      </c>
      <c r="K797" s="2">
        <v>6476</v>
      </c>
      <c r="L797" s="2">
        <v>8</v>
      </c>
      <c r="M797" s="7">
        <f t="shared" si="60"/>
        <v>51808</v>
      </c>
      <c r="N797" s="7">
        <f t="shared" si="61"/>
        <v>56008</v>
      </c>
      <c r="O797" s="2">
        <v>34</v>
      </c>
      <c r="P797" s="8">
        <f t="shared" si="62"/>
        <v>56042</v>
      </c>
      <c r="Q797" s="8">
        <f t="shared" si="63"/>
        <v>49532</v>
      </c>
      <c r="R797" s="2" t="s">
        <v>28</v>
      </c>
      <c r="S797" s="9">
        <f t="shared" si="64"/>
        <v>5043.78</v>
      </c>
    </row>
    <row r="798" spans="1:19" x14ac:dyDescent="0.3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str">
        <f>IFERROR(VLOOKUP('Customer Info'!A790,'Customer Info'!A790:C1289,2,FALSE),"Not Found")</f>
        <v>Not Found</v>
      </c>
      <c r="H798" s="6" t="str">
        <f>IFERROR(VLOOKUP('Customer Info'!A790,'Customer Info'!A790:C1289,3,FALSE),"Not Found")</f>
        <v>Not Found</v>
      </c>
      <c r="I798" s="6" t="str">
        <f>IFERROR(VLOOKUP('Customer Info'!A790,'Customer Info'!A790:E1289,5,FALSE),"Not Found")</f>
        <v>Not Found</v>
      </c>
      <c r="J798" s="2">
        <v>9306</v>
      </c>
      <c r="K798" s="2">
        <v>8461</v>
      </c>
      <c r="L798" s="2">
        <v>1</v>
      </c>
      <c r="M798" s="7">
        <f t="shared" si="60"/>
        <v>8461</v>
      </c>
      <c r="N798" s="7">
        <f t="shared" si="61"/>
        <v>9306</v>
      </c>
      <c r="O798" s="2">
        <v>85</v>
      </c>
      <c r="P798" s="8">
        <f t="shared" si="62"/>
        <v>9391</v>
      </c>
      <c r="Q798" s="8">
        <f t="shared" si="63"/>
        <v>845</v>
      </c>
      <c r="R798" s="2" t="s">
        <v>28</v>
      </c>
      <c r="S798" s="9">
        <f t="shared" si="64"/>
        <v>469.55</v>
      </c>
    </row>
    <row r="799" spans="1:19" x14ac:dyDescent="0.3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str">
        <f>IFERROR(VLOOKUP('Customer Info'!A791,'Customer Info'!A791:C1290,2,FALSE),"Not Found")</f>
        <v>Not Found</v>
      </c>
      <c r="H799" s="6" t="str">
        <f>IFERROR(VLOOKUP('Customer Info'!A791,'Customer Info'!A791:C1290,3,FALSE),"Not Found")</f>
        <v>Not Found</v>
      </c>
      <c r="I799" s="6" t="str">
        <f>IFERROR(VLOOKUP('Customer Info'!A791,'Customer Info'!A791:E1290,5,FALSE),"Not Found")</f>
        <v>Not Found</v>
      </c>
      <c r="J799" s="2">
        <v>1717</v>
      </c>
      <c r="K799" s="2">
        <v>1652</v>
      </c>
      <c r="L799" s="2">
        <v>3</v>
      </c>
      <c r="M799" s="7">
        <f t="shared" si="60"/>
        <v>4956</v>
      </c>
      <c r="N799" s="7">
        <f t="shared" si="61"/>
        <v>5151</v>
      </c>
      <c r="O799" s="2">
        <v>69</v>
      </c>
      <c r="P799" s="8">
        <f t="shared" si="62"/>
        <v>5220</v>
      </c>
      <c r="Q799" s="8">
        <f t="shared" si="63"/>
        <v>3499</v>
      </c>
      <c r="R799" s="2" t="s">
        <v>28</v>
      </c>
      <c r="S799" s="9">
        <f t="shared" si="64"/>
        <v>261</v>
      </c>
    </row>
    <row r="800" spans="1:19" x14ac:dyDescent="0.3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str">
        <f>IFERROR(VLOOKUP('Customer Info'!A792,'Customer Info'!A792:C1291,2,FALSE),"Not Found")</f>
        <v>Not Found</v>
      </c>
      <c r="H800" s="6" t="str">
        <f>IFERROR(VLOOKUP('Customer Info'!A792,'Customer Info'!A792:C1291,3,FALSE),"Not Found")</f>
        <v>Not Found</v>
      </c>
      <c r="I800" s="6" t="str">
        <f>IFERROR(VLOOKUP('Customer Info'!A792,'Customer Info'!A792:E1291,5,FALSE),"Not Found")</f>
        <v>Not Found</v>
      </c>
      <c r="J800" s="2">
        <v>97</v>
      </c>
      <c r="K800" s="2">
        <v>92</v>
      </c>
      <c r="L800" s="2">
        <v>6</v>
      </c>
      <c r="M800" s="7">
        <f t="shared" si="60"/>
        <v>552</v>
      </c>
      <c r="N800" s="7">
        <f t="shared" si="61"/>
        <v>582</v>
      </c>
      <c r="O800" s="2">
        <v>10</v>
      </c>
      <c r="P800" s="8">
        <f t="shared" si="62"/>
        <v>592</v>
      </c>
      <c r="Q800" s="8">
        <f t="shared" si="63"/>
        <v>490</v>
      </c>
      <c r="R800" s="2" t="s">
        <v>50</v>
      </c>
      <c r="S800" s="9">
        <f t="shared" si="64"/>
        <v>11.84</v>
      </c>
    </row>
    <row r="801" spans="1:19" x14ac:dyDescent="0.3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str">
        <f>IFERROR(VLOOKUP('Customer Info'!A793,'Customer Info'!A793:C1292,2,FALSE),"Not Found")</f>
        <v>Not Found</v>
      </c>
      <c r="H801" s="6" t="str">
        <f>IFERROR(VLOOKUP('Customer Info'!A793,'Customer Info'!A793:C1292,3,FALSE),"Not Found")</f>
        <v>Not Found</v>
      </c>
      <c r="I801" s="6" t="str">
        <f>IFERROR(VLOOKUP('Customer Info'!A793,'Customer Info'!A793:E1292,5,FALSE),"Not Found")</f>
        <v>Not Found</v>
      </c>
      <c r="J801" s="2">
        <v>2551</v>
      </c>
      <c r="K801" s="2">
        <v>2456</v>
      </c>
      <c r="L801" s="2">
        <v>2</v>
      </c>
      <c r="M801" s="7">
        <f t="shared" si="60"/>
        <v>4912</v>
      </c>
      <c r="N801" s="7">
        <f t="shared" si="61"/>
        <v>5102</v>
      </c>
      <c r="O801" s="2">
        <v>86</v>
      </c>
      <c r="P801" s="8">
        <f t="shared" si="62"/>
        <v>5188</v>
      </c>
      <c r="Q801" s="8">
        <f t="shared" si="63"/>
        <v>2646</v>
      </c>
      <c r="R801" s="2" t="s">
        <v>28</v>
      </c>
      <c r="S801" s="9">
        <f t="shared" si="64"/>
        <v>259.40000000000003</v>
      </c>
    </row>
    <row r="802" spans="1:19" x14ac:dyDescent="0.3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str">
        <f>IFERROR(VLOOKUP('Customer Info'!A794,'Customer Info'!A794:C1293,2,FALSE),"Not Found")</f>
        <v>Not Found</v>
      </c>
      <c r="H802" s="6" t="str">
        <f>IFERROR(VLOOKUP('Customer Info'!A794,'Customer Info'!A794:C1293,3,FALSE),"Not Found")</f>
        <v>Not Found</v>
      </c>
      <c r="I802" s="6" t="str">
        <f>IFERROR(VLOOKUP('Customer Info'!A794,'Customer Info'!A794:E1293,5,FALSE),"Not Found")</f>
        <v>Not Found</v>
      </c>
      <c r="J802" s="2">
        <v>992</v>
      </c>
      <c r="K802" s="2">
        <v>928</v>
      </c>
      <c r="L802" s="2">
        <v>1</v>
      </c>
      <c r="M802" s="7">
        <f t="shared" si="60"/>
        <v>928</v>
      </c>
      <c r="N802" s="7">
        <f t="shared" si="61"/>
        <v>992</v>
      </c>
      <c r="O802" s="2">
        <v>77</v>
      </c>
      <c r="P802" s="8">
        <f t="shared" si="62"/>
        <v>1069</v>
      </c>
      <c r="Q802" s="8">
        <f t="shared" si="63"/>
        <v>64</v>
      </c>
      <c r="R802" s="2" t="s">
        <v>28</v>
      </c>
      <c r="S802" s="9">
        <f t="shared" si="64"/>
        <v>21.38</v>
      </c>
    </row>
    <row r="803" spans="1:19" x14ac:dyDescent="0.3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str">
        <f>IFERROR(VLOOKUP('Customer Info'!A795,'Customer Info'!A795:C1294,2,FALSE),"Not Found")</f>
        <v>Not Found</v>
      </c>
      <c r="H803" s="6" t="str">
        <f>IFERROR(VLOOKUP('Customer Info'!A795,'Customer Info'!A795:C1294,3,FALSE),"Not Found")</f>
        <v>Not Found</v>
      </c>
      <c r="I803" s="6" t="str">
        <f>IFERROR(VLOOKUP('Customer Info'!A795,'Customer Info'!A795:E1294,5,FALSE),"Not Found")</f>
        <v>Not Found</v>
      </c>
      <c r="J803" s="2">
        <v>7065</v>
      </c>
      <c r="K803" s="2">
        <v>6545</v>
      </c>
      <c r="L803" s="2">
        <v>1</v>
      </c>
      <c r="M803" s="7">
        <f t="shared" si="60"/>
        <v>6545</v>
      </c>
      <c r="N803" s="7">
        <f t="shared" si="61"/>
        <v>7065</v>
      </c>
      <c r="O803" s="2">
        <v>63</v>
      </c>
      <c r="P803" s="8">
        <f t="shared" si="62"/>
        <v>7128</v>
      </c>
      <c r="Q803" s="8">
        <f t="shared" si="63"/>
        <v>520</v>
      </c>
      <c r="R803" s="2" t="s">
        <v>26</v>
      </c>
      <c r="S803" s="9">
        <f t="shared" si="64"/>
        <v>356.40000000000003</v>
      </c>
    </row>
    <row r="804" spans="1:19" x14ac:dyDescent="0.3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str">
        <f>IFERROR(VLOOKUP('Customer Info'!A796,'Customer Info'!A796:C1295,2,FALSE),"Not Found")</f>
        <v>Not Found</v>
      </c>
      <c r="H804" s="6" t="str">
        <f>IFERROR(VLOOKUP('Customer Info'!A796,'Customer Info'!A796:C1295,3,FALSE),"Not Found")</f>
        <v>Not Found</v>
      </c>
      <c r="I804" s="6" t="str">
        <f>IFERROR(VLOOKUP('Customer Info'!A796,'Customer Info'!A796:E1295,5,FALSE),"Not Found")</f>
        <v>Not Found</v>
      </c>
      <c r="J804" s="2">
        <v>2155</v>
      </c>
      <c r="K804" s="2">
        <v>2014</v>
      </c>
      <c r="L804" s="2">
        <v>3</v>
      </c>
      <c r="M804" s="7">
        <f t="shared" si="60"/>
        <v>6042</v>
      </c>
      <c r="N804" s="7">
        <f t="shared" si="61"/>
        <v>6465</v>
      </c>
      <c r="O804" s="2">
        <v>62</v>
      </c>
      <c r="P804" s="8">
        <f t="shared" si="62"/>
        <v>6527</v>
      </c>
      <c r="Q804" s="8">
        <f t="shared" si="63"/>
        <v>4451</v>
      </c>
      <c r="R804" s="2" t="s">
        <v>28</v>
      </c>
      <c r="S804" s="9">
        <f t="shared" si="64"/>
        <v>326.35000000000002</v>
      </c>
    </row>
    <row r="805" spans="1:19" x14ac:dyDescent="0.3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str">
        <f>IFERROR(VLOOKUP('Customer Info'!A797,'Customer Info'!A797:C1296,2,FALSE),"Not Found")</f>
        <v>Not Found</v>
      </c>
      <c r="H805" s="6" t="str">
        <f>IFERROR(VLOOKUP('Customer Info'!A797,'Customer Info'!A797:C1296,3,FALSE),"Not Found")</f>
        <v>Not Found</v>
      </c>
      <c r="I805" s="6" t="str">
        <f>IFERROR(VLOOKUP('Customer Info'!A797,'Customer Info'!A797:E1296,5,FALSE),"Not Found")</f>
        <v>Not Found</v>
      </c>
      <c r="J805" s="2">
        <v>130</v>
      </c>
      <c r="K805" s="2">
        <v>122</v>
      </c>
      <c r="L805" s="2">
        <v>3</v>
      </c>
      <c r="M805" s="7">
        <f t="shared" si="60"/>
        <v>366</v>
      </c>
      <c r="N805" s="7">
        <f t="shared" si="61"/>
        <v>390</v>
      </c>
      <c r="O805" s="2">
        <v>30</v>
      </c>
      <c r="P805" s="8">
        <f t="shared" si="62"/>
        <v>420</v>
      </c>
      <c r="Q805" s="8">
        <f t="shared" si="63"/>
        <v>268</v>
      </c>
      <c r="R805" s="2" t="s">
        <v>28</v>
      </c>
      <c r="S805" s="9">
        <f t="shared" si="64"/>
        <v>8.4</v>
      </c>
    </row>
    <row r="806" spans="1:19" x14ac:dyDescent="0.3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str">
        <f>IFERROR(VLOOKUP('Customer Info'!A798,'Customer Info'!A798:C1297,2,FALSE),"Not Found")</f>
        <v>Not Found</v>
      </c>
      <c r="H806" s="6" t="str">
        <f>IFERROR(VLOOKUP('Customer Info'!A798,'Customer Info'!A798:C1297,3,FALSE),"Not Found")</f>
        <v>Not Found</v>
      </c>
      <c r="I806" s="6" t="str">
        <f>IFERROR(VLOOKUP('Customer Info'!A798,'Customer Info'!A798:E1297,5,FALSE),"Not Found")</f>
        <v>Not Found</v>
      </c>
      <c r="J806" s="2">
        <v>63</v>
      </c>
      <c r="K806" s="2">
        <v>59</v>
      </c>
      <c r="L806" s="2">
        <v>7</v>
      </c>
      <c r="M806" s="7">
        <f t="shared" si="60"/>
        <v>413</v>
      </c>
      <c r="N806" s="7">
        <f t="shared" si="61"/>
        <v>441</v>
      </c>
      <c r="O806" s="2">
        <v>10</v>
      </c>
      <c r="P806" s="8">
        <f t="shared" si="62"/>
        <v>451</v>
      </c>
      <c r="Q806" s="8">
        <f t="shared" si="63"/>
        <v>382</v>
      </c>
      <c r="R806" s="2" t="s">
        <v>28</v>
      </c>
      <c r="S806" s="9">
        <f t="shared" si="64"/>
        <v>9.02</v>
      </c>
    </row>
    <row r="807" spans="1:19" x14ac:dyDescent="0.3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str">
        <f>IFERROR(VLOOKUP('Customer Info'!A799,'Customer Info'!A799:C1298,2,FALSE),"Not Found")</f>
        <v>Not Found</v>
      </c>
      <c r="H807" s="6" t="str">
        <f>IFERROR(VLOOKUP('Customer Info'!A799,'Customer Info'!A799:C1298,3,FALSE),"Not Found")</f>
        <v>Not Found</v>
      </c>
      <c r="I807" s="6" t="str">
        <f>IFERROR(VLOOKUP('Customer Info'!A799,'Customer Info'!A799:E1298,5,FALSE),"Not Found")</f>
        <v>Not Found</v>
      </c>
      <c r="J807" s="2">
        <v>679</v>
      </c>
      <c r="K807" s="2">
        <v>654</v>
      </c>
      <c r="L807" s="2">
        <v>1</v>
      </c>
      <c r="M807" s="7">
        <f t="shared" si="60"/>
        <v>654</v>
      </c>
      <c r="N807" s="7">
        <f t="shared" si="61"/>
        <v>679</v>
      </c>
      <c r="O807" s="2">
        <v>85</v>
      </c>
      <c r="P807" s="8">
        <f t="shared" si="62"/>
        <v>764</v>
      </c>
      <c r="Q807" s="8">
        <f t="shared" si="63"/>
        <v>25</v>
      </c>
      <c r="R807" s="2" t="s">
        <v>26</v>
      </c>
      <c r="S807" s="9">
        <f t="shared" si="64"/>
        <v>15.280000000000001</v>
      </c>
    </row>
    <row r="808" spans="1:19" x14ac:dyDescent="0.3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str">
        <f>IFERROR(VLOOKUP('Customer Info'!A800,'Customer Info'!A800:C1299,2,FALSE),"Not Found")</f>
        <v>Not Found</v>
      </c>
      <c r="H808" s="6" t="str">
        <f>IFERROR(VLOOKUP('Customer Info'!A800,'Customer Info'!A800:C1299,3,FALSE),"Not Found")</f>
        <v>Not Found</v>
      </c>
      <c r="I808" s="6" t="str">
        <f>IFERROR(VLOOKUP('Customer Info'!A800,'Customer Info'!A800:E1299,5,FALSE),"Not Found")</f>
        <v>Not Found</v>
      </c>
      <c r="J808" s="2">
        <v>887</v>
      </c>
      <c r="K808" s="2">
        <v>814</v>
      </c>
      <c r="L808" s="2">
        <v>4</v>
      </c>
      <c r="M808" s="7">
        <f t="shared" si="60"/>
        <v>3256</v>
      </c>
      <c r="N808" s="7">
        <f t="shared" si="61"/>
        <v>3548</v>
      </c>
      <c r="O808" s="2">
        <v>91</v>
      </c>
      <c r="P808" s="8">
        <f t="shared" si="62"/>
        <v>3639</v>
      </c>
      <c r="Q808" s="8">
        <f t="shared" si="63"/>
        <v>2734</v>
      </c>
      <c r="R808" s="2" t="s">
        <v>56</v>
      </c>
      <c r="S808" s="9">
        <f t="shared" si="64"/>
        <v>72.78</v>
      </c>
    </row>
    <row r="809" spans="1:19" x14ac:dyDescent="0.3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str">
        <f>IFERROR(VLOOKUP('Customer Info'!A801,'Customer Info'!A801:C1300,2,FALSE),"Not Found")</f>
        <v>Not Found</v>
      </c>
      <c r="H809" s="6" t="str">
        <f>IFERROR(VLOOKUP('Customer Info'!A801,'Customer Info'!A801:C1300,3,FALSE),"Not Found")</f>
        <v>Not Found</v>
      </c>
      <c r="I809" s="6" t="str">
        <f>IFERROR(VLOOKUP('Customer Info'!A801,'Customer Info'!A801:E1300,5,FALSE),"Not Found")</f>
        <v>Not Found</v>
      </c>
      <c r="J809" s="2">
        <v>1700</v>
      </c>
      <c r="K809" s="2">
        <v>1620</v>
      </c>
      <c r="L809" s="2">
        <v>6</v>
      </c>
      <c r="M809" s="7">
        <f t="shared" si="60"/>
        <v>9720</v>
      </c>
      <c r="N809" s="7">
        <f t="shared" si="61"/>
        <v>10200</v>
      </c>
      <c r="O809" s="2">
        <v>22</v>
      </c>
      <c r="P809" s="8">
        <f t="shared" si="62"/>
        <v>10222</v>
      </c>
      <c r="Q809" s="8">
        <f t="shared" si="63"/>
        <v>8580</v>
      </c>
      <c r="R809" s="2" t="s">
        <v>50</v>
      </c>
      <c r="S809" s="9">
        <f t="shared" si="64"/>
        <v>511.1</v>
      </c>
    </row>
    <row r="810" spans="1:19" x14ac:dyDescent="0.3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str">
        <f>IFERROR(VLOOKUP('Customer Info'!A802,'Customer Info'!A802:C1301,2,FALSE),"Not Found")</f>
        <v>Not Found</v>
      </c>
      <c r="H810" s="6" t="str">
        <f>IFERROR(VLOOKUP('Customer Info'!A802,'Customer Info'!A802:C1301,3,FALSE),"Not Found")</f>
        <v>Not Found</v>
      </c>
      <c r="I810" s="6" t="str">
        <f>IFERROR(VLOOKUP('Customer Info'!A802,'Customer Info'!A802:E1301,5,FALSE),"Not Found")</f>
        <v>Not Found</v>
      </c>
      <c r="J810" s="2">
        <v>4577</v>
      </c>
      <c r="K810" s="2">
        <v>4280</v>
      </c>
      <c r="L810" s="2">
        <v>4</v>
      </c>
      <c r="M810" s="7">
        <f t="shared" si="60"/>
        <v>17120</v>
      </c>
      <c r="N810" s="7">
        <f t="shared" si="61"/>
        <v>18308</v>
      </c>
      <c r="O810" s="2">
        <v>42</v>
      </c>
      <c r="P810" s="8">
        <f t="shared" si="62"/>
        <v>18350</v>
      </c>
      <c r="Q810" s="8">
        <f t="shared" si="63"/>
        <v>14028</v>
      </c>
      <c r="R810" s="2" t="s">
        <v>50</v>
      </c>
      <c r="S810" s="9">
        <f t="shared" si="64"/>
        <v>917.5</v>
      </c>
    </row>
    <row r="811" spans="1:19" x14ac:dyDescent="0.3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str">
        <f>IFERROR(VLOOKUP('Customer Info'!A803,'Customer Info'!A803:C1302,2,FALSE),"Not Found")</f>
        <v>Not Found</v>
      </c>
      <c r="H811" s="6" t="str">
        <f>IFERROR(VLOOKUP('Customer Info'!A803,'Customer Info'!A803:C1302,3,FALSE),"Not Found")</f>
        <v>Not Found</v>
      </c>
      <c r="I811" s="6" t="str">
        <f>IFERROR(VLOOKUP('Customer Info'!A803,'Customer Info'!A803:E1302,5,FALSE),"Not Found")</f>
        <v>Not Found</v>
      </c>
      <c r="J811" s="2">
        <v>1568</v>
      </c>
      <c r="K811" s="2">
        <v>1495</v>
      </c>
      <c r="L811" s="2">
        <v>2</v>
      </c>
      <c r="M811" s="7">
        <f t="shared" si="60"/>
        <v>2990</v>
      </c>
      <c r="N811" s="7">
        <f t="shared" si="61"/>
        <v>3136</v>
      </c>
      <c r="O811" s="2">
        <v>75</v>
      </c>
      <c r="P811" s="8">
        <f t="shared" si="62"/>
        <v>3211</v>
      </c>
      <c r="Q811" s="8">
        <f t="shared" si="63"/>
        <v>1641</v>
      </c>
      <c r="R811" s="2" t="s">
        <v>28</v>
      </c>
      <c r="S811" s="9">
        <f t="shared" si="64"/>
        <v>64.22</v>
      </c>
    </row>
    <row r="812" spans="1:19" x14ac:dyDescent="0.3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str">
        <f>IFERROR(VLOOKUP('Customer Info'!A804,'Customer Info'!A804:C1303,2,FALSE),"Not Found")</f>
        <v>Not Found</v>
      </c>
      <c r="H812" s="6" t="str">
        <f>IFERROR(VLOOKUP('Customer Info'!A804,'Customer Info'!A804:C1303,3,FALSE),"Not Found")</f>
        <v>Not Found</v>
      </c>
      <c r="I812" s="6" t="str">
        <f>IFERROR(VLOOKUP('Customer Info'!A804,'Customer Info'!A804:E1303,5,FALSE),"Not Found")</f>
        <v>Not Found</v>
      </c>
      <c r="J812" s="2">
        <v>142</v>
      </c>
      <c r="K812" s="2">
        <v>134</v>
      </c>
      <c r="L812" s="2">
        <v>4</v>
      </c>
      <c r="M812" s="7">
        <f t="shared" si="60"/>
        <v>536</v>
      </c>
      <c r="N812" s="7">
        <f t="shared" si="61"/>
        <v>568</v>
      </c>
      <c r="O812" s="2">
        <v>30</v>
      </c>
      <c r="P812" s="8">
        <f t="shared" si="62"/>
        <v>598</v>
      </c>
      <c r="Q812" s="8">
        <f t="shared" si="63"/>
        <v>434</v>
      </c>
      <c r="R812" s="2" t="s">
        <v>50</v>
      </c>
      <c r="S812" s="9">
        <f t="shared" si="64"/>
        <v>11.96</v>
      </c>
    </row>
    <row r="813" spans="1:19" x14ac:dyDescent="0.3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str">
        <f>IFERROR(VLOOKUP('Customer Info'!A805,'Customer Info'!A805:C1304,2,FALSE),"Not Found")</f>
        <v>Not Found</v>
      </c>
      <c r="H813" s="6" t="str">
        <f>IFERROR(VLOOKUP('Customer Info'!A805,'Customer Info'!A805:C1304,3,FALSE),"Not Found")</f>
        <v>Not Found</v>
      </c>
      <c r="I813" s="6" t="str">
        <f>IFERROR(VLOOKUP('Customer Info'!A805,'Customer Info'!A805:E1304,5,FALSE),"Not Found")</f>
        <v>Not Found</v>
      </c>
      <c r="J813" s="2">
        <v>1169</v>
      </c>
      <c r="K813" s="2">
        <v>1072</v>
      </c>
      <c r="L813" s="2">
        <v>1</v>
      </c>
      <c r="M813" s="7">
        <f t="shared" si="60"/>
        <v>1072</v>
      </c>
      <c r="N813" s="7">
        <f t="shared" si="61"/>
        <v>1169</v>
      </c>
      <c r="O813" s="2">
        <v>50</v>
      </c>
      <c r="P813" s="8">
        <f t="shared" si="62"/>
        <v>1219</v>
      </c>
      <c r="Q813" s="8">
        <f t="shared" si="63"/>
        <v>97</v>
      </c>
      <c r="R813" s="2" t="s">
        <v>28</v>
      </c>
      <c r="S813" s="9">
        <f t="shared" si="64"/>
        <v>24.38</v>
      </c>
    </row>
    <row r="814" spans="1:19" x14ac:dyDescent="0.3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str">
        <f>IFERROR(VLOOKUP('Customer Info'!A806,'Customer Info'!A806:C1305,2,FALSE),"Not Found")</f>
        <v>Not Found</v>
      </c>
      <c r="H814" s="6" t="str">
        <f>IFERROR(VLOOKUP('Customer Info'!A806,'Customer Info'!A806:C1305,3,FALSE),"Not Found")</f>
        <v>Not Found</v>
      </c>
      <c r="I814" s="6" t="str">
        <f>IFERROR(VLOOKUP('Customer Info'!A806,'Customer Info'!A806:E1305,5,FALSE),"Not Found")</f>
        <v>Not Found</v>
      </c>
      <c r="J814" s="2">
        <v>1901</v>
      </c>
      <c r="K814" s="2">
        <v>1810</v>
      </c>
      <c r="L814" s="2">
        <v>3</v>
      </c>
      <c r="M814" s="7">
        <f t="shared" si="60"/>
        <v>5430</v>
      </c>
      <c r="N814" s="7">
        <f t="shared" si="61"/>
        <v>5703</v>
      </c>
      <c r="O814" s="2">
        <v>60</v>
      </c>
      <c r="P814" s="8">
        <f t="shared" si="62"/>
        <v>5763</v>
      </c>
      <c r="Q814" s="8">
        <f t="shared" si="63"/>
        <v>3893</v>
      </c>
      <c r="R814" s="2" t="s">
        <v>50</v>
      </c>
      <c r="S814" s="9">
        <f t="shared" si="64"/>
        <v>288.15000000000003</v>
      </c>
    </row>
    <row r="815" spans="1:19" x14ac:dyDescent="0.3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str">
        <f>IFERROR(VLOOKUP('Customer Info'!A807,'Customer Info'!A807:C1306,2,FALSE),"Not Found")</f>
        <v>Not Found</v>
      </c>
      <c r="H815" s="6" t="str">
        <f>IFERROR(VLOOKUP('Customer Info'!A807,'Customer Info'!A807:C1306,3,FALSE),"Not Found")</f>
        <v>Not Found</v>
      </c>
      <c r="I815" s="6" t="str">
        <f>IFERROR(VLOOKUP('Customer Info'!A807,'Customer Info'!A807:E1306,5,FALSE),"Not Found")</f>
        <v>Not Found</v>
      </c>
      <c r="J815" s="2">
        <v>2697</v>
      </c>
      <c r="K815" s="2">
        <v>2498</v>
      </c>
      <c r="L815" s="2">
        <v>8</v>
      </c>
      <c r="M815" s="7">
        <f t="shared" si="60"/>
        <v>19984</v>
      </c>
      <c r="N815" s="7">
        <f t="shared" si="61"/>
        <v>21576</v>
      </c>
      <c r="O815" s="2">
        <v>24</v>
      </c>
      <c r="P815" s="8">
        <f t="shared" si="62"/>
        <v>21600</v>
      </c>
      <c r="Q815" s="8">
        <f t="shared" si="63"/>
        <v>19078</v>
      </c>
      <c r="R815" s="2" t="s">
        <v>50</v>
      </c>
      <c r="S815" s="9">
        <f t="shared" si="64"/>
        <v>1080</v>
      </c>
    </row>
    <row r="816" spans="1:19" x14ac:dyDescent="0.3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str">
        <f>IFERROR(VLOOKUP('Customer Info'!A808,'Customer Info'!A808:C1307,2,FALSE),"Not Found")</f>
        <v>Not Found</v>
      </c>
      <c r="H816" s="6" t="str">
        <f>IFERROR(VLOOKUP('Customer Info'!A808,'Customer Info'!A808:C1307,3,FALSE),"Not Found")</f>
        <v>Not Found</v>
      </c>
      <c r="I816" s="6" t="str">
        <f>IFERROR(VLOOKUP('Customer Info'!A808,'Customer Info'!A808:E1307,5,FALSE),"Not Found")</f>
        <v>Not Found</v>
      </c>
      <c r="J816" s="2">
        <v>1878</v>
      </c>
      <c r="K816" s="2">
        <v>1790</v>
      </c>
      <c r="L816" s="2">
        <v>6</v>
      </c>
      <c r="M816" s="7">
        <f t="shared" si="60"/>
        <v>10740</v>
      </c>
      <c r="N816" s="7">
        <f t="shared" si="61"/>
        <v>11268</v>
      </c>
      <c r="O816" s="2">
        <v>67</v>
      </c>
      <c r="P816" s="8">
        <f t="shared" si="62"/>
        <v>11335</v>
      </c>
      <c r="Q816" s="8">
        <f t="shared" si="63"/>
        <v>9478</v>
      </c>
      <c r="R816" s="2" t="s">
        <v>28</v>
      </c>
      <c r="S816" s="9">
        <f t="shared" si="64"/>
        <v>566.75</v>
      </c>
    </row>
    <row r="817" spans="1:19" x14ac:dyDescent="0.3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str">
        <f>IFERROR(VLOOKUP('Customer Info'!A809,'Customer Info'!A809:C1308,2,FALSE),"Not Found")</f>
        <v>Not Found</v>
      </c>
      <c r="H817" s="6" t="str">
        <f>IFERROR(VLOOKUP('Customer Info'!A809,'Customer Info'!A809:C1308,3,FALSE),"Not Found")</f>
        <v>Not Found</v>
      </c>
      <c r="I817" s="6" t="str">
        <f>IFERROR(VLOOKUP('Customer Info'!A809,'Customer Info'!A809:E1308,5,FALSE),"Not Found")</f>
        <v>Not Found</v>
      </c>
      <c r="J817" s="2">
        <v>60</v>
      </c>
      <c r="K817" s="2">
        <v>58</v>
      </c>
      <c r="L817" s="2">
        <v>9</v>
      </c>
      <c r="M817" s="7">
        <f t="shared" si="60"/>
        <v>522</v>
      </c>
      <c r="N817" s="7">
        <f t="shared" si="61"/>
        <v>540</v>
      </c>
      <c r="O817" s="2">
        <v>10</v>
      </c>
      <c r="P817" s="8">
        <f t="shared" si="62"/>
        <v>550</v>
      </c>
      <c r="Q817" s="8">
        <f t="shared" si="63"/>
        <v>482</v>
      </c>
      <c r="R817" s="2" t="s">
        <v>28</v>
      </c>
      <c r="S817" s="9">
        <f t="shared" si="64"/>
        <v>11</v>
      </c>
    </row>
    <row r="818" spans="1:19" x14ac:dyDescent="0.3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str">
        <f>IFERROR(VLOOKUP('Customer Info'!A810,'Customer Info'!A810:C1309,2,FALSE),"Not Found")</f>
        <v>Not Found</v>
      </c>
      <c r="H818" s="6" t="str">
        <f>IFERROR(VLOOKUP('Customer Info'!A810,'Customer Info'!A810:C1309,3,FALSE),"Not Found")</f>
        <v>Not Found</v>
      </c>
      <c r="I818" s="6" t="str">
        <f>IFERROR(VLOOKUP('Customer Info'!A810,'Customer Info'!A810:E1309,5,FALSE),"Not Found")</f>
        <v>Not Found</v>
      </c>
      <c r="J818" s="2">
        <v>2365</v>
      </c>
      <c r="K818" s="2">
        <v>2232</v>
      </c>
      <c r="L818" s="2">
        <v>1</v>
      </c>
      <c r="M818" s="7">
        <f t="shared" si="60"/>
        <v>2232</v>
      </c>
      <c r="N818" s="7">
        <f t="shared" si="61"/>
        <v>2365</v>
      </c>
      <c r="O818" s="2">
        <v>91</v>
      </c>
      <c r="P818" s="8">
        <f t="shared" si="62"/>
        <v>2456</v>
      </c>
      <c r="Q818" s="8">
        <f t="shared" si="63"/>
        <v>133</v>
      </c>
      <c r="R818" s="2" t="s">
        <v>28</v>
      </c>
      <c r="S818" s="9">
        <f t="shared" si="64"/>
        <v>49.120000000000005</v>
      </c>
    </row>
    <row r="819" spans="1:19" x14ac:dyDescent="0.3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str">
        <f>IFERROR(VLOOKUP('Customer Info'!A811,'Customer Info'!A811:C1310,2,FALSE),"Not Found")</f>
        <v>Not Found</v>
      </c>
      <c r="H819" s="6" t="str">
        <f>IFERROR(VLOOKUP('Customer Info'!A811,'Customer Info'!A811:C1310,3,FALSE),"Not Found")</f>
        <v>Not Found</v>
      </c>
      <c r="I819" s="6" t="str">
        <f>IFERROR(VLOOKUP('Customer Info'!A811,'Customer Info'!A811:E1310,5,FALSE),"Not Found")</f>
        <v>Not Found</v>
      </c>
      <c r="J819" s="2">
        <v>1306</v>
      </c>
      <c r="K819" s="2">
        <v>1197</v>
      </c>
      <c r="L819" s="2">
        <v>7</v>
      </c>
      <c r="M819" s="7">
        <f t="shared" si="60"/>
        <v>8379</v>
      </c>
      <c r="N819" s="7">
        <f t="shared" si="61"/>
        <v>9142</v>
      </c>
      <c r="O819" s="2">
        <v>81</v>
      </c>
      <c r="P819" s="8">
        <f t="shared" si="62"/>
        <v>9223</v>
      </c>
      <c r="Q819" s="8">
        <f t="shared" si="63"/>
        <v>7945</v>
      </c>
      <c r="R819" s="2" t="s">
        <v>26</v>
      </c>
      <c r="S819" s="9">
        <f t="shared" si="64"/>
        <v>461.15000000000003</v>
      </c>
    </row>
    <row r="820" spans="1:19" x14ac:dyDescent="0.3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str">
        <f>IFERROR(VLOOKUP('Customer Info'!A812,'Customer Info'!A812:C1311,2,FALSE),"Not Found")</f>
        <v>Not Found</v>
      </c>
      <c r="H820" s="6" t="str">
        <f>IFERROR(VLOOKUP('Customer Info'!A812,'Customer Info'!A812:C1311,3,FALSE),"Not Found")</f>
        <v>Not Found</v>
      </c>
      <c r="I820" s="6" t="str">
        <f>IFERROR(VLOOKUP('Customer Info'!A812,'Customer Info'!A812:E1311,5,FALSE),"Not Found")</f>
        <v>Not Found</v>
      </c>
      <c r="J820" s="2">
        <v>793</v>
      </c>
      <c r="K820" s="2">
        <v>755</v>
      </c>
      <c r="L820" s="2">
        <v>3</v>
      </c>
      <c r="M820" s="7">
        <f t="shared" si="60"/>
        <v>2265</v>
      </c>
      <c r="N820" s="7">
        <f t="shared" si="61"/>
        <v>2379</v>
      </c>
      <c r="O820" s="2">
        <v>64</v>
      </c>
      <c r="P820" s="8">
        <f t="shared" si="62"/>
        <v>2443</v>
      </c>
      <c r="Q820" s="8">
        <f t="shared" si="63"/>
        <v>1624</v>
      </c>
      <c r="R820" s="2" t="s">
        <v>50</v>
      </c>
      <c r="S820" s="9">
        <f t="shared" si="64"/>
        <v>48.86</v>
      </c>
    </row>
    <row r="821" spans="1:19" x14ac:dyDescent="0.3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str">
        <f>IFERROR(VLOOKUP('Customer Info'!A813,'Customer Info'!A813:C1312,2,FALSE),"Not Found")</f>
        <v>Not Found</v>
      </c>
      <c r="H821" s="6" t="str">
        <f>IFERROR(VLOOKUP('Customer Info'!A813,'Customer Info'!A813:C1312,3,FALSE),"Not Found")</f>
        <v>Not Found</v>
      </c>
      <c r="I821" s="6" t="str">
        <f>IFERROR(VLOOKUP('Customer Info'!A813,'Customer Info'!A813:E1312,5,FALSE),"Not Found")</f>
        <v>Not Found</v>
      </c>
      <c r="J821" s="2">
        <v>185</v>
      </c>
      <c r="K821" s="2">
        <v>174</v>
      </c>
      <c r="L821" s="2">
        <v>3</v>
      </c>
      <c r="M821" s="7">
        <f t="shared" si="60"/>
        <v>522</v>
      </c>
      <c r="N821" s="7">
        <f t="shared" si="61"/>
        <v>555</v>
      </c>
      <c r="O821" s="2">
        <v>30</v>
      </c>
      <c r="P821" s="8">
        <f t="shared" si="62"/>
        <v>585</v>
      </c>
      <c r="Q821" s="8">
        <f t="shared" si="63"/>
        <v>381</v>
      </c>
      <c r="R821" s="2" t="s">
        <v>26</v>
      </c>
      <c r="S821" s="9">
        <f t="shared" si="64"/>
        <v>11.700000000000001</v>
      </c>
    </row>
    <row r="822" spans="1:19" x14ac:dyDescent="0.3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str">
        <f>IFERROR(VLOOKUP('Customer Info'!A814,'Customer Info'!A814:C1313,2,FALSE),"Not Found")</f>
        <v>Not Found</v>
      </c>
      <c r="H822" s="6" t="str">
        <f>IFERROR(VLOOKUP('Customer Info'!A814,'Customer Info'!A814:C1313,3,FALSE),"Not Found")</f>
        <v>Not Found</v>
      </c>
      <c r="I822" s="6" t="str">
        <f>IFERROR(VLOOKUP('Customer Info'!A814,'Customer Info'!A814:E1313,5,FALSE),"Not Found")</f>
        <v>Not Found</v>
      </c>
      <c r="J822" s="2">
        <v>2843</v>
      </c>
      <c r="K822" s="2">
        <v>2735</v>
      </c>
      <c r="L822" s="2">
        <v>7</v>
      </c>
      <c r="M822" s="7">
        <f t="shared" si="60"/>
        <v>19145</v>
      </c>
      <c r="N822" s="7">
        <f t="shared" si="61"/>
        <v>19901</v>
      </c>
      <c r="O822" s="2">
        <v>80</v>
      </c>
      <c r="P822" s="8">
        <f t="shared" si="62"/>
        <v>19981</v>
      </c>
      <c r="Q822" s="8">
        <f t="shared" si="63"/>
        <v>17166</v>
      </c>
      <c r="R822" s="2" t="s">
        <v>50</v>
      </c>
      <c r="S822" s="9">
        <f t="shared" si="64"/>
        <v>999.05000000000007</v>
      </c>
    </row>
    <row r="823" spans="1:19" x14ac:dyDescent="0.3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str">
        <f>IFERROR(VLOOKUP('Customer Info'!A815,'Customer Info'!A815:C1314,2,FALSE),"Not Found")</f>
        <v>Not Found</v>
      </c>
      <c r="H823" s="6" t="str">
        <f>IFERROR(VLOOKUP('Customer Info'!A815,'Customer Info'!A815:C1314,3,FALSE),"Not Found")</f>
        <v>Not Found</v>
      </c>
      <c r="I823" s="6" t="str">
        <f>IFERROR(VLOOKUP('Customer Info'!A815,'Customer Info'!A815:E1314,5,FALSE),"Not Found")</f>
        <v>Not Found</v>
      </c>
      <c r="J823" s="2">
        <v>183</v>
      </c>
      <c r="K823" s="2">
        <v>172</v>
      </c>
      <c r="L823" s="2">
        <v>2</v>
      </c>
      <c r="M823" s="7">
        <f t="shared" si="60"/>
        <v>344</v>
      </c>
      <c r="N823" s="7">
        <f t="shared" si="61"/>
        <v>366</v>
      </c>
      <c r="O823" s="2">
        <v>30</v>
      </c>
      <c r="P823" s="8">
        <f t="shared" si="62"/>
        <v>396</v>
      </c>
      <c r="Q823" s="8">
        <f t="shared" si="63"/>
        <v>194</v>
      </c>
      <c r="R823" s="2" t="s">
        <v>50</v>
      </c>
      <c r="S823" s="9">
        <f t="shared" si="64"/>
        <v>7.92</v>
      </c>
    </row>
    <row r="824" spans="1:19" x14ac:dyDescent="0.3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str">
        <f>IFERROR(VLOOKUP('Customer Info'!A816,'Customer Info'!A816:C1315,2,FALSE),"Not Found")</f>
        <v>Not Found</v>
      </c>
      <c r="H824" s="6" t="str">
        <f>IFERROR(VLOOKUP('Customer Info'!A816,'Customer Info'!A816:C1315,3,FALSE),"Not Found")</f>
        <v>Not Found</v>
      </c>
      <c r="I824" s="6" t="str">
        <f>IFERROR(VLOOKUP('Customer Info'!A816,'Customer Info'!A816:E1315,5,FALSE),"Not Found")</f>
        <v>Not Found</v>
      </c>
      <c r="J824" s="2">
        <v>1125</v>
      </c>
      <c r="K824" s="2">
        <v>1040</v>
      </c>
      <c r="L824" s="2">
        <v>2</v>
      </c>
      <c r="M824" s="7">
        <f t="shared" si="60"/>
        <v>2080</v>
      </c>
      <c r="N824" s="7">
        <f t="shared" si="61"/>
        <v>2250</v>
      </c>
      <c r="O824" s="2">
        <v>29</v>
      </c>
      <c r="P824" s="8">
        <f t="shared" si="62"/>
        <v>2279</v>
      </c>
      <c r="Q824" s="8">
        <f t="shared" si="63"/>
        <v>1210</v>
      </c>
      <c r="R824" s="2" t="s">
        <v>28</v>
      </c>
      <c r="S824" s="9">
        <f t="shared" si="64"/>
        <v>45.58</v>
      </c>
    </row>
    <row r="825" spans="1:19" x14ac:dyDescent="0.3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str">
        <f>IFERROR(VLOOKUP('Customer Info'!A817,'Customer Info'!A817:C1316,2,FALSE),"Not Found")</f>
        <v>Not Found</v>
      </c>
      <c r="H825" s="6" t="str">
        <f>IFERROR(VLOOKUP('Customer Info'!A817,'Customer Info'!A817:C1316,3,FALSE),"Not Found")</f>
        <v>Not Found</v>
      </c>
      <c r="I825" s="6" t="str">
        <f>IFERROR(VLOOKUP('Customer Info'!A817,'Customer Info'!A817:E1316,5,FALSE),"Not Found")</f>
        <v>Not Found</v>
      </c>
      <c r="J825" s="2">
        <v>1103</v>
      </c>
      <c r="K825" s="2">
        <v>1030</v>
      </c>
      <c r="L825" s="2">
        <v>4</v>
      </c>
      <c r="M825" s="7">
        <f t="shared" si="60"/>
        <v>4120</v>
      </c>
      <c r="N825" s="7">
        <f t="shared" si="61"/>
        <v>4412</v>
      </c>
      <c r="O825" s="2">
        <v>92</v>
      </c>
      <c r="P825" s="8">
        <f t="shared" si="62"/>
        <v>4504</v>
      </c>
      <c r="Q825" s="8">
        <f t="shared" si="63"/>
        <v>3382</v>
      </c>
      <c r="R825" s="2" t="s">
        <v>28</v>
      </c>
      <c r="S825" s="9">
        <f t="shared" si="64"/>
        <v>90.08</v>
      </c>
    </row>
    <row r="826" spans="1:19" x14ac:dyDescent="0.3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str">
        <f>IFERROR(VLOOKUP('Customer Info'!A818,'Customer Info'!A818:C1317,2,FALSE),"Not Found")</f>
        <v>Not Found</v>
      </c>
      <c r="H826" s="6" t="str">
        <f>IFERROR(VLOOKUP('Customer Info'!A818,'Customer Info'!A818:C1317,3,FALSE),"Not Found")</f>
        <v>Not Found</v>
      </c>
      <c r="I826" s="6" t="str">
        <f>IFERROR(VLOOKUP('Customer Info'!A818,'Customer Info'!A818:E1317,5,FALSE),"Not Found")</f>
        <v>Not Found</v>
      </c>
      <c r="J826" s="2">
        <v>2243</v>
      </c>
      <c r="K826" s="2">
        <v>2000</v>
      </c>
      <c r="L826" s="2">
        <v>4</v>
      </c>
      <c r="M826" s="7">
        <f t="shared" si="60"/>
        <v>8000</v>
      </c>
      <c r="N826" s="7">
        <f t="shared" si="61"/>
        <v>8972</v>
      </c>
      <c r="O826" s="2">
        <v>20</v>
      </c>
      <c r="P826" s="8">
        <f t="shared" si="62"/>
        <v>8992</v>
      </c>
      <c r="Q826" s="8">
        <f t="shared" si="63"/>
        <v>6972</v>
      </c>
      <c r="R826" s="2" t="s">
        <v>26</v>
      </c>
      <c r="S826" s="9">
        <f t="shared" si="64"/>
        <v>449.6</v>
      </c>
    </row>
    <row r="827" spans="1:19" x14ac:dyDescent="0.3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str">
        <f>IFERROR(VLOOKUP('Customer Info'!A819,'Customer Info'!A819:C1318,2,FALSE),"Not Found")</f>
        <v>Not Found</v>
      </c>
      <c r="H827" s="6" t="str">
        <f>IFERROR(VLOOKUP('Customer Info'!A819,'Customer Info'!A819:C1318,3,FALSE),"Not Found")</f>
        <v>Not Found</v>
      </c>
      <c r="I827" s="6" t="str">
        <f>IFERROR(VLOOKUP('Customer Info'!A819,'Customer Info'!A819:E1318,5,FALSE),"Not Found")</f>
        <v>Not Found</v>
      </c>
      <c r="J827" s="2">
        <v>185</v>
      </c>
      <c r="K827" s="2">
        <v>171</v>
      </c>
      <c r="L827" s="2">
        <v>3</v>
      </c>
      <c r="M827" s="7">
        <f t="shared" si="60"/>
        <v>513</v>
      </c>
      <c r="N827" s="7">
        <f t="shared" si="61"/>
        <v>555</v>
      </c>
      <c r="O827" s="2">
        <v>30</v>
      </c>
      <c r="P827" s="8">
        <f t="shared" si="62"/>
        <v>585</v>
      </c>
      <c r="Q827" s="8">
        <f t="shared" si="63"/>
        <v>384</v>
      </c>
      <c r="R827" s="2" t="s">
        <v>28</v>
      </c>
      <c r="S827" s="9">
        <f t="shared" si="64"/>
        <v>11.700000000000001</v>
      </c>
    </row>
    <row r="828" spans="1:19" x14ac:dyDescent="0.3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str">
        <f>IFERROR(VLOOKUP('Customer Info'!A820,'Customer Info'!A820:C1319,2,FALSE),"Not Found")</f>
        <v>Not Found</v>
      </c>
      <c r="H828" s="6" t="str">
        <f>IFERROR(VLOOKUP('Customer Info'!A820,'Customer Info'!A820:C1319,3,FALSE),"Not Found")</f>
        <v>Not Found</v>
      </c>
      <c r="I828" s="6" t="str">
        <f>IFERROR(VLOOKUP('Customer Info'!A820,'Customer Info'!A820:E1319,5,FALSE),"Not Found")</f>
        <v>Not Found</v>
      </c>
      <c r="J828" s="2">
        <v>4784</v>
      </c>
      <c r="K828" s="2">
        <v>4518</v>
      </c>
      <c r="L828" s="2">
        <v>1</v>
      </c>
      <c r="M828" s="7">
        <f t="shared" si="60"/>
        <v>4518</v>
      </c>
      <c r="N828" s="7">
        <f t="shared" si="61"/>
        <v>4784</v>
      </c>
      <c r="O828" s="2">
        <v>32</v>
      </c>
      <c r="P828" s="8">
        <f t="shared" si="62"/>
        <v>4816</v>
      </c>
      <c r="Q828" s="8">
        <f t="shared" si="63"/>
        <v>266</v>
      </c>
      <c r="R828" s="2" t="s">
        <v>50</v>
      </c>
      <c r="S828" s="9">
        <f t="shared" si="64"/>
        <v>96.320000000000007</v>
      </c>
    </row>
    <row r="829" spans="1:19" x14ac:dyDescent="0.3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str">
        <f>IFERROR(VLOOKUP('Customer Info'!A821,'Customer Info'!A821:C1320,2,FALSE),"Not Found")</f>
        <v>Not Found</v>
      </c>
      <c r="H829" s="6" t="str">
        <f>IFERROR(VLOOKUP('Customer Info'!A821,'Customer Info'!A821:C1320,3,FALSE),"Not Found")</f>
        <v>Not Found</v>
      </c>
      <c r="I829" s="6" t="str">
        <f>IFERROR(VLOOKUP('Customer Info'!A821,'Customer Info'!A821:E1320,5,FALSE),"Not Found")</f>
        <v>Not Found</v>
      </c>
      <c r="J829" s="2">
        <v>1512</v>
      </c>
      <c r="K829" s="2">
        <v>1497</v>
      </c>
      <c r="L829" s="2">
        <v>4</v>
      </c>
      <c r="M829" s="7">
        <f t="shared" si="60"/>
        <v>5988</v>
      </c>
      <c r="N829" s="7">
        <f t="shared" si="61"/>
        <v>6048</v>
      </c>
      <c r="O829" s="2">
        <v>93</v>
      </c>
      <c r="P829" s="8">
        <f t="shared" si="62"/>
        <v>6141</v>
      </c>
      <c r="Q829" s="8">
        <f t="shared" si="63"/>
        <v>4551</v>
      </c>
      <c r="R829" s="2" t="s">
        <v>26</v>
      </c>
      <c r="S829" s="9">
        <f t="shared" si="64"/>
        <v>307.05</v>
      </c>
    </row>
    <row r="830" spans="1:19" x14ac:dyDescent="0.3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str">
        <f>IFERROR(VLOOKUP('Customer Info'!A822,'Customer Info'!A822:C1321,2,FALSE),"Not Found")</f>
        <v>Not Found</v>
      </c>
      <c r="H830" s="6" t="str">
        <f>IFERROR(VLOOKUP('Customer Info'!A822,'Customer Info'!A822:C1321,3,FALSE),"Not Found")</f>
        <v>Not Found</v>
      </c>
      <c r="I830" s="6" t="str">
        <f>IFERROR(VLOOKUP('Customer Info'!A822,'Customer Info'!A822:E1321,5,FALSE),"Not Found")</f>
        <v>Not Found</v>
      </c>
      <c r="J830" s="2">
        <v>4784</v>
      </c>
      <c r="K830" s="2">
        <v>4518</v>
      </c>
      <c r="L830" s="2">
        <v>1</v>
      </c>
      <c r="M830" s="7">
        <f t="shared" si="60"/>
        <v>4518</v>
      </c>
      <c r="N830" s="7">
        <f t="shared" si="61"/>
        <v>4784</v>
      </c>
      <c r="O830" s="2">
        <v>26</v>
      </c>
      <c r="P830" s="8">
        <f t="shared" si="62"/>
        <v>4810</v>
      </c>
      <c r="Q830" s="8">
        <f t="shared" si="63"/>
        <v>266</v>
      </c>
      <c r="R830" s="2" t="s">
        <v>26</v>
      </c>
      <c r="S830" s="9">
        <f t="shared" si="64"/>
        <v>96.2</v>
      </c>
    </row>
    <row r="831" spans="1:19" x14ac:dyDescent="0.3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str">
        <f>IFERROR(VLOOKUP('Customer Info'!A823,'Customer Info'!A823:C1322,2,FALSE),"Not Found")</f>
        <v>Not Found</v>
      </c>
      <c r="H831" s="6" t="str">
        <f>IFERROR(VLOOKUP('Customer Info'!A823,'Customer Info'!A823:C1322,3,FALSE),"Not Found")</f>
        <v>Not Found</v>
      </c>
      <c r="I831" s="6" t="str">
        <f>IFERROR(VLOOKUP('Customer Info'!A823,'Customer Info'!A823:E1322,5,FALSE),"Not Found")</f>
        <v>Not Found</v>
      </c>
      <c r="J831" s="2">
        <v>127</v>
      </c>
      <c r="K831" s="2">
        <v>116</v>
      </c>
      <c r="L831" s="2">
        <v>2</v>
      </c>
      <c r="M831" s="7">
        <f t="shared" si="60"/>
        <v>232</v>
      </c>
      <c r="N831" s="7">
        <f t="shared" si="61"/>
        <v>254</v>
      </c>
      <c r="O831" s="2">
        <v>30</v>
      </c>
      <c r="P831" s="8">
        <f t="shared" si="62"/>
        <v>284</v>
      </c>
      <c r="Q831" s="8">
        <f t="shared" si="63"/>
        <v>138</v>
      </c>
      <c r="R831" s="2" t="s">
        <v>56</v>
      </c>
      <c r="S831" s="9">
        <f t="shared" si="64"/>
        <v>5.68</v>
      </c>
    </row>
    <row r="832" spans="1:19" x14ac:dyDescent="0.3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str">
        <f>IFERROR(VLOOKUP('Customer Info'!A824,'Customer Info'!A824:C1323,2,FALSE),"Not Found")</f>
        <v>Not Found</v>
      </c>
      <c r="H832" s="6" t="str">
        <f>IFERROR(VLOOKUP('Customer Info'!A824,'Customer Info'!A824:C1323,3,FALSE),"Not Found")</f>
        <v>Not Found</v>
      </c>
      <c r="I832" s="6" t="str">
        <f>IFERROR(VLOOKUP('Customer Info'!A824,'Customer Info'!A824:E1323,5,FALSE),"Not Found")</f>
        <v>Not Found</v>
      </c>
      <c r="J832" s="2">
        <v>6012</v>
      </c>
      <c r="K832" s="2">
        <v>5677</v>
      </c>
      <c r="L832" s="2">
        <v>3</v>
      </c>
      <c r="M832" s="7">
        <f t="shared" si="60"/>
        <v>17031</v>
      </c>
      <c r="N832" s="7">
        <f t="shared" si="61"/>
        <v>18036</v>
      </c>
      <c r="O832" s="2">
        <v>82</v>
      </c>
      <c r="P832" s="8">
        <f t="shared" si="62"/>
        <v>18118</v>
      </c>
      <c r="Q832" s="8">
        <f t="shared" si="63"/>
        <v>12359</v>
      </c>
      <c r="R832" s="2" t="s">
        <v>28</v>
      </c>
      <c r="S832" s="9">
        <f t="shared" si="64"/>
        <v>905.90000000000009</v>
      </c>
    </row>
    <row r="833" spans="1:19" x14ac:dyDescent="0.3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str">
        <f>IFERROR(VLOOKUP('Customer Info'!A825,'Customer Info'!A825:C1324,2,FALSE),"Not Found")</f>
        <v>Not Found</v>
      </c>
      <c r="H833" s="6" t="str">
        <f>IFERROR(VLOOKUP('Customer Info'!A825,'Customer Info'!A825:C1324,3,FALSE),"Not Found")</f>
        <v>Not Found</v>
      </c>
      <c r="I833" s="6" t="str">
        <f>IFERROR(VLOOKUP('Customer Info'!A825,'Customer Info'!A825:E1324,5,FALSE),"Not Found")</f>
        <v>Not Found</v>
      </c>
      <c r="J833" s="2">
        <v>8619</v>
      </c>
      <c r="K833" s="2">
        <v>7759</v>
      </c>
      <c r="L833" s="2">
        <v>5</v>
      </c>
      <c r="M833" s="7">
        <f t="shared" si="60"/>
        <v>38795</v>
      </c>
      <c r="N833" s="7">
        <f t="shared" si="61"/>
        <v>43095</v>
      </c>
      <c r="O833" s="2">
        <v>58</v>
      </c>
      <c r="P833" s="8">
        <f t="shared" si="62"/>
        <v>43153</v>
      </c>
      <c r="Q833" s="8">
        <f t="shared" si="63"/>
        <v>35336</v>
      </c>
      <c r="R833" s="2" t="s">
        <v>56</v>
      </c>
      <c r="S833" s="9">
        <f t="shared" si="64"/>
        <v>3020.7100000000005</v>
      </c>
    </row>
    <row r="834" spans="1:19" x14ac:dyDescent="0.3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str">
        <f>IFERROR(VLOOKUP('Customer Info'!A826,'Customer Info'!A826:C1325,2,FALSE),"Not Found")</f>
        <v>Not Found</v>
      </c>
      <c r="H834" s="6" t="str">
        <f>IFERROR(VLOOKUP('Customer Info'!A826,'Customer Info'!A826:C1325,3,FALSE),"Not Found")</f>
        <v>Not Found</v>
      </c>
      <c r="I834" s="6" t="str">
        <f>IFERROR(VLOOKUP('Customer Info'!A826,'Customer Info'!A826:E1325,5,FALSE),"Not Found")</f>
        <v>Not Found</v>
      </c>
      <c r="J834" s="2">
        <v>3224</v>
      </c>
      <c r="K834" s="2">
        <v>2901</v>
      </c>
      <c r="L834" s="2">
        <v>4</v>
      </c>
      <c r="M834" s="7">
        <f t="shared" si="60"/>
        <v>11604</v>
      </c>
      <c r="N834" s="7">
        <f t="shared" si="61"/>
        <v>12896</v>
      </c>
      <c r="O834" s="2">
        <v>48</v>
      </c>
      <c r="P834" s="8">
        <f t="shared" si="62"/>
        <v>12944</v>
      </c>
      <c r="Q834" s="8">
        <f t="shared" si="63"/>
        <v>9995</v>
      </c>
      <c r="R834" s="2" t="s">
        <v>28</v>
      </c>
      <c r="S834" s="9">
        <f t="shared" si="64"/>
        <v>647.20000000000005</v>
      </c>
    </row>
    <row r="835" spans="1:19" x14ac:dyDescent="0.3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str">
        <f>IFERROR(VLOOKUP('Customer Info'!A827,'Customer Info'!A827:C1326,2,FALSE),"Not Found")</f>
        <v>Not Found</v>
      </c>
      <c r="H835" s="6" t="str">
        <f>IFERROR(VLOOKUP('Customer Info'!A827,'Customer Info'!A827:C1326,3,FALSE),"Not Found")</f>
        <v>Not Found</v>
      </c>
      <c r="I835" s="6" t="str">
        <f>IFERROR(VLOOKUP('Customer Info'!A827,'Customer Info'!A827:E1326,5,FALSE),"Not Found")</f>
        <v>Not Found</v>
      </c>
      <c r="J835" s="2">
        <v>1601</v>
      </c>
      <c r="K835" s="2">
        <v>1510</v>
      </c>
      <c r="L835" s="2">
        <v>1</v>
      </c>
      <c r="M835" s="7">
        <f t="shared" si="60"/>
        <v>1510</v>
      </c>
      <c r="N835" s="7">
        <f t="shared" si="61"/>
        <v>1601</v>
      </c>
      <c r="O835" s="2">
        <v>95</v>
      </c>
      <c r="P835" s="8">
        <f t="shared" si="62"/>
        <v>1696</v>
      </c>
      <c r="Q835" s="8">
        <f t="shared" si="63"/>
        <v>91</v>
      </c>
      <c r="R835" s="2" t="s">
        <v>50</v>
      </c>
      <c r="S835" s="9">
        <f t="shared" si="64"/>
        <v>33.92</v>
      </c>
    </row>
    <row r="836" spans="1:19" x14ac:dyDescent="0.3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str">
        <f>IFERROR(VLOOKUP('Customer Info'!A828,'Customer Info'!A828:C1327,2,FALSE),"Not Found")</f>
        <v>Not Found</v>
      </c>
      <c r="H836" s="6" t="str">
        <f>IFERROR(VLOOKUP('Customer Info'!A828,'Customer Info'!A828:C1327,3,FALSE),"Not Found")</f>
        <v>Not Found</v>
      </c>
      <c r="I836" s="6" t="str">
        <f>IFERROR(VLOOKUP('Customer Info'!A828,'Customer Info'!A828:E1327,5,FALSE),"Not Found")</f>
        <v>Not Found</v>
      </c>
      <c r="J836" s="2">
        <v>145</v>
      </c>
      <c r="K836" s="2">
        <v>130</v>
      </c>
      <c r="L836" s="2">
        <v>2</v>
      </c>
      <c r="M836" s="7">
        <f t="shared" si="60"/>
        <v>260</v>
      </c>
      <c r="N836" s="7">
        <f t="shared" si="61"/>
        <v>290</v>
      </c>
      <c r="O836" s="2">
        <v>30</v>
      </c>
      <c r="P836" s="8">
        <f t="shared" si="62"/>
        <v>320</v>
      </c>
      <c r="Q836" s="8">
        <f t="shared" si="63"/>
        <v>160</v>
      </c>
      <c r="R836" s="2" t="s">
        <v>28</v>
      </c>
      <c r="S836" s="9">
        <f t="shared" si="64"/>
        <v>6.4</v>
      </c>
    </row>
    <row r="837" spans="1:19" x14ac:dyDescent="0.3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str">
        <f>IFERROR(VLOOKUP('Customer Info'!A829,'Customer Info'!A829:C1328,2,FALSE),"Not Found")</f>
        <v>Not Found</v>
      </c>
      <c r="H837" s="6" t="str">
        <f>IFERROR(VLOOKUP('Customer Info'!A829,'Customer Info'!A829:C1328,3,FALSE),"Not Found")</f>
        <v>Not Found</v>
      </c>
      <c r="I837" s="6" t="str">
        <f>IFERROR(VLOOKUP('Customer Info'!A829,'Customer Info'!A829:E1328,5,FALSE),"Not Found")</f>
        <v>Not Found</v>
      </c>
      <c r="J837" s="2">
        <v>2083</v>
      </c>
      <c r="K837" s="2">
        <v>2004</v>
      </c>
      <c r="L837" s="2">
        <v>6</v>
      </c>
      <c r="M837" s="7">
        <f t="shared" si="60"/>
        <v>12024</v>
      </c>
      <c r="N837" s="7">
        <f t="shared" si="61"/>
        <v>12498</v>
      </c>
      <c r="O837" s="2">
        <v>33</v>
      </c>
      <c r="P837" s="8">
        <f t="shared" si="62"/>
        <v>12531</v>
      </c>
      <c r="Q837" s="8">
        <f t="shared" si="63"/>
        <v>10494</v>
      </c>
      <c r="R837" s="2" t="s">
        <v>28</v>
      </c>
      <c r="S837" s="9">
        <f t="shared" si="64"/>
        <v>626.55000000000007</v>
      </c>
    </row>
    <row r="838" spans="1:19" x14ac:dyDescent="0.3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str">
        <f>IFERROR(VLOOKUP('Customer Info'!A830,'Customer Info'!A830:C1329,2,FALSE),"Not Found")</f>
        <v>Not Found</v>
      </c>
      <c r="H838" s="6" t="str">
        <f>IFERROR(VLOOKUP('Customer Info'!A830,'Customer Info'!A830:C1329,3,FALSE),"Not Found")</f>
        <v>Not Found</v>
      </c>
      <c r="I838" s="6" t="str">
        <f>IFERROR(VLOOKUP('Customer Info'!A830,'Customer Info'!A830:E1329,5,FALSE),"Not Found")</f>
        <v>Not Found</v>
      </c>
      <c r="J838" s="2">
        <v>1358</v>
      </c>
      <c r="K838" s="2">
        <v>1294</v>
      </c>
      <c r="L838" s="2">
        <v>7</v>
      </c>
      <c r="M838" s="7">
        <f t="shared" si="60"/>
        <v>9058</v>
      </c>
      <c r="N838" s="7">
        <f t="shared" si="61"/>
        <v>9506</v>
      </c>
      <c r="O838" s="2">
        <v>70</v>
      </c>
      <c r="P838" s="8">
        <f t="shared" si="62"/>
        <v>9576</v>
      </c>
      <c r="Q838" s="8">
        <f t="shared" si="63"/>
        <v>8212</v>
      </c>
      <c r="R838" s="2" t="s">
        <v>28</v>
      </c>
      <c r="S838" s="9">
        <f t="shared" si="64"/>
        <v>478.8</v>
      </c>
    </row>
    <row r="839" spans="1:19" x14ac:dyDescent="0.3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str">
        <f>IFERROR(VLOOKUP('Customer Info'!A831,'Customer Info'!A831:C1330,2,FALSE),"Not Found")</f>
        <v>Not Found</v>
      </c>
      <c r="H839" s="6" t="str">
        <f>IFERROR(VLOOKUP('Customer Info'!A831,'Customer Info'!A831:C1330,3,FALSE),"Not Found")</f>
        <v>Not Found</v>
      </c>
      <c r="I839" s="6" t="str">
        <f>IFERROR(VLOOKUP('Customer Info'!A831,'Customer Info'!A831:E1330,5,FALSE),"Not Found")</f>
        <v>Not Found</v>
      </c>
      <c r="J839" s="2">
        <v>793</v>
      </c>
      <c r="K839" s="2">
        <v>755</v>
      </c>
      <c r="L839" s="2">
        <v>11</v>
      </c>
      <c r="M839" s="7">
        <f t="shared" si="60"/>
        <v>8305</v>
      </c>
      <c r="N839" s="7">
        <f t="shared" si="61"/>
        <v>8723</v>
      </c>
      <c r="O839" s="2">
        <v>85</v>
      </c>
      <c r="P839" s="8">
        <f t="shared" si="62"/>
        <v>8808</v>
      </c>
      <c r="Q839" s="8">
        <f t="shared" si="63"/>
        <v>7968</v>
      </c>
      <c r="R839" s="2" t="s">
        <v>28</v>
      </c>
      <c r="S839" s="9">
        <f t="shared" si="64"/>
        <v>440.40000000000003</v>
      </c>
    </row>
    <row r="840" spans="1:19" x14ac:dyDescent="0.3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str">
        <f>IFERROR(VLOOKUP('Customer Info'!A832,'Customer Info'!A832:C1331,2,FALSE),"Not Found")</f>
        <v>Not Found</v>
      </c>
      <c r="H840" s="6" t="str">
        <f>IFERROR(VLOOKUP('Customer Info'!A832,'Customer Info'!A832:C1331,3,FALSE),"Not Found")</f>
        <v>Not Found</v>
      </c>
      <c r="I840" s="6" t="str">
        <f>IFERROR(VLOOKUP('Customer Info'!A832,'Customer Info'!A832:E1331,5,FALSE),"Not Found")</f>
        <v>Not Found</v>
      </c>
      <c r="J840" s="2">
        <v>829</v>
      </c>
      <c r="K840" s="2">
        <v>761</v>
      </c>
      <c r="L840" s="2">
        <v>6</v>
      </c>
      <c r="M840" s="7">
        <f t="shared" si="60"/>
        <v>4566</v>
      </c>
      <c r="N840" s="7">
        <f t="shared" si="61"/>
        <v>4974</v>
      </c>
      <c r="O840" s="2">
        <v>87</v>
      </c>
      <c r="P840" s="8">
        <f t="shared" si="62"/>
        <v>5061</v>
      </c>
      <c r="Q840" s="8">
        <f t="shared" si="63"/>
        <v>4213</v>
      </c>
      <c r="R840" s="2" t="s">
        <v>28</v>
      </c>
      <c r="S840" s="9">
        <f t="shared" si="64"/>
        <v>253.05</v>
      </c>
    </row>
    <row r="841" spans="1:19" x14ac:dyDescent="0.3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str">
        <f>IFERROR(VLOOKUP('Customer Info'!A833,'Customer Info'!A833:C1332,2,FALSE),"Not Found")</f>
        <v>Not Found</v>
      </c>
      <c r="H841" s="6" t="str">
        <f>IFERROR(VLOOKUP('Customer Info'!A833,'Customer Info'!A833:C1332,3,FALSE),"Not Found")</f>
        <v>Not Found</v>
      </c>
      <c r="I841" s="6" t="str">
        <f>IFERROR(VLOOKUP('Customer Info'!A833,'Customer Info'!A833:E1332,5,FALSE),"Not Found")</f>
        <v>Not Found</v>
      </c>
      <c r="J841" s="2">
        <v>3256</v>
      </c>
      <c r="K841" s="2">
        <v>3044</v>
      </c>
      <c r="L841" s="2">
        <v>8</v>
      </c>
      <c r="M841" s="7">
        <f t="shared" si="60"/>
        <v>24352</v>
      </c>
      <c r="N841" s="7">
        <f t="shared" si="61"/>
        <v>26048</v>
      </c>
      <c r="O841" s="2">
        <v>96</v>
      </c>
      <c r="P841" s="8">
        <f t="shared" si="62"/>
        <v>26144</v>
      </c>
      <c r="Q841" s="8">
        <f t="shared" si="63"/>
        <v>23004</v>
      </c>
      <c r="R841" s="2" t="s">
        <v>56</v>
      </c>
      <c r="S841" s="9">
        <f t="shared" si="64"/>
        <v>1830.0800000000002</v>
      </c>
    </row>
    <row r="842" spans="1:19" x14ac:dyDescent="0.3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str">
        <f>IFERROR(VLOOKUP('Customer Info'!A834,'Customer Info'!A834:C1333,2,FALSE),"Not Found")</f>
        <v>Not Found</v>
      </c>
      <c r="H842" s="6" t="str">
        <f>IFERROR(VLOOKUP('Customer Info'!A834,'Customer Info'!A834:C1333,3,FALSE),"Not Found")</f>
        <v>Not Found</v>
      </c>
      <c r="I842" s="6" t="str">
        <f>IFERROR(VLOOKUP('Customer Info'!A834,'Customer Info'!A834:E1333,5,FALSE),"Not Found")</f>
        <v>Not Found</v>
      </c>
      <c r="J842" s="2">
        <v>2829</v>
      </c>
      <c r="K842" s="2">
        <v>2596</v>
      </c>
      <c r="L842" s="2">
        <v>1</v>
      </c>
      <c r="M842" s="7">
        <f t="shared" si="60"/>
        <v>2596</v>
      </c>
      <c r="N842" s="7">
        <f t="shared" si="61"/>
        <v>2829</v>
      </c>
      <c r="O842" s="2">
        <v>20</v>
      </c>
      <c r="P842" s="8">
        <f t="shared" si="62"/>
        <v>2849</v>
      </c>
      <c r="Q842" s="8">
        <f t="shared" si="63"/>
        <v>233</v>
      </c>
      <c r="R842" s="2" t="s">
        <v>50</v>
      </c>
      <c r="S842" s="9">
        <f t="shared" si="64"/>
        <v>56.980000000000004</v>
      </c>
    </row>
    <row r="843" spans="1:19" x14ac:dyDescent="0.3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str">
        <f>IFERROR(VLOOKUP('Customer Info'!A835,'Customer Info'!A835:C1334,2,FALSE),"Not Found")</f>
        <v>Not Found</v>
      </c>
      <c r="H843" s="6" t="str">
        <f>IFERROR(VLOOKUP('Customer Info'!A835,'Customer Info'!A835:C1334,3,FALSE),"Not Found")</f>
        <v>Not Found</v>
      </c>
      <c r="I843" s="6" t="str">
        <f>IFERROR(VLOOKUP('Customer Info'!A835,'Customer Info'!A835:E1334,5,FALSE),"Not Found")</f>
        <v>Not Found</v>
      </c>
      <c r="J843" s="2">
        <v>288</v>
      </c>
      <c r="K843" s="2">
        <v>264</v>
      </c>
      <c r="L843" s="2">
        <v>3</v>
      </c>
      <c r="M843" s="7">
        <f t="shared" ref="M843:M906" si="65">$K843*$L843</f>
        <v>792</v>
      </c>
      <c r="N843" s="7">
        <f t="shared" ref="N843:N906" si="66">$J843*$L843</f>
        <v>864</v>
      </c>
      <c r="O843" s="2">
        <v>65</v>
      </c>
      <c r="P843" s="8">
        <f t="shared" ref="P843:P906" si="67">$N843+$O843</f>
        <v>929</v>
      </c>
      <c r="Q843" s="8">
        <f t="shared" ref="Q843:Q906" si="68">$N843-$K843</f>
        <v>600</v>
      </c>
      <c r="R843" s="2" t="s">
        <v>28</v>
      </c>
      <c r="S843" s="9">
        <f t="shared" ref="S843:S906" si="69" xml:space="preserve"> P843 * VLOOKUP(P843, $T$2:$U$6, 2, TRUE)</f>
        <v>18.580000000000002</v>
      </c>
    </row>
    <row r="844" spans="1:19" x14ac:dyDescent="0.3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str">
        <f>IFERROR(VLOOKUP('Customer Info'!A836,'Customer Info'!A836:C1335,2,FALSE),"Not Found")</f>
        <v>Not Found</v>
      </c>
      <c r="H844" s="6" t="str">
        <f>IFERROR(VLOOKUP('Customer Info'!A836,'Customer Info'!A836:C1335,3,FALSE),"Not Found")</f>
        <v>Not Found</v>
      </c>
      <c r="I844" s="6" t="str">
        <f>IFERROR(VLOOKUP('Customer Info'!A836,'Customer Info'!A836:E1335,5,FALSE),"Not Found")</f>
        <v>Not Found</v>
      </c>
      <c r="J844" s="2">
        <v>1321</v>
      </c>
      <c r="K844" s="2">
        <v>1211</v>
      </c>
      <c r="L844" s="2">
        <v>9</v>
      </c>
      <c r="M844" s="7">
        <f t="shared" si="65"/>
        <v>10899</v>
      </c>
      <c r="N844" s="7">
        <f t="shared" si="66"/>
        <v>11889</v>
      </c>
      <c r="O844" s="2">
        <v>28</v>
      </c>
      <c r="P844" s="8">
        <f t="shared" si="67"/>
        <v>11917</v>
      </c>
      <c r="Q844" s="8">
        <f t="shared" si="68"/>
        <v>10678</v>
      </c>
      <c r="R844" s="2" t="s">
        <v>28</v>
      </c>
      <c r="S844" s="9">
        <f t="shared" si="69"/>
        <v>595.85</v>
      </c>
    </row>
    <row r="845" spans="1:19" x14ac:dyDescent="0.3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str">
        <f>IFERROR(VLOOKUP('Customer Info'!A837,'Customer Info'!A837:C1336,2,FALSE),"Not Found")</f>
        <v>Not Found</v>
      </c>
      <c r="H845" s="6" t="str">
        <f>IFERROR(VLOOKUP('Customer Info'!A837,'Customer Info'!A837:C1336,3,FALSE),"Not Found")</f>
        <v>Not Found</v>
      </c>
      <c r="I845" s="6" t="str">
        <f>IFERROR(VLOOKUP('Customer Info'!A837,'Customer Info'!A837:E1336,5,FALSE),"Not Found")</f>
        <v>Not Found</v>
      </c>
      <c r="J845" s="2">
        <v>2453</v>
      </c>
      <c r="K845" s="2">
        <v>2336</v>
      </c>
      <c r="L845" s="2">
        <v>2</v>
      </c>
      <c r="M845" s="7">
        <f t="shared" si="65"/>
        <v>4672</v>
      </c>
      <c r="N845" s="7">
        <f t="shared" si="66"/>
        <v>4906</v>
      </c>
      <c r="O845" s="2">
        <v>45</v>
      </c>
      <c r="P845" s="8">
        <f t="shared" si="67"/>
        <v>4951</v>
      </c>
      <c r="Q845" s="8">
        <f t="shared" si="68"/>
        <v>2570</v>
      </c>
      <c r="R845" s="2" t="s">
        <v>28</v>
      </c>
      <c r="S845" s="9">
        <f t="shared" si="69"/>
        <v>99.02</v>
      </c>
    </row>
    <row r="846" spans="1:19" x14ac:dyDescent="0.3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str">
        <f>IFERROR(VLOOKUP('Customer Info'!A838,'Customer Info'!A838:C1337,2,FALSE),"Not Found")</f>
        <v>Not Found</v>
      </c>
      <c r="H846" s="6" t="str">
        <f>IFERROR(VLOOKUP('Customer Info'!A838,'Customer Info'!A838:C1337,3,FALSE),"Not Found")</f>
        <v>Not Found</v>
      </c>
      <c r="I846" s="6" t="str">
        <f>IFERROR(VLOOKUP('Customer Info'!A838,'Customer Info'!A838:E1337,5,FALSE),"Not Found")</f>
        <v>Not Found</v>
      </c>
      <c r="J846" s="2">
        <v>2442</v>
      </c>
      <c r="K846" s="2">
        <v>2304</v>
      </c>
      <c r="L846" s="2">
        <v>4</v>
      </c>
      <c r="M846" s="7">
        <f t="shared" si="65"/>
        <v>9216</v>
      </c>
      <c r="N846" s="7">
        <f t="shared" si="66"/>
        <v>9768</v>
      </c>
      <c r="O846" s="2">
        <v>21</v>
      </c>
      <c r="P846" s="8">
        <f t="shared" si="67"/>
        <v>9789</v>
      </c>
      <c r="Q846" s="8">
        <f t="shared" si="68"/>
        <v>7464</v>
      </c>
      <c r="R846" s="2" t="s">
        <v>50</v>
      </c>
      <c r="S846" s="9">
        <f t="shared" si="69"/>
        <v>489.45000000000005</v>
      </c>
    </row>
    <row r="847" spans="1:19" x14ac:dyDescent="0.3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str">
        <f>IFERROR(VLOOKUP('Customer Info'!A839,'Customer Info'!A839:C1338,2,FALSE),"Not Found")</f>
        <v>Not Found</v>
      </c>
      <c r="H847" s="6" t="str">
        <f>IFERROR(VLOOKUP('Customer Info'!A839,'Customer Info'!A839:C1338,3,FALSE),"Not Found")</f>
        <v>Not Found</v>
      </c>
      <c r="I847" s="6" t="str">
        <f>IFERROR(VLOOKUP('Customer Info'!A839,'Customer Info'!A839:E1338,5,FALSE),"Not Found")</f>
        <v>Not Found</v>
      </c>
      <c r="J847" s="2">
        <v>6060</v>
      </c>
      <c r="K847" s="2">
        <v>6002</v>
      </c>
      <c r="L847" s="2">
        <v>9</v>
      </c>
      <c r="M847" s="7">
        <f t="shared" si="65"/>
        <v>54018</v>
      </c>
      <c r="N847" s="7">
        <f t="shared" si="66"/>
        <v>54540</v>
      </c>
      <c r="O847" s="2">
        <v>100</v>
      </c>
      <c r="P847" s="8">
        <f t="shared" si="67"/>
        <v>54640</v>
      </c>
      <c r="Q847" s="8">
        <f t="shared" si="68"/>
        <v>48538</v>
      </c>
      <c r="R847" s="2" t="s">
        <v>28</v>
      </c>
      <c r="S847" s="9">
        <f t="shared" si="69"/>
        <v>4917.5999999999995</v>
      </c>
    </row>
    <row r="848" spans="1:19" x14ac:dyDescent="0.3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str">
        <f>IFERROR(VLOOKUP('Customer Info'!A840,'Customer Info'!A840:C1339,2,FALSE),"Not Found")</f>
        <v>Not Found</v>
      </c>
      <c r="H848" s="6" t="str">
        <f>IFERROR(VLOOKUP('Customer Info'!A840,'Customer Info'!A840:C1339,3,FALSE),"Not Found")</f>
        <v>Not Found</v>
      </c>
      <c r="I848" s="6" t="str">
        <f>IFERROR(VLOOKUP('Customer Info'!A840,'Customer Info'!A840:E1339,5,FALSE),"Not Found")</f>
        <v>Not Found</v>
      </c>
      <c r="J848" s="2">
        <v>1568</v>
      </c>
      <c r="K848" s="2">
        <v>1495</v>
      </c>
      <c r="L848" s="2">
        <v>1</v>
      </c>
      <c r="M848" s="7">
        <f t="shared" si="65"/>
        <v>1495</v>
      </c>
      <c r="N848" s="7">
        <f t="shared" si="66"/>
        <v>1568</v>
      </c>
      <c r="O848" s="2">
        <v>86</v>
      </c>
      <c r="P848" s="8">
        <f t="shared" si="67"/>
        <v>1654</v>
      </c>
      <c r="Q848" s="8">
        <f t="shared" si="68"/>
        <v>73</v>
      </c>
      <c r="R848" s="2" t="s">
        <v>28</v>
      </c>
      <c r="S848" s="9">
        <f t="shared" si="69"/>
        <v>33.08</v>
      </c>
    </row>
    <row r="849" spans="1:19" x14ac:dyDescent="0.3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str">
        <f>IFERROR(VLOOKUP('Customer Info'!A841,'Customer Info'!A841:C1340,2,FALSE),"Not Found")</f>
        <v>Not Found</v>
      </c>
      <c r="H849" s="6" t="str">
        <f>IFERROR(VLOOKUP('Customer Info'!A841,'Customer Info'!A841:C1340,3,FALSE),"Not Found")</f>
        <v>Not Found</v>
      </c>
      <c r="I849" s="6" t="str">
        <f>IFERROR(VLOOKUP('Customer Info'!A841,'Customer Info'!A841:E1340,5,FALSE),"Not Found")</f>
        <v>Not Found</v>
      </c>
      <c r="J849" s="2">
        <v>6611</v>
      </c>
      <c r="K849" s="2">
        <v>5943</v>
      </c>
      <c r="L849" s="2">
        <v>2</v>
      </c>
      <c r="M849" s="7">
        <f t="shared" si="65"/>
        <v>11886</v>
      </c>
      <c r="N849" s="7">
        <f t="shared" si="66"/>
        <v>13222</v>
      </c>
      <c r="O849" s="2">
        <v>99</v>
      </c>
      <c r="P849" s="8">
        <f t="shared" si="67"/>
        <v>13321</v>
      </c>
      <c r="Q849" s="8">
        <f t="shared" si="68"/>
        <v>7279</v>
      </c>
      <c r="R849" s="2" t="s">
        <v>50</v>
      </c>
      <c r="S849" s="9">
        <f t="shared" si="69"/>
        <v>666.05000000000007</v>
      </c>
    </row>
    <row r="850" spans="1:19" x14ac:dyDescent="0.3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str">
        <f>IFERROR(VLOOKUP('Customer Info'!A842,'Customer Info'!A842:C1341,2,FALSE),"Not Found")</f>
        <v>Not Found</v>
      </c>
      <c r="H850" s="6" t="str">
        <f>IFERROR(VLOOKUP('Customer Info'!A842,'Customer Info'!A842:C1341,3,FALSE),"Not Found")</f>
        <v>Not Found</v>
      </c>
      <c r="I850" s="6" t="str">
        <f>IFERROR(VLOOKUP('Customer Info'!A842,'Customer Info'!A842:E1341,5,FALSE),"Not Found")</f>
        <v>Not Found</v>
      </c>
      <c r="J850" s="2">
        <v>2243</v>
      </c>
      <c r="K850" s="2">
        <v>2000</v>
      </c>
      <c r="L850" s="2">
        <v>2</v>
      </c>
      <c r="M850" s="7">
        <f t="shared" si="65"/>
        <v>4000</v>
      </c>
      <c r="N850" s="7">
        <f t="shared" si="66"/>
        <v>4486</v>
      </c>
      <c r="O850" s="2">
        <v>46</v>
      </c>
      <c r="P850" s="8">
        <f t="shared" si="67"/>
        <v>4532</v>
      </c>
      <c r="Q850" s="8">
        <f t="shared" si="68"/>
        <v>2486</v>
      </c>
      <c r="R850" s="2" t="s">
        <v>28</v>
      </c>
      <c r="S850" s="9">
        <f t="shared" si="69"/>
        <v>90.64</v>
      </c>
    </row>
    <row r="851" spans="1:19" x14ac:dyDescent="0.3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str">
        <f>IFERROR(VLOOKUP('Customer Info'!A843,'Customer Info'!A843:C1342,2,FALSE),"Not Found")</f>
        <v>Not Found</v>
      </c>
      <c r="H851" s="6" t="str">
        <f>IFERROR(VLOOKUP('Customer Info'!A843,'Customer Info'!A843:C1342,3,FALSE),"Not Found")</f>
        <v>Not Found</v>
      </c>
      <c r="I851" s="6" t="str">
        <f>IFERROR(VLOOKUP('Customer Info'!A843,'Customer Info'!A843:E1342,5,FALSE),"Not Found")</f>
        <v>Not Found</v>
      </c>
      <c r="J851" s="2">
        <v>1498</v>
      </c>
      <c r="K851" s="2">
        <v>1335</v>
      </c>
      <c r="L851" s="2">
        <v>2</v>
      </c>
      <c r="M851" s="7">
        <f t="shared" si="65"/>
        <v>2670</v>
      </c>
      <c r="N851" s="7">
        <f t="shared" si="66"/>
        <v>2996</v>
      </c>
      <c r="O851" s="2">
        <v>54</v>
      </c>
      <c r="P851" s="8">
        <f t="shared" si="67"/>
        <v>3050</v>
      </c>
      <c r="Q851" s="8">
        <f t="shared" si="68"/>
        <v>1661</v>
      </c>
      <c r="R851" s="2" t="s">
        <v>28</v>
      </c>
      <c r="S851" s="9">
        <f t="shared" si="69"/>
        <v>61</v>
      </c>
    </row>
    <row r="852" spans="1:19" x14ac:dyDescent="0.3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str">
        <f>IFERROR(VLOOKUP('Customer Info'!A844,'Customer Info'!A844:C1343,2,FALSE),"Not Found")</f>
        <v>Not Found</v>
      </c>
      <c r="H852" s="6" t="str">
        <f>IFERROR(VLOOKUP('Customer Info'!A844,'Customer Info'!A844:C1343,3,FALSE),"Not Found")</f>
        <v>Not Found</v>
      </c>
      <c r="I852" s="6" t="str">
        <f>IFERROR(VLOOKUP('Customer Info'!A844,'Customer Info'!A844:E1343,5,FALSE),"Not Found")</f>
        <v>Not Found</v>
      </c>
      <c r="J852" s="2">
        <v>147</v>
      </c>
      <c r="K852" s="2">
        <v>138</v>
      </c>
      <c r="L852" s="2">
        <v>2</v>
      </c>
      <c r="M852" s="7">
        <f t="shared" si="65"/>
        <v>276</v>
      </c>
      <c r="N852" s="7">
        <f t="shared" si="66"/>
        <v>294</v>
      </c>
      <c r="O852" s="2">
        <v>30</v>
      </c>
      <c r="P852" s="8">
        <f t="shared" si="67"/>
        <v>324</v>
      </c>
      <c r="Q852" s="8">
        <f t="shared" si="68"/>
        <v>156</v>
      </c>
      <c r="R852" s="2" t="s">
        <v>28</v>
      </c>
      <c r="S852" s="9">
        <f t="shared" si="69"/>
        <v>6.48</v>
      </c>
    </row>
    <row r="853" spans="1:19" x14ac:dyDescent="0.3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str">
        <f>IFERROR(VLOOKUP('Customer Info'!A845,'Customer Info'!A845:C1344,2,FALSE),"Not Found")</f>
        <v>Not Found</v>
      </c>
      <c r="H853" s="6" t="str">
        <f>IFERROR(VLOOKUP('Customer Info'!A845,'Customer Info'!A845:C1344,3,FALSE),"Not Found")</f>
        <v>Not Found</v>
      </c>
      <c r="I853" s="6" t="str">
        <f>IFERROR(VLOOKUP('Customer Info'!A845,'Customer Info'!A845:E1344,5,FALSE),"Not Found")</f>
        <v>Not Found</v>
      </c>
      <c r="J853" s="2">
        <v>166</v>
      </c>
      <c r="K853" s="2">
        <v>149</v>
      </c>
      <c r="L853" s="2">
        <v>3</v>
      </c>
      <c r="M853" s="7">
        <f t="shared" si="65"/>
        <v>447</v>
      </c>
      <c r="N853" s="7">
        <f t="shared" si="66"/>
        <v>498</v>
      </c>
      <c r="O853" s="2">
        <v>30</v>
      </c>
      <c r="P853" s="8">
        <f t="shared" si="67"/>
        <v>528</v>
      </c>
      <c r="Q853" s="8">
        <f t="shared" si="68"/>
        <v>349</v>
      </c>
      <c r="R853" s="2" t="s">
        <v>28</v>
      </c>
      <c r="S853" s="9">
        <f t="shared" si="69"/>
        <v>10.56</v>
      </c>
    </row>
    <row r="854" spans="1:19" x14ac:dyDescent="0.3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str">
        <f>IFERROR(VLOOKUP('Customer Info'!A846,'Customer Info'!A846:C1345,2,FALSE),"Not Found")</f>
        <v>Not Found</v>
      </c>
      <c r="H854" s="6" t="str">
        <f>IFERROR(VLOOKUP('Customer Info'!A846,'Customer Info'!A846:C1345,3,FALSE),"Not Found")</f>
        <v>Not Found</v>
      </c>
      <c r="I854" s="6" t="str">
        <f>IFERROR(VLOOKUP('Customer Info'!A846,'Customer Info'!A846:E1345,5,FALSE),"Not Found")</f>
        <v>Not Found</v>
      </c>
      <c r="J854" s="2">
        <v>288</v>
      </c>
      <c r="K854" s="2">
        <v>264</v>
      </c>
      <c r="L854" s="2">
        <v>12</v>
      </c>
      <c r="M854" s="7">
        <f t="shared" si="65"/>
        <v>3168</v>
      </c>
      <c r="N854" s="7">
        <f t="shared" si="66"/>
        <v>3456</v>
      </c>
      <c r="O854" s="2">
        <v>87</v>
      </c>
      <c r="P854" s="8">
        <f t="shared" si="67"/>
        <v>3543</v>
      </c>
      <c r="Q854" s="8">
        <f t="shared" si="68"/>
        <v>3192</v>
      </c>
      <c r="R854" s="2" t="s">
        <v>28</v>
      </c>
      <c r="S854" s="9">
        <f t="shared" si="69"/>
        <v>70.86</v>
      </c>
    </row>
    <row r="855" spans="1:19" x14ac:dyDescent="0.3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str">
        <f>IFERROR(VLOOKUP('Customer Info'!A847,'Customer Info'!A847:C1346,2,FALSE),"Not Found")</f>
        <v>Not Found</v>
      </c>
      <c r="H855" s="6" t="str">
        <f>IFERROR(VLOOKUP('Customer Info'!A847,'Customer Info'!A847:C1346,3,FALSE),"Not Found")</f>
        <v>Not Found</v>
      </c>
      <c r="I855" s="6" t="str">
        <f>IFERROR(VLOOKUP('Customer Info'!A847,'Customer Info'!A847:E1346,5,FALSE),"Not Found")</f>
        <v>Not Found</v>
      </c>
      <c r="J855" s="2">
        <v>6701</v>
      </c>
      <c r="K855" s="2">
        <v>6384</v>
      </c>
      <c r="L855" s="2">
        <v>3</v>
      </c>
      <c r="M855" s="7">
        <f t="shared" si="65"/>
        <v>19152</v>
      </c>
      <c r="N855" s="7">
        <f t="shared" si="66"/>
        <v>20103</v>
      </c>
      <c r="O855" s="2">
        <v>72</v>
      </c>
      <c r="P855" s="8">
        <f t="shared" si="67"/>
        <v>20175</v>
      </c>
      <c r="Q855" s="8">
        <f t="shared" si="68"/>
        <v>13719</v>
      </c>
      <c r="R855" s="2" t="s">
        <v>50</v>
      </c>
      <c r="S855" s="9">
        <f t="shared" si="69"/>
        <v>1008.75</v>
      </c>
    </row>
    <row r="856" spans="1:19" x14ac:dyDescent="0.3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str">
        <f>IFERROR(VLOOKUP('Customer Info'!A848,'Customer Info'!A848:C1347,2,FALSE),"Not Found")</f>
        <v>Not Found</v>
      </c>
      <c r="H856" s="6" t="str">
        <f>IFERROR(VLOOKUP('Customer Info'!A848,'Customer Info'!A848:C1347,3,FALSE),"Not Found")</f>
        <v>Not Found</v>
      </c>
      <c r="I856" s="6" t="str">
        <f>IFERROR(VLOOKUP('Customer Info'!A848,'Customer Info'!A848:E1347,5,FALSE),"Not Found")</f>
        <v>Not Found</v>
      </c>
      <c r="J856" s="2">
        <v>393</v>
      </c>
      <c r="K856" s="2">
        <v>374</v>
      </c>
      <c r="L856" s="2">
        <v>1</v>
      </c>
      <c r="M856" s="7">
        <f t="shared" si="65"/>
        <v>374</v>
      </c>
      <c r="N856" s="7">
        <f t="shared" si="66"/>
        <v>393</v>
      </c>
      <c r="O856" s="2">
        <v>21</v>
      </c>
      <c r="P856" s="8">
        <f t="shared" si="67"/>
        <v>414</v>
      </c>
      <c r="Q856" s="8">
        <f t="shared" si="68"/>
        <v>19</v>
      </c>
      <c r="R856" s="2" t="s">
        <v>28</v>
      </c>
      <c r="S856" s="9">
        <f t="shared" si="69"/>
        <v>8.2799999999999994</v>
      </c>
    </row>
    <row r="857" spans="1:19" x14ac:dyDescent="0.3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str">
        <f>IFERROR(VLOOKUP('Customer Info'!A849,'Customer Info'!A849:C1348,2,FALSE),"Not Found")</f>
        <v>Not Found</v>
      </c>
      <c r="H857" s="6" t="str">
        <f>IFERROR(VLOOKUP('Customer Info'!A849,'Customer Info'!A849:C1348,3,FALSE),"Not Found")</f>
        <v>Not Found</v>
      </c>
      <c r="I857" s="6" t="str">
        <f>IFERROR(VLOOKUP('Customer Info'!A849,'Customer Info'!A849:E1348,5,FALSE),"Not Found")</f>
        <v>Not Found</v>
      </c>
      <c r="J857" s="2">
        <v>4904</v>
      </c>
      <c r="K857" s="2">
        <v>4499</v>
      </c>
      <c r="L857" s="2">
        <v>3</v>
      </c>
      <c r="M857" s="7">
        <f t="shared" si="65"/>
        <v>13497</v>
      </c>
      <c r="N857" s="7">
        <f t="shared" si="66"/>
        <v>14712</v>
      </c>
      <c r="O857" s="2">
        <v>82</v>
      </c>
      <c r="P857" s="8">
        <f t="shared" si="67"/>
        <v>14794</v>
      </c>
      <c r="Q857" s="8">
        <f t="shared" si="68"/>
        <v>10213</v>
      </c>
      <c r="R857" s="2" t="s">
        <v>28</v>
      </c>
      <c r="S857" s="9">
        <f t="shared" si="69"/>
        <v>739.7</v>
      </c>
    </row>
    <row r="858" spans="1:19" x14ac:dyDescent="0.3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str">
        <f>IFERROR(VLOOKUP('Customer Info'!A850,'Customer Info'!A850:C1349,2,FALSE),"Not Found")</f>
        <v>Not Found</v>
      </c>
      <c r="H858" s="6" t="str">
        <f>IFERROR(VLOOKUP('Customer Info'!A850,'Customer Info'!A850:C1349,3,FALSE),"Not Found")</f>
        <v>Not Found</v>
      </c>
      <c r="I858" s="6" t="str">
        <f>IFERROR(VLOOKUP('Customer Info'!A850,'Customer Info'!A850:E1349,5,FALSE),"Not Found")</f>
        <v>Not Found</v>
      </c>
      <c r="J858" s="2">
        <v>78</v>
      </c>
      <c r="K858" s="2">
        <v>74</v>
      </c>
      <c r="L858" s="2">
        <v>7</v>
      </c>
      <c r="M858" s="7">
        <f t="shared" si="65"/>
        <v>518</v>
      </c>
      <c r="N858" s="7">
        <f t="shared" si="66"/>
        <v>546</v>
      </c>
      <c r="O858" s="2">
        <v>10</v>
      </c>
      <c r="P858" s="8">
        <f t="shared" si="67"/>
        <v>556</v>
      </c>
      <c r="Q858" s="8">
        <f t="shared" si="68"/>
        <v>472</v>
      </c>
      <c r="R858" s="2" t="s">
        <v>28</v>
      </c>
      <c r="S858" s="9">
        <f t="shared" si="69"/>
        <v>11.120000000000001</v>
      </c>
    </row>
    <row r="859" spans="1:19" x14ac:dyDescent="0.3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str">
        <f>IFERROR(VLOOKUP('Customer Info'!A851,'Customer Info'!A851:C1350,2,FALSE),"Not Found")</f>
        <v>Not Found</v>
      </c>
      <c r="H859" s="6" t="str">
        <f>IFERROR(VLOOKUP('Customer Info'!A851,'Customer Info'!A851:C1350,3,FALSE),"Not Found")</f>
        <v>Not Found</v>
      </c>
      <c r="I859" s="6" t="str">
        <f>IFERROR(VLOOKUP('Customer Info'!A851,'Customer Info'!A851:E1350,5,FALSE),"Not Found")</f>
        <v>Not Found</v>
      </c>
      <c r="J859" s="2">
        <v>63</v>
      </c>
      <c r="K859" s="2">
        <v>59</v>
      </c>
      <c r="L859" s="2">
        <v>3</v>
      </c>
      <c r="M859" s="7">
        <f t="shared" si="65"/>
        <v>177</v>
      </c>
      <c r="N859" s="7">
        <f t="shared" si="66"/>
        <v>189</v>
      </c>
      <c r="O859" s="2">
        <v>10</v>
      </c>
      <c r="P859" s="8">
        <f t="shared" si="67"/>
        <v>199</v>
      </c>
      <c r="Q859" s="8">
        <f t="shared" si="68"/>
        <v>130</v>
      </c>
      <c r="R859" s="2" t="s">
        <v>28</v>
      </c>
      <c r="S859" s="9">
        <f t="shared" si="69"/>
        <v>3.98</v>
      </c>
    </row>
    <row r="860" spans="1:19" x14ac:dyDescent="0.3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str">
        <f>IFERROR(VLOOKUP('Customer Info'!A852,'Customer Info'!A852:C1351,2,FALSE),"Not Found")</f>
        <v>Not Found</v>
      </c>
      <c r="H860" s="6" t="str">
        <f>IFERROR(VLOOKUP('Customer Info'!A852,'Customer Info'!A852:C1351,3,FALSE),"Not Found")</f>
        <v>Not Found</v>
      </c>
      <c r="I860" s="6" t="str">
        <f>IFERROR(VLOOKUP('Customer Info'!A852,'Customer Info'!A852:E1351,5,FALSE),"Not Found")</f>
        <v>Not Found</v>
      </c>
      <c r="J860" s="2">
        <v>1790</v>
      </c>
      <c r="K860" s="2">
        <v>1706</v>
      </c>
      <c r="L860" s="2">
        <v>4</v>
      </c>
      <c r="M860" s="7">
        <f t="shared" si="65"/>
        <v>6824</v>
      </c>
      <c r="N860" s="7">
        <f t="shared" si="66"/>
        <v>7160</v>
      </c>
      <c r="O860" s="2">
        <v>57</v>
      </c>
      <c r="P860" s="8">
        <f t="shared" si="67"/>
        <v>7217</v>
      </c>
      <c r="Q860" s="8">
        <f t="shared" si="68"/>
        <v>5454</v>
      </c>
      <c r="R860" s="2" t="s">
        <v>28</v>
      </c>
      <c r="S860" s="9">
        <f t="shared" si="69"/>
        <v>360.85</v>
      </c>
    </row>
    <row r="861" spans="1:19" x14ac:dyDescent="0.3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str">
        <f>IFERROR(VLOOKUP('Customer Info'!A853,'Customer Info'!A853:C1352,2,FALSE),"Not Found")</f>
        <v>Not Found</v>
      </c>
      <c r="H861" s="6" t="str">
        <f>IFERROR(VLOOKUP('Customer Info'!A853,'Customer Info'!A853:C1352,3,FALSE),"Not Found")</f>
        <v>Not Found</v>
      </c>
      <c r="I861" s="6" t="str">
        <f>IFERROR(VLOOKUP('Customer Info'!A853,'Customer Info'!A853:E1352,5,FALSE),"Not Found")</f>
        <v>Not Found</v>
      </c>
      <c r="J861" s="2">
        <v>726</v>
      </c>
      <c r="K861" s="2">
        <v>646</v>
      </c>
      <c r="L861" s="2">
        <v>1</v>
      </c>
      <c r="M861" s="7">
        <f t="shared" si="65"/>
        <v>646</v>
      </c>
      <c r="N861" s="7">
        <f t="shared" si="66"/>
        <v>726</v>
      </c>
      <c r="O861" s="2">
        <v>55</v>
      </c>
      <c r="P861" s="8">
        <f t="shared" si="67"/>
        <v>781</v>
      </c>
      <c r="Q861" s="8">
        <f t="shared" si="68"/>
        <v>80</v>
      </c>
      <c r="R861" s="2" t="s">
        <v>50</v>
      </c>
      <c r="S861" s="9">
        <f t="shared" si="69"/>
        <v>15.620000000000001</v>
      </c>
    </row>
    <row r="862" spans="1:19" x14ac:dyDescent="0.3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str">
        <f>IFERROR(VLOOKUP('Customer Info'!A854,'Customer Info'!A854:C1353,2,FALSE),"Not Found")</f>
        <v>Not Found</v>
      </c>
      <c r="H862" s="6" t="str">
        <f>IFERROR(VLOOKUP('Customer Info'!A854,'Customer Info'!A854:C1353,3,FALSE),"Not Found")</f>
        <v>Not Found</v>
      </c>
      <c r="I862" s="6" t="str">
        <f>IFERROR(VLOOKUP('Customer Info'!A854,'Customer Info'!A854:E1353,5,FALSE),"Not Found")</f>
        <v>Not Found</v>
      </c>
      <c r="J862" s="2">
        <v>1916</v>
      </c>
      <c r="K862" s="2">
        <v>1844</v>
      </c>
      <c r="L862" s="2">
        <v>3</v>
      </c>
      <c r="M862" s="7">
        <f t="shared" si="65"/>
        <v>5532</v>
      </c>
      <c r="N862" s="7">
        <f t="shared" si="66"/>
        <v>5748</v>
      </c>
      <c r="O862" s="2">
        <v>97</v>
      </c>
      <c r="P862" s="8">
        <f t="shared" si="67"/>
        <v>5845</v>
      </c>
      <c r="Q862" s="8">
        <f t="shared" si="68"/>
        <v>3904</v>
      </c>
      <c r="R862" s="2" t="s">
        <v>28</v>
      </c>
      <c r="S862" s="9">
        <f t="shared" si="69"/>
        <v>292.25</v>
      </c>
    </row>
    <row r="863" spans="1:19" x14ac:dyDescent="0.3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str">
        <f>IFERROR(VLOOKUP('Customer Info'!A855,'Customer Info'!A855:C1354,2,FALSE),"Not Found")</f>
        <v>Not Found</v>
      </c>
      <c r="H863" s="6" t="str">
        <f>IFERROR(VLOOKUP('Customer Info'!A855,'Customer Info'!A855:C1354,3,FALSE),"Not Found")</f>
        <v>Not Found</v>
      </c>
      <c r="I863" s="6" t="str">
        <f>IFERROR(VLOOKUP('Customer Info'!A855,'Customer Info'!A855:E1354,5,FALSE),"Not Found")</f>
        <v>Not Found</v>
      </c>
      <c r="J863" s="2">
        <v>73</v>
      </c>
      <c r="K863" s="2">
        <v>65</v>
      </c>
      <c r="L863" s="2">
        <v>1</v>
      </c>
      <c r="M863" s="7">
        <f t="shared" si="65"/>
        <v>65</v>
      </c>
      <c r="N863" s="7">
        <f t="shared" si="66"/>
        <v>73</v>
      </c>
      <c r="O863" s="2">
        <v>10</v>
      </c>
      <c r="P863" s="8">
        <f t="shared" si="67"/>
        <v>83</v>
      </c>
      <c r="Q863" s="8">
        <f t="shared" si="68"/>
        <v>8</v>
      </c>
      <c r="R863" s="2" t="s">
        <v>26</v>
      </c>
      <c r="S863" s="9">
        <f t="shared" si="69"/>
        <v>1.6600000000000001</v>
      </c>
    </row>
    <row r="864" spans="1:19" x14ac:dyDescent="0.3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str">
        <f>IFERROR(VLOOKUP('Customer Info'!A856,'Customer Info'!A856:C1355,2,FALSE),"Not Found")</f>
        <v>Not Found</v>
      </c>
      <c r="H864" s="6" t="str">
        <f>IFERROR(VLOOKUP('Customer Info'!A856,'Customer Info'!A856:C1355,3,FALSE),"Not Found")</f>
        <v>Not Found</v>
      </c>
      <c r="I864" s="6" t="str">
        <f>IFERROR(VLOOKUP('Customer Info'!A856,'Customer Info'!A856:E1355,5,FALSE),"Not Found")</f>
        <v>Not Found</v>
      </c>
      <c r="J864" s="2">
        <v>4246</v>
      </c>
      <c r="K864" s="2">
        <v>3857</v>
      </c>
      <c r="L864" s="2">
        <v>2</v>
      </c>
      <c r="M864" s="7">
        <f t="shared" si="65"/>
        <v>7714</v>
      </c>
      <c r="N864" s="7">
        <f t="shared" si="66"/>
        <v>8492</v>
      </c>
      <c r="O864" s="2">
        <v>93</v>
      </c>
      <c r="P864" s="8">
        <f t="shared" si="67"/>
        <v>8585</v>
      </c>
      <c r="Q864" s="8">
        <f t="shared" si="68"/>
        <v>4635</v>
      </c>
      <c r="R864" s="2" t="s">
        <v>50</v>
      </c>
      <c r="S864" s="9">
        <f t="shared" si="69"/>
        <v>429.25</v>
      </c>
    </row>
    <row r="865" spans="1:19" x14ac:dyDescent="0.3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str">
        <f>IFERROR(VLOOKUP('Customer Info'!A857,'Customer Info'!A857:C1356,2,FALSE),"Not Found")</f>
        <v>Not Found</v>
      </c>
      <c r="H865" s="6" t="str">
        <f>IFERROR(VLOOKUP('Customer Info'!A857,'Customer Info'!A857:C1356,3,FALSE),"Not Found")</f>
        <v>Not Found</v>
      </c>
      <c r="I865" s="6" t="str">
        <f>IFERROR(VLOOKUP('Customer Info'!A857,'Customer Info'!A857:E1356,5,FALSE),"Not Found")</f>
        <v>Not Found</v>
      </c>
      <c r="J865" s="2">
        <v>93</v>
      </c>
      <c r="K865" s="2">
        <v>86</v>
      </c>
      <c r="L865" s="2">
        <v>7</v>
      </c>
      <c r="M865" s="7">
        <f t="shared" si="65"/>
        <v>602</v>
      </c>
      <c r="N865" s="7">
        <f t="shared" si="66"/>
        <v>651</v>
      </c>
      <c r="O865" s="2">
        <v>10</v>
      </c>
      <c r="P865" s="8">
        <f t="shared" si="67"/>
        <v>661</v>
      </c>
      <c r="Q865" s="8">
        <f t="shared" si="68"/>
        <v>565</v>
      </c>
      <c r="R865" s="2" t="s">
        <v>28</v>
      </c>
      <c r="S865" s="9">
        <f t="shared" si="69"/>
        <v>13.22</v>
      </c>
    </row>
    <row r="866" spans="1:19" x14ac:dyDescent="0.3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str">
        <f>IFERROR(VLOOKUP('Customer Info'!A858,'Customer Info'!A858:C1357,2,FALSE),"Not Found")</f>
        <v>Not Found</v>
      </c>
      <c r="H866" s="6" t="str">
        <f>IFERROR(VLOOKUP('Customer Info'!A858,'Customer Info'!A858:C1357,3,FALSE),"Not Found")</f>
        <v>Not Found</v>
      </c>
      <c r="I866" s="6" t="str">
        <f>IFERROR(VLOOKUP('Customer Info'!A858,'Customer Info'!A858:E1357,5,FALSE),"Not Found")</f>
        <v>Not Found</v>
      </c>
      <c r="J866" s="2">
        <v>2078</v>
      </c>
      <c r="K866" s="2">
        <v>1871</v>
      </c>
      <c r="L866" s="2">
        <v>2</v>
      </c>
      <c r="M866" s="7">
        <f t="shared" si="65"/>
        <v>3742</v>
      </c>
      <c r="N866" s="7">
        <f t="shared" si="66"/>
        <v>4156</v>
      </c>
      <c r="O866" s="2">
        <v>45</v>
      </c>
      <c r="P866" s="8">
        <f t="shared" si="67"/>
        <v>4201</v>
      </c>
      <c r="Q866" s="8">
        <f t="shared" si="68"/>
        <v>2285</v>
      </c>
      <c r="R866" s="2" t="s">
        <v>50</v>
      </c>
      <c r="S866" s="9">
        <f t="shared" si="69"/>
        <v>84.02</v>
      </c>
    </row>
    <row r="867" spans="1:19" x14ac:dyDescent="0.3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str">
        <f>IFERROR(VLOOKUP('Customer Info'!A859,'Customer Info'!A859:C1358,2,FALSE),"Not Found")</f>
        <v>Not Found</v>
      </c>
      <c r="H867" s="6" t="str">
        <f>IFERROR(VLOOKUP('Customer Info'!A859,'Customer Info'!A859:C1358,3,FALSE),"Not Found")</f>
        <v>Not Found</v>
      </c>
      <c r="I867" s="6" t="str">
        <f>IFERROR(VLOOKUP('Customer Info'!A859,'Customer Info'!A859:E1358,5,FALSE),"Not Found")</f>
        <v>Not Found</v>
      </c>
      <c r="J867" s="2">
        <v>1413</v>
      </c>
      <c r="K867" s="2">
        <v>1334</v>
      </c>
      <c r="L867" s="2">
        <v>2</v>
      </c>
      <c r="M867" s="7">
        <f t="shared" si="65"/>
        <v>2668</v>
      </c>
      <c r="N867" s="7">
        <f t="shared" si="66"/>
        <v>2826</v>
      </c>
      <c r="O867" s="2">
        <v>93</v>
      </c>
      <c r="P867" s="8">
        <f t="shared" si="67"/>
        <v>2919</v>
      </c>
      <c r="Q867" s="8">
        <f t="shared" si="68"/>
        <v>1492</v>
      </c>
      <c r="R867" s="2" t="s">
        <v>28</v>
      </c>
      <c r="S867" s="9">
        <f t="shared" si="69"/>
        <v>58.38</v>
      </c>
    </row>
    <row r="868" spans="1:19" x14ac:dyDescent="0.3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str">
        <f>IFERROR(VLOOKUP('Customer Info'!A860,'Customer Info'!A860:C1359,2,FALSE),"Not Found")</f>
        <v>Not Found</v>
      </c>
      <c r="H868" s="6" t="str">
        <f>IFERROR(VLOOKUP('Customer Info'!A860,'Customer Info'!A860:C1359,3,FALSE),"Not Found")</f>
        <v>Not Found</v>
      </c>
      <c r="I868" s="6" t="str">
        <f>IFERROR(VLOOKUP('Customer Info'!A860,'Customer Info'!A860:E1359,5,FALSE),"Not Found")</f>
        <v>Not Found</v>
      </c>
      <c r="J868" s="2">
        <v>6951</v>
      </c>
      <c r="K868" s="2">
        <v>6620</v>
      </c>
      <c r="L868" s="2">
        <v>1</v>
      </c>
      <c r="M868" s="7">
        <f t="shared" si="65"/>
        <v>6620</v>
      </c>
      <c r="N868" s="7">
        <f t="shared" si="66"/>
        <v>6951</v>
      </c>
      <c r="O868" s="2">
        <v>97</v>
      </c>
      <c r="P868" s="8">
        <f t="shared" si="67"/>
        <v>7048</v>
      </c>
      <c r="Q868" s="8">
        <f t="shared" si="68"/>
        <v>331</v>
      </c>
      <c r="R868" s="2" t="s">
        <v>28</v>
      </c>
      <c r="S868" s="9">
        <f t="shared" si="69"/>
        <v>352.40000000000003</v>
      </c>
    </row>
    <row r="869" spans="1:19" x14ac:dyDescent="0.3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str">
        <f>IFERROR(VLOOKUP('Customer Info'!A861,'Customer Info'!A861:C1360,2,FALSE),"Not Found")</f>
        <v>Not Found</v>
      </c>
      <c r="H869" s="6" t="str">
        <f>IFERROR(VLOOKUP('Customer Info'!A861,'Customer Info'!A861:C1360,3,FALSE),"Not Found")</f>
        <v>Not Found</v>
      </c>
      <c r="I869" s="6" t="str">
        <f>IFERROR(VLOOKUP('Customer Info'!A861,'Customer Info'!A861:E1360,5,FALSE),"Not Found")</f>
        <v>Not Found</v>
      </c>
      <c r="J869" s="2">
        <v>1585</v>
      </c>
      <c r="K869" s="2">
        <v>1495</v>
      </c>
      <c r="L869" s="2">
        <v>1</v>
      </c>
      <c r="M869" s="7">
        <f t="shared" si="65"/>
        <v>1495</v>
      </c>
      <c r="N869" s="7">
        <f t="shared" si="66"/>
        <v>1585</v>
      </c>
      <c r="O869" s="2">
        <v>77</v>
      </c>
      <c r="P869" s="8">
        <f t="shared" si="67"/>
        <v>1662</v>
      </c>
      <c r="Q869" s="8">
        <f t="shared" si="68"/>
        <v>90</v>
      </c>
      <c r="R869" s="2" t="s">
        <v>50</v>
      </c>
      <c r="S869" s="9">
        <f t="shared" si="69"/>
        <v>33.24</v>
      </c>
    </row>
    <row r="870" spans="1:19" x14ac:dyDescent="0.3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str">
        <f>IFERROR(VLOOKUP('Customer Info'!A862,'Customer Info'!A862:C1361,2,FALSE),"Not Found")</f>
        <v>Not Found</v>
      </c>
      <c r="H870" s="6" t="str">
        <f>IFERROR(VLOOKUP('Customer Info'!A862,'Customer Info'!A862:C1361,3,FALSE),"Not Found")</f>
        <v>Not Found</v>
      </c>
      <c r="I870" s="6" t="str">
        <f>IFERROR(VLOOKUP('Customer Info'!A862,'Customer Info'!A862:E1361,5,FALSE),"Not Found")</f>
        <v>Not Found</v>
      </c>
      <c r="J870" s="2">
        <v>63</v>
      </c>
      <c r="K870" s="2">
        <v>59</v>
      </c>
      <c r="L870" s="2">
        <v>7</v>
      </c>
      <c r="M870" s="7">
        <f t="shared" si="65"/>
        <v>413</v>
      </c>
      <c r="N870" s="7">
        <f t="shared" si="66"/>
        <v>441</v>
      </c>
      <c r="O870" s="2">
        <v>10</v>
      </c>
      <c r="P870" s="8">
        <f t="shared" si="67"/>
        <v>451</v>
      </c>
      <c r="Q870" s="8">
        <f t="shared" si="68"/>
        <v>382</v>
      </c>
      <c r="R870" s="2" t="s">
        <v>50</v>
      </c>
      <c r="S870" s="9">
        <f t="shared" si="69"/>
        <v>9.02</v>
      </c>
    </row>
    <row r="871" spans="1:19" x14ac:dyDescent="0.3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str">
        <f>IFERROR(VLOOKUP('Customer Info'!A863,'Customer Info'!A863:C1362,2,FALSE),"Not Found")</f>
        <v>Not Found</v>
      </c>
      <c r="H871" s="6" t="str">
        <f>IFERROR(VLOOKUP('Customer Info'!A863,'Customer Info'!A863:C1362,3,FALSE),"Not Found")</f>
        <v>Not Found</v>
      </c>
      <c r="I871" s="6" t="str">
        <f>IFERROR(VLOOKUP('Customer Info'!A863,'Customer Info'!A863:E1362,5,FALSE),"Not Found")</f>
        <v>Not Found</v>
      </c>
      <c r="J871" s="2">
        <v>25658</v>
      </c>
      <c r="K871" s="2">
        <v>24466</v>
      </c>
      <c r="L871" s="2">
        <v>5</v>
      </c>
      <c r="M871" s="7">
        <f t="shared" si="65"/>
        <v>122330</v>
      </c>
      <c r="N871" s="7">
        <f t="shared" si="66"/>
        <v>128290</v>
      </c>
      <c r="O871" s="2">
        <v>66</v>
      </c>
      <c r="P871" s="8">
        <f t="shared" si="67"/>
        <v>128356</v>
      </c>
      <c r="Q871" s="8">
        <f t="shared" si="68"/>
        <v>103824</v>
      </c>
      <c r="R871" s="2" t="s">
        <v>28</v>
      </c>
      <c r="S871" s="9">
        <f t="shared" si="69"/>
        <v>15402.72</v>
      </c>
    </row>
    <row r="872" spans="1:19" x14ac:dyDescent="0.3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str">
        <f>IFERROR(VLOOKUP('Customer Info'!A864,'Customer Info'!A864:C1363,2,FALSE),"Not Found")</f>
        <v>Not Found</v>
      </c>
      <c r="H872" s="6" t="str">
        <f>IFERROR(VLOOKUP('Customer Info'!A864,'Customer Info'!A864:C1363,3,FALSE),"Not Found")</f>
        <v>Not Found</v>
      </c>
      <c r="I872" s="6" t="str">
        <f>IFERROR(VLOOKUP('Customer Info'!A864,'Customer Info'!A864:E1363,5,FALSE),"Not Found")</f>
        <v>Not Found</v>
      </c>
      <c r="J872" s="2">
        <v>2907</v>
      </c>
      <c r="K872" s="2">
        <v>2667</v>
      </c>
      <c r="L872" s="2">
        <v>1</v>
      </c>
      <c r="M872" s="7">
        <f t="shared" si="65"/>
        <v>2667</v>
      </c>
      <c r="N872" s="7">
        <f t="shared" si="66"/>
        <v>2907</v>
      </c>
      <c r="O872" s="2">
        <v>80</v>
      </c>
      <c r="P872" s="8">
        <f t="shared" si="67"/>
        <v>2987</v>
      </c>
      <c r="Q872" s="8">
        <f t="shared" si="68"/>
        <v>240</v>
      </c>
      <c r="R872" s="2" t="s">
        <v>26</v>
      </c>
      <c r="S872" s="9">
        <f t="shared" si="69"/>
        <v>59.74</v>
      </c>
    </row>
    <row r="873" spans="1:19" x14ac:dyDescent="0.3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str">
        <f>IFERROR(VLOOKUP('Customer Info'!A865,'Customer Info'!A865:C1364,2,FALSE),"Not Found")</f>
        <v>Not Found</v>
      </c>
      <c r="H873" s="6" t="str">
        <f>IFERROR(VLOOKUP('Customer Info'!A865,'Customer Info'!A865:C1364,3,FALSE),"Not Found")</f>
        <v>Not Found</v>
      </c>
      <c r="I873" s="6" t="str">
        <f>IFERROR(VLOOKUP('Customer Info'!A865,'Customer Info'!A865:E1364,5,FALSE),"Not Found")</f>
        <v>Not Found</v>
      </c>
      <c r="J873" s="2">
        <v>3041</v>
      </c>
      <c r="K873" s="2">
        <v>2927</v>
      </c>
      <c r="L873" s="2">
        <v>6</v>
      </c>
      <c r="M873" s="7">
        <f t="shared" si="65"/>
        <v>17562</v>
      </c>
      <c r="N873" s="7">
        <f t="shared" si="66"/>
        <v>18246</v>
      </c>
      <c r="O873" s="2">
        <v>94</v>
      </c>
      <c r="P873" s="8">
        <f t="shared" si="67"/>
        <v>18340</v>
      </c>
      <c r="Q873" s="8">
        <f t="shared" si="68"/>
        <v>15319</v>
      </c>
      <c r="R873" s="2" t="s">
        <v>26</v>
      </c>
      <c r="S873" s="9">
        <f t="shared" si="69"/>
        <v>917</v>
      </c>
    </row>
    <row r="874" spans="1:19" x14ac:dyDescent="0.3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str">
        <f>IFERROR(VLOOKUP('Customer Info'!A866,'Customer Info'!A866:C1365,2,FALSE),"Not Found")</f>
        <v>Not Found</v>
      </c>
      <c r="H874" s="6" t="str">
        <f>IFERROR(VLOOKUP('Customer Info'!A866,'Customer Info'!A866:C1365,3,FALSE),"Not Found")</f>
        <v>Not Found</v>
      </c>
      <c r="I874" s="6" t="str">
        <f>IFERROR(VLOOKUP('Customer Info'!A866,'Customer Info'!A866:E1365,5,FALSE),"Not Found")</f>
        <v>Not Found</v>
      </c>
      <c r="J874" s="2">
        <v>658</v>
      </c>
      <c r="K874" s="2">
        <v>615</v>
      </c>
      <c r="L874" s="2">
        <v>6</v>
      </c>
      <c r="M874" s="7">
        <f t="shared" si="65"/>
        <v>3690</v>
      </c>
      <c r="N874" s="7">
        <f t="shared" si="66"/>
        <v>3948</v>
      </c>
      <c r="O874" s="2">
        <v>92</v>
      </c>
      <c r="P874" s="8">
        <f t="shared" si="67"/>
        <v>4040</v>
      </c>
      <c r="Q874" s="8">
        <f t="shared" si="68"/>
        <v>3333</v>
      </c>
      <c r="R874" s="2" t="s">
        <v>28</v>
      </c>
      <c r="S874" s="9">
        <f t="shared" si="69"/>
        <v>80.8</v>
      </c>
    </row>
    <row r="875" spans="1:19" x14ac:dyDescent="0.3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str">
        <f>IFERROR(VLOOKUP('Customer Info'!A867,'Customer Info'!A867:C1366,2,FALSE),"Not Found")</f>
        <v>Not Found</v>
      </c>
      <c r="H875" s="6" t="str">
        <f>IFERROR(VLOOKUP('Customer Info'!A867,'Customer Info'!A867:C1366,3,FALSE),"Not Found")</f>
        <v>Not Found</v>
      </c>
      <c r="I875" s="6" t="str">
        <f>IFERROR(VLOOKUP('Customer Info'!A867,'Customer Info'!A867:E1366,5,FALSE),"Not Found")</f>
        <v>Not Found</v>
      </c>
      <c r="J875" s="2">
        <v>127</v>
      </c>
      <c r="K875" s="2">
        <v>116</v>
      </c>
      <c r="L875" s="2">
        <v>2</v>
      </c>
      <c r="M875" s="7">
        <f t="shared" si="65"/>
        <v>232</v>
      </c>
      <c r="N875" s="7">
        <f t="shared" si="66"/>
        <v>254</v>
      </c>
      <c r="O875" s="2">
        <v>30</v>
      </c>
      <c r="P875" s="8">
        <f t="shared" si="67"/>
        <v>284</v>
      </c>
      <c r="Q875" s="8">
        <f t="shared" si="68"/>
        <v>138</v>
      </c>
      <c r="R875" s="2" t="s">
        <v>28</v>
      </c>
      <c r="S875" s="9">
        <f t="shared" si="69"/>
        <v>5.68</v>
      </c>
    </row>
    <row r="876" spans="1:19" x14ac:dyDescent="0.3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str">
        <f>IFERROR(VLOOKUP('Customer Info'!A868,'Customer Info'!A868:C1367,2,FALSE),"Not Found")</f>
        <v>Not Found</v>
      </c>
      <c r="H876" s="6" t="str">
        <f>IFERROR(VLOOKUP('Customer Info'!A868,'Customer Info'!A868:C1367,3,FALSE),"Not Found")</f>
        <v>Not Found</v>
      </c>
      <c r="I876" s="6" t="str">
        <f>IFERROR(VLOOKUP('Customer Info'!A868,'Customer Info'!A868:E1367,5,FALSE),"Not Found")</f>
        <v>Not Found</v>
      </c>
      <c r="J876" s="2">
        <v>38328</v>
      </c>
      <c r="K876" s="2">
        <v>35164</v>
      </c>
      <c r="L876" s="2">
        <v>2</v>
      </c>
      <c r="M876" s="7">
        <f t="shared" si="65"/>
        <v>70328</v>
      </c>
      <c r="N876" s="7">
        <f t="shared" si="66"/>
        <v>76656</v>
      </c>
      <c r="O876" s="2">
        <v>72</v>
      </c>
      <c r="P876" s="8">
        <f t="shared" si="67"/>
        <v>76728</v>
      </c>
      <c r="Q876" s="8">
        <f t="shared" si="68"/>
        <v>41492</v>
      </c>
      <c r="R876" s="2" t="s">
        <v>28</v>
      </c>
      <c r="S876" s="9">
        <f t="shared" si="69"/>
        <v>6905.5199999999995</v>
      </c>
    </row>
    <row r="877" spans="1:19" x14ac:dyDescent="0.3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str">
        <f>IFERROR(VLOOKUP('Customer Info'!A869,'Customer Info'!A869:C1368,2,FALSE),"Not Found")</f>
        <v>Not Found</v>
      </c>
      <c r="H877" s="6" t="str">
        <f>IFERROR(VLOOKUP('Customer Info'!A869,'Customer Info'!A869:C1368,3,FALSE),"Not Found")</f>
        <v>Not Found</v>
      </c>
      <c r="I877" s="6" t="str">
        <f>IFERROR(VLOOKUP('Customer Info'!A869,'Customer Info'!A869:E1368,5,FALSE),"Not Found")</f>
        <v>Not Found</v>
      </c>
      <c r="J877" s="2">
        <v>138</v>
      </c>
      <c r="K877" s="2">
        <v>128</v>
      </c>
      <c r="L877" s="2">
        <v>3</v>
      </c>
      <c r="M877" s="7">
        <f t="shared" si="65"/>
        <v>384</v>
      </c>
      <c r="N877" s="7">
        <f t="shared" si="66"/>
        <v>414</v>
      </c>
      <c r="O877" s="2">
        <v>30</v>
      </c>
      <c r="P877" s="8">
        <f t="shared" si="67"/>
        <v>444</v>
      </c>
      <c r="Q877" s="8">
        <f t="shared" si="68"/>
        <v>286</v>
      </c>
      <c r="R877" s="2" t="s">
        <v>50</v>
      </c>
      <c r="S877" s="9">
        <f t="shared" si="69"/>
        <v>8.8800000000000008</v>
      </c>
    </row>
    <row r="878" spans="1:19" x14ac:dyDescent="0.3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str">
        <f>IFERROR(VLOOKUP('Customer Info'!A870,'Customer Info'!A870:C1369,2,FALSE),"Not Found")</f>
        <v>Not Found</v>
      </c>
      <c r="H878" s="6" t="str">
        <f>IFERROR(VLOOKUP('Customer Info'!A870,'Customer Info'!A870:C1369,3,FALSE),"Not Found")</f>
        <v>Not Found</v>
      </c>
      <c r="I878" s="6" t="str">
        <f>IFERROR(VLOOKUP('Customer Info'!A870,'Customer Info'!A870:E1369,5,FALSE),"Not Found")</f>
        <v>Not Found</v>
      </c>
      <c r="J878" s="2">
        <v>1186</v>
      </c>
      <c r="K878" s="2">
        <v>1141</v>
      </c>
      <c r="L878" s="2">
        <v>2</v>
      </c>
      <c r="M878" s="7">
        <f t="shared" si="65"/>
        <v>2282</v>
      </c>
      <c r="N878" s="7">
        <f t="shared" si="66"/>
        <v>2372</v>
      </c>
      <c r="O878" s="2">
        <v>39</v>
      </c>
      <c r="P878" s="8">
        <f t="shared" si="67"/>
        <v>2411</v>
      </c>
      <c r="Q878" s="8">
        <f t="shared" si="68"/>
        <v>1231</v>
      </c>
      <c r="R878" s="2" t="s">
        <v>50</v>
      </c>
      <c r="S878" s="9">
        <f t="shared" si="69"/>
        <v>48.22</v>
      </c>
    </row>
    <row r="879" spans="1:19" x14ac:dyDescent="0.3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str">
        <f>IFERROR(VLOOKUP('Customer Info'!A871,'Customer Info'!A871:C1370,2,FALSE),"Not Found")</f>
        <v>Not Found</v>
      </c>
      <c r="H879" s="6" t="str">
        <f>IFERROR(VLOOKUP('Customer Info'!A871,'Customer Info'!A871:C1370,3,FALSE),"Not Found")</f>
        <v>Not Found</v>
      </c>
      <c r="I879" s="6" t="str">
        <f>IFERROR(VLOOKUP('Customer Info'!A871,'Customer Info'!A871:E1370,5,FALSE),"Not Found")</f>
        <v>Not Found</v>
      </c>
      <c r="J879" s="2">
        <v>2042</v>
      </c>
      <c r="K879" s="2">
        <v>1965</v>
      </c>
      <c r="L879" s="2">
        <v>2</v>
      </c>
      <c r="M879" s="7">
        <f t="shared" si="65"/>
        <v>3930</v>
      </c>
      <c r="N879" s="7">
        <f t="shared" si="66"/>
        <v>4084</v>
      </c>
      <c r="O879" s="2">
        <v>72</v>
      </c>
      <c r="P879" s="8">
        <f t="shared" si="67"/>
        <v>4156</v>
      </c>
      <c r="Q879" s="8">
        <f t="shared" si="68"/>
        <v>2119</v>
      </c>
      <c r="R879" s="2" t="s">
        <v>26</v>
      </c>
      <c r="S879" s="9">
        <f t="shared" si="69"/>
        <v>83.12</v>
      </c>
    </row>
    <row r="880" spans="1:19" x14ac:dyDescent="0.3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str">
        <f>IFERROR(VLOOKUP('Customer Info'!A872,'Customer Info'!A872:C1371,2,FALSE),"Not Found")</f>
        <v>Not Found</v>
      </c>
      <c r="H880" s="6" t="str">
        <f>IFERROR(VLOOKUP('Customer Info'!A872,'Customer Info'!A872:C1371,3,FALSE),"Not Found")</f>
        <v>Not Found</v>
      </c>
      <c r="I880" s="6" t="str">
        <f>IFERROR(VLOOKUP('Customer Info'!A872,'Customer Info'!A872:E1371,5,FALSE),"Not Found")</f>
        <v>Not Found</v>
      </c>
      <c r="J880" s="2">
        <v>60</v>
      </c>
      <c r="K880" s="2">
        <v>55</v>
      </c>
      <c r="L880" s="2">
        <v>4</v>
      </c>
      <c r="M880" s="7">
        <f t="shared" si="65"/>
        <v>220</v>
      </c>
      <c r="N880" s="7">
        <f t="shared" si="66"/>
        <v>240</v>
      </c>
      <c r="O880" s="2">
        <v>10</v>
      </c>
      <c r="P880" s="8">
        <f t="shared" si="67"/>
        <v>250</v>
      </c>
      <c r="Q880" s="8">
        <f t="shared" si="68"/>
        <v>185</v>
      </c>
      <c r="R880" s="2" t="s">
        <v>28</v>
      </c>
      <c r="S880" s="9">
        <f t="shared" si="69"/>
        <v>5</v>
      </c>
    </row>
    <row r="881" spans="1:19" x14ac:dyDescent="0.3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str">
        <f>IFERROR(VLOOKUP('Customer Info'!A873,'Customer Info'!A873:C1372,2,FALSE),"Not Found")</f>
        <v>Not Found</v>
      </c>
      <c r="H881" s="6" t="str">
        <f>IFERROR(VLOOKUP('Customer Info'!A873,'Customer Info'!A873:C1372,3,FALSE),"Not Found")</f>
        <v>Not Found</v>
      </c>
      <c r="I881" s="6" t="str">
        <f>IFERROR(VLOOKUP('Customer Info'!A873,'Customer Info'!A873:E1372,5,FALSE),"Not Found")</f>
        <v>Not Found</v>
      </c>
      <c r="J881" s="2">
        <v>2857</v>
      </c>
      <c r="K881" s="2">
        <v>2622</v>
      </c>
      <c r="L881" s="2">
        <v>6</v>
      </c>
      <c r="M881" s="7">
        <f t="shared" si="65"/>
        <v>15732</v>
      </c>
      <c r="N881" s="7">
        <f t="shared" si="66"/>
        <v>17142</v>
      </c>
      <c r="O881" s="2">
        <v>45</v>
      </c>
      <c r="P881" s="8">
        <f t="shared" si="67"/>
        <v>17187</v>
      </c>
      <c r="Q881" s="8">
        <f t="shared" si="68"/>
        <v>14520</v>
      </c>
      <c r="R881" s="2" t="s">
        <v>28</v>
      </c>
      <c r="S881" s="9">
        <f t="shared" si="69"/>
        <v>859.35</v>
      </c>
    </row>
    <row r="882" spans="1:19" x14ac:dyDescent="0.3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str">
        <f>IFERROR(VLOOKUP('Customer Info'!A874,'Customer Info'!A874:C1373,2,FALSE),"Not Found")</f>
        <v>Not Found</v>
      </c>
      <c r="H882" s="6" t="str">
        <f>IFERROR(VLOOKUP('Customer Info'!A874,'Customer Info'!A874:C1373,3,FALSE),"Not Found")</f>
        <v>Not Found</v>
      </c>
      <c r="I882" s="6" t="str">
        <f>IFERROR(VLOOKUP('Customer Info'!A874,'Customer Info'!A874:E1373,5,FALSE),"Not Found")</f>
        <v>Not Found</v>
      </c>
      <c r="J882" s="2">
        <v>127</v>
      </c>
      <c r="K882" s="2">
        <v>116</v>
      </c>
      <c r="L882" s="2">
        <v>1</v>
      </c>
      <c r="M882" s="7">
        <f t="shared" si="65"/>
        <v>116</v>
      </c>
      <c r="N882" s="7">
        <f t="shared" si="66"/>
        <v>127</v>
      </c>
      <c r="O882" s="2">
        <v>30</v>
      </c>
      <c r="P882" s="8">
        <f t="shared" si="67"/>
        <v>157</v>
      </c>
      <c r="Q882" s="8">
        <f t="shared" si="68"/>
        <v>11</v>
      </c>
      <c r="R882" s="2" t="s">
        <v>50</v>
      </c>
      <c r="S882" s="9">
        <f t="shared" si="69"/>
        <v>3.14</v>
      </c>
    </row>
    <row r="883" spans="1:19" x14ac:dyDescent="0.3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str">
        <f>IFERROR(VLOOKUP('Customer Info'!A875,'Customer Info'!A875:C1374,2,FALSE),"Not Found")</f>
        <v>Not Found</v>
      </c>
      <c r="H883" s="6" t="str">
        <f>IFERROR(VLOOKUP('Customer Info'!A875,'Customer Info'!A875:C1374,3,FALSE),"Not Found")</f>
        <v>Not Found</v>
      </c>
      <c r="I883" s="6" t="str">
        <f>IFERROR(VLOOKUP('Customer Info'!A875,'Customer Info'!A875:E1374,5,FALSE),"Not Found")</f>
        <v>Not Found</v>
      </c>
      <c r="J883" s="2">
        <v>1983</v>
      </c>
      <c r="K883" s="2">
        <v>1908</v>
      </c>
      <c r="L883" s="2">
        <v>1</v>
      </c>
      <c r="M883" s="7">
        <f t="shared" si="65"/>
        <v>1908</v>
      </c>
      <c r="N883" s="7">
        <f t="shared" si="66"/>
        <v>1983</v>
      </c>
      <c r="O883" s="2">
        <v>57</v>
      </c>
      <c r="P883" s="8">
        <f t="shared" si="67"/>
        <v>2040</v>
      </c>
      <c r="Q883" s="8">
        <f t="shared" si="68"/>
        <v>75</v>
      </c>
      <c r="R883" s="2" t="s">
        <v>26</v>
      </c>
      <c r="S883" s="9">
        <f t="shared" si="69"/>
        <v>40.800000000000004</v>
      </c>
    </row>
    <row r="884" spans="1:19" x14ac:dyDescent="0.3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str">
        <f>IFERROR(VLOOKUP('Customer Info'!A876,'Customer Info'!A876:C1375,2,FALSE),"Not Found")</f>
        <v>Not Found</v>
      </c>
      <c r="H884" s="6" t="str">
        <f>IFERROR(VLOOKUP('Customer Info'!A876,'Customer Info'!A876:C1375,3,FALSE),"Not Found")</f>
        <v>Not Found</v>
      </c>
      <c r="I884" s="6" t="str">
        <f>IFERROR(VLOOKUP('Customer Info'!A876,'Customer Info'!A876:E1375,5,FALSE),"Not Found")</f>
        <v>Not Found</v>
      </c>
      <c r="J884" s="2">
        <v>97</v>
      </c>
      <c r="K884" s="2">
        <v>92</v>
      </c>
      <c r="L884" s="2">
        <v>2</v>
      </c>
      <c r="M884" s="7">
        <f t="shared" si="65"/>
        <v>184</v>
      </c>
      <c r="N884" s="7">
        <f t="shared" si="66"/>
        <v>194</v>
      </c>
      <c r="O884" s="2">
        <v>10</v>
      </c>
      <c r="P884" s="8">
        <f t="shared" si="67"/>
        <v>204</v>
      </c>
      <c r="Q884" s="8">
        <f t="shared" si="68"/>
        <v>102</v>
      </c>
      <c r="R884" s="2" t="s">
        <v>28</v>
      </c>
      <c r="S884" s="9">
        <f t="shared" si="69"/>
        <v>4.08</v>
      </c>
    </row>
    <row r="885" spans="1:19" x14ac:dyDescent="0.3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str">
        <f>IFERROR(VLOOKUP('Customer Info'!A877,'Customer Info'!A877:C1376,2,FALSE),"Not Found")</f>
        <v>Not Found</v>
      </c>
      <c r="H885" s="6" t="str">
        <f>IFERROR(VLOOKUP('Customer Info'!A877,'Customer Info'!A877:C1376,3,FALSE),"Not Found")</f>
        <v>Not Found</v>
      </c>
      <c r="I885" s="6" t="str">
        <f>IFERROR(VLOOKUP('Customer Info'!A877,'Customer Info'!A877:E1376,5,FALSE),"Not Found")</f>
        <v>Not Found</v>
      </c>
      <c r="J885" s="2">
        <v>887</v>
      </c>
      <c r="K885" s="2">
        <v>814</v>
      </c>
      <c r="L885" s="2">
        <v>5</v>
      </c>
      <c r="M885" s="7">
        <f t="shared" si="65"/>
        <v>4070</v>
      </c>
      <c r="N885" s="7">
        <f t="shared" si="66"/>
        <v>4435</v>
      </c>
      <c r="O885" s="2">
        <v>24</v>
      </c>
      <c r="P885" s="8">
        <f t="shared" si="67"/>
        <v>4459</v>
      </c>
      <c r="Q885" s="8">
        <f t="shared" si="68"/>
        <v>3621</v>
      </c>
      <c r="R885" s="2" t="s">
        <v>28</v>
      </c>
      <c r="S885" s="9">
        <f t="shared" si="69"/>
        <v>89.18</v>
      </c>
    </row>
    <row r="886" spans="1:19" x14ac:dyDescent="0.3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str">
        <f>IFERROR(VLOOKUP('Customer Info'!A878,'Customer Info'!A878:C1377,2,FALSE),"Not Found")</f>
        <v>Not Found</v>
      </c>
      <c r="H886" s="6" t="str">
        <f>IFERROR(VLOOKUP('Customer Info'!A878,'Customer Info'!A878:C1377,3,FALSE),"Not Found")</f>
        <v>Not Found</v>
      </c>
      <c r="I886" s="6" t="str">
        <f>IFERROR(VLOOKUP('Customer Info'!A878,'Customer Info'!A878:E1377,5,FALSE),"Not Found")</f>
        <v>Not Found</v>
      </c>
      <c r="J886" s="2">
        <v>5882</v>
      </c>
      <c r="K886" s="2">
        <v>5713</v>
      </c>
      <c r="L886" s="2">
        <v>2</v>
      </c>
      <c r="M886" s="7">
        <f t="shared" si="65"/>
        <v>11426</v>
      </c>
      <c r="N886" s="7">
        <f t="shared" si="66"/>
        <v>11764</v>
      </c>
      <c r="O886" s="2">
        <v>95</v>
      </c>
      <c r="P886" s="8">
        <f t="shared" si="67"/>
        <v>11859</v>
      </c>
      <c r="Q886" s="8">
        <f t="shared" si="68"/>
        <v>6051</v>
      </c>
      <c r="R886" s="2" t="s">
        <v>28</v>
      </c>
      <c r="S886" s="9">
        <f t="shared" si="69"/>
        <v>592.95000000000005</v>
      </c>
    </row>
    <row r="887" spans="1:19" x14ac:dyDescent="0.3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str">
        <f>IFERROR(VLOOKUP('Customer Info'!A879,'Customer Info'!A879:C1378,2,FALSE),"Not Found")</f>
        <v>Not Found</v>
      </c>
      <c r="H887" s="6" t="str">
        <f>IFERROR(VLOOKUP('Customer Info'!A879,'Customer Info'!A879:C1378,3,FALSE),"Not Found")</f>
        <v>Not Found</v>
      </c>
      <c r="I887" s="6" t="str">
        <f>IFERROR(VLOOKUP('Customer Info'!A879,'Customer Info'!A879:E1378,5,FALSE),"Not Found")</f>
        <v>Not Found</v>
      </c>
      <c r="J887" s="2">
        <v>2078</v>
      </c>
      <c r="K887" s="2">
        <v>1871</v>
      </c>
      <c r="L887" s="2">
        <v>1</v>
      </c>
      <c r="M887" s="7">
        <f t="shared" si="65"/>
        <v>1871</v>
      </c>
      <c r="N887" s="7">
        <f t="shared" si="66"/>
        <v>2078</v>
      </c>
      <c r="O887" s="2">
        <v>55</v>
      </c>
      <c r="P887" s="8">
        <f t="shared" si="67"/>
        <v>2133</v>
      </c>
      <c r="Q887" s="8">
        <f t="shared" si="68"/>
        <v>207</v>
      </c>
      <c r="R887" s="2" t="s">
        <v>28</v>
      </c>
      <c r="S887" s="9">
        <f t="shared" si="69"/>
        <v>42.660000000000004</v>
      </c>
    </row>
    <row r="888" spans="1:19" x14ac:dyDescent="0.3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str">
        <f>IFERROR(VLOOKUP('Customer Info'!A880,'Customer Info'!A880:C1379,2,FALSE),"Not Found")</f>
        <v>Not Found</v>
      </c>
      <c r="H888" s="6" t="str">
        <f>IFERROR(VLOOKUP('Customer Info'!A880,'Customer Info'!A880:C1379,3,FALSE),"Not Found")</f>
        <v>Not Found</v>
      </c>
      <c r="I888" s="6" t="str">
        <f>IFERROR(VLOOKUP('Customer Info'!A880,'Customer Info'!A880:E1379,5,FALSE),"Not Found")</f>
        <v>Not Found</v>
      </c>
      <c r="J888" s="2">
        <v>2310</v>
      </c>
      <c r="K888" s="2">
        <v>2040</v>
      </c>
      <c r="L888" s="2">
        <v>3</v>
      </c>
      <c r="M888" s="7">
        <f t="shared" si="65"/>
        <v>6120</v>
      </c>
      <c r="N888" s="7">
        <f t="shared" si="66"/>
        <v>6930</v>
      </c>
      <c r="O888" s="2">
        <v>74</v>
      </c>
      <c r="P888" s="8">
        <f t="shared" si="67"/>
        <v>7004</v>
      </c>
      <c r="Q888" s="8">
        <f t="shared" si="68"/>
        <v>4890</v>
      </c>
      <c r="R888" s="2" t="s">
        <v>28</v>
      </c>
      <c r="S888" s="9">
        <f t="shared" si="69"/>
        <v>350.20000000000005</v>
      </c>
    </row>
    <row r="889" spans="1:19" x14ac:dyDescent="0.3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str">
        <f>IFERROR(VLOOKUP('Customer Info'!A881,'Customer Info'!A881:C1380,2,FALSE),"Not Found")</f>
        <v>Not Found</v>
      </c>
      <c r="H889" s="6" t="str">
        <f>IFERROR(VLOOKUP('Customer Info'!A881,'Customer Info'!A881:C1380,3,FALSE),"Not Found")</f>
        <v>Not Found</v>
      </c>
      <c r="I889" s="6" t="str">
        <f>IFERROR(VLOOKUP('Customer Info'!A881,'Customer Info'!A881:E1380,5,FALSE),"Not Found")</f>
        <v>Not Found</v>
      </c>
      <c r="J889" s="2">
        <v>5909</v>
      </c>
      <c r="K889" s="2">
        <v>5528</v>
      </c>
      <c r="L889" s="2">
        <v>3</v>
      </c>
      <c r="M889" s="7">
        <f t="shared" si="65"/>
        <v>16584</v>
      </c>
      <c r="N889" s="7">
        <f t="shared" si="66"/>
        <v>17727</v>
      </c>
      <c r="O889" s="2">
        <v>87</v>
      </c>
      <c r="P889" s="8">
        <f t="shared" si="67"/>
        <v>17814</v>
      </c>
      <c r="Q889" s="8">
        <f t="shared" si="68"/>
        <v>12199</v>
      </c>
      <c r="R889" s="2" t="s">
        <v>28</v>
      </c>
      <c r="S889" s="9">
        <f t="shared" si="69"/>
        <v>890.7</v>
      </c>
    </row>
    <row r="890" spans="1:19" x14ac:dyDescent="0.3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str">
        <f>IFERROR(VLOOKUP('Customer Info'!A882,'Customer Info'!A882:C1381,2,FALSE),"Not Found")</f>
        <v>Not Found</v>
      </c>
      <c r="H890" s="6" t="str">
        <f>IFERROR(VLOOKUP('Customer Info'!A882,'Customer Info'!A882:C1381,3,FALSE),"Not Found")</f>
        <v>Not Found</v>
      </c>
      <c r="I890" s="6" t="str">
        <f>IFERROR(VLOOKUP('Customer Info'!A882,'Customer Info'!A882:E1381,5,FALSE),"Not Found")</f>
        <v>Not Found</v>
      </c>
      <c r="J890" s="2">
        <v>472</v>
      </c>
      <c r="K890" s="2">
        <v>432</v>
      </c>
      <c r="L890" s="2">
        <v>3</v>
      </c>
      <c r="M890" s="7">
        <f t="shared" si="65"/>
        <v>1296</v>
      </c>
      <c r="N890" s="7">
        <f t="shared" si="66"/>
        <v>1416</v>
      </c>
      <c r="O890" s="2">
        <v>55</v>
      </c>
      <c r="P890" s="8">
        <f t="shared" si="67"/>
        <v>1471</v>
      </c>
      <c r="Q890" s="8">
        <f t="shared" si="68"/>
        <v>984</v>
      </c>
      <c r="R890" s="2" t="s">
        <v>50</v>
      </c>
      <c r="S890" s="9">
        <f t="shared" si="69"/>
        <v>29.42</v>
      </c>
    </row>
    <row r="891" spans="1:19" x14ac:dyDescent="0.3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str">
        <f>IFERROR(VLOOKUP('Customer Info'!A883,'Customer Info'!A883:C1382,2,FALSE),"Not Found")</f>
        <v>Not Found</v>
      </c>
      <c r="H891" s="6" t="str">
        <f>IFERROR(VLOOKUP('Customer Info'!A883,'Customer Info'!A883:C1382,3,FALSE),"Not Found")</f>
        <v>Not Found</v>
      </c>
      <c r="I891" s="6" t="str">
        <f>IFERROR(VLOOKUP('Customer Info'!A883,'Customer Info'!A883:E1382,5,FALSE),"Not Found")</f>
        <v>Not Found</v>
      </c>
      <c r="J891" s="2">
        <v>393</v>
      </c>
      <c r="K891" s="2">
        <v>374</v>
      </c>
      <c r="L891" s="2">
        <v>2</v>
      </c>
      <c r="M891" s="7">
        <f t="shared" si="65"/>
        <v>748</v>
      </c>
      <c r="N891" s="7">
        <f t="shared" si="66"/>
        <v>786</v>
      </c>
      <c r="O891" s="2">
        <v>27</v>
      </c>
      <c r="P891" s="8">
        <f t="shared" si="67"/>
        <v>813</v>
      </c>
      <c r="Q891" s="8">
        <f t="shared" si="68"/>
        <v>412</v>
      </c>
      <c r="R891" s="2" t="s">
        <v>50</v>
      </c>
      <c r="S891" s="9">
        <f t="shared" si="69"/>
        <v>16.260000000000002</v>
      </c>
    </row>
    <row r="892" spans="1:19" x14ac:dyDescent="0.3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str">
        <f>IFERROR(VLOOKUP('Customer Info'!A884,'Customer Info'!A884:C1383,2,FALSE),"Not Found")</f>
        <v>Not Found</v>
      </c>
      <c r="H892" s="6" t="str">
        <f>IFERROR(VLOOKUP('Customer Info'!A884,'Customer Info'!A884:C1383,3,FALSE),"Not Found")</f>
        <v>Not Found</v>
      </c>
      <c r="I892" s="6" t="str">
        <f>IFERROR(VLOOKUP('Customer Info'!A884,'Customer Info'!A884:E1383,5,FALSE),"Not Found")</f>
        <v>Not Found</v>
      </c>
      <c r="J892" s="2">
        <v>9214</v>
      </c>
      <c r="K892" s="2">
        <v>8295</v>
      </c>
      <c r="L892" s="2">
        <v>2</v>
      </c>
      <c r="M892" s="7">
        <f t="shared" si="65"/>
        <v>16590</v>
      </c>
      <c r="N892" s="7">
        <f t="shared" si="66"/>
        <v>18428</v>
      </c>
      <c r="O892" s="2">
        <v>38</v>
      </c>
      <c r="P892" s="8">
        <f t="shared" si="67"/>
        <v>18466</v>
      </c>
      <c r="Q892" s="8">
        <f t="shared" si="68"/>
        <v>10133</v>
      </c>
      <c r="R892" s="2" t="s">
        <v>28</v>
      </c>
      <c r="S892" s="9">
        <f t="shared" si="69"/>
        <v>923.30000000000007</v>
      </c>
    </row>
    <row r="893" spans="1:19" x14ac:dyDescent="0.3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str">
        <f>IFERROR(VLOOKUP('Customer Info'!A885,'Customer Info'!A885:C1384,2,FALSE),"Not Found")</f>
        <v>Not Found</v>
      </c>
      <c r="H893" s="6" t="str">
        <f>IFERROR(VLOOKUP('Customer Info'!A885,'Customer Info'!A885:C1384,3,FALSE),"Not Found")</f>
        <v>Not Found</v>
      </c>
      <c r="I893" s="6" t="str">
        <f>IFERROR(VLOOKUP('Customer Info'!A885,'Customer Info'!A885:E1384,5,FALSE),"Not Found")</f>
        <v>Not Found</v>
      </c>
      <c r="J893" s="2">
        <v>130</v>
      </c>
      <c r="K893" s="2">
        <v>122</v>
      </c>
      <c r="L893" s="2">
        <v>5</v>
      </c>
      <c r="M893" s="7">
        <f t="shared" si="65"/>
        <v>610</v>
      </c>
      <c r="N893" s="7">
        <f t="shared" si="66"/>
        <v>650</v>
      </c>
      <c r="O893" s="2">
        <v>30</v>
      </c>
      <c r="P893" s="8">
        <f t="shared" si="67"/>
        <v>680</v>
      </c>
      <c r="Q893" s="8">
        <f t="shared" si="68"/>
        <v>528</v>
      </c>
      <c r="R893" s="2" t="s">
        <v>50</v>
      </c>
      <c r="S893" s="9">
        <f t="shared" si="69"/>
        <v>13.6</v>
      </c>
    </row>
    <row r="894" spans="1:19" x14ac:dyDescent="0.3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str">
        <f>IFERROR(VLOOKUP('Customer Info'!A886,'Customer Info'!A886:C1385,2,FALSE),"Not Found")</f>
        <v>Not Found</v>
      </c>
      <c r="H894" s="6" t="str">
        <f>IFERROR(VLOOKUP('Customer Info'!A886,'Customer Info'!A886:C1385,3,FALSE),"Not Found")</f>
        <v>Not Found</v>
      </c>
      <c r="I894" s="6" t="str">
        <f>IFERROR(VLOOKUP('Customer Info'!A886,'Customer Info'!A886:E1385,5,FALSE),"Not Found")</f>
        <v>Not Found</v>
      </c>
      <c r="J894" s="2">
        <v>2205</v>
      </c>
      <c r="K894" s="2">
        <v>2061</v>
      </c>
      <c r="L894" s="2">
        <v>4</v>
      </c>
      <c r="M894" s="7">
        <f t="shared" si="65"/>
        <v>8244</v>
      </c>
      <c r="N894" s="7">
        <f t="shared" si="66"/>
        <v>8820</v>
      </c>
      <c r="O894" s="2">
        <v>62</v>
      </c>
      <c r="P894" s="8">
        <f t="shared" si="67"/>
        <v>8882</v>
      </c>
      <c r="Q894" s="8">
        <f t="shared" si="68"/>
        <v>6759</v>
      </c>
      <c r="R894" s="2" t="s">
        <v>28</v>
      </c>
      <c r="S894" s="9">
        <f t="shared" si="69"/>
        <v>444.1</v>
      </c>
    </row>
    <row r="895" spans="1:19" x14ac:dyDescent="0.3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str">
        <f>IFERROR(VLOOKUP('Customer Info'!A887,'Customer Info'!A887:C1386,2,FALSE),"Not Found")</f>
        <v>Not Found</v>
      </c>
      <c r="H895" s="6" t="str">
        <f>IFERROR(VLOOKUP('Customer Info'!A887,'Customer Info'!A887:C1386,3,FALSE),"Not Found")</f>
        <v>Not Found</v>
      </c>
      <c r="I895" s="6" t="str">
        <f>IFERROR(VLOOKUP('Customer Info'!A887,'Customer Info'!A887:E1386,5,FALSE),"Not Found")</f>
        <v>Not Found</v>
      </c>
      <c r="J895" s="2">
        <v>1704</v>
      </c>
      <c r="K895" s="2">
        <v>1624</v>
      </c>
      <c r="L895" s="2">
        <v>2</v>
      </c>
      <c r="M895" s="7">
        <f t="shared" si="65"/>
        <v>3248</v>
      </c>
      <c r="N895" s="7">
        <f t="shared" si="66"/>
        <v>3408</v>
      </c>
      <c r="O895" s="2">
        <v>85</v>
      </c>
      <c r="P895" s="8">
        <f t="shared" si="67"/>
        <v>3493</v>
      </c>
      <c r="Q895" s="8">
        <f t="shared" si="68"/>
        <v>1784</v>
      </c>
      <c r="R895" s="2" t="s">
        <v>50</v>
      </c>
      <c r="S895" s="9">
        <f t="shared" si="69"/>
        <v>69.86</v>
      </c>
    </row>
    <row r="896" spans="1:19" x14ac:dyDescent="0.3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str">
        <f>IFERROR(VLOOKUP('Customer Info'!A888,'Customer Info'!A888:C1387,2,FALSE),"Not Found")</f>
        <v>Not Found</v>
      </c>
      <c r="H896" s="6" t="str">
        <f>IFERROR(VLOOKUP('Customer Info'!A888,'Customer Info'!A888:C1387,3,FALSE),"Not Found")</f>
        <v>Not Found</v>
      </c>
      <c r="I896" s="6" t="str">
        <f>IFERROR(VLOOKUP('Customer Info'!A888,'Customer Info'!A888:E1387,5,FALSE),"Not Found")</f>
        <v>Not Found</v>
      </c>
      <c r="J896" s="2">
        <v>60</v>
      </c>
      <c r="K896" s="2">
        <v>57</v>
      </c>
      <c r="L896" s="2">
        <v>2</v>
      </c>
      <c r="M896" s="7">
        <f t="shared" si="65"/>
        <v>114</v>
      </c>
      <c r="N896" s="7">
        <f t="shared" si="66"/>
        <v>120</v>
      </c>
      <c r="O896" s="2">
        <v>10</v>
      </c>
      <c r="P896" s="8">
        <f t="shared" si="67"/>
        <v>130</v>
      </c>
      <c r="Q896" s="8">
        <f t="shared" si="68"/>
        <v>63</v>
      </c>
      <c r="R896" s="2" t="s">
        <v>28</v>
      </c>
      <c r="S896" s="9">
        <f t="shared" si="69"/>
        <v>2.6</v>
      </c>
    </row>
    <row r="897" spans="1:19" x14ac:dyDescent="0.3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str">
        <f>IFERROR(VLOOKUP('Customer Info'!A889,'Customer Info'!A889:C1388,2,FALSE),"Not Found")</f>
        <v>Not Found</v>
      </c>
      <c r="H897" s="6" t="str">
        <f>IFERROR(VLOOKUP('Customer Info'!A889,'Customer Info'!A889:C1388,3,FALSE),"Not Found")</f>
        <v>Not Found</v>
      </c>
      <c r="I897" s="6" t="str">
        <f>IFERROR(VLOOKUP('Customer Info'!A889,'Customer Info'!A889:E1388,5,FALSE),"Not Found")</f>
        <v>Not Found</v>
      </c>
      <c r="J897" s="2">
        <v>141</v>
      </c>
      <c r="K897" s="2">
        <v>131</v>
      </c>
      <c r="L897" s="2">
        <v>5</v>
      </c>
      <c r="M897" s="7">
        <f t="shared" si="65"/>
        <v>655</v>
      </c>
      <c r="N897" s="7">
        <f t="shared" si="66"/>
        <v>705</v>
      </c>
      <c r="O897" s="2">
        <v>30</v>
      </c>
      <c r="P897" s="8">
        <f t="shared" si="67"/>
        <v>735</v>
      </c>
      <c r="Q897" s="8">
        <f t="shared" si="68"/>
        <v>574</v>
      </c>
      <c r="R897" s="2" t="s">
        <v>28</v>
      </c>
      <c r="S897" s="9">
        <f t="shared" si="69"/>
        <v>14.700000000000001</v>
      </c>
    </row>
    <row r="898" spans="1:19" x14ac:dyDescent="0.3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str">
        <f>IFERROR(VLOOKUP('Customer Info'!A890,'Customer Info'!A890:C1389,2,FALSE),"Not Found")</f>
        <v>Not Found</v>
      </c>
      <c r="H898" s="6" t="str">
        <f>IFERROR(VLOOKUP('Customer Info'!A890,'Customer Info'!A890:C1389,3,FALSE),"Not Found")</f>
        <v>Not Found</v>
      </c>
      <c r="I898" s="6" t="str">
        <f>IFERROR(VLOOKUP('Customer Info'!A890,'Customer Info'!A890:E1389,5,FALSE),"Not Found")</f>
        <v>Not Found</v>
      </c>
      <c r="J898" s="2">
        <v>1048</v>
      </c>
      <c r="K898" s="2">
        <v>979</v>
      </c>
      <c r="L898" s="2">
        <v>5</v>
      </c>
      <c r="M898" s="7">
        <f t="shared" si="65"/>
        <v>4895</v>
      </c>
      <c r="N898" s="7">
        <f t="shared" si="66"/>
        <v>5240</v>
      </c>
      <c r="O898" s="2">
        <v>22</v>
      </c>
      <c r="P898" s="8">
        <f t="shared" si="67"/>
        <v>5262</v>
      </c>
      <c r="Q898" s="8">
        <f t="shared" si="68"/>
        <v>4261</v>
      </c>
      <c r="R898" s="2" t="s">
        <v>28</v>
      </c>
      <c r="S898" s="9">
        <f t="shared" si="69"/>
        <v>263.10000000000002</v>
      </c>
    </row>
    <row r="899" spans="1:19" x14ac:dyDescent="0.3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str">
        <f>IFERROR(VLOOKUP('Customer Info'!A891,'Customer Info'!A891:C1390,2,FALSE),"Not Found")</f>
        <v>Not Found</v>
      </c>
      <c r="H899" s="6" t="str">
        <f>IFERROR(VLOOKUP('Customer Info'!A891,'Customer Info'!A891:C1390,3,FALSE),"Not Found")</f>
        <v>Not Found</v>
      </c>
      <c r="I899" s="6" t="str">
        <f>IFERROR(VLOOKUP('Customer Info'!A891,'Customer Info'!A891:E1390,5,FALSE),"Not Found")</f>
        <v>Not Found</v>
      </c>
      <c r="J899" s="2">
        <v>7508</v>
      </c>
      <c r="K899" s="2">
        <v>6956</v>
      </c>
      <c r="L899" s="2">
        <v>4</v>
      </c>
      <c r="M899" s="7">
        <f t="shared" si="65"/>
        <v>27824</v>
      </c>
      <c r="N899" s="7">
        <f t="shared" si="66"/>
        <v>30032</v>
      </c>
      <c r="O899" s="2">
        <v>94</v>
      </c>
      <c r="P899" s="8">
        <f t="shared" si="67"/>
        <v>30126</v>
      </c>
      <c r="Q899" s="8">
        <f t="shared" si="68"/>
        <v>23076</v>
      </c>
      <c r="R899" s="2" t="s">
        <v>28</v>
      </c>
      <c r="S899" s="9">
        <f t="shared" si="69"/>
        <v>2108.8200000000002</v>
      </c>
    </row>
    <row r="900" spans="1:19" x14ac:dyDescent="0.3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str">
        <f>IFERROR(VLOOKUP('Customer Info'!A892,'Customer Info'!A892:C1391,2,FALSE),"Not Found")</f>
        <v>Not Found</v>
      </c>
      <c r="H900" s="6" t="str">
        <f>IFERROR(VLOOKUP('Customer Info'!A892,'Customer Info'!A892:C1391,3,FALSE),"Not Found")</f>
        <v>Not Found</v>
      </c>
      <c r="I900" s="6" t="str">
        <f>IFERROR(VLOOKUP('Customer Info'!A892,'Customer Info'!A892:E1391,5,FALSE),"Not Found")</f>
        <v>Not Found</v>
      </c>
      <c r="J900" s="2">
        <v>805</v>
      </c>
      <c r="K900" s="2">
        <v>746</v>
      </c>
      <c r="L900" s="2">
        <v>9</v>
      </c>
      <c r="M900" s="7">
        <f t="shared" si="65"/>
        <v>6714</v>
      </c>
      <c r="N900" s="7">
        <f t="shared" si="66"/>
        <v>7245</v>
      </c>
      <c r="O900" s="2">
        <v>82</v>
      </c>
      <c r="P900" s="8">
        <f t="shared" si="67"/>
        <v>7327</v>
      </c>
      <c r="Q900" s="8">
        <f t="shared" si="68"/>
        <v>6499</v>
      </c>
      <c r="R900" s="2" t="s">
        <v>28</v>
      </c>
      <c r="S900" s="9">
        <f t="shared" si="69"/>
        <v>366.35</v>
      </c>
    </row>
    <row r="901" spans="1:19" x14ac:dyDescent="0.3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str">
        <f>IFERROR(VLOOKUP('Customer Info'!A893,'Customer Info'!A893:C1392,2,FALSE),"Not Found")</f>
        <v>Not Found</v>
      </c>
      <c r="H901" s="6" t="str">
        <f>IFERROR(VLOOKUP('Customer Info'!A893,'Customer Info'!A893:C1392,3,FALSE),"Not Found")</f>
        <v>Not Found</v>
      </c>
      <c r="I901" s="6" t="str">
        <f>IFERROR(VLOOKUP('Customer Info'!A893,'Customer Info'!A893:E1392,5,FALSE),"Not Found")</f>
        <v>Not Found</v>
      </c>
      <c r="J901" s="2">
        <v>73</v>
      </c>
      <c r="K901" s="2">
        <v>65</v>
      </c>
      <c r="L901" s="2">
        <v>3</v>
      </c>
      <c r="M901" s="7">
        <f t="shared" si="65"/>
        <v>195</v>
      </c>
      <c r="N901" s="7">
        <f t="shared" si="66"/>
        <v>219</v>
      </c>
      <c r="O901" s="2">
        <v>10</v>
      </c>
      <c r="P901" s="8">
        <f t="shared" si="67"/>
        <v>229</v>
      </c>
      <c r="Q901" s="8">
        <f t="shared" si="68"/>
        <v>154</v>
      </c>
      <c r="R901" s="2" t="s">
        <v>50</v>
      </c>
      <c r="S901" s="9">
        <f t="shared" si="69"/>
        <v>4.58</v>
      </c>
    </row>
    <row r="902" spans="1:19" x14ac:dyDescent="0.3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str">
        <f>IFERROR(VLOOKUP('Customer Info'!A894,'Customer Info'!A894:C1393,2,FALSE),"Not Found")</f>
        <v>Not Found</v>
      </c>
      <c r="H902" s="6" t="str">
        <f>IFERROR(VLOOKUP('Customer Info'!A894,'Customer Info'!A894:C1393,3,FALSE),"Not Found")</f>
        <v>Not Found</v>
      </c>
      <c r="I902" s="6" t="str">
        <f>IFERROR(VLOOKUP('Customer Info'!A894,'Customer Info'!A894:E1393,5,FALSE),"Not Found")</f>
        <v>Not Found</v>
      </c>
      <c r="J902" s="2">
        <v>4487</v>
      </c>
      <c r="K902" s="2">
        <v>4201</v>
      </c>
      <c r="L902" s="2">
        <v>2</v>
      </c>
      <c r="M902" s="7">
        <f t="shared" si="65"/>
        <v>8402</v>
      </c>
      <c r="N902" s="7">
        <f t="shared" si="66"/>
        <v>8974</v>
      </c>
      <c r="O902" s="2">
        <v>36</v>
      </c>
      <c r="P902" s="8">
        <f t="shared" si="67"/>
        <v>9010</v>
      </c>
      <c r="Q902" s="8">
        <f t="shared" si="68"/>
        <v>4773</v>
      </c>
      <c r="R902" s="2" t="s">
        <v>28</v>
      </c>
      <c r="S902" s="9">
        <f t="shared" si="69"/>
        <v>450.5</v>
      </c>
    </row>
    <row r="903" spans="1:19" x14ac:dyDescent="0.3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str">
        <f>IFERROR(VLOOKUP('Customer Info'!A895,'Customer Info'!A895:C1394,2,FALSE),"Not Found")</f>
        <v>Not Found</v>
      </c>
      <c r="H903" s="6" t="str">
        <f>IFERROR(VLOOKUP('Customer Info'!A895,'Customer Info'!A895:C1394,3,FALSE),"Not Found")</f>
        <v>Not Found</v>
      </c>
      <c r="I903" s="6" t="str">
        <f>IFERROR(VLOOKUP('Customer Info'!A895,'Customer Info'!A895:E1394,5,FALSE),"Not Found")</f>
        <v>Not Found</v>
      </c>
      <c r="J903" s="2">
        <v>147</v>
      </c>
      <c r="K903" s="2">
        <v>138</v>
      </c>
      <c r="L903" s="2">
        <v>6</v>
      </c>
      <c r="M903" s="7">
        <f t="shared" si="65"/>
        <v>828</v>
      </c>
      <c r="N903" s="7">
        <f t="shared" si="66"/>
        <v>882</v>
      </c>
      <c r="O903" s="2">
        <v>30</v>
      </c>
      <c r="P903" s="8">
        <f t="shared" si="67"/>
        <v>912</v>
      </c>
      <c r="Q903" s="8">
        <f t="shared" si="68"/>
        <v>744</v>
      </c>
      <c r="R903" s="2" t="s">
        <v>28</v>
      </c>
      <c r="S903" s="9">
        <f t="shared" si="69"/>
        <v>18.240000000000002</v>
      </c>
    </row>
    <row r="904" spans="1:19" x14ac:dyDescent="0.3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str">
        <f>IFERROR(VLOOKUP('Customer Info'!A896,'Customer Info'!A896:C1395,2,FALSE),"Not Found")</f>
        <v>Not Found</v>
      </c>
      <c r="H904" s="6" t="str">
        <f>IFERROR(VLOOKUP('Customer Info'!A896,'Customer Info'!A896:C1395,3,FALSE),"Not Found")</f>
        <v>Not Found</v>
      </c>
      <c r="I904" s="6" t="str">
        <f>IFERROR(VLOOKUP('Customer Info'!A896,'Customer Info'!A896:E1395,5,FALSE),"Not Found")</f>
        <v>Not Found</v>
      </c>
      <c r="J904" s="2">
        <v>166</v>
      </c>
      <c r="K904" s="2">
        <v>149</v>
      </c>
      <c r="L904" s="2">
        <v>2</v>
      </c>
      <c r="M904" s="7">
        <f t="shared" si="65"/>
        <v>298</v>
      </c>
      <c r="N904" s="7">
        <f t="shared" si="66"/>
        <v>332</v>
      </c>
      <c r="O904" s="2">
        <v>30</v>
      </c>
      <c r="P904" s="8">
        <f t="shared" si="67"/>
        <v>362</v>
      </c>
      <c r="Q904" s="8">
        <f t="shared" si="68"/>
        <v>183</v>
      </c>
      <c r="R904" s="2" t="s">
        <v>50</v>
      </c>
      <c r="S904" s="9">
        <f t="shared" si="69"/>
        <v>7.24</v>
      </c>
    </row>
    <row r="905" spans="1:19" x14ac:dyDescent="0.3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str">
        <f>IFERROR(VLOOKUP('Customer Info'!A897,'Customer Info'!A897:C1396,2,FALSE),"Not Found")</f>
        <v>Not Found</v>
      </c>
      <c r="H905" s="6" t="str">
        <f>IFERROR(VLOOKUP('Customer Info'!A897,'Customer Info'!A897:C1396,3,FALSE),"Not Found")</f>
        <v>Not Found</v>
      </c>
      <c r="I905" s="6" t="str">
        <f>IFERROR(VLOOKUP('Customer Info'!A897,'Customer Info'!A897:E1396,5,FALSE),"Not Found")</f>
        <v>Not Found</v>
      </c>
      <c r="J905" s="2">
        <v>954</v>
      </c>
      <c r="K905" s="2">
        <v>901</v>
      </c>
      <c r="L905" s="2">
        <v>2</v>
      </c>
      <c r="M905" s="7">
        <f t="shared" si="65"/>
        <v>1802</v>
      </c>
      <c r="N905" s="7">
        <f t="shared" si="66"/>
        <v>1908</v>
      </c>
      <c r="O905" s="2">
        <v>86</v>
      </c>
      <c r="P905" s="8">
        <f t="shared" si="67"/>
        <v>1994</v>
      </c>
      <c r="Q905" s="8">
        <f t="shared" si="68"/>
        <v>1007</v>
      </c>
      <c r="R905" s="2" t="s">
        <v>28</v>
      </c>
      <c r="S905" s="9">
        <f t="shared" si="69"/>
        <v>39.880000000000003</v>
      </c>
    </row>
    <row r="906" spans="1:19" x14ac:dyDescent="0.3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str">
        <f>IFERROR(VLOOKUP('Customer Info'!A898,'Customer Info'!A898:C1397,2,FALSE),"Not Found")</f>
        <v>Not Found</v>
      </c>
      <c r="H906" s="6" t="str">
        <f>IFERROR(VLOOKUP('Customer Info'!A898,'Customer Info'!A898:C1397,3,FALSE),"Not Found")</f>
        <v>Not Found</v>
      </c>
      <c r="I906" s="6" t="str">
        <f>IFERROR(VLOOKUP('Customer Info'!A898,'Customer Info'!A898:E1397,5,FALSE),"Not Found")</f>
        <v>Not Found</v>
      </c>
      <c r="J906" s="2">
        <v>743</v>
      </c>
      <c r="K906" s="2">
        <v>694</v>
      </c>
      <c r="L906" s="2">
        <v>11</v>
      </c>
      <c r="M906" s="7">
        <f t="shared" si="65"/>
        <v>7634</v>
      </c>
      <c r="N906" s="7">
        <f t="shared" si="66"/>
        <v>8173</v>
      </c>
      <c r="O906" s="2">
        <v>43</v>
      </c>
      <c r="P906" s="8">
        <f t="shared" si="67"/>
        <v>8216</v>
      </c>
      <c r="Q906" s="8">
        <f t="shared" si="68"/>
        <v>7479</v>
      </c>
      <c r="R906" s="2" t="s">
        <v>28</v>
      </c>
      <c r="S906" s="9">
        <f t="shared" si="69"/>
        <v>410.8</v>
      </c>
    </row>
    <row r="907" spans="1:19" x14ac:dyDescent="0.3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str">
        <f>IFERROR(VLOOKUP('Customer Info'!A899,'Customer Info'!A899:C1398,2,FALSE),"Not Found")</f>
        <v>Not Found</v>
      </c>
      <c r="H907" s="6" t="str">
        <f>IFERROR(VLOOKUP('Customer Info'!A899,'Customer Info'!A899:C1398,3,FALSE),"Not Found")</f>
        <v>Not Found</v>
      </c>
      <c r="I907" s="6" t="str">
        <f>IFERROR(VLOOKUP('Customer Info'!A899,'Customer Info'!A899:E1398,5,FALSE),"Not Found")</f>
        <v>Not Found</v>
      </c>
      <c r="J907" s="2">
        <v>7691</v>
      </c>
      <c r="K907" s="2">
        <v>7255</v>
      </c>
      <c r="L907" s="2">
        <v>3</v>
      </c>
      <c r="M907" s="7">
        <f t="shared" ref="M907:M970" si="70">$K907*$L907</f>
        <v>21765</v>
      </c>
      <c r="N907" s="7">
        <f t="shared" ref="N907:N970" si="71">$J907*$L907</f>
        <v>23073</v>
      </c>
      <c r="O907" s="2">
        <v>84</v>
      </c>
      <c r="P907" s="8">
        <f t="shared" ref="P907:P970" si="72">$N907+$O907</f>
        <v>23157</v>
      </c>
      <c r="Q907" s="8">
        <f t="shared" ref="Q907:Q970" si="73">$N907-$K907</f>
        <v>15818</v>
      </c>
      <c r="R907" s="2" t="s">
        <v>56</v>
      </c>
      <c r="S907" s="9">
        <f t="shared" ref="S907:S970" si="74" xml:space="preserve"> P907 * VLOOKUP(P907, $T$2:$U$6, 2, TRUE)</f>
        <v>1157.8500000000001</v>
      </c>
    </row>
    <row r="908" spans="1:19" x14ac:dyDescent="0.3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str">
        <f>IFERROR(VLOOKUP('Customer Info'!A900,'Customer Info'!A900:C1399,2,FALSE),"Not Found")</f>
        <v>Not Found</v>
      </c>
      <c r="H908" s="6" t="str">
        <f>IFERROR(VLOOKUP('Customer Info'!A900,'Customer Info'!A900:C1399,3,FALSE),"Not Found")</f>
        <v>Not Found</v>
      </c>
      <c r="I908" s="6" t="str">
        <f>IFERROR(VLOOKUP('Customer Info'!A900,'Customer Info'!A900:E1399,5,FALSE),"Not Found")</f>
        <v>Not Found</v>
      </c>
      <c r="J908" s="2">
        <v>6717</v>
      </c>
      <c r="K908" s="2">
        <v>6288</v>
      </c>
      <c r="L908" s="2">
        <v>7</v>
      </c>
      <c r="M908" s="7">
        <f t="shared" si="70"/>
        <v>44016</v>
      </c>
      <c r="N908" s="7">
        <f t="shared" si="71"/>
        <v>47019</v>
      </c>
      <c r="O908" s="2">
        <v>96</v>
      </c>
      <c r="P908" s="8">
        <f t="shared" si="72"/>
        <v>47115</v>
      </c>
      <c r="Q908" s="8">
        <f t="shared" si="73"/>
        <v>40731</v>
      </c>
      <c r="R908" s="2" t="s">
        <v>50</v>
      </c>
      <c r="S908" s="9">
        <f t="shared" si="74"/>
        <v>3298.05</v>
      </c>
    </row>
    <row r="909" spans="1:19" x14ac:dyDescent="0.3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str">
        <f>IFERROR(VLOOKUP('Customer Info'!A901,'Customer Info'!A901:C1400,2,FALSE),"Not Found")</f>
        <v>Not Found</v>
      </c>
      <c r="H909" s="6" t="str">
        <f>IFERROR(VLOOKUP('Customer Info'!A901,'Customer Info'!A901:C1400,3,FALSE),"Not Found")</f>
        <v>Not Found</v>
      </c>
      <c r="I909" s="6" t="str">
        <f>IFERROR(VLOOKUP('Customer Info'!A901,'Customer Info'!A901:E1400,5,FALSE),"Not Found")</f>
        <v>Not Found</v>
      </c>
      <c r="J909" s="2">
        <v>743</v>
      </c>
      <c r="K909" s="2">
        <v>694</v>
      </c>
      <c r="L909" s="2">
        <v>1</v>
      </c>
      <c r="M909" s="7">
        <f t="shared" si="70"/>
        <v>694</v>
      </c>
      <c r="N909" s="7">
        <f t="shared" si="71"/>
        <v>743</v>
      </c>
      <c r="O909" s="2">
        <v>98</v>
      </c>
      <c r="P909" s="8">
        <f t="shared" si="72"/>
        <v>841</v>
      </c>
      <c r="Q909" s="8">
        <f t="shared" si="73"/>
        <v>49</v>
      </c>
      <c r="R909" s="2" t="s">
        <v>26</v>
      </c>
      <c r="S909" s="9">
        <f t="shared" si="74"/>
        <v>16.82</v>
      </c>
    </row>
    <row r="910" spans="1:19" x14ac:dyDescent="0.3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str">
        <f>IFERROR(VLOOKUP('Customer Info'!A902,'Customer Info'!A902:C1401,2,FALSE),"Not Found")</f>
        <v>Not Found</v>
      </c>
      <c r="H910" s="6" t="str">
        <f>IFERROR(VLOOKUP('Customer Info'!A902,'Customer Info'!A902:C1401,3,FALSE),"Not Found")</f>
        <v>Not Found</v>
      </c>
      <c r="I910" s="6" t="str">
        <f>IFERROR(VLOOKUP('Customer Info'!A902,'Customer Info'!A902:E1401,5,FALSE),"Not Found")</f>
        <v>Not Found</v>
      </c>
      <c r="J910" s="2">
        <v>69</v>
      </c>
      <c r="K910" s="2">
        <v>64</v>
      </c>
      <c r="L910" s="2">
        <v>1</v>
      </c>
      <c r="M910" s="7">
        <f t="shared" si="70"/>
        <v>64</v>
      </c>
      <c r="N910" s="7">
        <f t="shared" si="71"/>
        <v>69</v>
      </c>
      <c r="O910" s="2">
        <v>10</v>
      </c>
      <c r="P910" s="8">
        <f t="shared" si="72"/>
        <v>79</v>
      </c>
      <c r="Q910" s="8">
        <f t="shared" si="73"/>
        <v>5</v>
      </c>
      <c r="R910" s="2" t="s">
        <v>28</v>
      </c>
      <c r="S910" s="9">
        <f t="shared" si="74"/>
        <v>1.58</v>
      </c>
    </row>
    <row r="911" spans="1:19" x14ac:dyDescent="0.3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str">
        <f>IFERROR(VLOOKUP('Customer Info'!A903,'Customer Info'!A903:C1402,2,FALSE),"Not Found")</f>
        <v>Not Found</v>
      </c>
      <c r="H911" s="6" t="str">
        <f>IFERROR(VLOOKUP('Customer Info'!A903,'Customer Info'!A903:C1402,3,FALSE),"Not Found")</f>
        <v>Not Found</v>
      </c>
      <c r="I911" s="6" t="str">
        <f>IFERROR(VLOOKUP('Customer Info'!A903,'Customer Info'!A903:E1402,5,FALSE),"Not Found")</f>
        <v>Not Found</v>
      </c>
      <c r="J911" s="2">
        <v>130</v>
      </c>
      <c r="K911" s="2">
        <v>122</v>
      </c>
      <c r="L911" s="2">
        <v>2</v>
      </c>
      <c r="M911" s="7">
        <f t="shared" si="70"/>
        <v>244</v>
      </c>
      <c r="N911" s="7">
        <f t="shared" si="71"/>
        <v>260</v>
      </c>
      <c r="O911" s="2">
        <v>30</v>
      </c>
      <c r="P911" s="8">
        <f t="shared" si="72"/>
        <v>290</v>
      </c>
      <c r="Q911" s="8">
        <f t="shared" si="73"/>
        <v>138</v>
      </c>
      <c r="R911" s="2" t="s">
        <v>50</v>
      </c>
      <c r="S911" s="9">
        <f t="shared" si="74"/>
        <v>5.8</v>
      </c>
    </row>
    <row r="912" spans="1:19" x14ac:dyDescent="0.3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str">
        <f>IFERROR(VLOOKUP('Customer Info'!A904,'Customer Info'!A904:C1403,2,FALSE),"Not Found")</f>
        <v>Not Found</v>
      </c>
      <c r="H912" s="6" t="str">
        <f>IFERROR(VLOOKUP('Customer Info'!A904,'Customer Info'!A904:C1403,3,FALSE),"Not Found")</f>
        <v>Not Found</v>
      </c>
      <c r="I912" s="6" t="str">
        <f>IFERROR(VLOOKUP('Customer Info'!A904,'Customer Info'!A904:E1403,5,FALSE),"Not Found")</f>
        <v>Not Found</v>
      </c>
      <c r="J912" s="2">
        <v>37949</v>
      </c>
      <c r="K912" s="2">
        <v>34816</v>
      </c>
      <c r="L912" s="2">
        <v>2</v>
      </c>
      <c r="M912" s="7">
        <f t="shared" si="70"/>
        <v>69632</v>
      </c>
      <c r="N912" s="7">
        <f t="shared" si="71"/>
        <v>75898</v>
      </c>
      <c r="O912" s="2">
        <v>99</v>
      </c>
      <c r="P912" s="8">
        <f t="shared" si="72"/>
        <v>75997</v>
      </c>
      <c r="Q912" s="8">
        <f t="shared" si="73"/>
        <v>41082</v>
      </c>
      <c r="R912" s="2" t="s">
        <v>28</v>
      </c>
      <c r="S912" s="9">
        <f t="shared" si="74"/>
        <v>6839.73</v>
      </c>
    </row>
    <row r="913" spans="1:19" x14ac:dyDescent="0.3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str">
        <f>IFERROR(VLOOKUP('Customer Info'!A905,'Customer Info'!A905:C1404,2,FALSE),"Not Found")</f>
        <v>Not Found</v>
      </c>
      <c r="H913" s="6" t="str">
        <f>IFERROR(VLOOKUP('Customer Info'!A905,'Customer Info'!A905:C1404,3,FALSE),"Not Found")</f>
        <v>Not Found</v>
      </c>
      <c r="I913" s="6" t="str">
        <f>IFERROR(VLOOKUP('Customer Info'!A905,'Customer Info'!A905:E1404,5,FALSE),"Not Found")</f>
        <v>Not Found</v>
      </c>
      <c r="J913" s="2">
        <v>139</v>
      </c>
      <c r="K913" s="2">
        <v>133</v>
      </c>
      <c r="L913" s="2">
        <v>1</v>
      </c>
      <c r="M913" s="7">
        <f t="shared" si="70"/>
        <v>133</v>
      </c>
      <c r="N913" s="7">
        <f t="shared" si="71"/>
        <v>139</v>
      </c>
      <c r="O913" s="2">
        <v>30</v>
      </c>
      <c r="P913" s="8">
        <f t="shared" si="72"/>
        <v>169</v>
      </c>
      <c r="Q913" s="8">
        <f t="shared" si="73"/>
        <v>6</v>
      </c>
      <c r="R913" s="2" t="s">
        <v>50</v>
      </c>
      <c r="S913" s="9">
        <f t="shared" si="74"/>
        <v>3.38</v>
      </c>
    </row>
    <row r="914" spans="1:19" x14ac:dyDescent="0.3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str">
        <f>IFERROR(VLOOKUP('Customer Info'!A906,'Customer Info'!A906:C1405,2,FALSE),"Not Found")</f>
        <v>Not Found</v>
      </c>
      <c r="H914" s="6" t="str">
        <f>IFERROR(VLOOKUP('Customer Info'!A906,'Customer Info'!A906:C1405,3,FALSE),"Not Found")</f>
        <v>Not Found</v>
      </c>
      <c r="I914" s="6" t="str">
        <f>IFERROR(VLOOKUP('Customer Info'!A906,'Customer Info'!A906:E1405,5,FALSE),"Not Found")</f>
        <v>Not Found</v>
      </c>
      <c r="J914" s="2">
        <v>37949</v>
      </c>
      <c r="K914" s="2">
        <v>34816</v>
      </c>
      <c r="L914" s="2">
        <v>7</v>
      </c>
      <c r="M914" s="7">
        <f t="shared" si="70"/>
        <v>243712</v>
      </c>
      <c r="N914" s="7">
        <f t="shared" si="71"/>
        <v>265643</v>
      </c>
      <c r="O914" s="2">
        <v>36</v>
      </c>
      <c r="P914" s="8">
        <f t="shared" si="72"/>
        <v>265679</v>
      </c>
      <c r="Q914" s="8">
        <f t="shared" si="73"/>
        <v>230827</v>
      </c>
      <c r="R914" s="2" t="s">
        <v>50</v>
      </c>
      <c r="S914" s="9">
        <f t="shared" si="74"/>
        <v>31881.48</v>
      </c>
    </row>
    <row r="915" spans="1:19" x14ac:dyDescent="0.3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str">
        <f>IFERROR(VLOOKUP('Customer Info'!A907,'Customer Info'!A907:C1406,2,FALSE),"Not Found")</f>
        <v>Not Found</v>
      </c>
      <c r="H915" s="6" t="str">
        <f>IFERROR(VLOOKUP('Customer Info'!A907,'Customer Info'!A907:C1406,3,FALSE),"Not Found")</f>
        <v>Not Found</v>
      </c>
      <c r="I915" s="6" t="str">
        <f>IFERROR(VLOOKUP('Customer Info'!A907,'Customer Info'!A907:E1406,5,FALSE),"Not Found")</f>
        <v>Not Found</v>
      </c>
      <c r="J915" s="2">
        <v>63</v>
      </c>
      <c r="K915" s="2">
        <v>59</v>
      </c>
      <c r="L915" s="2">
        <v>1</v>
      </c>
      <c r="M915" s="7">
        <f t="shared" si="70"/>
        <v>59</v>
      </c>
      <c r="N915" s="7">
        <f t="shared" si="71"/>
        <v>63</v>
      </c>
      <c r="O915" s="2">
        <v>10</v>
      </c>
      <c r="P915" s="8">
        <f t="shared" si="72"/>
        <v>73</v>
      </c>
      <c r="Q915" s="8">
        <f t="shared" si="73"/>
        <v>4</v>
      </c>
      <c r="R915" s="2" t="s">
        <v>56</v>
      </c>
      <c r="S915" s="9">
        <f t="shared" si="74"/>
        <v>1.46</v>
      </c>
    </row>
    <row r="916" spans="1:19" x14ac:dyDescent="0.3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str">
        <f>IFERROR(VLOOKUP('Customer Info'!A908,'Customer Info'!A908:C1407,2,FALSE),"Not Found")</f>
        <v>Not Found</v>
      </c>
      <c r="H916" s="6" t="str">
        <f>IFERROR(VLOOKUP('Customer Info'!A908,'Customer Info'!A908:C1407,3,FALSE),"Not Found")</f>
        <v>Not Found</v>
      </c>
      <c r="I916" s="6" t="str">
        <f>IFERROR(VLOOKUP('Customer Info'!A908,'Customer Info'!A908:E1407,5,FALSE),"Not Found")</f>
        <v>Not Found</v>
      </c>
      <c r="J916" s="2">
        <v>1210</v>
      </c>
      <c r="K916" s="2">
        <v>1164</v>
      </c>
      <c r="L916" s="2">
        <v>4</v>
      </c>
      <c r="M916" s="7">
        <f t="shared" si="70"/>
        <v>4656</v>
      </c>
      <c r="N916" s="7">
        <f t="shared" si="71"/>
        <v>4840</v>
      </c>
      <c r="O916" s="2">
        <v>24</v>
      </c>
      <c r="P916" s="8">
        <f t="shared" si="72"/>
        <v>4864</v>
      </c>
      <c r="Q916" s="8">
        <f t="shared" si="73"/>
        <v>3676</v>
      </c>
      <c r="R916" s="2" t="s">
        <v>28</v>
      </c>
      <c r="S916" s="9">
        <f t="shared" si="74"/>
        <v>97.28</v>
      </c>
    </row>
    <row r="917" spans="1:19" x14ac:dyDescent="0.3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str">
        <f>IFERROR(VLOOKUP('Customer Info'!A909,'Customer Info'!A909:C1408,2,FALSE),"Not Found")</f>
        <v>Not Found</v>
      </c>
      <c r="H917" s="6" t="str">
        <f>IFERROR(VLOOKUP('Customer Info'!A909,'Customer Info'!A909:C1408,3,FALSE),"Not Found")</f>
        <v>Not Found</v>
      </c>
      <c r="I917" s="6" t="str">
        <f>IFERROR(VLOOKUP('Customer Info'!A909,'Customer Info'!A909:E1408,5,FALSE),"Not Found")</f>
        <v>Not Found</v>
      </c>
      <c r="J917" s="2">
        <v>6520</v>
      </c>
      <c r="K917" s="2">
        <v>5985</v>
      </c>
      <c r="L917" s="2">
        <v>3</v>
      </c>
      <c r="M917" s="7">
        <f t="shared" si="70"/>
        <v>17955</v>
      </c>
      <c r="N917" s="7">
        <f t="shared" si="71"/>
        <v>19560</v>
      </c>
      <c r="O917" s="2">
        <v>100</v>
      </c>
      <c r="P917" s="8">
        <f t="shared" si="72"/>
        <v>19660</v>
      </c>
      <c r="Q917" s="8">
        <f t="shared" si="73"/>
        <v>13575</v>
      </c>
      <c r="R917" s="2" t="s">
        <v>28</v>
      </c>
      <c r="S917" s="9">
        <f t="shared" si="74"/>
        <v>983</v>
      </c>
    </row>
    <row r="918" spans="1:19" x14ac:dyDescent="0.3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str">
        <f>IFERROR(VLOOKUP('Customer Info'!A910,'Customer Info'!A910:C1409,2,FALSE),"Not Found")</f>
        <v>Not Found</v>
      </c>
      <c r="H918" s="6" t="str">
        <f>IFERROR(VLOOKUP('Customer Info'!A910,'Customer Info'!A910:C1409,3,FALSE),"Not Found")</f>
        <v>Not Found</v>
      </c>
      <c r="I918" s="6" t="str">
        <f>IFERROR(VLOOKUP('Customer Info'!A910,'Customer Info'!A910:E1409,5,FALSE),"Not Found")</f>
        <v>Not Found</v>
      </c>
      <c r="J918" s="2">
        <v>1911</v>
      </c>
      <c r="K918" s="2">
        <v>1785</v>
      </c>
      <c r="L918" s="2">
        <v>4</v>
      </c>
      <c r="M918" s="7">
        <f t="shared" si="70"/>
        <v>7140</v>
      </c>
      <c r="N918" s="7">
        <f t="shared" si="71"/>
        <v>7644</v>
      </c>
      <c r="O918" s="2">
        <v>39</v>
      </c>
      <c r="P918" s="8">
        <f t="shared" si="72"/>
        <v>7683</v>
      </c>
      <c r="Q918" s="8">
        <f t="shared" si="73"/>
        <v>5859</v>
      </c>
      <c r="R918" s="2" t="s">
        <v>50</v>
      </c>
      <c r="S918" s="9">
        <f t="shared" si="74"/>
        <v>384.15000000000003</v>
      </c>
    </row>
    <row r="919" spans="1:19" x14ac:dyDescent="0.3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str">
        <f>IFERROR(VLOOKUP('Customer Info'!A911,'Customer Info'!A911:C1410,2,FALSE),"Not Found")</f>
        <v>Not Found</v>
      </c>
      <c r="H919" s="6" t="str">
        <f>IFERROR(VLOOKUP('Customer Info'!A911,'Customer Info'!A911:C1410,3,FALSE),"Not Found")</f>
        <v>Not Found</v>
      </c>
      <c r="I919" s="6" t="str">
        <f>IFERROR(VLOOKUP('Customer Info'!A911,'Customer Info'!A911:E1410,5,FALSE),"Not Found")</f>
        <v>Not Found</v>
      </c>
      <c r="J919" s="2">
        <v>2540</v>
      </c>
      <c r="K919" s="2">
        <v>2397</v>
      </c>
      <c r="L919" s="2">
        <v>2</v>
      </c>
      <c r="M919" s="7">
        <f t="shared" si="70"/>
        <v>4794</v>
      </c>
      <c r="N919" s="7">
        <f t="shared" si="71"/>
        <v>5080</v>
      </c>
      <c r="O919" s="2">
        <v>20</v>
      </c>
      <c r="P919" s="8">
        <f t="shared" si="72"/>
        <v>5100</v>
      </c>
      <c r="Q919" s="8">
        <f t="shared" si="73"/>
        <v>2683</v>
      </c>
      <c r="R919" s="2" t="s">
        <v>28</v>
      </c>
      <c r="S919" s="9">
        <f t="shared" si="74"/>
        <v>255</v>
      </c>
    </row>
    <row r="920" spans="1:19" x14ac:dyDescent="0.3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str">
        <f>IFERROR(VLOOKUP('Customer Info'!A912,'Customer Info'!A912:C1411,2,FALSE),"Not Found")</f>
        <v>Not Found</v>
      </c>
      <c r="H920" s="6" t="str">
        <f>IFERROR(VLOOKUP('Customer Info'!A912,'Customer Info'!A912:C1411,3,FALSE),"Not Found")</f>
        <v>Not Found</v>
      </c>
      <c r="I920" s="6" t="str">
        <f>IFERROR(VLOOKUP('Customer Info'!A912,'Customer Info'!A912:E1411,5,FALSE),"Not Found")</f>
        <v>Not Found</v>
      </c>
      <c r="J920" s="2">
        <v>1556</v>
      </c>
      <c r="K920" s="2">
        <v>1414</v>
      </c>
      <c r="L920" s="2">
        <v>2</v>
      </c>
      <c r="M920" s="7">
        <f t="shared" si="70"/>
        <v>2828</v>
      </c>
      <c r="N920" s="7">
        <f t="shared" si="71"/>
        <v>3112</v>
      </c>
      <c r="O920" s="2">
        <v>60</v>
      </c>
      <c r="P920" s="8">
        <f t="shared" si="72"/>
        <v>3172</v>
      </c>
      <c r="Q920" s="8">
        <f t="shared" si="73"/>
        <v>1698</v>
      </c>
      <c r="R920" s="2" t="s">
        <v>28</v>
      </c>
      <c r="S920" s="9">
        <f t="shared" si="74"/>
        <v>63.440000000000005</v>
      </c>
    </row>
    <row r="921" spans="1:19" x14ac:dyDescent="0.3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str">
        <f>IFERROR(VLOOKUP('Customer Info'!A913,'Customer Info'!A913:C1412,2,FALSE),"Not Found")</f>
        <v>Not Found</v>
      </c>
      <c r="H921" s="6" t="str">
        <f>IFERROR(VLOOKUP('Customer Info'!A913,'Customer Info'!A913:C1412,3,FALSE),"Not Found")</f>
        <v>Not Found</v>
      </c>
      <c r="I921" s="6" t="str">
        <f>IFERROR(VLOOKUP('Customer Info'!A913,'Customer Info'!A913:E1412,5,FALSE),"Not Found")</f>
        <v>Not Found</v>
      </c>
      <c r="J921" s="2">
        <v>511</v>
      </c>
      <c r="K921" s="2">
        <v>477</v>
      </c>
      <c r="L921" s="2">
        <v>2</v>
      </c>
      <c r="M921" s="7">
        <f t="shared" si="70"/>
        <v>954</v>
      </c>
      <c r="N921" s="7">
        <f t="shared" si="71"/>
        <v>1022</v>
      </c>
      <c r="O921" s="2">
        <v>84</v>
      </c>
      <c r="P921" s="8">
        <f t="shared" si="72"/>
        <v>1106</v>
      </c>
      <c r="Q921" s="8">
        <f t="shared" si="73"/>
        <v>545</v>
      </c>
      <c r="R921" s="2" t="s">
        <v>26</v>
      </c>
      <c r="S921" s="9">
        <f t="shared" si="74"/>
        <v>22.12</v>
      </c>
    </row>
    <row r="922" spans="1:19" x14ac:dyDescent="0.3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str">
        <f>IFERROR(VLOOKUP('Customer Info'!A914,'Customer Info'!A914:C1413,2,FALSE),"Not Found")</f>
        <v>Not Found</v>
      </c>
      <c r="H922" s="6" t="str">
        <f>IFERROR(VLOOKUP('Customer Info'!A914,'Customer Info'!A914:C1413,3,FALSE),"Not Found")</f>
        <v>Not Found</v>
      </c>
      <c r="I922" s="6" t="str">
        <f>IFERROR(VLOOKUP('Customer Info'!A914,'Customer Info'!A914:E1413,5,FALSE),"Not Found")</f>
        <v>Not Found</v>
      </c>
      <c r="J922" s="2">
        <v>3341</v>
      </c>
      <c r="K922" s="2">
        <v>3152</v>
      </c>
      <c r="L922" s="2">
        <v>4</v>
      </c>
      <c r="M922" s="7">
        <f t="shared" si="70"/>
        <v>12608</v>
      </c>
      <c r="N922" s="7">
        <f t="shared" si="71"/>
        <v>13364</v>
      </c>
      <c r="O922" s="2">
        <v>25</v>
      </c>
      <c r="P922" s="8">
        <f t="shared" si="72"/>
        <v>13389</v>
      </c>
      <c r="Q922" s="8">
        <f t="shared" si="73"/>
        <v>10212</v>
      </c>
      <c r="R922" s="2" t="s">
        <v>50</v>
      </c>
      <c r="S922" s="9">
        <f t="shared" si="74"/>
        <v>669.45</v>
      </c>
    </row>
    <row r="923" spans="1:19" x14ac:dyDescent="0.3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str">
        <f>IFERROR(VLOOKUP('Customer Info'!A915,'Customer Info'!A915:C1414,2,FALSE),"Not Found")</f>
        <v>Not Found</v>
      </c>
      <c r="H923" s="6" t="str">
        <f>IFERROR(VLOOKUP('Customer Info'!A915,'Customer Info'!A915:C1414,3,FALSE),"Not Found")</f>
        <v>Not Found</v>
      </c>
      <c r="I923" s="6" t="str">
        <f>IFERROR(VLOOKUP('Customer Info'!A915,'Customer Info'!A915:E1414,5,FALSE),"Not Found")</f>
        <v>Not Found</v>
      </c>
      <c r="J923" s="2">
        <v>805</v>
      </c>
      <c r="K923" s="2">
        <v>746</v>
      </c>
      <c r="L923" s="2">
        <v>2</v>
      </c>
      <c r="M923" s="7">
        <f t="shared" si="70"/>
        <v>1492</v>
      </c>
      <c r="N923" s="7">
        <f t="shared" si="71"/>
        <v>1610</v>
      </c>
      <c r="O923" s="2">
        <v>79</v>
      </c>
      <c r="P923" s="8">
        <f t="shared" si="72"/>
        <v>1689</v>
      </c>
      <c r="Q923" s="8">
        <f t="shared" si="73"/>
        <v>864</v>
      </c>
      <c r="R923" s="2" t="s">
        <v>28</v>
      </c>
      <c r="S923" s="9">
        <f t="shared" si="74"/>
        <v>33.78</v>
      </c>
    </row>
    <row r="924" spans="1:19" x14ac:dyDescent="0.3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str">
        <f>IFERROR(VLOOKUP('Customer Info'!A916,'Customer Info'!A916:C1415,2,FALSE),"Not Found")</f>
        <v>Not Found</v>
      </c>
      <c r="H924" s="6" t="str">
        <f>IFERROR(VLOOKUP('Customer Info'!A916,'Customer Info'!A916:C1415,3,FALSE),"Not Found")</f>
        <v>Not Found</v>
      </c>
      <c r="I924" s="6" t="str">
        <f>IFERROR(VLOOKUP('Customer Info'!A916,'Customer Info'!A916:E1415,5,FALSE),"Not Found")</f>
        <v>Not Found</v>
      </c>
      <c r="J924" s="2">
        <v>79</v>
      </c>
      <c r="K924" s="2">
        <v>75</v>
      </c>
      <c r="L924" s="2">
        <v>2</v>
      </c>
      <c r="M924" s="7">
        <f t="shared" si="70"/>
        <v>150</v>
      </c>
      <c r="N924" s="7">
        <f t="shared" si="71"/>
        <v>158</v>
      </c>
      <c r="O924" s="2">
        <v>10</v>
      </c>
      <c r="P924" s="8">
        <f t="shared" si="72"/>
        <v>168</v>
      </c>
      <c r="Q924" s="8">
        <f t="shared" si="73"/>
        <v>83</v>
      </c>
      <c r="R924" s="2" t="s">
        <v>50</v>
      </c>
      <c r="S924" s="9">
        <f t="shared" si="74"/>
        <v>3.36</v>
      </c>
    </row>
    <row r="925" spans="1:19" x14ac:dyDescent="0.3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str">
        <f>IFERROR(VLOOKUP('Customer Info'!A917,'Customer Info'!A917:C1416,2,FALSE),"Not Found")</f>
        <v>Not Found</v>
      </c>
      <c r="H925" s="6" t="str">
        <f>IFERROR(VLOOKUP('Customer Info'!A917,'Customer Info'!A917:C1416,3,FALSE),"Not Found")</f>
        <v>Not Found</v>
      </c>
      <c r="I925" s="6" t="str">
        <f>IFERROR(VLOOKUP('Customer Info'!A917,'Customer Info'!A917:E1416,5,FALSE),"Not Found")</f>
        <v>Not Found</v>
      </c>
      <c r="J925" s="2">
        <v>165</v>
      </c>
      <c r="K925" s="2">
        <v>149</v>
      </c>
      <c r="L925" s="2">
        <v>4</v>
      </c>
      <c r="M925" s="7">
        <f t="shared" si="70"/>
        <v>596</v>
      </c>
      <c r="N925" s="7">
        <f t="shared" si="71"/>
        <v>660</v>
      </c>
      <c r="O925" s="2">
        <v>30</v>
      </c>
      <c r="P925" s="8">
        <f t="shared" si="72"/>
        <v>690</v>
      </c>
      <c r="Q925" s="8">
        <f t="shared" si="73"/>
        <v>511</v>
      </c>
      <c r="R925" s="2" t="s">
        <v>28</v>
      </c>
      <c r="S925" s="9">
        <f t="shared" si="74"/>
        <v>13.8</v>
      </c>
    </row>
    <row r="926" spans="1:19" x14ac:dyDescent="0.3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str">
        <f>IFERROR(VLOOKUP('Customer Info'!A918,'Customer Info'!A918:C1417,2,FALSE),"Not Found")</f>
        <v>Not Found</v>
      </c>
      <c r="H926" s="6" t="str">
        <f>IFERROR(VLOOKUP('Customer Info'!A918,'Customer Info'!A918:C1417,3,FALSE),"Not Found")</f>
        <v>Not Found</v>
      </c>
      <c r="I926" s="6" t="str">
        <f>IFERROR(VLOOKUP('Customer Info'!A918,'Customer Info'!A918:E1417,5,FALSE),"Not Found")</f>
        <v>Not Found</v>
      </c>
      <c r="J926" s="2">
        <v>882</v>
      </c>
      <c r="K926" s="2">
        <v>818</v>
      </c>
      <c r="L926" s="2">
        <v>6</v>
      </c>
      <c r="M926" s="7">
        <f t="shared" si="70"/>
        <v>4908</v>
      </c>
      <c r="N926" s="7">
        <f t="shared" si="71"/>
        <v>5292</v>
      </c>
      <c r="O926" s="2">
        <v>88</v>
      </c>
      <c r="P926" s="8">
        <f t="shared" si="72"/>
        <v>5380</v>
      </c>
      <c r="Q926" s="8">
        <f t="shared" si="73"/>
        <v>4474</v>
      </c>
      <c r="R926" s="2" t="s">
        <v>28</v>
      </c>
      <c r="S926" s="9">
        <f t="shared" si="74"/>
        <v>269</v>
      </c>
    </row>
    <row r="927" spans="1:19" x14ac:dyDescent="0.3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str">
        <f>IFERROR(VLOOKUP('Customer Info'!A919,'Customer Info'!A919:C1418,2,FALSE),"Not Found")</f>
        <v>Not Found</v>
      </c>
      <c r="H927" s="6" t="str">
        <f>IFERROR(VLOOKUP('Customer Info'!A919,'Customer Info'!A919:C1418,3,FALSE),"Not Found")</f>
        <v>Not Found</v>
      </c>
      <c r="I927" s="6" t="str">
        <f>IFERROR(VLOOKUP('Customer Info'!A919,'Customer Info'!A919:E1418,5,FALSE),"Not Found")</f>
        <v>Not Found</v>
      </c>
      <c r="J927" s="2">
        <v>184</v>
      </c>
      <c r="K927" s="2">
        <v>176</v>
      </c>
      <c r="L927" s="2">
        <v>4</v>
      </c>
      <c r="M927" s="7">
        <f t="shared" si="70"/>
        <v>704</v>
      </c>
      <c r="N927" s="7">
        <f t="shared" si="71"/>
        <v>736</v>
      </c>
      <c r="O927" s="2">
        <v>30</v>
      </c>
      <c r="P927" s="8">
        <f t="shared" si="72"/>
        <v>766</v>
      </c>
      <c r="Q927" s="8">
        <f t="shared" si="73"/>
        <v>560</v>
      </c>
      <c r="R927" s="2" t="s">
        <v>50</v>
      </c>
      <c r="S927" s="9">
        <f t="shared" si="74"/>
        <v>15.32</v>
      </c>
    </row>
    <row r="928" spans="1:19" x14ac:dyDescent="0.3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str">
        <f>IFERROR(VLOOKUP('Customer Info'!A920,'Customer Info'!A920:C1419,2,FALSE),"Not Found")</f>
        <v>Not Found</v>
      </c>
      <c r="H928" s="6" t="str">
        <f>IFERROR(VLOOKUP('Customer Info'!A920,'Customer Info'!A920:C1419,3,FALSE),"Not Found")</f>
        <v>Not Found</v>
      </c>
      <c r="I928" s="6" t="str">
        <f>IFERROR(VLOOKUP('Customer Info'!A920,'Customer Info'!A920:E1419,5,FALSE),"Not Found")</f>
        <v>Not Found</v>
      </c>
      <c r="J928" s="2">
        <v>127</v>
      </c>
      <c r="K928" s="2">
        <v>116</v>
      </c>
      <c r="L928" s="2">
        <v>4</v>
      </c>
      <c r="M928" s="7">
        <f t="shared" si="70"/>
        <v>464</v>
      </c>
      <c r="N928" s="7">
        <f t="shared" si="71"/>
        <v>508</v>
      </c>
      <c r="O928" s="2">
        <v>30</v>
      </c>
      <c r="P928" s="8">
        <f t="shared" si="72"/>
        <v>538</v>
      </c>
      <c r="Q928" s="8">
        <f t="shared" si="73"/>
        <v>392</v>
      </c>
      <c r="R928" s="2" t="s">
        <v>28</v>
      </c>
      <c r="S928" s="9">
        <f t="shared" si="74"/>
        <v>10.76</v>
      </c>
    </row>
    <row r="929" spans="1:19" x14ac:dyDescent="0.3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str">
        <f>IFERROR(VLOOKUP('Customer Info'!A921,'Customer Info'!A921:C1420,2,FALSE),"Not Found")</f>
        <v>Not Found</v>
      </c>
      <c r="H929" s="6" t="str">
        <f>IFERROR(VLOOKUP('Customer Info'!A921,'Customer Info'!A921:C1420,3,FALSE),"Not Found")</f>
        <v>Not Found</v>
      </c>
      <c r="I929" s="6" t="str">
        <f>IFERROR(VLOOKUP('Customer Info'!A921,'Customer Info'!A921:E1420,5,FALSE),"Not Found")</f>
        <v>Not Found</v>
      </c>
      <c r="J929" s="2">
        <v>2083</v>
      </c>
      <c r="K929" s="2">
        <v>2004</v>
      </c>
      <c r="L929" s="2">
        <v>4</v>
      </c>
      <c r="M929" s="7">
        <f t="shared" si="70"/>
        <v>8016</v>
      </c>
      <c r="N929" s="7">
        <f t="shared" si="71"/>
        <v>8332</v>
      </c>
      <c r="O929" s="2">
        <v>34</v>
      </c>
      <c r="P929" s="8">
        <f t="shared" si="72"/>
        <v>8366</v>
      </c>
      <c r="Q929" s="8">
        <f t="shared" si="73"/>
        <v>6328</v>
      </c>
      <c r="R929" s="2" t="s">
        <v>28</v>
      </c>
      <c r="S929" s="9">
        <f t="shared" si="74"/>
        <v>418.3</v>
      </c>
    </row>
    <row r="930" spans="1:19" x14ac:dyDescent="0.3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str">
        <f>IFERROR(VLOOKUP('Customer Info'!A922,'Customer Info'!A922:C1421,2,FALSE),"Not Found")</f>
        <v>Not Found</v>
      </c>
      <c r="H930" s="6" t="str">
        <f>IFERROR(VLOOKUP('Customer Info'!A922,'Customer Info'!A922:C1421,3,FALSE),"Not Found")</f>
        <v>Not Found</v>
      </c>
      <c r="I930" s="6" t="str">
        <f>IFERROR(VLOOKUP('Customer Info'!A922,'Customer Info'!A922:E1421,5,FALSE),"Not Found")</f>
        <v>Not Found</v>
      </c>
      <c r="J930" s="2">
        <v>59</v>
      </c>
      <c r="K930" s="2">
        <v>55</v>
      </c>
      <c r="L930" s="2">
        <v>4</v>
      </c>
      <c r="M930" s="7">
        <f t="shared" si="70"/>
        <v>220</v>
      </c>
      <c r="N930" s="7">
        <f t="shared" si="71"/>
        <v>236</v>
      </c>
      <c r="O930" s="2">
        <v>10</v>
      </c>
      <c r="P930" s="8">
        <f t="shared" si="72"/>
        <v>246</v>
      </c>
      <c r="Q930" s="8">
        <f t="shared" si="73"/>
        <v>181</v>
      </c>
      <c r="R930" s="2" t="s">
        <v>50</v>
      </c>
      <c r="S930" s="9">
        <f t="shared" si="74"/>
        <v>4.92</v>
      </c>
    </row>
    <row r="931" spans="1:19" x14ac:dyDescent="0.3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str">
        <f>IFERROR(VLOOKUP('Customer Info'!A923,'Customer Info'!A923:C1422,2,FALSE),"Not Found")</f>
        <v>Not Found</v>
      </c>
      <c r="H931" s="6" t="str">
        <f>IFERROR(VLOOKUP('Customer Info'!A923,'Customer Info'!A923:C1422,3,FALSE),"Not Found")</f>
        <v>Not Found</v>
      </c>
      <c r="I931" s="6" t="str">
        <f>IFERROR(VLOOKUP('Customer Info'!A923,'Customer Info'!A923:E1422,5,FALSE),"Not Found")</f>
        <v>Not Found</v>
      </c>
      <c r="J931" s="2">
        <v>1615</v>
      </c>
      <c r="K931" s="2">
        <v>1525</v>
      </c>
      <c r="L931" s="2">
        <v>3</v>
      </c>
      <c r="M931" s="7">
        <f t="shared" si="70"/>
        <v>4575</v>
      </c>
      <c r="N931" s="7">
        <f t="shared" si="71"/>
        <v>4845</v>
      </c>
      <c r="O931" s="2">
        <v>86</v>
      </c>
      <c r="P931" s="8">
        <f t="shared" si="72"/>
        <v>4931</v>
      </c>
      <c r="Q931" s="8">
        <f t="shared" si="73"/>
        <v>3320</v>
      </c>
      <c r="R931" s="2" t="s">
        <v>28</v>
      </c>
      <c r="S931" s="9">
        <f t="shared" si="74"/>
        <v>98.62</v>
      </c>
    </row>
    <row r="932" spans="1:19" x14ac:dyDescent="0.3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str">
        <f>IFERROR(VLOOKUP('Customer Info'!A924,'Customer Info'!A924:C1423,2,FALSE),"Not Found")</f>
        <v>Not Found</v>
      </c>
      <c r="H932" s="6" t="str">
        <f>IFERROR(VLOOKUP('Customer Info'!A924,'Customer Info'!A924:C1423,3,FALSE),"Not Found")</f>
        <v>Not Found</v>
      </c>
      <c r="I932" s="6" t="str">
        <f>IFERROR(VLOOKUP('Customer Info'!A924,'Customer Info'!A924:E1423,5,FALSE),"Not Found")</f>
        <v>Not Found</v>
      </c>
      <c r="J932" s="2">
        <v>1605</v>
      </c>
      <c r="K932" s="2">
        <v>1487</v>
      </c>
      <c r="L932" s="2">
        <v>2</v>
      </c>
      <c r="M932" s="7">
        <f t="shared" si="70"/>
        <v>2974</v>
      </c>
      <c r="N932" s="7">
        <f t="shared" si="71"/>
        <v>3210</v>
      </c>
      <c r="O932" s="2">
        <v>95</v>
      </c>
      <c r="P932" s="8">
        <f t="shared" si="72"/>
        <v>3305</v>
      </c>
      <c r="Q932" s="8">
        <f t="shared" si="73"/>
        <v>1723</v>
      </c>
      <c r="R932" s="2" t="s">
        <v>26</v>
      </c>
      <c r="S932" s="9">
        <f t="shared" si="74"/>
        <v>66.099999999999994</v>
      </c>
    </row>
    <row r="933" spans="1:19" x14ac:dyDescent="0.3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str">
        <f>IFERROR(VLOOKUP('Customer Info'!A925,'Customer Info'!A925:C1424,2,FALSE),"Not Found")</f>
        <v>Not Found</v>
      </c>
      <c r="H933" s="6" t="str">
        <f>IFERROR(VLOOKUP('Customer Info'!A925,'Customer Info'!A925:C1424,3,FALSE),"Not Found")</f>
        <v>Not Found</v>
      </c>
      <c r="I933" s="6" t="str">
        <f>IFERROR(VLOOKUP('Customer Info'!A925,'Customer Info'!A925:E1424,5,FALSE),"Not Found")</f>
        <v>Not Found</v>
      </c>
      <c r="J933" s="2">
        <v>2747</v>
      </c>
      <c r="K933" s="2">
        <v>2545</v>
      </c>
      <c r="L933" s="2">
        <v>4</v>
      </c>
      <c r="M933" s="7">
        <f t="shared" si="70"/>
        <v>10180</v>
      </c>
      <c r="N933" s="7">
        <f t="shared" si="71"/>
        <v>10988</v>
      </c>
      <c r="O933" s="2">
        <v>73</v>
      </c>
      <c r="P933" s="8">
        <f t="shared" si="72"/>
        <v>11061</v>
      </c>
      <c r="Q933" s="8">
        <f t="shared" si="73"/>
        <v>8443</v>
      </c>
      <c r="R933" s="2" t="s">
        <v>56</v>
      </c>
      <c r="S933" s="9">
        <f t="shared" si="74"/>
        <v>553.05000000000007</v>
      </c>
    </row>
    <row r="934" spans="1:19" x14ac:dyDescent="0.3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str">
        <f>IFERROR(VLOOKUP('Customer Info'!A926,'Customer Info'!A926:C1425,2,FALSE),"Not Found")</f>
        <v>Not Found</v>
      </c>
      <c r="H934" s="6" t="str">
        <f>IFERROR(VLOOKUP('Customer Info'!A926,'Customer Info'!A926:C1425,3,FALSE),"Not Found")</f>
        <v>Not Found</v>
      </c>
      <c r="I934" s="6" t="str">
        <f>IFERROR(VLOOKUP('Customer Info'!A926,'Customer Info'!A926:E1425,5,FALSE),"Not Found")</f>
        <v>Not Found</v>
      </c>
      <c r="J934" s="2">
        <v>288</v>
      </c>
      <c r="K934" s="2">
        <v>264</v>
      </c>
      <c r="L934" s="2">
        <v>8</v>
      </c>
      <c r="M934" s="7">
        <f t="shared" si="70"/>
        <v>2112</v>
      </c>
      <c r="N934" s="7">
        <f t="shared" si="71"/>
        <v>2304</v>
      </c>
      <c r="O934" s="2">
        <v>95</v>
      </c>
      <c r="P934" s="8">
        <f t="shared" si="72"/>
        <v>2399</v>
      </c>
      <c r="Q934" s="8">
        <f t="shared" si="73"/>
        <v>2040</v>
      </c>
      <c r="R934" s="2" t="s">
        <v>28</v>
      </c>
      <c r="S934" s="9">
        <f t="shared" si="74"/>
        <v>47.980000000000004</v>
      </c>
    </row>
    <row r="935" spans="1:19" x14ac:dyDescent="0.3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str">
        <f>IFERROR(VLOOKUP('Customer Info'!A927,'Customer Info'!A927:C1426,2,FALSE),"Not Found")</f>
        <v>Not Found</v>
      </c>
      <c r="H935" s="6" t="str">
        <f>IFERROR(VLOOKUP('Customer Info'!A927,'Customer Info'!A927:C1426,3,FALSE),"Not Found")</f>
        <v>Not Found</v>
      </c>
      <c r="I935" s="6" t="str">
        <f>IFERROR(VLOOKUP('Customer Info'!A927,'Customer Info'!A927:E1426,5,FALSE),"Not Found")</f>
        <v>Not Found</v>
      </c>
      <c r="J935" s="2">
        <v>123</v>
      </c>
      <c r="K935" s="2">
        <v>115</v>
      </c>
      <c r="L935" s="2">
        <v>4</v>
      </c>
      <c r="M935" s="7">
        <f t="shared" si="70"/>
        <v>460</v>
      </c>
      <c r="N935" s="7">
        <f t="shared" si="71"/>
        <v>492</v>
      </c>
      <c r="O935" s="2">
        <v>30</v>
      </c>
      <c r="P935" s="8">
        <f t="shared" si="72"/>
        <v>522</v>
      </c>
      <c r="Q935" s="8">
        <f t="shared" si="73"/>
        <v>377</v>
      </c>
      <c r="R935" s="2" t="s">
        <v>50</v>
      </c>
      <c r="S935" s="9">
        <f t="shared" si="74"/>
        <v>10.44</v>
      </c>
    </row>
    <row r="936" spans="1:19" x14ac:dyDescent="0.3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str">
        <f>IFERROR(VLOOKUP('Customer Info'!A928,'Customer Info'!A928:C1427,2,FALSE),"Not Found")</f>
        <v>Not Found</v>
      </c>
      <c r="H936" s="6" t="str">
        <f>IFERROR(VLOOKUP('Customer Info'!A928,'Customer Info'!A928:C1427,3,FALSE),"Not Found")</f>
        <v>Not Found</v>
      </c>
      <c r="I936" s="6" t="str">
        <f>IFERROR(VLOOKUP('Customer Info'!A928,'Customer Info'!A928:E1427,5,FALSE),"Not Found")</f>
        <v>Not Found</v>
      </c>
      <c r="J936" s="2">
        <v>805</v>
      </c>
      <c r="K936" s="2">
        <v>746</v>
      </c>
      <c r="L936" s="2">
        <v>2</v>
      </c>
      <c r="M936" s="7">
        <f t="shared" si="70"/>
        <v>1492</v>
      </c>
      <c r="N936" s="7">
        <f t="shared" si="71"/>
        <v>1610</v>
      </c>
      <c r="O936" s="2">
        <v>72</v>
      </c>
      <c r="P936" s="8">
        <f t="shared" si="72"/>
        <v>1682</v>
      </c>
      <c r="Q936" s="8">
        <f t="shared" si="73"/>
        <v>864</v>
      </c>
      <c r="R936" s="2" t="s">
        <v>28</v>
      </c>
      <c r="S936" s="9">
        <f t="shared" si="74"/>
        <v>33.64</v>
      </c>
    </row>
    <row r="937" spans="1:19" x14ac:dyDescent="0.3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str">
        <f>IFERROR(VLOOKUP('Customer Info'!A929,'Customer Info'!A929:C1428,2,FALSE),"Not Found")</f>
        <v>Not Found</v>
      </c>
      <c r="H937" s="6" t="str">
        <f>IFERROR(VLOOKUP('Customer Info'!A929,'Customer Info'!A929:C1428,3,FALSE),"Not Found")</f>
        <v>Not Found</v>
      </c>
      <c r="I937" s="6" t="str">
        <f>IFERROR(VLOOKUP('Customer Info'!A929,'Customer Info'!A929:E1428,5,FALSE),"Not Found")</f>
        <v>Not Found</v>
      </c>
      <c r="J937" s="2">
        <v>185</v>
      </c>
      <c r="K937" s="2">
        <v>171</v>
      </c>
      <c r="L937" s="2">
        <v>4</v>
      </c>
      <c r="M937" s="7">
        <f t="shared" si="70"/>
        <v>684</v>
      </c>
      <c r="N937" s="7">
        <f t="shared" si="71"/>
        <v>740</v>
      </c>
      <c r="O937" s="2">
        <v>30</v>
      </c>
      <c r="P937" s="8">
        <f t="shared" si="72"/>
        <v>770</v>
      </c>
      <c r="Q937" s="8">
        <f t="shared" si="73"/>
        <v>569</v>
      </c>
      <c r="R937" s="2" t="s">
        <v>28</v>
      </c>
      <c r="S937" s="9">
        <f t="shared" si="74"/>
        <v>15.4</v>
      </c>
    </row>
    <row r="938" spans="1:19" x14ac:dyDescent="0.3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str">
        <f>IFERROR(VLOOKUP('Customer Info'!A930,'Customer Info'!A930:C1429,2,FALSE),"Not Found")</f>
        <v>Not Found</v>
      </c>
      <c r="H938" s="6" t="str">
        <f>IFERROR(VLOOKUP('Customer Info'!A930,'Customer Info'!A930:C1429,3,FALSE),"Not Found")</f>
        <v>Not Found</v>
      </c>
      <c r="I938" s="6" t="str">
        <f>IFERROR(VLOOKUP('Customer Info'!A930,'Customer Info'!A930:E1429,5,FALSE),"Not Found")</f>
        <v>Not Found</v>
      </c>
      <c r="J938" s="2">
        <v>1321</v>
      </c>
      <c r="K938" s="2">
        <v>1211</v>
      </c>
      <c r="L938" s="2">
        <v>1</v>
      </c>
      <c r="M938" s="7">
        <f t="shared" si="70"/>
        <v>1211</v>
      </c>
      <c r="N938" s="7">
        <f t="shared" si="71"/>
        <v>1321</v>
      </c>
      <c r="O938" s="2">
        <v>59</v>
      </c>
      <c r="P938" s="8">
        <f t="shared" si="72"/>
        <v>1380</v>
      </c>
      <c r="Q938" s="8">
        <f t="shared" si="73"/>
        <v>110</v>
      </c>
      <c r="R938" s="2" t="s">
        <v>28</v>
      </c>
      <c r="S938" s="9">
        <f t="shared" si="74"/>
        <v>27.6</v>
      </c>
    </row>
    <row r="939" spans="1:19" x14ac:dyDescent="0.3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str">
        <f>IFERROR(VLOOKUP('Customer Info'!A931,'Customer Info'!A931:C1430,2,FALSE),"Not Found")</f>
        <v>Not Found</v>
      </c>
      <c r="H939" s="6" t="str">
        <f>IFERROR(VLOOKUP('Customer Info'!A931,'Customer Info'!A931:C1430,3,FALSE),"Not Found")</f>
        <v>Not Found</v>
      </c>
      <c r="I939" s="6" t="str">
        <f>IFERROR(VLOOKUP('Customer Info'!A931,'Customer Info'!A931:E1430,5,FALSE),"Not Found")</f>
        <v>Not Found</v>
      </c>
      <c r="J939" s="2">
        <v>1518</v>
      </c>
      <c r="K939" s="2">
        <v>1392</v>
      </c>
      <c r="L939" s="2">
        <v>2</v>
      </c>
      <c r="M939" s="7">
        <f t="shared" si="70"/>
        <v>2784</v>
      </c>
      <c r="N939" s="7">
        <f t="shared" si="71"/>
        <v>3036</v>
      </c>
      <c r="O939" s="2">
        <v>73</v>
      </c>
      <c r="P939" s="8">
        <f t="shared" si="72"/>
        <v>3109</v>
      </c>
      <c r="Q939" s="8">
        <f t="shared" si="73"/>
        <v>1644</v>
      </c>
      <c r="R939" s="2" t="s">
        <v>28</v>
      </c>
      <c r="S939" s="9">
        <f t="shared" si="74"/>
        <v>62.18</v>
      </c>
    </row>
    <row r="940" spans="1:19" x14ac:dyDescent="0.3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str">
        <f>IFERROR(VLOOKUP('Customer Info'!A932,'Customer Info'!A932:C1431,2,FALSE),"Not Found")</f>
        <v>Not Found</v>
      </c>
      <c r="H940" s="6" t="str">
        <f>IFERROR(VLOOKUP('Customer Info'!A932,'Customer Info'!A932:C1431,3,FALSE),"Not Found")</f>
        <v>Not Found</v>
      </c>
      <c r="I940" s="6" t="str">
        <f>IFERROR(VLOOKUP('Customer Info'!A932,'Customer Info'!A932:E1431,5,FALSE),"Not Found")</f>
        <v>Not Found</v>
      </c>
      <c r="J940" s="2">
        <v>1770</v>
      </c>
      <c r="K940" s="2">
        <v>1592</v>
      </c>
      <c r="L940" s="2">
        <v>2</v>
      </c>
      <c r="M940" s="7">
        <f t="shared" si="70"/>
        <v>3184</v>
      </c>
      <c r="N940" s="7">
        <f t="shared" si="71"/>
        <v>3540</v>
      </c>
      <c r="O940" s="2">
        <v>30</v>
      </c>
      <c r="P940" s="8">
        <f t="shared" si="72"/>
        <v>3570</v>
      </c>
      <c r="Q940" s="8">
        <f t="shared" si="73"/>
        <v>1948</v>
      </c>
      <c r="R940" s="2" t="s">
        <v>28</v>
      </c>
      <c r="S940" s="9">
        <f t="shared" si="74"/>
        <v>71.400000000000006</v>
      </c>
    </row>
    <row r="941" spans="1:19" x14ac:dyDescent="0.3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str">
        <f>IFERROR(VLOOKUP('Customer Info'!A933,'Customer Info'!A933:C1432,2,FALSE),"Not Found")</f>
        <v>Not Found</v>
      </c>
      <c r="H941" s="6" t="str">
        <f>IFERROR(VLOOKUP('Customer Info'!A933,'Customer Info'!A933:C1432,3,FALSE),"Not Found")</f>
        <v>Not Found</v>
      </c>
      <c r="I941" s="6" t="str">
        <f>IFERROR(VLOOKUP('Customer Info'!A933,'Customer Info'!A933:E1432,5,FALSE),"Not Found")</f>
        <v>Not Found</v>
      </c>
      <c r="J941" s="2">
        <v>691</v>
      </c>
      <c r="K941" s="2">
        <v>627</v>
      </c>
      <c r="L941" s="2">
        <v>5</v>
      </c>
      <c r="M941" s="7">
        <f t="shared" si="70"/>
        <v>3135</v>
      </c>
      <c r="N941" s="7">
        <f t="shared" si="71"/>
        <v>3455</v>
      </c>
      <c r="O941" s="2">
        <v>90</v>
      </c>
      <c r="P941" s="8">
        <f t="shared" si="72"/>
        <v>3545</v>
      </c>
      <c r="Q941" s="8">
        <f t="shared" si="73"/>
        <v>2828</v>
      </c>
      <c r="R941" s="2" t="s">
        <v>50</v>
      </c>
      <c r="S941" s="9">
        <f t="shared" si="74"/>
        <v>70.900000000000006</v>
      </c>
    </row>
    <row r="942" spans="1:19" x14ac:dyDescent="0.3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str">
        <f>IFERROR(VLOOKUP('Customer Info'!A934,'Customer Info'!A934:C1433,2,FALSE),"Not Found")</f>
        <v>Not Found</v>
      </c>
      <c r="H942" s="6" t="str">
        <f>IFERROR(VLOOKUP('Customer Info'!A934,'Customer Info'!A934:C1433,3,FALSE),"Not Found")</f>
        <v>Not Found</v>
      </c>
      <c r="I942" s="6" t="str">
        <f>IFERROR(VLOOKUP('Customer Info'!A934,'Customer Info'!A934:E1433,5,FALSE),"Not Found")</f>
        <v>Not Found</v>
      </c>
      <c r="J942" s="2">
        <v>6768</v>
      </c>
      <c r="K942" s="2">
        <v>6512</v>
      </c>
      <c r="L942" s="2">
        <v>3</v>
      </c>
      <c r="M942" s="7">
        <f t="shared" si="70"/>
        <v>19536</v>
      </c>
      <c r="N942" s="7">
        <f t="shared" si="71"/>
        <v>20304</v>
      </c>
      <c r="O942" s="2">
        <v>60</v>
      </c>
      <c r="P942" s="8">
        <f t="shared" si="72"/>
        <v>20364</v>
      </c>
      <c r="Q942" s="8">
        <f t="shared" si="73"/>
        <v>13792</v>
      </c>
      <c r="R942" s="2" t="s">
        <v>28</v>
      </c>
      <c r="S942" s="9">
        <f t="shared" si="74"/>
        <v>1018.2</v>
      </c>
    </row>
    <row r="943" spans="1:19" x14ac:dyDescent="0.3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str">
        <f>IFERROR(VLOOKUP('Customer Info'!A935,'Customer Info'!A935:C1434,2,FALSE),"Not Found")</f>
        <v>Not Found</v>
      </c>
      <c r="H943" s="6" t="str">
        <f>IFERROR(VLOOKUP('Customer Info'!A935,'Customer Info'!A935:C1434,3,FALSE),"Not Found")</f>
        <v>Not Found</v>
      </c>
      <c r="I943" s="6" t="str">
        <f>IFERROR(VLOOKUP('Customer Info'!A935,'Customer Info'!A935:E1434,5,FALSE),"Not Found")</f>
        <v>Not Found</v>
      </c>
      <c r="J943" s="2">
        <v>1552</v>
      </c>
      <c r="K943" s="2">
        <v>1466</v>
      </c>
      <c r="L943" s="2">
        <v>8</v>
      </c>
      <c r="M943" s="7">
        <f t="shared" si="70"/>
        <v>11728</v>
      </c>
      <c r="N943" s="7">
        <f t="shared" si="71"/>
        <v>12416</v>
      </c>
      <c r="O943" s="2">
        <v>52</v>
      </c>
      <c r="P943" s="8">
        <f t="shared" si="72"/>
        <v>12468</v>
      </c>
      <c r="Q943" s="8">
        <f t="shared" si="73"/>
        <v>10950</v>
      </c>
      <c r="R943" s="2" t="s">
        <v>28</v>
      </c>
      <c r="S943" s="9">
        <f t="shared" si="74"/>
        <v>623.40000000000009</v>
      </c>
    </row>
    <row r="944" spans="1:19" x14ac:dyDescent="0.3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str">
        <f>IFERROR(VLOOKUP('Customer Info'!A936,'Customer Info'!A936:C1435,2,FALSE),"Not Found")</f>
        <v>Not Found</v>
      </c>
      <c r="H944" s="6" t="str">
        <f>IFERROR(VLOOKUP('Customer Info'!A936,'Customer Info'!A936:C1435,3,FALSE),"Not Found")</f>
        <v>Not Found</v>
      </c>
      <c r="I944" s="6" t="str">
        <f>IFERROR(VLOOKUP('Customer Info'!A936,'Customer Info'!A936:E1435,5,FALSE),"Not Found")</f>
        <v>Not Found</v>
      </c>
      <c r="J944" s="2">
        <v>1564</v>
      </c>
      <c r="K944" s="2">
        <v>1420</v>
      </c>
      <c r="L944" s="2">
        <v>1</v>
      </c>
      <c r="M944" s="7">
        <f t="shared" si="70"/>
        <v>1420</v>
      </c>
      <c r="N944" s="7">
        <f t="shared" si="71"/>
        <v>1564</v>
      </c>
      <c r="O944" s="2">
        <v>86</v>
      </c>
      <c r="P944" s="8">
        <f t="shared" si="72"/>
        <v>1650</v>
      </c>
      <c r="Q944" s="8">
        <f t="shared" si="73"/>
        <v>144</v>
      </c>
      <c r="R944" s="2" t="s">
        <v>50</v>
      </c>
      <c r="S944" s="9">
        <f t="shared" si="74"/>
        <v>33</v>
      </c>
    </row>
    <row r="945" spans="1:19" x14ac:dyDescent="0.3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str">
        <f>IFERROR(VLOOKUP('Customer Info'!A937,'Customer Info'!A937:C1436,2,FALSE),"Not Found")</f>
        <v>Not Found</v>
      </c>
      <c r="H945" s="6" t="str">
        <f>IFERROR(VLOOKUP('Customer Info'!A937,'Customer Info'!A937:C1436,3,FALSE),"Not Found")</f>
        <v>Not Found</v>
      </c>
      <c r="I945" s="6" t="str">
        <f>IFERROR(VLOOKUP('Customer Info'!A937,'Customer Info'!A937:E1436,5,FALSE),"Not Found")</f>
        <v>Not Found</v>
      </c>
      <c r="J945" s="2">
        <v>2088</v>
      </c>
      <c r="K945" s="2">
        <v>1970</v>
      </c>
      <c r="L945" s="2">
        <v>7</v>
      </c>
      <c r="M945" s="7">
        <f t="shared" si="70"/>
        <v>13790</v>
      </c>
      <c r="N945" s="7">
        <f t="shared" si="71"/>
        <v>14616</v>
      </c>
      <c r="O945" s="2">
        <v>27</v>
      </c>
      <c r="P945" s="8">
        <f t="shared" si="72"/>
        <v>14643</v>
      </c>
      <c r="Q945" s="8">
        <f t="shared" si="73"/>
        <v>12646</v>
      </c>
      <c r="R945" s="2" t="s">
        <v>56</v>
      </c>
      <c r="S945" s="9">
        <f t="shared" si="74"/>
        <v>732.15000000000009</v>
      </c>
    </row>
    <row r="946" spans="1:19" x14ac:dyDescent="0.3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str">
        <f>IFERROR(VLOOKUP('Customer Info'!A938,'Customer Info'!A938:C1437,2,FALSE),"Not Found")</f>
        <v>Not Found</v>
      </c>
      <c r="H946" s="6" t="str">
        <f>IFERROR(VLOOKUP('Customer Info'!A938,'Customer Info'!A938:C1437,3,FALSE),"Not Found")</f>
        <v>Not Found</v>
      </c>
      <c r="I946" s="6" t="str">
        <f>IFERROR(VLOOKUP('Customer Info'!A938,'Customer Info'!A938:E1437,5,FALSE),"Not Found")</f>
        <v>Not Found</v>
      </c>
      <c r="J946" s="2">
        <v>8433</v>
      </c>
      <c r="K946" s="2">
        <v>7801</v>
      </c>
      <c r="L946" s="2">
        <v>3</v>
      </c>
      <c r="M946" s="7">
        <f t="shared" si="70"/>
        <v>23403</v>
      </c>
      <c r="N946" s="7">
        <f t="shared" si="71"/>
        <v>25299</v>
      </c>
      <c r="O946" s="2">
        <v>40</v>
      </c>
      <c r="P946" s="8">
        <f t="shared" si="72"/>
        <v>25339</v>
      </c>
      <c r="Q946" s="8">
        <f t="shared" si="73"/>
        <v>17498</v>
      </c>
      <c r="R946" s="2" t="s">
        <v>28</v>
      </c>
      <c r="S946" s="9">
        <f t="shared" si="74"/>
        <v>1773.7300000000002</v>
      </c>
    </row>
    <row r="947" spans="1:19" x14ac:dyDescent="0.3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str">
        <f>IFERROR(VLOOKUP('Customer Info'!A939,'Customer Info'!A939:C1438,2,FALSE),"Not Found")</f>
        <v>Not Found</v>
      </c>
      <c r="H947" s="6" t="str">
        <f>IFERROR(VLOOKUP('Customer Info'!A939,'Customer Info'!A939:C1438,3,FALSE),"Not Found")</f>
        <v>Not Found</v>
      </c>
      <c r="I947" s="6" t="str">
        <f>IFERROR(VLOOKUP('Customer Info'!A939,'Customer Info'!A939:E1438,5,FALSE),"Not Found")</f>
        <v>Not Found</v>
      </c>
      <c r="J947" s="2">
        <v>170</v>
      </c>
      <c r="K947" s="2">
        <v>153</v>
      </c>
      <c r="L947" s="2">
        <v>4</v>
      </c>
      <c r="M947" s="7">
        <f t="shared" si="70"/>
        <v>612</v>
      </c>
      <c r="N947" s="7">
        <f t="shared" si="71"/>
        <v>680</v>
      </c>
      <c r="O947" s="2">
        <v>30</v>
      </c>
      <c r="P947" s="8">
        <f t="shared" si="72"/>
        <v>710</v>
      </c>
      <c r="Q947" s="8">
        <f t="shared" si="73"/>
        <v>527</v>
      </c>
      <c r="R947" s="2" t="s">
        <v>28</v>
      </c>
      <c r="S947" s="9">
        <f t="shared" si="74"/>
        <v>14.200000000000001</v>
      </c>
    </row>
    <row r="948" spans="1:19" x14ac:dyDescent="0.3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str">
        <f>IFERROR(VLOOKUP('Customer Info'!A940,'Customer Info'!A940:C1439,2,FALSE),"Not Found")</f>
        <v>Not Found</v>
      </c>
      <c r="H948" s="6" t="str">
        <f>IFERROR(VLOOKUP('Customer Info'!A940,'Customer Info'!A940:C1439,3,FALSE),"Not Found")</f>
        <v>Not Found</v>
      </c>
      <c r="I948" s="6" t="str">
        <f>IFERROR(VLOOKUP('Customer Info'!A940,'Customer Info'!A940:E1439,5,FALSE),"Not Found")</f>
        <v>Not Found</v>
      </c>
      <c r="J948" s="2">
        <v>1358</v>
      </c>
      <c r="K948" s="2">
        <v>1270</v>
      </c>
      <c r="L948" s="2">
        <v>2</v>
      </c>
      <c r="M948" s="7">
        <f t="shared" si="70"/>
        <v>2540</v>
      </c>
      <c r="N948" s="7">
        <f t="shared" si="71"/>
        <v>2716</v>
      </c>
      <c r="O948" s="2">
        <v>91</v>
      </c>
      <c r="P948" s="8">
        <f t="shared" si="72"/>
        <v>2807</v>
      </c>
      <c r="Q948" s="8">
        <f t="shared" si="73"/>
        <v>1446</v>
      </c>
      <c r="R948" s="2" t="s">
        <v>28</v>
      </c>
      <c r="S948" s="9">
        <f t="shared" si="74"/>
        <v>56.14</v>
      </c>
    </row>
    <row r="949" spans="1:19" x14ac:dyDescent="0.3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str">
        <f>IFERROR(VLOOKUP('Customer Info'!A941,'Customer Info'!A941:C1440,2,FALSE),"Not Found")</f>
        <v>Not Found</v>
      </c>
      <c r="H949" s="6" t="str">
        <f>IFERROR(VLOOKUP('Customer Info'!A941,'Customer Info'!A941:C1440,3,FALSE),"Not Found")</f>
        <v>Not Found</v>
      </c>
      <c r="I949" s="6" t="str">
        <f>IFERROR(VLOOKUP('Customer Info'!A941,'Customer Info'!A941:E1440,5,FALSE),"Not Found")</f>
        <v>Not Found</v>
      </c>
      <c r="J949" s="2">
        <v>139</v>
      </c>
      <c r="K949" s="2">
        <v>133</v>
      </c>
      <c r="L949" s="2">
        <v>3</v>
      </c>
      <c r="M949" s="7">
        <f t="shared" si="70"/>
        <v>399</v>
      </c>
      <c r="N949" s="7">
        <f t="shared" si="71"/>
        <v>417</v>
      </c>
      <c r="O949" s="2">
        <v>30</v>
      </c>
      <c r="P949" s="8">
        <f t="shared" si="72"/>
        <v>447</v>
      </c>
      <c r="Q949" s="8">
        <f t="shared" si="73"/>
        <v>284</v>
      </c>
      <c r="R949" s="2" t="s">
        <v>56</v>
      </c>
      <c r="S949" s="9">
        <f t="shared" si="74"/>
        <v>8.94</v>
      </c>
    </row>
    <row r="950" spans="1:19" x14ac:dyDescent="0.3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str">
        <f>IFERROR(VLOOKUP('Customer Info'!A942,'Customer Info'!A942:C1441,2,FALSE),"Not Found")</f>
        <v>Not Found</v>
      </c>
      <c r="H950" s="6" t="str">
        <f>IFERROR(VLOOKUP('Customer Info'!A942,'Customer Info'!A942:C1441,3,FALSE),"Not Found")</f>
        <v>Not Found</v>
      </c>
      <c r="I950" s="6" t="str">
        <f>IFERROR(VLOOKUP('Customer Info'!A942,'Customer Info'!A942:E1441,5,FALSE),"Not Found")</f>
        <v>Not Found</v>
      </c>
      <c r="J950" s="2">
        <v>8379</v>
      </c>
      <c r="K950" s="2">
        <v>8061</v>
      </c>
      <c r="L950" s="2">
        <v>1</v>
      </c>
      <c r="M950" s="7">
        <f t="shared" si="70"/>
        <v>8061</v>
      </c>
      <c r="N950" s="7">
        <f t="shared" si="71"/>
        <v>8379</v>
      </c>
      <c r="O950" s="2">
        <v>47</v>
      </c>
      <c r="P950" s="8">
        <f t="shared" si="72"/>
        <v>8426</v>
      </c>
      <c r="Q950" s="8">
        <f t="shared" si="73"/>
        <v>318</v>
      </c>
      <c r="R950" s="2" t="s">
        <v>28</v>
      </c>
      <c r="S950" s="9">
        <f t="shared" si="74"/>
        <v>421.3</v>
      </c>
    </row>
    <row r="951" spans="1:19" x14ac:dyDescent="0.3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str">
        <f>IFERROR(VLOOKUP('Customer Info'!A943,'Customer Info'!A943:C1442,2,FALSE),"Not Found")</f>
        <v>Not Found</v>
      </c>
      <c r="H951" s="6" t="str">
        <f>IFERROR(VLOOKUP('Customer Info'!A943,'Customer Info'!A943:C1442,3,FALSE),"Not Found")</f>
        <v>Not Found</v>
      </c>
      <c r="I951" s="6" t="str">
        <f>IFERROR(VLOOKUP('Customer Info'!A943,'Customer Info'!A943:E1442,5,FALSE),"Not Found")</f>
        <v>Not Found</v>
      </c>
      <c r="J951" s="2">
        <v>25155</v>
      </c>
      <c r="K951" s="2">
        <v>23753</v>
      </c>
      <c r="L951" s="2">
        <v>1</v>
      </c>
      <c r="M951" s="7">
        <f t="shared" si="70"/>
        <v>23753</v>
      </c>
      <c r="N951" s="7">
        <f t="shared" si="71"/>
        <v>25155</v>
      </c>
      <c r="O951" s="2">
        <v>66</v>
      </c>
      <c r="P951" s="8">
        <f t="shared" si="72"/>
        <v>25221</v>
      </c>
      <c r="Q951" s="8">
        <f t="shared" si="73"/>
        <v>1402</v>
      </c>
      <c r="R951" s="2" t="s">
        <v>50</v>
      </c>
      <c r="S951" s="9">
        <f t="shared" si="74"/>
        <v>1765.4700000000003</v>
      </c>
    </row>
    <row r="952" spans="1:19" x14ac:dyDescent="0.3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str">
        <f>IFERROR(VLOOKUP('Customer Info'!A944,'Customer Info'!A944:C1443,2,FALSE),"Not Found")</f>
        <v>Not Found</v>
      </c>
      <c r="H952" s="6" t="str">
        <f>IFERROR(VLOOKUP('Customer Info'!A944,'Customer Info'!A944:C1443,3,FALSE),"Not Found")</f>
        <v>Not Found</v>
      </c>
      <c r="I952" s="6" t="str">
        <f>IFERROR(VLOOKUP('Customer Info'!A944,'Customer Info'!A944:E1443,5,FALSE),"Not Found")</f>
        <v>Not Found</v>
      </c>
      <c r="J952" s="2">
        <v>9214</v>
      </c>
      <c r="K952" s="2">
        <v>8295</v>
      </c>
      <c r="L952" s="2">
        <v>8</v>
      </c>
      <c r="M952" s="7">
        <f t="shared" si="70"/>
        <v>66360</v>
      </c>
      <c r="N952" s="7">
        <f t="shared" si="71"/>
        <v>73712</v>
      </c>
      <c r="O952" s="2">
        <v>80</v>
      </c>
      <c r="P952" s="8">
        <f t="shared" si="72"/>
        <v>73792</v>
      </c>
      <c r="Q952" s="8">
        <f t="shared" si="73"/>
        <v>65417</v>
      </c>
      <c r="R952" s="2" t="s">
        <v>50</v>
      </c>
      <c r="S952" s="9">
        <f t="shared" si="74"/>
        <v>6641.28</v>
      </c>
    </row>
    <row r="953" spans="1:19" x14ac:dyDescent="0.3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str">
        <f>IFERROR(VLOOKUP('Customer Info'!A945,'Customer Info'!A945:C1444,2,FALSE),"Not Found")</f>
        <v>Not Found</v>
      </c>
      <c r="H953" s="6" t="str">
        <f>IFERROR(VLOOKUP('Customer Info'!A945,'Customer Info'!A945:C1444,3,FALSE),"Not Found")</f>
        <v>Not Found</v>
      </c>
      <c r="I953" s="6" t="str">
        <f>IFERROR(VLOOKUP('Customer Info'!A945,'Customer Info'!A945:E1444,5,FALSE),"Not Found")</f>
        <v>Not Found</v>
      </c>
      <c r="J953" s="2">
        <v>8433</v>
      </c>
      <c r="K953" s="2">
        <v>7801</v>
      </c>
      <c r="L953" s="2">
        <v>9</v>
      </c>
      <c r="M953" s="7">
        <f t="shared" si="70"/>
        <v>70209</v>
      </c>
      <c r="N953" s="7">
        <f t="shared" si="71"/>
        <v>75897</v>
      </c>
      <c r="O953" s="2">
        <v>53</v>
      </c>
      <c r="P953" s="8">
        <f t="shared" si="72"/>
        <v>75950</v>
      </c>
      <c r="Q953" s="8">
        <f t="shared" si="73"/>
        <v>68096</v>
      </c>
      <c r="R953" s="2" t="s">
        <v>50</v>
      </c>
      <c r="S953" s="9">
        <f t="shared" si="74"/>
        <v>6835.5</v>
      </c>
    </row>
    <row r="954" spans="1:19" x14ac:dyDescent="0.3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str">
        <f>IFERROR(VLOOKUP('Customer Info'!A946,'Customer Info'!A946:C1445,2,FALSE),"Not Found")</f>
        <v>Not Found</v>
      </c>
      <c r="H954" s="6" t="str">
        <f>IFERROR(VLOOKUP('Customer Info'!A946,'Customer Info'!A946:C1445,3,FALSE),"Not Found")</f>
        <v>Not Found</v>
      </c>
      <c r="I954" s="6" t="str">
        <f>IFERROR(VLOOKUP('Customer Info'!A946,'Customer Info'!A946:E1445,5,FALSE),"Not Found")</f>
        <v>Not Found</v>
      </c>
      <c r="J954" s="2">
        <v>8738</v>
      </c>
      <c r="K954" s="2">
        <v>8162</v>
      </c>
      <c r="L954" s="2">
        <v>2</v>
      </c>
      <c r="M954" s="7">
        <f t="shared" si="70"/>
        <v>16324</v>
      </c>
      <c r="N954" s="7">
        <f t="shared" si="71"/>
        <v>17476</v>
      </c>
      <c r="O954" s="2">
        <v>91</v>
      </c>
      <c r="P954" s="8">
        <f t="shared" si="72"/>
        <v>17567</v>
      </c>
      <c r="Q954" s="8">
        <f t="shared" si="73"/>
        <v>9314</v>
      </c>
      <c r="R954" s="2" t="s">
        <v>26</v>
      </c>
      <c r="S954" s="9">
        <f t="shared" si="74"/>
        <v>878.35</v>
      </c>
    </row>
    <row r="955" spans="1:19" x14ac:dyDescent="0.3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str">
        <f>IFERROR(VLOOKUP('Customer Info'!A947,'Customer Info'!A947:C1446,2,FALSE),"Not Found")</f>
        <v>Not Found</v>
      </c>
      <c r="H955" s="6" t="str">
        <f>IFERROR(VLOOKUP('Customer Info'!A947,'Customer Info'!A947:C1446,3,FALSE),"Not Found")</f>
        <v>Not Found</v>
      </c>
      <c r="I955" s="6" t="str">
        <f>IFERROR(VLOOKUP('Customer Info'!A947,'Customer Info'!A947:E1446,5,FALSE),"Not Found")</f>
        <v>Not Found</v>
      </c>
      <c r="J955" s="2">
        <v>2778</v>
      </c>
      <c r="K955" s="2">
        <v>2573</v>
      </c>
      <c r="L955" s="2">
        <v>2</v>
      </c>
      <c r="M955" s="7">
        <f t="shared" si="70"/>
        <v>5146</v>
      </c>
      <c r="N955" s="7">
        <f t="shared" si="71"/>
        <v>5556</v>
      </c>
      <c r="O955" s="2">
        <v>78</v>
      </c>
      <c r="P955" s="8">
        <f t="shared" si="72"/>
        <v>5634</v>
      </c>
      <c r="Q955" s="8">
        <f t="shared" si="73"/>
        <v>2983</v>
      </c>
      <c r="R955" s="2" t="s">
        <v>50</v>
      </c>
      <c r="S955" s="9">
        <f t="shared" si="74"/>
        <v>281.7</v>
      </c>
    </row>
    <row r="956" spans="1:19" x14ac:dyDescent="0.3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str">
        <f>IFERROR(VLOOKUP('Customer Info'!A948,'Customer Info'!A948:C1447,2,FALSE),"Not Found")</f>
        <v>Not Found</v>
      </c>
      <c r="H956" s="6" t="str">
        <f>IFERROR(VLOOKUP('Customer Info'!A948,'Customer Info'!A948:C1447,3,FALSE),"Not Found")</f>
        <v>Not Found</v>
      </c>
      <c r="I956" s="6" t="str">
        <f>IFERROR(VLOOKUP('Customer Info'!A948,'Customer Info'!A948:E1447,5,FALSE),"Not Found")</f>
        <v>Not Found</v>
      </c>
      <c r="J956" s="2">
        <v>8752</v>
      </c>
      <c r="K956" s="2">
        <v>7877</v>
      </c>
      <c r="L956" s="2">
        <v>7</v>
      </c>
      <c r="M956" s="7">
        <f t="shared" si="70"/>
        <v>55139</v>
      </c>
      <c r="N956" s="7">
        <f t="shared" si="71"/>
        <v>61264</v>
      </c>
      <c r="O956" s="2">
        <v>64</v>
      </c>
      <c r="P956" s="8">
        <f t="shared" si="72"/>
        <v>61328</v>
      </c>
      <c r="Q956" s="8">
        <f t="shared" si="73"/>
        <v>53387</v>
      </c>
      <c r="R956" s="2" t="s">
        <v>50</v>
      </c>
      <c r="S956" s="9">
        <f t="shared" si="74"/>
        <v>5519.5199999999995</v>
      </c>
    </row>
    <row r="957" spans="1:19" x14ac:dyDescent="0.3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str">
        <f>IFERROR(VLOOKUP('Customer Info'!A949,'Customer Info'!A949:C1448,2,FALSE),"Not Found")</f>
        <v>Not Found</v>
      </c>
      <c r="H957" s="6" t="str">
        <f>IFERROR(VLOOKUP('Customer Info'!A949,'Customer Info'!A949:C1448,3,FALSE),"Not Found")</f>
        <v>Not Found</v>
      </c>
      <c r="I957" s="6" t="str">
        <f>IFERROR(VLOOKUP('Customer Info'!A949,'Customer Info'!A949:E1448,5,FALSE),"Not Found")</f>
        <v>Not Found</v>
      </c>
      <c r="J957" s="2">
        <v>1619</v>
      </c>
      <c r="K957" s="2">
        <v>1442</v>
      </c>
      <c r="L957" s="2">
        <v>1</v>
      </c>
      <c r="M957" s="7">
        <f t="shared" si="70"/>
        <v>1442</v>
      </c>
      <c r="N957" s="7">
        <f t="shared" si="71"/>
        <v>1619</v>
      </c>
      <c r="O957" s="2">
        <v>68</v>
      </c>
      <c r="P957" s="8">
        <f t="shared" si="72"/>
        <v>1687</v>
      </c>
      <c r="Q957" s="8">
        <f t="shared" si="73"/>
        <v>177</v>
      </c>
      <c r="R957" s="2" t="s">
        <v>28</v>
      </c>
      <c r="S957" s="9">
        <f t="shared" si="74"/>
        <v>33.74</v>
      </c>
    </row>
    <row r="958" spans="1:19" x14ac:dyDescent="0.3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str">
        <f>IFERROR(VLOOKUP('Customer Info'!A950,'Customer Info'!A950:C1449,2,FALSE),"Not Found")</f>
        <v>Not Found</v>
      </c>
      <c r="H958" s="6" t="str">
        <f>IFERROR(VLOOKUP('Customer Info'!A950,'Customer Info'!A950:C1449,3,FALSE),"Not Found")</f>
        <v>Not Found</v>
      </c>
      <c r="I958" s="6" t="str">
        <f>IFERROR(VLOOKUP('Customer Info'!A950,'Customer Info'!A950:E1449,5,FALSE),"Not Found")</f>
        <v>Not Found</v>
      </c>
      <c r="J958" s="2">
        <v>505</v>
      </c>
      <c r="K958" s="2">
        <v>463</v>
      </c>
      <c r="L958" s="2">
        <v>1</v>
      </c>
      <c r="M958" s="7">
        <f t="shared" si="70"/>
        <v>463</v>
      </c>
      <c r="N958" s="7">
        <f t="shared" si="71"/>
        <v>505</v>
      </c>
      <c r="O958" s="2">
        <v>40</v>
      </c>
      <c r="P958" s="8">
        <f t="shared" si="72"/>
        <v>545</v>
      </c>
      <c r="Q958" s="8">
        <f t="shared" si="73"/>
        <v>42</v>
      </c>
      <c r="R958" s="2" t="s">
        <v>28</v>
      </c>
      <c r="S958" s="9">
        <f t="shared" si="74"/>
        <v>10.9</v>
      </c>
    </row>
    <row r="959" spans="1:19" x14ac:dyDescent="0.3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str">
        <f>IFERROR(VLOOKUP('Customer Info'!A951,'Customer Info'!A951:C1450,2,FALSE),"Not Found")</f>
        <v>Not Found</v>
      </c>
      <c r="H959" s="6" t="str">
        <f>IFERROR(VLOOKUP('Customer Info'!A951,'Customer Info'!A951:C1450,3,FALSE),"Not Found")</f>
        <v>Not Found</v>
      </c>
      <c r="I959" s="6" t="str">
        <f>IFERROR(VLOOKUP('Customer Info'!A951,'Customer Info'!A951:E1450,5,FALSE),"Not Found")</f>
        <v>Not Found</v>
      </c>
      <c r="J959" s="2">
        <v>7212</v>
      </c>
      <c r="K959" s="2">
        <v>6737</v>
      </c>
      <c r="L959" s="2">
        <v>2</v>
      </c>
      <c r="M959" s="7">
        <f t="shared" si="70"/>
        <v>13474</v>
      </c>
      <c r="N959" s="7">
        <f t="shared" si="71"/>
        <v>14424</v>
      </c>
      <c r="O959" s="2">
        <v>41</v>
      </c>
      <c r="P959" s="8">
        <f t="shared" si="72"/>
        <v>14465</v>
      </c>
      <c r="Q959" s="8">
        <f t="shared" si="73"/>
        <v>7687</v>
      </c>
      <c r="R959" s="2" t="s">
        <v>28</v>
      </c>
      <c r="S959" s="9">
        <f t="shared" si="74"/>
        <v>723.25</v>
      </c>
    </row>
    <row r="960" spans="1:19" x14ac:dyDescent="0.3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str">
        <f>IFERROR(VLOOKUP('Customer Info'!A952,'Customer Info'!A952:C1451,2,FALSE),"Not Found")</f>
        <v>Not Found</v>
      </c>
      <c r="H960" s="6" t="str">
        <f>IFERROR(VLOOKUP('Customer Info'!A952,'Customer Info'!A952:C1451,3,FALSE),"Not Found")</f>
        <v>Not Found</v>
      </c>
      <c r="I960" s="6" t="str">
        <f>IFERROR(VLOOKUP('Customer Info'!A952,'Customer Info'!A952:E1451,5,FALSE),"Not Found")</f>
        <v>Not Found</v>
      </c>
      <c r="J960" s="2">
        <v>1916</v>
      </c>
      <c r="K960" s="2">
        <v>1844</v>
      </c>
      <c r="L960" s="2">
        <v>2</v>
      </c>
      <c r="M960" s="7">
        <f t="shared" si="70"/>
        <v>3688</v>
      </c>
      <c r="N960" s="7">
        <f t="shared" si="71"/>
        <v>3832</v>
      </c>
      <c r="O960" s="2">
        <v>39</v>
      </c>
      <c r="P960" s="8">
        <f t="shared" si="72"/>
        <v>3871</v>
      </c>
      <c r="Q960" s="8">
        <f t="shared" si="73"/>
        <v>1988</v>
      </c>
      <c r="R960" s="2" t="s">
        <v>28</v>
      </c>
      <c r="S960" s="9">
        <f t="shared" si="74"/>
        <v>77.42</v>
      </c>
    </row>
    <row r="961" spans="1:19" x14ac:dyDescent="0.3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str">
        <f>IFERROR(VLOOKUP('Customer Info'!A953,'Customer Info'!A953:C1452,2,FALSE),"Not Found")</f>
        <v>Not Found</v>
      </c>
      <c r="H961" s="6" t="str">
        <f>IFERROR(VLOOKUP('Customer Info'!A953,'Customer Info'!A953:C1452,3,FALSE),"Not Found")</f>
        <v>Not Found</v>
      </c>
      <c r="I961" s="6" t="str">
        <f>IFERROR(VLOOKUP('Customer Info'!A953,'Customer Info'!A953:E1452,5,FALSE),"Not Found")</f>
        <v>Not Found</v>
      </c>
      <c r="J961" s="2">
        <v>279</v>
      </c>
      <c r="K961" s="2">
        <v>254</v>
      </c>
      <c r="L961" s="2">
        <v>2</v>
      </c>
      <c r="M961" s="7">
        <f t="shared" si="70"/>
        <v>508</v>
      </c>
      <c r="N961" s="7">
        <f t="shared" si="71"/>
        <v>558</v>
      </c>
      <c r="O961" s="2">
        <v>24</v>
      </c>
      <c r="P961" s="8">
        <f t="shared" si="72"/>
        <v>582</v>
      </c>
      <c r="Q961" s="8">
        <f t="shared" si="73"/>
        <v>304</v>
      </c>
      <c r="R961" s="2" t="s">
        <v>50</v>
      </c>
      <c r="S961" s="9">
        <f t="shared" si="74"/>
        <v>11.64</v>
      </c>
    </row>
    <row r="962" spans="1:19" x14ac:dyDescent="0.3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str">
        <f>IFERROR(VLOOKUP('Customer Info'!A954,'Customer Info'!A954:C1453,2,FALSE),"Not Found")</f>
        <v>Not Found</v>
      </c>
      <c r="H962" s="6" t="str">
        <f>IFERROR(VLOOKUP('Customer Info'!A954,'Customer Info'!A954:C1453,3,FALSE),"Not Found")</f>
        <v>Not Found</v>
      </c>
      <c r="I962" s="6" t="str">
        <f>IFERROR(VLOOKUP('Customer Info'!A954,'Customer Info'!A954:E1453,5,FALSE),"Not Found")</f>
        <v>Not Found</v>
      </c>
      <c r="J962" s="2">
        <v>1512</v>
      </c>
      <c r="K962" s="2">
        <v>1497</v>
      </c>
      <c r="L962" s="2">
        <v>5</v>
      </c>
      <c r="M962" s="7">
        <f t="shared" si="70"/>
        <v>7485</v>
      </c>
      <c r="N962" s="7">
        <f t="shared" si="71"/>
        <v>7560</v>
      </c>
      <c r="O962" s="2">
        <v>29</v>
      </c>
      <c r="P962" s="8">
        <f t="shared" si="72"/>
        <v>7589</v>
      </c>
      <c r="Q962" s="8">
        <f t="shared" si="73"/>
        <v>6063</v>
      </c>
      <c r="R962" s="2" t="s">
        <v>56</v>
      </c>
      <c r="S962" s="9">
        <f t="shared" si="74"/>
        <v>379.45000000000005</v>
      </c>
    </row>
    <row r="963" spans="1:19" x14ac:dyDescent="0.3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str">
        <f>IFERROR(VLOOKUP('Customer Info'!A955,'Customer Info'!A955:C1454,2,FALSE),"Not Found")</f>
        <v>Not Found</v>
      </c>
      <c r="H963" s="6" t="str">
        <f>IFERROR(VLOOKUP('Customer Info'!A955,'Customer Info'!A955:C1454,3,FALSE),"Not Found")</f>
        <v>Not Found</v>
      </c>
      <c r="I963" s="6" t="str">
        <f>IFERROR(VLOOKUP('Customer Info'!A955,'Customer Info'!A955:E1454,5,FALSE),"Not Found")</f>
        <v>Not Found</v>
      </c>
      <c r="J963" s="2">
        <v>1983</v>
      </c>
      <c r="K963" s="2">
        <v>1908</v>
      </c>
      <c r="L963" s="2">
        <v>1</v>
      </c>
      <c r="M963" s="7">
        <f t="shared" si="70"/>
        <v>1908</v>
      </c>
      <c r="N963" s="7">
        <f t="shared" si="71"/>
        <v>1983</v>
      </c>
      <c r="O963" s="2">
        <v>93</v>
      </c>
      <c r="P963" s="8">
        <f t="shared" si="72"/>
        <v>2076</v>
      </c>
      <c r="Q963" s="8">
        <f t="shared" si="73"/>
        <v>75</v>
      </c>
      <c r="R963" s="2" t="s">
        <v>28</v>
      </c>
      <c r="S963" s="9">
        <f t="shared" si="74"/>
        <v>41.52</v>
      </c>
    </row>
    <row r="964" spans="1:19" x14ac:dyDescent="0.3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str">
        <f>IFERROR(VLOOKUP('Customer Info'!A956,'Customer Info'!A956:C1455,2,FALSE),"Not Found")</f>
        <v>Not Found</v>
      </c>
      <c r="H964" s="6" t="str">
        <f>IFERROR(VLOOKUP('Customer Info'!A956,'Customer Info'!A956:C1455,3,FALSE),"Not Found")</f>
        <v>Not Found</v>
      </c>
      <c r="I964" s="6" t="str">
        <f>IFERROR(VLOOKUP('Customer Info'!A956,'Customer Info'!A956:E1455,5,FALSE),"Not Found")</f>
        <v>Not Found</v>
      </c>
      <c r="J964" s="2">
        <v>1447</v>
      </c>
      <c r="K964" s="2">
        <v>1326</v>
      </c>
      <c r="L964" s="2">
        <v>3</v>
      </c>
      <c r="M964" s="7">
        <f t="shared" si="70"/>
        <v>3978</v>
      </c>
      <c r="N964" s="7">
        <f t="shared" si="71"/>
        <v>4341</v>
      </c>
      <c r="O964" s="2">
        <v>69</v>
      </c>
      <c r="P964" s="8">
        <f t="shared" si="72"/>
        <v>4410</v>
      </c>
      <c r="Q964" s="8">
        <f t="shared" si="73"/>
        <v>3015</v>
      </c>
      <c r="R964" s="2" t="s">
        <v>28</v>
      </c>
      <c r="S964" s="9">
        <f t="shared" si="74"/>
        <v>88.2</v>
      </c>
    </row>
    <row r="965" spans="1:19" x14ac:dyDescent="0.3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str">
        <f>IFERROR(VLOOKUP('Customer Info'!A957,'Customer Info'!A957:C1456,2,FALSE),"Not Found")</f>
        <v>Not Found</v>
      </c>
      <c r="H965" s="6" t="str">
        <f>IFERROR(VLOOKUP('Customer Info'!A957,'Customer Info'!A957:C1456,3,FALSE),"Not Found")</f>
        <v>Not Found</v>
      </c>
      <c r="I965" s="6" t="str">
        <f>IFERROR(VLOOKUP('Customer Info'!A957,'Customer Info'!A957:E1456,5,FALSE),"Not Found")</f>
        <v>Not Found</v>
      </c>
      <c r="J965" s="2">
        <v>998</v>
      </c>
      <c r="K965" s="2">
        <v>931</v>
      </c>
      <c r="L965" s="2">
        <v>1</v>
      </c>
      <c r="M965" s="7">
        <f t="shared" si="70"/>
        <v>931</v>
      </c>
      <c r="N965" s="7">
        <f t="shared" si="71"/>
        <v>998</v>
      </c>
      <c r="O965" s="2">
        <v>78</v>
      </c>
      <c r="P965" s="8">
        <f t="shared" si="72"/>
        <v>1076</v>
      </c>
      <c r="Q965" s="8">
        <f t="shared" si="73"/>
        <v>67</v>
      </c>
      <c r="R965" s="2" t="s">
        <v>28</v>
      </c>
      <c r="S965" s="9">
        <f t="shared" si="74"/>
        <v>21.52</v>
      </c>
    </row>
    <row r="966" spans="1:19" x14ac:dyDescent="0.3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str">
        <f>IFERROR(VLOOKUP('Customer Info'!A958,'Customer Info'!A958:C1457,2,FALSE),"Not Found")</f>
        <v>Not Found</v>
      </c>
      <c r="H966" s="6" t="str">
        <f>IFERROR(VLOOKUP('Customer Info'!A958,'Customer Info'!A958:C1457,3,FALSE),"Not Found")</f>
        <v>Not Found</v>
      </c>
      <c r="I966" s="6" t="str">
        <f>IFERROR(VLOOKUP('Customer Info'!A958,'Customer Info'!A958:E1457,5,FALSE),"Not Found")</f>
        <v>Not Found</v>
      </c>
      <c r="J966" s="2">
        <v>206</v>
      </c>
      <c r="K966" s="2">
        <v>189</v>
      </c>
      <c r="L966" s="2">
        <v>2</v>
      </c>
      <c r="M966" s="7">
        <f t="shared" si="70"/>
        <v>378</v>
      </c>
      <c r="N966" s="7">
        <f t="shared" si="71"/>
        <v>412</v>
      </c>
      <c r="O966" s="2">
        <v>79</v>
      </c>
      <c r="P966" s="8">
        <f t="shared" si="72"/>
        <v>491</v>
      </c>
      <c r="Q966" s="8">
        <f t="shared" si="73"/>
        <v>223</v>
      </c>
      <c r="R966" s="2" t="s">
        <v>50</v>
      </c>
      <c r="S966" s="9">
        <f t="shared" si="74"/>
        <v>9.82</v>
      </c>
    </row>
    <row r="967" spans="1:19" x14ac:dyDescent="0.3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str">
        <f>IFERROR(VLOOKUP('Customer Info'!A959,'Customer Info'!A959:C1458,2,FALSE),"Not Found")</f>
        <v>Not Found</v>
      </c>
      <c r="H967" s="6" t="str">
        <f>IFERROR(VLOOKUP('Customer Info'!A959,'Customer Info'!A959:C1458,3,FALSE),"Not Found")</f>
        <v>Not Found</v>
      </c>
      <c r="I967" s="6" t="str">
        <f>IFERROR(VLOOKUP('Customer Info'!A959,'Customer Info'!A959:E1458,5,FALSE),"Not Found")</f>
        <v>Not Found</v>
      </c>
      <c r="J967" s="2">
        <v>5909</v>
      </c>
      <c r="K967" s="2">
        <v>5528</v>
      </c>
      <c r="L967" s="2">
        <v>5</v>
      </c>
      <c r="M967" s="7">
        <f t="shared" si="70"/>
        <v>27640</v>
      </c>
      <c r="N967" s="7">
        <f t="shared" si="71"/>
        <v>29545</v>
      </c>
      <c r="O967" s="2">
        <v>22</v>
      </c>
      <c r="P967" s="8">
        <f t="shared" si="72"/>
        <v>29567</v>
      </c>
      <c r="Q967" s="8">
        <f t="shared" si="73"/>
        <v>24017</v>
      </c>
      <c r="R967" s="2" t="s">
        <v>50</v>
      </c>
      <c r="S967" s="9">
        <f t="shared" si="74"/>
        <v>2069.69</v>
      </c>
    </row>
    <row r="968" spans="1:19" x14ac:dyDescent="0.3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str">
        <f>IFERROR(VLOOKUP('Customer Info'!A960,'Customer Info'!A960:C1459,2,FALSE),"Not Found")</f>
        <v>Not Found</v>
      </c>
      <c r="H968" s="6" t="str">
        <f>IFERROR(VLOOKUP('Customer Info'!A960,'Customer Info'!A960:C1459,3,FALSE),"Not Found")</f>
        <v>Not Found</v>
      </c>
      <c r="I968" s="6" t="str">
        <f>IFERROR(VLOOKUP('Customer Info'!A960,'Customer Info'!A960:E1459,5,FALSE),"Not Found")</f>
        <v>Not Found</v>
      </c>
      <c r="J968" s="2">
        <v>2907</v>
      </c>
      <c r="K968" s="2">
        <v>2667</v>
      </c>
      <c r="L968" s="2">
        <v>1</v>
      </c>
      <c r="M968" s="7">
        <f t="shared" si="70"/>
        <v>2667</v>
      </c>
      <c r="N968" s="7">
        <f t="shared" si="71"/>
        <v>2907</v>
      </c>
      <c r="O968" s="2">
        <v>75</v>
      </c>
      <c r="P968" s="8">
        <f t="shared" si="72"/>
        <v>2982</v>
      </c>
      <c r="Q968" s="8">
        <f t="shared" si="73"/>
        <v>240</v>
      </c>
      <c r="R968" s="2" t="s">
        <v>50</v>
      </c>
      <c r="S968" s="9">
        <f t="shared" si="74"/>
        <v>59.64</v>
      </c>
    </row>
    <row r="969" spans="1:19" x14ac:dyDescent="0.3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str">
        <f>IFERROR(VLOOKUP('Customer Info'!A961,'Customer Info'!A961:C1460,2,FALSE),"Not Found")</f>
        <v>Not Found</v>
      </c>
      <c r="H969" s="6" t="str">
        <f>IFERROR(VLOOKUP('Customer Info'!A961,'Customer Info'!A961:C1460,3,FALSE),"Not Found")</f>
        <v>Not Found</v>
      </c>
      <c r="I969" s="6" t="str">
        <f>IFERROR(VLOOKUP('Customer Info'!A961,'Customer Info'!A961:E1460,5,FALSE),"Not Found")</f>
        <v>Not Found</v>
      </c>
      <c r="J969" s="2">
        <v>164</v>
      </c>
      <c r="K969" s="2">
        <v>152</v>
      </c>
      <c r="L969" s="2">
        <v>5</v>
      </c>
      <c r="M969" s="7">
        <f t="shared" si="70"/>
        <v>760</v>
      </c>
      <c r="N969" s="7">
        <f t="shared" si="71"/>
        <v>820</v>
      </c>
      <c r="O969" s="2">
        <v>30</v>
      </c>
      <c r="P969" s="8">
        <f t="shared" si="72"/>
        <v>850</v>
      </c>
      <c r="Q969" s="8">
        <f t="shared" si="73"/>
        <v>668</v>
      </c>
      <c r="R969" s="2" t="s">
        <v>28</v>
      </c>
      <c r="S969" s="9">
        <f t="shared" si="74"/>
        <v>17</v>
      </c>
    </row>
    <row r="970" spans="1:19" x14ac:dyDescent="0.3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str">
        <f>IFERROR(VLOOKUP('Customer Info'!A962,'Customer Info'!A962:C1461,2,FALSE),"Not Found")</f>
        <v>Not Found</v>
      </c>
      <c r="H970" s="6" t="str">
        <f>IFERROR(VLOOKUP('Customer Info'!A962,'Customer Info'!A962:C1461,3,FALSE),"Not Found")</f>
        <v>Not Found</v>
      </c>
      <c r="I970" s="6" t="str">
        <f>IFERROR(VLOOKUP('Customer Info'!A962,'Customer Info'!A962:E1461,5,FALSE),"Not Found")</f>
        <v>Not Found</v>
      </c>
      <c r="J970" s="2">
        <v>400</v>
      </c>
      <c r="K970" s="2">
        <v>360</v>
      </c>
      <c r="L970" s="2">
        <v>9</v>
      </c>
      <c r="M970" s="7">
        <f t="shared" si="70"/>
        <v>3240</v>
      </c>
      <c r="N970" s="7">
        <f t="shared" si="71"/>
        <v>3600</v>
      </c>
      <c r="O970" s="2">
        <v>56</v>
      </c>
      <c r="P970" s="8">
        <f t="shared" si="72"/>
        <v>3656</v>
      </c>
      <c r="Q970" s="8">
        <f t="shared" si="73"/>
        <v>3240</v>
      </c>
      <c r="R970" s="2" t="s">
        <v>28</v>
      </c>
      <c r="S970" s="9">
        <f t="shared" si="74"/>
        <v>73.12</v>
      </c>
    </row>
    <row r="971" spans="1:19" x14ac:dyDescent="0.3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str">
        <f>IFERROR(VLOOKUP('Customer Info'!A963,'Customer Info'!A963:C1462,2,FALSE),"Not Found")</f>
        <v>Not Found</v>
      </c>
      <c r="H971" s="6" t="str">
        <f>IFERROR(VLOOKUP('Customer Info'!A963,'Customer Info'!A963:C1462,3,FALSE),"Not Found")</f>
        <v>Not Found</v>
      </c>
      <c r="I971" s="6" t="str">
        <f>IFERROR(VLOOKUP('Customer Info'!A963,'Customer Info'!A963:E1462,5,FALSE),"Not Found")</f>
        <v>Not Found</v>
      </c>
      <c r="J971" s="2">
        <v>6598</v>
      </c>
      <c r="K971" s="2">
        <v>6346</v>
      </c>
      <c r="L971" s="2">
        <v>5</v>
      </c>
      <c r="M971" s="7">
        <f t="shared" ref="M971:M1034" si="75">$K971*$L971</f>
        <v>31730</v>
      </c>
      <c r="N971" s="7">
        <f t="shared" ref="N971:N1034" si="76">$J971*$L971</f>
        <v>32990</v>
      </c>
      <c r="O971" s="2">
        <v>25</v>
      </c>
      <c r="P971" s="8">
        <f t="shared" ref="P971:P1034" si="77">$N971+$O971</f>
        <v>33015</v>
      </c>
      <c r="Q971" s="8">
        <f t="shared" ref="Q971:Q1034" si="78">$N971-$K971</f>
        <v>26644</v>
      </c>
      <c r="R971" s="2" t="s">
        <v>28</v>
      </c>
      <c r="S971" s="9">
        <f t="shared" ref="S971:S1034" si="79" xml:space="preserve"> P971 * VLOOKUP(P971, $T$2:$U$6, 2, TRUE)</f>
        <v>2311.0500000000002</v>
      </c>
    </row>
    <row r="972" spans="1:19" x14ac:dyDescent="0.3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str">
        <f>IFERROR(VLOOKUP('Customer Info'!A964,'Customer Info'!A964:C1463,2,FALSE),"Not Found")</f>
        <v>Not Found</v>
      </c>
      <c r="H972" s="6" t="str">
        <f>IFERROR(VLOOKUP('Customer Info'!A964,'Customer Info'!A964:C1463,3,FALSE),"Not Found")</f>
        <v>Not Found</v>
      </c>
      <c r="I972" s="6" t="str">
        <f>IFERROR(VLOOKUP('Customer Info'!A964,'Customer Info'!A964:E1463,5,FALSE),"Not Found")</f>
        <v>Not Found</v>
      </c>
      <c r="J972" s="2">
        <v>3256</v>
      </c>
      <c r="K972" s="2">
        <v>3044</v>
      </c>
      <c r="L972" s="2">
        <v>1</v>
      </c>
      <c r="M972" s="7">
        <f t="shared" si="75"/>
        <v>3044</v>
      </c>
      <c r="N972" s="7">
        <f t="shared" si="76"/>
        <v>3256</v>
      </c>
      <c r="O972" s="2">
        <v>95</v>
      </c>
      <c r="P972" s="8">
        <f t="shared" si="77"/>
        <v>3351</v>
      </c>
      <c r="Q972" s="8">
        <f t="shared" si="78"/>
        <v>212</v>
      </c>
      <c r="R972" s="2" t="s">
        <v>28</v>
      </c>
      <c r="S972" s="9">
        <f t="shared" si="79"/>
        <v>67.02</v>
      </c>
    </row>
    <row r="973" spans="1:19" x14ac:dyDescent="0.3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str">
        <f>IFERROR(VLOOKUP('Customer Info'!A965,'Customer Info'!A965:C1464,2,FALSE),"Not Found")</f>
        <v>Not Found</v>
      </c>
      <c r="H973" s="6" t="str">
        <f>IFERROR(VLOOKUP('Customer Info'!A965,'Customer Info'!A965:C1464,3,FALSE),"Not Found")</f>
        <v>Not Found</v>
      </c>
      <c r="I973" s="6" t="str">
        <f>IFERROR(VLOOKUP('Customer Info'!A965,'Customer Info'!A965:E1464,5,FALSE),"Not Found")</f>
        <v>Not Found</v>
      </c>
      <c r="J973" s="2">
        <v>4832</v>
      </c>
      <c r="K973" s="2">
        <v>4563</v>
      </c>
      <c r="L973" s="2">
        <v>3</v>
      </c>
      <c r="M973" s="7">
        <f t="shared" si="75"/>
        <v>13689</v>
      </c>
      <c r="N973" s="7">
        <f t="shared" si="76"/>
        <v>14496</v>
      </c>
      <c r="O973" s="2">
        <v>87</v>
      </c>
      <c r="P973" s="8">
        <f t="shared" si="77"/>
        <v>14583</v>
      </c>
      <c r="Q973" s="8">
        <f t="shared" si="78"/>
        <v>9933</v>
      </c>
      <c r="R973" s="2" t="s">
        <v>26</v>
      </c>
      <c r="S973" s="9">
        <f t="shared" si="79"/>
        <v>729.15000000000009</v>
      </c>
    </row>
    <row r="974" spans="1:19" x14ac:dyDescent="0.3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str">
        <f>IFERROR(VLOOKUP('Customer Info'!A966,'Customer Info'!A966:C1465,2,FALSE),"Not Found")</f>
        <v>Not Found</v>
      </c>
      <c r="H974" s="6" t="str">
        <f>IFERROR(VLOOKUP('Customer Info'!A966,'Customer Info'!A966:C1465,3,FALSE),"Not Found")</f>
        <v>Not Found</v>
      </c>
      <c r="I974" s="6" t="str">
        <f>IFERROR(VLOOKUP('Customer Info'!A966,'Customer Info'!A966:E1465,5,FALSE),"Not Found")</f>
        <v>Not Found</v>
      </c>
      <c r="J974" s="2">
        <v>6060</v>
      </c>
      <c r="K974" s="2">
        <v>6002</v>
      </c>
      <c r="L974" s="2">
        <v>2</v>
      </c>
      <c r="M974" s="7">
        <f t="shared" si="75"/>
        <v>12004</v>
      </c>
      <c r="N974" s="7">
        <f t="shared" si="76"/>
        <v>12120</v>
      </c>
      <c r="O974" s="2">
        <v>51</v>
      </c>
      <c r="P974" s="8">
        <f t="shared" si="77"/>
        <v>12171</v>
      </c>
      <c r="Q974" s="8">
        <f t="shared" si="78"/>
        <v>6118</v>
      </c>
      <c r="R974" s="2" t="s">
        <v>50</v>
      </c>
      <c r="S974" s="9">
        <f t="shared" si="79"/>
        <v>608.55000000000007</v>
      </c>
    </row>
    <row r="975" spans="1:19" x14ac:dyDescent="0.3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str">
        <f>IFERROR(VLOOKUP('Customer Info'!A967,'Customer Info'!A967:C1466,2,FALSE),"Not Found")</f>
        <v>Not Found</v>
      </c>
      <c r="H975" s="6" t="str">
        <f>IFERROR(VLOOKUP('Customer Info'!A967,'Customer Info'!A967:C1466,3,FALSE),"Not Found")</f>
        <v>Not Found</v>
      </c>
      <c r="I975" s="6" t="str">
        <f>IFERROR(VLOOKUP('Customer Info'!A967,'Customer Info'!A967:E1466,5,FALSE),"Not Found")</f>
        <v>Not Found</v>
      </c>
      <c r="J975" s="2">
        <v>456</v>
      </c>
      <c r="K975" s="2">
        <v>430</v>
      </c>
      <c r="L975" s="2">
        <v>5</v>
      </c>
      <c r="M975" s="7">
        <f t="shared" si="75"/>
        <v>2150</v>
      </c>
      <c r="N975" s="7">
        <f t="shared" si="76"/>
        <v>2280</v>
      </c>
      <c r="O975" s="2">
        <v>70</v>
      </c>
      <c r="P975" s="8">
        <f t="shared" si="77"/>
        <v>2350</v>
      </c>
      <c r="Q975" s="8">
        <f t="shared" si="78"/>
        <v>1850</v>
      </c>
      <c r="R975" s="2" t="s">
        <v>28</v>
      </c>
      <c r="S975" s="9">
        <f t="shared" si="79"/>
        <v>47</v>
      </c>
    </row>
    <row r="976" spans="1:19" x14ac:dyDescent="0.3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str">
        <f>IFERROR(VLOOKUP('Customer Info'!A968,'Customer Info'!A968:C1467,2,FALSE),"Not Found")</f>
        <v>Not Found</v>
      </c>
      <c r="H976" s="6" t="str">
        <f>IFERROR(VLOOKUP('Customer Info'!A968,'Customer Info'!A968:C1467,3,FALSE),"Not Found")</f>
        <v>Not Found</v>
      </c>
      <c r="I976" s="6" t="str">
        <f>IFERROR(VLOOKUP('Customer Info'!A968,'Customer Info'!A968:E1467,5,FALSE),"Not Found")</f>
        <v>Not Found</v>
      </c>
      <c r="J976" s="2">
        <v>472</v>
      </c>
      <c r="K976" s="2">
        <v>432</v>
      </c>
      <c r="L976" s="2">
        <v>1</v>
      </c>
      <c r="M976" s="7">
        <f t="shared" si="75"/>
        <v>432</v>
      </c>
      <c r="N976" s="7">
        <f t="shared" si="76"/>
        <v>472</v>
      </c>
      <c r="O976" s="2">
        <v>70</v>
      </c>
      <c r="P976" s="8">
        <f t="shared" si="77"/>
        <v>542</v>
      </c>
      <c r="Q976" s="8">
        <f t="shared" si="78"/>
        <v>40</v>
      </c>
      <c r="R976" s="2" t="s">
        <v>28</v>
      </c>
      <c r="S976" s="9">
        <f t="shared" si="79"/>
        <v>10.84</v>
      </c>
    </row>
    <row r="977" spans="1:19" x14ac:dyDescent="0.3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str">
        <f>IFERROR(VLOOKUP('Customer Info'!A969,'Customer Info'!A969:C1468,2,FALSE),"Not Found")</f>
        <v>Not Found</v>
      </c>
      <c r="H977" s="6" t="str">
        <f>IFERROR(VLOOKUP('Customer Info'!A969,'Customer Info'!A969:C1468,3,FALSE),"Not Found")</f>
        <v>Not Found</v>
      </c>
      <c r="I977" s="6" t="str">
        <f>IFERROR(VLOOKUP('Customer Info'!A969,'Customer Info'!A969:E1468,5,FALSE),"Not Found")</f>
        <v>Not Found</v>
      </c>
      <c r="J977" s="2">
        <v>1358</v>
      </c>
      <c r="K977" s="2">
        <v>1294</v>
      </c>
      <c r="L977" s="2">
        <v>3</v>
      </c>
      <c r="M977" s="7">
        <f t="shared" si="75"/>
        <v>3882</v>
      </c>
      <c r="N977" s="7">
        <f t="shared" si="76"/>
        <v>4074</v>
      </c>
      <c r="O977" s="2">
        <v>96</v>
      </c>
      <c r="P977" s="8">
        <f t="shared" si="77"/>
        <v>4170</v>
      </c>
      <c r="Q977" s="8">
        <f t="shared" si="78"/>
        <v>2780</v>
      </c>
      <c r="R977" s="2" t="s">
        <v>56</v>
      </c>
      <c r="S977" s="9">
        <f t="shared" si="79"/>
        <v>83.4</v>
      </c>
    </row>
    <row r="978" spans="1:19" x14ac:dyDescent="0.3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str">
        <f>IFERROR(VLOOKUP('Customer Info'!A970,'Customer Info'!A970:C1469,2,FALSE),"Not Found")</f>
        <v>Not Found</v>
      </c>
      <c r="H978" s="6" t="str">
        <f>IFERROR(VLOOKUP('Customer Info'!A970,'Customer Info'!A970:C1469,3,FALSE),"Not Found")</f>
        <v>Not Found</v>
      </c>
      <c r="I978" s="6" t="str">
        <f>IFERROR(VLOOKUP('Customer Info'!A970,'Customer Info'!A970:E1469,5,FALSE),"Not Found")</f>
        <v>Not Found</v>
      </c>
      <c r="J978" s="2">
        <v>2747</v>
      </c>
      <c r="K978" s="2">
        <v>2545</v>
      </c>
      <c r="L978" s="2">
        <v>2</v>
      </c>
      <c r="M978" s="7">
        <f t="shared" si="75"/>
        <v>5090</v>
      </c>
      <c r="N978" s="7">
        <f t="shared" si="76"/>
        <v>5494</v>
      </c>
      <c r="O978" s="2">
        <v>84</v>
      </c>
      <c r="P978" s="8">
        <f t="shared" si="77"/>
        <v>5578</v>
      </c>
      <c r="Q978" s="8">
        <f t="shared" si="78"/>
        <v>2949</v>
      </c>
      <c r="R978" s="2" t="s">
        <v>28</v>
      </c>
      <c r="S978" s="9">
        <f t="shared" si="79"/>
        <v>278.90000000000003</v>
      </c>
    </row>
    <row r="979" spans="1:19" x14ac:dyDescent="0.3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str">
        <f>IFERROR(VLOOKUP('Customer Info'!A971,'Customer Info'!A971:C1470,2,FALSE),"Not Found")</f>
        <v>Not Found</v>
      </c>
      <c r="H979" s="6" t="str">
        <f>IFERROR(VLOOKUP('Customer Info'!A971,'Customer Info'!A971:C1470,3,FALSE),"Not Found")</f>
        <v>Not Found</v>
      </c>
      <c r="I979" s="6" t="str">
        <f>IFERROR(VLOOKUP('Customer Info'!A971,'Customer Info'!A971:E1470,5,FALSE),"Not Found")</f>
        <v>Not Found</v>
      </c>
      <c r="J979" s="2">
        <v>8651</v>
      </c>
      <c r="K979" s="2">
        <v>8081</v>
      </c>
      <c r="L979" s="2">
        <v>2</v>
      </c>
      <c r="M979" s="7">
        <f t="shared" si="75"/>
        <v>16162</v>
      </c>
      <c r="N979" s="7">
        <f t="shared" si="76"/>
        <v>17302</v>
      </c>
      <c r="O979" s="2">
        <v>66</v>
      </c>
      <c r="P979" s="8">
        <f t="shared" si="77"/>
        <v>17368</v>
      </c>
      <c r="Q979" s="8">
        <f t="shared" si="78"/>
        <v>9221</v>
      </c>
      <c r="R979" s="2" t="s">
        <v>28</v>
      </c>
      <c r="S979" s="9">
        <f t="shared" si="79"/>
        <v>868.40000000000009</v>
      </c>
    </row>
    <row r="980" spans="1:19" x14ac:dyDescent="0.3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str">
        <f>IFERROR(VLOOKUP('Customer Info'!A972,'Customer Info'!A972:C1471,2,FALSE),"Not Found")</f>
        <v>Not Found</v>
      </c>
      <c r="H980" s="6" t="str">
        <f>IFERROR(VLOOKUP('Customer Info'!A972,'Customer Info'!A972:C1471,3,FALSE),"Not Found")</f>
        <v>Not Found</v>
      </c>
      <c r="I980" s="6" t="str">
        <f>IFERROR(VLOOKUP('Customer Info'!A972,'Customer Info'!A972:E1471,5,FALSE),"Not Found")</f>
        <v>Not Found</v>
      </c>
      <c r="J980" s="2">
        <v>2697</v>
      </c>
      <c r="K980" s="2">
        <v>2498</v>
      </c>
      <c r="L980" s="2">
        <v>6</v>
      </c>
      <c r="M980" s="7">
        <f t="shared" si="75"/>
        <v>14988</v>
      </c>
      <c r="N980" s="7">
        <f t="shared" si="76"/>
        <v>16182</v>
      </c>
      <c r="O980" s="2">
        <v>94</v>
      </c>
      <c r="P980" s="8">
        <f t="shared" si="77"/>
        <v>16276</v>
      </c>
      <c r="Q980" s="8">
        <f t="shared" si="78"/>
        <v>13684</v>
      </c>
      <c r="R980" s="2" t="s">
        <v>28</v>
      </c>
      <c r="S980" s="9">
        <f t="shared" si="79"/>
        <v>813.80000000000007</v>
      </c>
    </row>
    <row r="981" spans="1:19" x14ac:dyDescent="0.3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str">
        <f>IFERROR(VLOOKUP('Customer Info'!A973,'Customer Info'!A973:C1472,2,FALSE),"Not Found")</f>
        <v>Not Found</v>
      </c>
      <c r="H981" s="6" t="str">
        <f>IFERROR(VLOOKUP('Customer Info'!A973,'Customer Info'!A973:C1472,3,FALSE),"Not Found")</f>
        <v>Not Found</v>
      </c>
      <c r="I981" s="6" t="str">
        <f>IFERROR(VLOOKUP('Customer Info'!A973,'Customer Info'!A973:E1472,5,FALSE),"Not Found")</f>
        <v>Not Found</v>
      </c>
      <c r="J981" s="2">
        <v>825</v>
      </c>
      <c r="K981" s="2">
        <v>793</v>
      </c>
      <c r="L981" s="2">
        <v>2</v>
      </c>
      <c r="M981" s="7">
        <f t="shared" si="75"/>
        <v>1586</v>
      </c>
      <c r="N981" s="7">
        <f t="shared" si="76"/>
        <v>1650</v>
      </c>
      <c r="O981" s="2">
        <v>44</v>
      </c>
      <c r="P981" s="8">
        <f t="shared" si="77"/>
        <v>1694</v>
      </c>
      <c r="Q981" s="8">
        <f t="shared" si="78"/>
        <v>857</v>
      </c>
      <c r="R981" s="2" t="s">
        <v>28</v>
      </c>
      <c r="S981" s="9">
        <f t="shared" si="79"/>
        <v>33.880000000000003</v>
      </c>
    </row>
    <row r="982" spans="1:19" x14ac:dyDescent="0.3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str">
        <f>IFERROR(VLOOKUP('Customer Info'!A974,'Customer Info'!A974:C1473,2,FALSE),"Not Found")</f>
        <v>Not Found</v>
      </c>
      <c r="H982" s="6" t="str">
        <f>IFERROR(VLOOKUP('Customer Info'!A974,'Customer Info'!A974:C1473,3,FALSE),"Not Found")</f>
        <v>Not Found</v>
      </c>
      <c r="I982" s="6" t="str">
        <f>IFERROR(VLOOKUP('Customer Info'!A974,'Customer Info'!A974:E1473,5,FALSE),"Not Found")</f>
        <v>Not Found</v>
      </c>
      <c r="J982" s="2">
        <v>886</v>
      </c>
      <c r="K982" s="2">
        <v>796</v>
      </c>
      <c r="L982" s="2">
        <v>2</v>
      </c>
      <c r="M982" s="7">
        <f t="shared" si="75"/>
        <v>1592</v>
      </c>
      <c r="N982" s="7">
        <f t="shared" si="76"/>
        <v>1772</v>
      </c>
      <c r="O982" s="2">
        <v>40</v>
      </c>
      <c r="P982" s="8">
        <f t="shared" si="77"/>
        <v>1812</v>
      </c>
      <c r="Q982" s="8">
        <f t="shared" si="78"/>
        <v>976</v>
      </c>
      <c r="R982" s="2" t="s">
        <v>28</v>
      </c>
      <c r="S982" s="9">
        <f t="shared" si="79"/>
        <v>36.24</v>
      </c>
    </row>
    <row r="983" spans="1:19" x14ac:dyDescent="0.3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str">
        <f>IFERROR(VLOOKUP('Customer Info'!A975,'Customer Info'!A975:C1474,2,FALSE),"Not Found")</f>
        <v>Not Found</v>
      </c>
      <c r="H983" s="6" t="str">
        <f>IFERROR(VLOOKUP('Customer Info'!A975,'Customer Info'!A975:C1474,3,FALSE),"Not Found")</f>
        <v>Not Found</v>
      </c>
      <c r="I983" s="6" t="str">
        <f>IFERROR(VLOOKUP('Customer Info'!A975,'Customer Info'!A975:E1474,5,FALSE),"Not Found")</f>
        <v>Not Found</v>
      </c>
      <c r="J983" s="2">
        <v>743</v>
      </c>
      <c r="K983" s="2">
        <v>694</v>
      </c>
      <c r="L983" s="2">
        <v>6</v>
      </c>
      <c r="M983" s="7">
        <f t="shared" si="75"/>
        <v>4164</v>
      </c>
      <c r="N983" s="7">
        <f t="shared" si="76"/>
        <v>4458</v>
      </c>
      <c r="O983" s="2">
        <v>80</v>
      </c>
      <c r="P983" s="8">
        <f t="shared" si="77"/>
        <v>4538</v>
      </c>
      <c r="Q983" s="8">
        <f t="shared" si="78"/>
        <v>3764</v>
      </c>
      <c r="R983" s="2" t="s">
        <v>28</v>
      </c>
      <c r="S983" s="9">
        <f t="shared" si="79"/>
        <v>90.76</v>
      </c>
    </row>
    <row r="984" spans="1:19" x14ac:dyDescent="0.3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str">
        <f>IFERROR(VLOOKUP('Customer Info'!A976,'Customer Info'!A976:C1475,2,FALSE),"Not Found")</f>
        <v>Not Found</v>
      </c>
      <c r="H984" s="6" t="str">
        <f>IFERROR(VLOOKUP('Customer Info'!A976,'Customer Info'!A976:C1475,3,FALSE),"Not Found")</f>
        <v>Not Found</v>
      </c>
      <c r="I984" s="6" t="str">
        <f>IFERROR(VLOOKUP('Customer Info'!A976,'Customer Info'!A976:E1475,5,FALSE),"Not Found")</f>
        <v>Not Found</v>
      </c>
      <c r="J984" s="2">
        <v>1058</v>
      </c>
      <c r="K984" s="2">
        <v>989</v>
      </c>
      <c r="L984" s="2">
        <v>2</v>
      </c>
      <c r="M984" s="7">
        <f t="shared" si="75"/>
        <v>1978</v>
      </c>
      <c r="N984" s="7">
        <f t="shared" si="76"/>
        <v>2116</v>
      </c>
      <c r="O984" s="2">
        <v>42</v>
      </c>
      <c r="P984" s="8">
        <f t="shared" si="77"/>
        <v>2158</v>
      </c>
      <c r="Q984" s="8">
        <f t="shared" si="78"/>
        <v>1127</v>
      </c>
      <c r="R984" s="2" t="s">
        <v>28</v>
      </c>
      <c r="S984" s="9">
        <f t="shared" si="79"/>
        <v>43.160000000000004</v>
      </c>
    </row>
    <row r="985" spans="1:19" x14ac:dyDescent="0.3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str">
        <f>IFERROR(VLOOKUP('Customer Info'!A977,'Customer Info'!A977:C1476,2,FALSE),"Not Found")</f>
        <v>Not Found</v>
      </c>
      <c r="H985" s="6" t="str">
        <f>IFERROR(VLOOKUP('Customer Info'!A977,'Customer Info'!A977:C1476,3,FALSE),"Not Found")</f>
        <v>Not Found</v>
      </c>
      <c r="I985" s="6" t="str">
        <f>IFERROR(VLOOKUP('Customer Info'!A977,'Customer Info'!A977:E1476,5,FALSE),"Not Found")</f>
        <v>Not Found</v>
      </c>
      <c r="J985" s="2">
        <v>2808</v>
      </c>
      <c r="K985" s="2">
        <v>2674</v>
      </c>
      <c r="L985" s="2">
        <v>2</v>
      </c>
      <c r="M985" s="7">
        <f t="shared" si="75"/>
        <v>5348</v>
      </c>
      <c r="N985" s="7">
        <f t="shared" si="76"/>
        <v>5616</v>
      </c>
      <c r="O985" s="2">
        <v>75</v>
      </c>
      <c r="P985" s="8">
        <f t="shared" si="77"/>
        <v>5691</v>
      </c>
      <c r="Q985" s="8">
        <f t="shared" si="78"/>
        <v>2942</v>
      </c>
      <c r="R985" s="2" t="s">
        <v>50</v>
      </c>
      <c r="S985" s="9">
        <f t="shared" si="79"/>
        <v>284.55</v>
      </c>
    </row>
    <row r="986" spans="1:19" x14ac:dyDescent="0.3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str">
        <f>IFERROR(VLOOKUP('Customer Info'!A978,'Customer Info'!A978:C1477,2,FALSE),"Not Found")</f>
        <v>Not Found</v>
      </c>
      <c r="H986" s="6" t="str">
        <f>IFERROR(VLOOKUP('Customer Info'!A978,'Customer Info'!A978:C1477,3,FALSE),"Not Found")</f>
        <v>Not Found</v>
      </c>
      <c r="I986" s="6" t="str">
        <f>IFERROR(VLOOKUP('Customer Info'!A978,'Customer Info'!A978:E1477,5,FALSE),"Not Found")</f>
        <v>Not Found</v>
      </c>
      <c r="J986" s="2">
        <v>2829</v>
      </c>
      <c r="K986" s="2">
        <v>2596</v>
      </c>
      <c r="L986" s="2">
        <v>2</v>
      </c>
      <c r="M986" s="7">
        <f t="shared" si="75"/>
        <v>5192</v>
      </c>
      <c r="N986" s="7">
        <f t="shared" si="76"/>
        <v>5658</v>
      </c>
      <c r="O986" s="2">
        <v>66</v>
      </c>
      <c r="P986" s="8">
        <f t="shared" si="77"/>
        <v>5724</v>
      </c>
      <c r="Q986" s="8">
        <f t="shared" si="78"/>
        <v>3062</v>
      </c>
      <c r="R986" s="2" t="s">
        <v>28</v>
      </c>
      <c r="S986" s="9">
        <f t="shared" si="79"/>
        <v>286.2</v>
      </c>
    </row>
    <row r="987" spans="1:19" x14ac:dyDescent="0.3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str">
        <f>IFERROR(VLOOKUP('Customer Info'!A979,'Customer Info'!A979:C1478,2,FALSE),"Not Found")</f>
        <v>Not Found</v>
      </c>
      <c r="H987" s="6" t="str">
        <f>IFERROR(VLOOKUP('Customer Info'!A979,'Customer Info'!A979:C1478,3,FALSE),"Not Found")</f>
        <v>Not Found</v>
      </c>
      <c r="I987" s="6" t="str">
        <f>IFERROR(VLOOKUP('Customer Info'!A979,'Customer Info'!A979:E1478,5,FALSE),"Not Found")</f>
        <v>Not Found</v>
      </c>
      <c r="J987" s="2">
        <v>5906</v>
      </c>
      <c r="K987" s="2">
        <v>5266</v>
      </c>
      <c r="L987" s="2">
        <v>6</v>
      </c>
      <c r="M987" s="7">
        <f t="shared" si="75"/>
        <v>31596</v>
      </c>
      <c r="N987" s="7">
        <f t="shared" si="76"/>
        <v>35436</v>
      </c>
      <c r="O987" s="2">
        <v>86</v>
      </c>
      <c r="P987" s="8">
        <f t="shared" si="77"/>
        <v>35522</v>
      </c>
      <c r="Q987" s="8">
        <f t="shared" si="78"/>
        <v>30170</v>
      </c>
      <c r="R987" s="2" t="s">
        <v>50</v>
      </c>
      <c r="S987" s="9">
        <f t="shared" si="79"/>
        <v>2486.5400000000004</v>
      </c>
    </row>
    <row r="988" spans="1:19" x14ac:dyDescent="0.3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str">
        <f>IFERROR(VLOOKUP('Customer Info'!A980,'Customer Info'!A980:C1479,2,FALSE),"Not Found")</f>
        <v>Not Found</v>
      </c>
      <c r="H988" s="6" t="str">
        <f>IFERROR(VLOOKUP('Customer Info'!A980,'Customer Info'!A980:C1479,3,FALSE),"Not Found")</f>
        <v>Not Found</v>
      </c>
      <c r="I988" s="6" t="str">
        <f>IFERROR(VLOOKUP('Customer Info'!A980,'Customer Info'!A980:E1479,5,FALSE),"Not Found")</f>
        <v>Not Found</v>
      </c>
      <c r="J988" s="2">
        <v>8199</v>
      </c>
      <c r="K988" s="2">
        <v>7523</v>
      </c>
      <c r="L988" s="2">
        <v>4</v>
      </c>
      <c r="M988" s="7">
        <f t="shared" si="75"/>
        <v>30092</v>
      </c>
      <c r="N988" s="7">
        <f t="shared" si="76"/>
        <v>32796</v>
      </c>
      <c r="O988" s="2">
        <v>22</v>
      </c>
      <c r="P988" s="8">
        <f t="shared" si="77"/>
        <v>32818</v>
      </c>
      <c r="Q988" s="8">
        <f t="shared" si="78"/>
        <v>25273</v>
      </c>
      <c r="R988" s="2" t="s">
        <v>50</v>
      </c>
      <c r="S988" s="9">
        <f t="shared" si="79"/>
        <v>2297.2600000000002</v>
      </c>
    </row>
    <row r="989" spans="1:19" x14ac:dyDescent="0.3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str">
        <f>IFERROR(VLOOKUP('Customer Info'!A981,'Customer Info'!A981:C1480,2,FALSE),"Not Found")</f>
        <v>Not Found</v>
      </c>
      <c r="H989" s="6" t="str">
        <f>IFERROR(VLOOKUP('Customer Info'!A981,'Customer Info'!A981:C1480,3,FALSE),"Not Found")</f>
        <v>Not Found</v>
      </c>
      <c r="I989" s="6" t="str">
        <f>IFERROR(VLOOKUP('Customer Info'!A981,'Customer Info'!A981:E1480,5,FALSE),"Not Found")</f>
        <v>Not Found</v>
      </c>
      <c r="J989" s="2">
        <v>1653</v>
      </c>
      <c r="K989" s="2">
        <v>1560</v>
      </c>
      <c r="L989" s="2">
        <v>11</v>
      </c>
      <c r="M989" s="7">
        <f t="shared" si="75"/>
        <v>17160</v>
      </c>
      <c r="N989" s="7">
        <f t="shared" si="76"/>
        <v>18183</v>
      </c>
      <c r="O989" s="2">
        <v>61</v>
      </c>
      <c r="P989" s="8">
        <f t="shared" si="77"/>
        <v>18244</v>
      </c>
      <c r="Q989" s="8">
        <f t="shared" si="78"/>
        <v>16623</v>
      </c>
      <c r="R989" s="2" t="s">
        <v>28</v>
      </c>
      <c r="S989" s="9">
        <f t="shared" si="79"/>
        <v>912.2</v>
      </c>
    </row>
    <row r="990" spans="1:19" x14ac:dyDescent="0.3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str">
        <f>IFERROR(VLOOKUP('Customer Info'!A982,'Customer Info'!A982:C1481,2,FALSE),"Not Found")</f>
        <v>Not Found</v>
      </c>
      <c r="H990" s="6" t="str">
        <f>IFERROR(VLOOKUP('Customer Info'!A982,'Customer Info'!A982:C1481,3,FALSE),"Not Found")</f>
        <v>Not Found</v>
      </c>
      <c r="I990" s="6" t="str">
        <f>IFERROR(VLOOKUP('Customer Info'!A982,'Customer Info'!A982:E1481,5,FALSE),"Not Found")</f>
        <v>Not Found</v>
      </c>
      <c r="J990" s="2">
        <v>162</v>
      </c>
      <c r="K990" s="2">
        <v>148</v>
      </c>
      <c r="L990" s="2">
        <v>2</v>
      </c>
      <c r="M990" s="7">
        <f t="shared" si="75"/>
        <v>296</v>
      </c>
      <c r="N990" s="7">
        <f t="shared" si="76"/>
        <v>324</v>
      </c>
      <c r="O990" s="2">
        <v>30</v>
      </c>
      <c r="P990" s="8">
        <f t="shared" si="77"/>
        <v>354</v>
      </c>
      <c r="Q990" s="8">
        <f t="shared" si="78"/>
        <v>176</v>
      </c>
      <c r="R990" s="2" t="s">
        <v>28</v>
      </c>
      <c r="S990" s="9">
        <f t="shared" si="79"/>
        <v>7.08</v>
      </c>
    </row>
    <row r="991" spans="1:19" x14ac:dyDescent="0.3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str">
        <f>IFERROR(VLOOKUP('Customer Info'!A983,'Customer Info'!A983:C1482,2,FALSE),"Not Found")</f>
        <v>Not Found</v>
      </c>
      <c r="H991" s="6" t="str">
        <f>IFERROR(VLOOKUP('Customer Info'!A983,'Customer Info'!A983:C1482,3,FALSE),"Not Found")</f>
        <v>Not Found</v>
      </c>
      <c r="I991" s="6" t="str">
        <f>IFERROR(VLOOKUP('Customer Info'!A983,'Customer Info'!A983:E1482,5,FALSE),"Not Found")</f>
        <v>Not Found</v>
      </c>
      <c r="J991" s="2">
        <v>214</v>
      </c>
      <c r="K991" s="2">
        <v>199</v>
      </c>
      <c r="L991" s="2">
        <v>3</v>
      </c>
      <c r="M991" s="7">
        <f t="shared" si="75"/>
        <v>597</v>
      </c>
      <c r="N991" s="7">
        <f t="shared" si="76"/>
        <v>642</v>
      </c>
      <c r="O991" s="2">
        <v>62</v>
      </c>
      <c r="P991" s="8">
        <f t="shared" si="77"/>
        <v>704</v>
      </c>
      <c r="Q991" s="8">
        <f t="shared" si="78"/>
        <v>443</v>
      </c>
      <c r="R991" s="2" t="s">
        <v>28</v>
      </c>
      <c r="S991" s="9">
        <f t="shared" si="79"/>
        <v>14.08</v>
      </c>
    </row>
    <row r="992" spans="1:19" x14ac:dyDescent="0.3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str">
        <f>IFERROR(VLOOKUP('Customer Info'!A984,'Customer Info'!A984:C1483,2,FALSE),"Not Found")</f>
        <v>Not Found</v>
      </c>
      <c r="H992" s="6" t="str">
        <f>IFERROR(VLOOKUP('Customer Info'!A984,'Customer Info'!A984:C1483,3,FALSE),"Not Found")</f>
        <v>Not Found</v>
      </c>
      <c r="I992" s="6" t="str">
        <f>IFERROR(VLOOKUP('Customer Info'!A984,'Customer Info'!A984:E1483,5,FALSE),"Not Found")</f>
        <v>Not Found</v>
      </c>
      <c r="J992" s="2">
        <v>1997</v>
      </c>
      <c r="K992" s="2">
        <v>1816</v>
      </c>
      <c r="L992" s="2">
        <v>3</v>
      </c>
      <c r="M992" s="7">
        <f t="shared" si="75"/>
        <v>5448</v>
      </c>
      <c r="N992" s="7">
        <f t="shared" si="76"/>
        <v>5991</v>
      </c>
      <c r="O992" s="2">
        <v>51</v>
      </c>
      <c r="P992" s="8">
        <f t="shared" si="77"/>
        <v>6042</v>
      </c>
      <c r="Q992" s="8">
        <f t="shared" si="78"/>
        <v>4175</v>
      </c>
      <c r="R992" s="2" t="s">
        <v>50</v>
      </c>
      <c r="S992" s="9">
        <f t="shared" si="79"/>
        <v>302.10000000000002</v>
      </c>
    </row>
    <row r="993" spans="1:19" x14ac:dyDescent="0.3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str">
        <f>IFERROR(VLOOKUP('Customer Info'!A985,'Customer Info'!A985:C1484,2,FALSE),"Not Found")</f>
        <v>Not Found</v>
      </c>
      <c r="H993" s="6" t="str">
        <f>IFERROR(VLOOKUP('Customer Info'!A985,'Customer Info'!A985:C1484,3,FALSE),"Not Found")</f>
        <v>Not Found</v>
      </c>
      <c r="I993" s="6" t="str">
        <f>IFERROR(VLOOKUP('Customer Info'!A985,'Customer Info'!A985:E1484,5,FALSE),"Not Found")</f>
        <v>Not Found</v>
      </c>
      <c r="J993" s="2">
        <v>58</v>
      </c>
      <c r="K993" s="2">
        <v>56</v>
      </c>
      <c r="L993" s="2">
        <v>1</v>
      </c>
      <c r="M993" s="7">
        <f t="shared" si="75"/>
        <v>56</v>
      </c>
      <c r="N993" s="7">
        <f t="shared" si="76"/>
        <v>58</v>
      </c>
      <c r="O993" s="2">
        <v>10</v>
      </c>
      <c r="P993" s="8">
        <f t="shared" si="77"/>
        <v>68</v>
      </c>
      <c r="Q993" s="8">
        <f t="shared" si="78"/>
        <v>2</v>
      </c>
      <c r="R993" s="2" t="s">
        <v>28</v>
      </c>
      <c r="S993" s="9">
        <f t="shared" si="79"/>
        <v>1.36</v>
      </c>
    </row>
    <row r="994" spans="1:19" x14ac:dyDescent="0.3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str">
        <f>IFERROR(VLOOKUP('Customer Info'!A986,'Customer Info'!A986:C1485,2,FALSE),"Not Found")</f>
        <v>Not Found</v>
      </c>
      <c r="H994" s="6" t="str">
        <f>IFERROR(VLOOKUP('Customer Info'!A986,'Customer Info'!A986:C1485,3,FALSE),"Not Found")</f>
        <v>Not Found</v>
      </c>
      <c r="I994" s="6" t="str">
        <f>IFERROR(VLOOKUP('Customer Info'!A986,'Customer Info'!A986:E1485,5,FALSE),"Not Found")</f>
        <v>Not Found</v>
      </c>
      <c r="J994" s="2">
        <v>8630</v>
      </c>
      <c r="K994" s="2">
        <v>8303</v>
      </c>
      <c r="L994" s="2">
        <v>2</v>
      </c>
      <c r="M994" s="7">
        <f t="shared" si="75"/>
        <v>16606</v>
      </c>
      <c r="N994" s="7">
        <f t="shared" si="76"/>
        <v>17260</v>
      </c>
      <c r="O994" s="2">
        <v>75</v>
      </c>
      <c r="P994" s="8">
        <f t="shared" si="77"/>
        <v>17335</v>
      </c>
      <c r="Q994" s="8">
        <f t="shared" si="78"/>
        <v>8957</v>
      </c>
      <c r="R994" s="2" t="s">
        <v>28</v>
      </c>
      <c r="S994" s="9">
        <f t="shared" si="79"/>
        <v>866.75</v>
      </c>
    </row>
    <row r="995" spans="1:19" x14ac:dyDescent="0.3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str">
        <f>IFERROR(VLOOKUP('Customer Info'!A987,'Customer Info'!A987:C1486,2,FALSE),"Not Found")</f>
        <v>Not Found</v>
      </c>
      <c r="H995" s="6" t="str">
        <f>IFERROR(VLOOKUP('Customer Info'!A987,'Customer Info'!A987:C1486,3,FALSE),"Not Found")</f>
        <v>Not Found</v>
      </c>
      <c r="I995" s="6" t="str">
        <f>IFERROR(VLOOKUP('Customer Info'!A987,'Customer Info'!A987:E1486,5,FALSE),"Not Found")</f>
        <v>Not Found</v>
      </c>
      <c r="J995" s="2">
        <v>30223</v>
      </c>
      <c r="K995" s="2">
        <v>27428</v>
      </c>
      <c r="L995" s="2">
        <v>3</v>
      </c>
      <c r="M995" s="7">
        <f t="shared" si="75"/>
        <v>82284</v>
      </c>
      <c r="N995" s="7">
        <f t="shared" si="76"/>
        <v>90669</v>
      </c>
      <c r="O995" s="2">
        <v>26</v>
      </c>
      <c r="P995" s="8">
        <f t="shared" si="77"/>
        <v>90695</v>
      </c>
      <c r="Q995" s="8">
        <f t="shared" si="78"/>
        <v>63241</v>
      </c>
      <c r="R995" s="2" t="s">
        <v>26</v>
      </c>
      <c r="S995" s="9">
        <f t="shared" si="79"/>
        <v>8162.5499999999993</v>
      </c>
    </row>
    <row r="996" spans="1:19" x14ac:dyDescent="0.3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str">
        <f>IFERROR(VLOOKUP('Customer Info'!A988,'Customer Info'!A988:C1487,2,FALSE),"Not Found")</f>
        <v>Not Found</v>
      </c>
      <c r="H996" s="6" t="str">
        <f>IFERROR(VLOOKUP('Customer Info'!A988,'Customer Info'!A988:C1487,3,FALSE),"Not Found")</f>
        <v>Not Found</v>
      </c>
      <c r="I996" s="6" t="str">
        <f>IFERROR(VLOOKUP('Customer Info'!A988,'Customer Info'!A988:E1487,5,FALSE),"Not Found")</f>
        <v>Not Found</v>
      </c>
      <c r="J996" s="2">
        <v>2958</v>
      </c>
      <c r="K996" s="2">
        <v>2743</v>
      </c>
      <c r="L996" s="2">
        <v>3</v>
      </c>
      <c r="M996" s="7">
        <f t="shared" si="75"/>
        <v>8229</v>
      </c>
      <c r="N996" s="7">
        <f t="shared" si="76"/>
        <v>8874</v>
      </c>
      <c r="O996" s="2">
        <v>95</v>
      </c>
      <c r="P996" s="8">
        <f t="shared" si="77"/>
        <v>8969</v>
      </c>
      <c r="Q996" s="8">
        <f t="shared" si="78"/>
        <v>6131</v>
      </c>
      <c r="R996" s="2" t="s">
        <v>50</v>
      </c>
      <c r="S996" s="9">
        <f t="shared" si="79"/>
        <v>448.45000000000005</v>
      </c>
    </row>
    <row r="997" spans="1:19" x14ac:dyDescent="0.3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str">
        <f>IFERROR(VLOOKUP('Customer Info'!A989,'Customer Info'!A989:C1488,2,FALSE),"Not Found")</f>
        <v>Not Found</v>
      </c>
      <c r="H997" s="6" t="str">
        <f>IFERROR(VLOOKUP('Customer Info'!A989,'Customer Info'!A989:C1488,3,FALSE),"Not Found")</f>
        <v>Not Found</v>
      </c>
      <c r="I997" s="6" t="str">
        <f>IFERROR(VLOOKUP('Customer Info'!A989,'Customer Info'!A989:E1488,5,FALSE),"Not Found")</f>
        <v>Not Found</v>
      </c>
      <c r="J997" s="2">
        <v>1364</v>
      </c>
      <c r="K997" s="2">
        <v>1274</v>
      </c>
      <c r="L997" s="2">
        <v>4</v>
      </c>
      <c r="M997" s="7">
        <f t="shared" si="75"/>
        <v>5096</v>
      </c>
      <c r="N997" s="7">
        <f t="shared" si="76"/>
        <v>5456</v>
      </c>
      <c r="O997" s="2">
        <v>67</v>
      </c>
      <c r="P997" s="8">
        <f t="shared" si="77"/>
        <v>5523</v>
      </c>
      <c r="Q997" s="8">
        <f t="shared" si="78"/>
        <v>4182</v>
      </c>
      <c r="R997" s="2" t="s">
        <v>28</v>
      </c>
      <c r="S997" s="9">
        <f t="shared" si="79"/>
        <v>276.15000000000003</v>
      </c>
    </row>
    <row r="998" spans="1:19" x14ac:dyDescent="0.3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str">
        <f>IFERROR(VLOOKUP('Customer Info'!A990,'Customer Info'!A990:C1489,2,FALSE),"Not Found")</f>
        <v>Not Found</v>
      </c>
      <c r="H998" s="6" t="str">
        <f>IFERROR(VLOOKUP('Customer Info'!A990,'Customer Info'!A990:C1489,3,FALSE),"Not Found")</f>
        <v>Not Found</v>
      </c>
      <c r="I998" s="6" t="str">
        <f>IFERROR(VLOOKUP('Customer Info'!A990,'Customer Info'!A990:E1489,5,FALSE),"Not Found")</f>
        <v>Not Found</v>
      </c>
      <c r="J998" s="2">
        <v>793</v>
      </c>
      <c r="K998" s="2">
        <v>755</v>
      </c>
      <c r="L998" s="2">
        <v>4</v>
      </c>
      <c r="M998" s="7">
        <f t="shared" si="75"/>
        <v>3020</v>
      </c>
      <c r="N998" s="7">
        <f t="shared" si="76"/>
        <v>3172</v>
      </c>
      <c r="O998" s="2">
        <v>50</v>
      </c>
      <c r="P998" s="8">
        <f t="shared" si="77"/>
        <v>3222</v>
      </c>
      <c r="Q998" s="8">
        <f t="shared" si="78"/>
        <v>2417</v>
      </c>
      <c r="R998" s="2" t="s">
        <v>28</v>
      </c>
      <c r="S998" s="9">
        <f t="shared" si="79"/>
        <v>64.44</v>
      </c>
    </row>
    <row r="999" spans="1:19" x14ac:dyDescent="0.3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str">
        <f>IFERROR(VLOOKUP('Customer Info'!A991,'Customer Info'!A991:C1490,2,FALSE),"Not Found")</f>
        <v>Not Found</v>
      </c>
      <c r="H999" s="6" t="str">
        <f>IFERROR(VLOOKUP('Customer Info'!A991,'Customer Info'!A991:C1490,3,FALSE),"Not Found")</f>
        <v>Not Found</v>
      </c>
      <c r="I999" s="6" t="str">
        <f>IFERROR(VLOOKUP('Customer Info'!A991,'Customer Info'!A991:E1490,5,FALSE),"Not Found")</f>
        <v>Not Found</v>
      </c>
      <c r="J999" s="2">
        <v>7361</v>
      </c>
      <c r="K999" s="2">
        <v>6887</v>
      </c>
      <c r="L999" s="2">
        <v>1</v>
      </c>
      <c r="M999" s="7">
        <f t="shared" si="75"/>
        <v>6887</v>
      </c>
      <c r="N999" s="7">
        <f t="shared" si="76"/>
        <v>7361</v>
      </c>
      <c r="O999" s="2">
        <v>60</v>
      </c>
      <c r="P999" s="8">
        <f t="shared" si="77"/>
        <v>7421</v>
      </c>
      <c r="Q999" s="8">
        <f t="shared" si="78"/>
        <v>474</v>
      </c>
      <c r="R999" s="2" t="s">
        <v>50</v>
      </c>
      <c r="S999" s="9">
        <f t="shared" si="79"/>
        <v>371.05</v>
      </c>
    </row>
    <row r="1000" spans="1:19" x14ac:dyDescent="0.3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str">
        <f>IFERROR(VLOOKUP('Customer Info'!A992,'Customer Info'!A992:C1491,2,FALSE),"Not Found")</f>
        <v>Not Found</v>
      </c>
      <c r="H1000" s="6" t="str">
        <f>IFERROR(VLOOKUP('Customer Info'!A992,'Customer Info'!A992:C1491,3,FALSE),"Not Found")</f>
        <v>Not Found</v>
      </c>
      <c r="I1000" s="6" t="str">
        <f>IFERROR(VLOOKUP('Customer Info'!A992,'Customer Info'!A992:E1491,5,FALSE),"Not Found")</f>
        <v>Not Found</v>
      </c>
      <c r="J1000" s="2">
        <v>1071</v>
      </c>
      <c r="K1000" s="2">
        <v>1010</v>
      </c>
      <c r="L1000" s="2">
        <v>2</v>
      </c>
      <c r="M1000" s="7">
        <f t="shared" si="75"/>
        <v>2020</v>
      </c>
      <c r="N1000" s="7">
        <f t="shared" si="76"/>
        <v>2142</v>
      </c>
      <c r="O1000" s="2">
        <v>29</v>
      </c>
      <c r="P1000" s="8">
        <f t="shared" si="77"/>
        <v>2171</v>
      </c>
      <c r="Q1000" s="8">
        <f t="shared" si="78"/>
        <v>1132</v>
      </c>
      <c r="R1000" s="2" t="s">
        <v>50</v>
      </c>
      <c r="S1000" s="9">
        <f t="shared" si="79"/>
        <v>43.42</v>
      </c>
    </row>
    <row r="1001" spans="1:19" x14ac:dyDescent="0.3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str">
        <f>IFERROR(VLOOKUP('Customer Info'!A993,'Customer Info'!A993:C1492,2,FALSE),"Not Found")</f>
        <v>Not Found</v>
      </c>
      <c r="H1001" s="6" t="str">
        <f>IFERROR(VLOOKUP('Customer Info'!A993,'Customer Info'!A993:C1492,3,FALSE),"Not Found")</f>
        <v>Not Found</v>
      </c>
      <c r="I1001" s="6" t="str">
        <f>IFERROR(VLOOKUP('Customer Info'!A993,'Customer Info'!A993:E1492,5,FALSE),"Not Found")</f>
        <v>Not Found</v>
      </c>
      <c r="J1001" s="2">
        <v>6611</v>
      </c>
      <c r="K1001" s="2">
        <v>5943</v>
      </c>
      <c r="L1001" s="2">
        <v>2</v>
      </c>
      <c r="M1001" s="7">
        <f t="shared" si="75"/>
        <v>11886</v>
      </c>
      <c r="N1001" s="7">
        <f t="shared" si="76"/>
        <v>13222</v>
      </c>
      <c r="O1001" s="2">
        <v>56</v>
      </c>
      <c r="P1001" s="8">
        <f t="shared" si="77"/>
        <v>13278</v>
      </c>
      <c r="Q1001" s="8">
        <f t="shared" si="78"/>
        <v>7279</v>
      </c>
      <c r="R1001" s="2" t="s">
        <v>28</v>
      </c>
      <c r="S1001" s="9">
        <f t="shared" si="79"/>
        <v>663.90000000000009</v>
      </c>
    </row>
    <row r="1002" spans="1:19" x14ac:dyDescent="0.3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str">
        <f>IFERROR(VLOOKUP('Customer Info'!A994,'Customer Info'!A994:C1493,2,FALSE),"Not Found")</f>
        <v>Not Found</v>
      </c>
      <c r="H1002" s="6" t="str">
        <f>IFERROR(VLOOKUP('Customer Info'!A994,'Customer Info'!A994:C1493,3,FALSE),"Not Found")</f>
        <v>Not Found</v>
      </c>
      <c r="I1002" s="6" t="str">
        <f>IFERROR(VLOOKUP('Customer Info'!A994,'Customer Info'!A994:E1493,5,FALSE),"Not Found")</f>
        <v>Not Found</v>
      </c>
      <c r="J1002" s="2">
        <v>2250</v>
      </c>
      <c r="K1002" s="2">
        <v>2207</v>
      </c>
      <c r="L1002" s="2">
        <v>3</v>
      </c>
      <c r="M1002" s="7">
        <f t="shared" si="75"/>
        <v>6621</v>
      </c>
      <c r="N1002" s="7">
        <f t="shared" si="76"/>
        <v>6750</v>
      </c>
      <c r="O1002" s="2">
        <v>99</v>
      </c>
      <c r="P1002" s="8">
        <f t="shared" si="77"/>
        <v>6849</v>
      </c>
      <c r="Q1002" s="8">
        <f t="shared" si="78"/>
        <v>4543</v>
      </c>
      <c r="R1002" s="2" t="s">
        <v>50</v>
      </c>
      <c r="S1002" s="9">
        <f t="shared" si="79"/>
        <v>342.45000000000005</v>
      </c>
    </row>
    <row r="1003" spans="1:19" x14ac:dyDescent="0.3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str">
        <f>IFERROR(VLOOKUP('Customer Info'!A995,'Customer Info'!A995:C1494,2,FALSE),"Not Found")</f>
        <v>Not Found</v>
      </c>
      <c r="H1003" s="6" t="str">
        <f>IFERROR(VLOOKUP('Customer Info'!A995,'Customer Info'!A995:C1494,3,FALSE),"Not Found")</f>
        <v>Not Found</v>
      </c>
      <c r="I1003" s="6" t="str">
        <f>IFERROR(VLOOKUP('Customer Info'!A995,'Customer Info'!A995:E1494,5,FALSE),"Not Found")</f>
        <v>Not Found</v>
      </c>
      <c r="J1003" s="2">
        <v>2829</v>
      </c>
      <c r="K1003" s="2">
        <v>2596</v>
      </c>
      <c r="L1003" s="2">
        <v>2</v>
      </c>
      <c r="M1003" s="7">
        <f t="shared" si="75"/>
        <v>5192</v>
      </c>
      <c r="N1003" s="7">
        <f t="shared" si="76"/>
        <v>5658</v>
      </c>
      <c r="O1003" s="2">
        <v>30</v>
      </c>
      <c r="P1003" s="8">
        <f t="shared" si="77"/>
        <v>5688</v>
      </c>
      <c r="Q1003" s="8">
        <f t="shared" si="78"/>
        <v>3062</v>
      </c>
      <c r="R1003" s="2" t="s">
        <v>28</v>
      </c>
      <c r="S1003" s="9">
        <f t="shared" si="79"/>
        <v>284.40000000000003</v>
      </c>
    </row>
    <row r="1004" spans="1:19" x14ac:dyDescent="0.3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str">
        <f>IFERROR(VLOOKUP('Customer Info'!A996,'Customer Info'!A996:C1495,2,FALSE),"Not Found")</f>
        <v>Not Found</v>
      </c>
      <c r="H1004" s="6" t="str">
        <f>IFERROR(VLOOKUP('Customer Info'!A996,'Customer Info'!A996:C1495,3,FALSE),"Not Found")</f>
        <v>Not Found</v>
      </c>
      <c r="I1004" s="6" t="str">
        <f>IFERROR(VLOOKUP('Customer Info'!A996,'Customer Info'!A996:E1495,5,FALSE),"Not Found")</f>
        <v>Not Found</v>
      </c>
      <c r="J1004" s="2">
        <v>7141</v>
      </c>
      <c r="K1004" s="2">
        <v>6541</v>
      </c>
      <c r="L1004" s="2">
        <v>3</v>
      </c>
      <c r="M1004" s="7">
        <f t="shared" si="75"/>
        <v>19623</v>
      </c>
      <c r="N1004" s="7">
        <f t="shared" si="76"/>
        <v>21423</v>
      </c>
      <c r="O1004" s="2">
        <v>94</v>
      </c>
      <c r="P1004" s="8">
        <f t="shared" si="77"/>
        <v>21517</v>
      </c>
      <c r="Q1004" s="8">
        <f t="shared" si="78"/>
        <v>14882</v>
      </c>
      <c r="R1004" s="2" t="s">
        <v>26</v>
      </c>
      <c r="S1004" s="9">
        <f t="shared" si="79"/>
        <v>1075.8500000000001</v>
      </c>
    </row>
    <row r="1005" spans="1:19" x14ac:dyDescent="0.3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str">
        <f>IFERROR(VLOOKUP('Customer Info'!A997,'Customer Info'!A997:C1496,2,FALSE),"Not Found")</f>
        <v>Not Found</v>
      </c>
      <c r="H1005" s="6" t="str">
        <f>IFERROR(VLOOKUP('Customer Info'!A997,'Customer Info'!A997:C1496,3,FALSE),"Not Found")</f>
        <v>Not Found</v>
      </c>
      <c r="I1005" s="6" t="str">
        <f>IFERROR(VLOOKUP('Customer Info'!A997,'Customer Info'!A997:E1496,5,FALSE),"Not Found")</f>
        <v>Not Found</v>
      </c>
      <c r="J1005" s="2">
        <v>1916</v>
      </c>
      <c r="K1005" s="2">
        <v>1844</v>
      </c>
      <c r="L1005" s="2">
        <v>4</v>
      </c>
      <c r="M1005" s="7">
        <f t="shared" si="75"/>
        <v>7376</v>
      </c>
      <c r="N1005" s="7">
        <f t="shared" si="76"/>
        <v>7664</v>
      </c>
      <c r="O1005" s="2">
        <v>34</v>
      </c>
      <c r="P1005" s="8">
        <f t="shared" si="77"/>
        <v>7698</v>
      </c>
      <c r="Q1005" s="8">
        <f t="shared" si="78"/>
        <v>5820</v>
      </c>
      <c r="R1005" s="2" t="s">
        <v>50</v>
      </c>
      <c r="S1005" s="9">
        <f t="shared" si="79"/>
        <v>384.90000000000003</v>
      </c>
    </row>
    <row r="1006" spans="1:19" x14ac:dyDescent="0.3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str">
        <f>IFERROR(VLOOKUP('Customer Info'!A998,'Customer Info'!A998:C1497,2,FALSE),"Not Found")</f>
        <v>Not Found</v>
      </c>
      <c r="H1006" s="6" t="str">
        <f>IFERROR(VLOOKUP('Customer Info'!A998,'Customer Info'!A998:C1497,3,FALSE),"Not Found")</f>
        <v>Not Found</v>
      </c>
      <c r="I1006" s="6" t="str">
        <f>IFERROR(VLOOKUP('Customer Info'!A998,'Customer Info'!A998:E1497,5,FALSE),"Not Found")</f>
        <v>Not Found</v>
      </c>
      <c r="J1006" s="2">
        <v>140</v>
      </c>
      <c r="K1006" s="2">
        <v>137</v>
      </c>
      <c r="L1006" s="2">
        <v>1</v>
      </c>
      <c r="M1006" s="7">
        <f t="shared" si="75"/>
        <v>137</v>
      </c>
      <c r="N1006" s="7">
        <f t="shared" si="76"/>
        <v>140</v>
      </c>
      <c r="O1006" s="2">
        <v>30</v>
      </c>
      <c r="P1006" s="8">
        <f t="shared" si="77"/>
        <v>170</v>
      </c>
      <c r="Q1006" s="8">
        <f t="shared" si="78"/>
        <v>3</v>
      </c>
      <c r="R1006" s="2" t="s">
        <v>28</v>
      </c>
      <c r="S1006" s="9">
        <f t="shared" si="79"/>
        <v>3.4</v>
      </c>
    </row>
    <row r="1007" spans="1:19" x14ac:dyDescent="0.3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str">
        <f>IFERROR(VLOOKUP('Customer Info'!A999,'Customer Info'!A999:C1498,2,FALSE),"Not Found")</f>
        <v>Not Found</v>
      </c>
      <c r="H1007" s="6" t="str">
        <f>IFERROR(VLOOKUP('Customer Info'!A999,'Customer Info'!A999:C1498,3,FALSE),"Not Found")</f>
        <v>Not Found</v>
      </c>
      <c r="I1007" s="6" t="str">
        <f>IFERROR(VLOOKUP('Customer Info'!A999,'Customer Info'!A999:E1498,5,FALSE),"Not Found")</f>
        <v>Not Found</v>
      </c>
      <c r="J1007" s="2">
        <v>900</v>
      </c>
      <c r="K1007" s="2">
        <v>834</v>
      </c>
      <c r="L1007" s="2">
        <v>2</v>
      </c>
      <c r="M1007" s="7">
        <f t="shared" si="75"/>
        <v>1668</v>
      </c>
      <c r="N1007" s="7">
        <f t="shared" si="76"/>
        <v>1800</v>
      </c>
      <c r="O1007" s="2">
        <v>78</v>
      </c>
      <c r="P1007" s="8">
        <f t="shared" si="77"/>
        <v>1878</v>
      </c>
      <c r="Q1007" s="8">
        <f t="shared" si="78"/>
        <v>966</v>
      </c>
      <c r="R1007" s="2" t="s">
        <v>50</v>
      </c>
      <c r="S1007" s="9">
        <f t="shared" si="79"/>
        <v>37.56</v>
      </c>
    </row>
    <row r="1008" spans="1:19" x14ac:dyDescent="0.3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str">
        <f>IFERROR(VLOOKUP('Customer Info'!A1000,'Customer Info'!A1000:C1499,2,FALSE),"Not Found")</f>
        <v>Not Found</v>
      </c>
      <c r="H1008" s="6" t="str">
        <f>IFERROR(VLOOKUP('Customer Info'!A1000,'Customer Info'!A1000:C1499,3,FALSE),"Not Found")</f>
        <v>Not Found</v>
      </c>
      <c r="I1008" s="6" t="str">
        <f>IFERROR(VLOOKUP('Customer Info'!A1000,'Customer Info'!A1000:E1499,5,FALSE),"Not Found")</f>
        <v>Not Found</v>
      </c>
      <c r="J1008" s="2">
        <v>1205</v>
      </c>
      <c r="K1008" s="2">
        <v>1159</v>
      </c>
      <c r="L1008" s="2">
        <v>2</v>
      </c>
      <c r="M1008" s="7">
        <f t="shared" si="75"/>
        <v>2318</v>
      </c>
      <c r="N1008" s="7">
        <f t="shared" si="76"/>
        <v>2410</v>
      </c>
      <c r="O1008" s="2">
        <v>64</v>
      </c>
      <c r="P1008" s="8">
        <f t="shared" si="77"/>
        <v>2474</v>
      </c>
      <c r="Q1008" s="8">
        <f t="shared" si="78"/>
        <v>1251</v>
      </c>
      <c r="R1008" s="2" t="s">
        <v>56</v>
      </c>
      <c r="S1008" s="9">
        <f t="shared" si="79"/>
        <v>49.480000000000004</v>
      </c>
    </row>
    <row r="1009" spans="1:19" x14ac:dyDescent="0.3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str">
        <f>IFERROR(VLOOKUP('Customer Info'!A1001,'Customer Info'!A1001:C1500,2,FALSE),"Not Found")</f>
        <v>Not Found</v>
      </c>
      <c r="H1009" s="6" t="str">
        <f>IFERROR(VLOOKUP('Customer Info'!A1001,'Customer Info'!A1001:C1500,3,FALSE),"Not Found")</f>
        <v>Not Found</v>
      </c>
      <c r="I1009" s="6" t="str">
        <f>IFERROR(VLOOKUP('Customer Info'!A1001,'Customer Info'!A1001:E1500,5,FALSE),"Not Found")</f>
        <v>Not Found</v>
      </c>
      <c r="J1009" s="2">
        <v>1318</v>
      </c>
      <c r="K1009" s="2">
        <v>1209</v>
      </c>
      <c r="L1009" s="2">
        <v>3</v>
      </c>
      <c r="M1009" s="7">
        <f t="shared" si="75"/>
        <v>3627</v>
      </c>
      <c r="N1009" s="7">
        <f t="shared" si="76"/>
        <v>3954</v>
      </c>
      <c r="O1009" s="2">
        <v>94</v>
      </c>
      <c r="P1009" s="8">
        <f t="shared" si="77"/>
        <v>4048</v>
      </c>
      <c r="Q1009" s="8">
        <f t="shared" si="78"/>
        <v>2745</v>
      </c>
      <c r="R1009" s="2" t="s">
        <v>28</v>
      </c>
      <c r="S1009" s="9">
        <f t="shared" si="79"/>
        <v>80.960000000000008</v>
      </c>
    </row>
    <row r="1010" spans="1:19" x14ac:dyDescent="0.3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str">
        <f>IFERROR(VLOOKUP('Customer Info'!A1002,'Customer Info'!A1002:C1501,2,FALSE),"Not Found")</f>
        <v>Not Found</v>
      </c>
      <c r="H1010" s="6" t="str">
        <f>IFERROR(VLOOKUP('Customer Info'!A1002,'Customer Info'!A1002:C1501,3,FALSE),"Not Found")</f>
        <v>Not Found</v>
      </c>
      <c r="I1010" s="6" t="str">
        <f>IFERROR(VLOOKUP('Customer Info'!A1002,'Customer Info'!A1002:E1501,5,FALSE),"Not Found")</f>
        <v>Not Found</v>
      </c>
      <c r="J1010" s="2">
        <v>87</v>
      </c>
      <c r="K1010" s="2">
        <v>80</v>
      </c>
      <c r="L1010" s="2">
        <v>2</v>
      </c>
      <c r="M1010" s="7">
        <f t="shared" si="75"/>
        <v>160</v>
      </c>
      <c r="N1010" s="7">
        <f t="shared" si="76"/>
        <v>174</v>
      </c>
      <c r="O1010" s="2">
        <v>10</v>
      </c>
      <c r="P1010" s="8">
        <f t="shared" si="77"/>
        <v>184</v>
      </c>
      <c r="Q1010" s="8">
        <f t="shared" si="78"/>
        <v>94</v>
      </c>
      <c r="R1010" s="2" t="s">
        <v>50</v>
      </c>
      <c r="S1010" s="9">
        <f t="shared" si="79"/>
        <v>3.68</v>
      </c>
    </row>
    <row r="1011" spans="1:19" x14ac:dyDescent="0.3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str">
        <f>IFERROR(VLOOKUP('Customer Info'!A1003,'Customer Info'!A1003:C1502,2,FALSE),"Not Found")</f>
        <v>Not Found</v>
      </c>
      <c r="H1011" s="6" t="str">
        <f>IFERROR(VLOOKUP('Customer Info'!A1003,'Customer Info'!A1003:C1502,3,FALSE),"Not Found")</f>
        <v>Not Found</v>
      </c>
      <c r="I1011" s="6" t="str">
        <f>IFERROR(VLOOKUP('Customer Info'!A1003,'Customer Info'!A1003:E1502,5,FALSE),"Not Found")</f>
        <v>Not Found</v>
      </c>
      <c r="J1011" s="2">
        <v>2466</v>
      </c>
      <c r="K1011" s="2">
        <v>2327</v>
      </c>
      <c r="L1011" s="2">
        <v>1</v>
      </c>
      <c r="M1011" s="7">
        <f t="shared" si="75"/>
        <v>2327</v>
      </c>
      <c r="N1011" s="7">
        <f t="shared" si="76"/>
        <v>2466</v>
      </c>
      <c r="O1011" s="2">
        <v>61</v>
      </c>
      <c r="P1011" s="8">
        <f t="shared" si="77"/>
        <v>2527</v>
      </c>
      <c r="Q1011" s="8">
        <f t="shared" si="78"/>
        <v>139</v>
      </c>
      <c r="R1011" s="2" t="s">
        <v>50</v>
      </c>
      <c r="S1011" s="9">
        <f t="shared" si="79"/>
        <v>50.54</v>
      </c>
    </row>
    <row r="1012" spans="1:19" x14ac:dyDescent="0.3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str">
        <f>IFERROR(VLOOKUP('Customer Info'!A1004,'Customer Info'!A1004:C1503,2,FALSE),"Not Found")</f>
        <v>Not Found</v>
      </c>
      <c r="H1012" s="6" t="str">
        <f>IFERROR(VLOOKUP('Customer Info'!A1004,'Customer Info'!A1004:C1503,3,FALSE),"Not Found")</f>
        <v>Not Found</v>
      </c>
      <c r="I1012" s="6" t="str">
        <f>IFERROR(VLOOKUP('Customer Info'!A1004,'Customer Info'!A1004:E1503,5,FALSE),"Not Found")</f>
        <v>Not Found</v>
      </c>
      <c r="J1012" s="2">
        <v>62</v>
      </c>
      <c r="K1012" s="2">
        <v>58</v>
      </c>
      <c r="L1012" s="2">
        <v>5</v>
      </c>
      <c r="M1012" s="7">
        <f t="shared" si="75"/>
        <v>290</v>
      </c>
      <c r="N1012" s="7">
        <f t="shared" si="76"/>
        <v>310</v>
      </c>
      <c r="O1012" s="2">
        <v>10</v>
      </c>
      <c r="P1012" s="8">
        <f t="shared" si="77"/>
        <v>320</v>
      </c>
      <c r="Q1012" s="8">
        <f t="shared" si="78"/>
        <v>252</v>
      </c>
      <c r="R1012" s="2" t="s">
        <v>50</v>
      </c>
      <c r="S1012" s="9">
        <f t="shared" si="79"/>
        <v>6.4</v>
      </c>
    </row>
    <row r="1013" spans="1:19" x14ac:dyDescent="0.3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str">
        <f>IFERROR(VLOOKUP('Customer Info'!A1005,'Customer Info'!A1005:C1504,2,FALSE),"Not Found")</f>
        <v>Not Found</v>
      </c>
      <c r="H1013" s="6" t="str">
        <f>IFERROR(VLOOKUP('Customer Info'!A1005,'Customer Info'!A1005:C1504,3,FALSE),"Not Found")</f>
        <v>Not Found</v>
      </c>
      <c r="I1013" s="6" t="str">
        <f>IFERROR(VLOOKUP('Customer Info'!A1005,'Customer Info'!A1005:E1504,5,FALSE),"Not Found")</f>
        <v>Not Found</v>
      </c>
      <c r="J1013" s="2">
        <v>279</v>
      </c>
      <c r="K1013" s="2">
        <v>254</v>
      </c>
      <c r="L1013" s="2">
        <v>2</v>
      </c>
      <c r="M1013" s="7">
        <f t="shared" si="75"/>
        <v>508</v>
      </c>
      <c r="N1013" s="7">
        <f t="shared" si="76"/>
        <v>558</v>
      </c>
      <c r="O1013" s="2">
        <v>37</v>
      </c>
      <c r="P1013" s="8">
        <f t="shared" si="77"/>
        <v>595</v>
      </c>
      <c r="Q1013" s="8">
        <f t="shared" si="78"/>
        <v>304</v>
      </c>
      <c r="R1013" s="2" t="s">
        <v>50</v>
      </c>
      <c r="S1013" s="9">
        <f t="shared" si="79"/>
        <v>11.9</v>
      </c>
    </row>
    <row r="1014" spans="1:19" x14ac:dyDescent="0.3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str">
        <f>IFERROR(VLOOKUP('Customer Info'!A1006,'Customer Info'!A1006:C1505,2,FALSE),"Not Found")</f>
        <v>Not Found</v>
      </c>
      <c r="H1014" s="6" t="str">
        <f>IFERROR(VLOOKUP('Customer Info'!A1006,'Customer Info'!A1006:C1505,3,FALSE),"Not Found")</f>
        <v>Not Found</v>
      </c>
      <c r="I1014" s="6" t="str">
        <f>IFERROR(VLOOKUP('Customer Info'!A1006,'Customer Info'!A1006:E1505,5,FALSE),"Not Found")</f>
        <v>Not Found</v>
      </c>
      <c r="J1014" s="2">
        <v>6012</v>
      </c>
      <c r="K1014" s="2">
        <v>5677</v>
      </c>
      <c r="L1014" s="2">
        <v>4</v>
      </c>
      <c r="M1014" s="7">
        <f t="shared" si="75"/>
        <v>22708</v>
      </c>
      <c r="N1014" s="7">
        <f t="shared" si="76"/>
        <v>24048</v>
      </c>
      <c r="O1014" s="2">
        <v>24</v>
      </c>
      <c r="P1014" s="8">
        <f t="shared" si="77"/>
        <v>24072</v>
      </c>
      <c r="Q1014" s="8">
        <f t="shared" si="78"/>
        <v>18371</v>
      </c>
      <c r="R1014" s="2" t="s">
        <v>28</v>
      </c>
      <c r="S1014" s="9">
        <f t="shared" si="79"/>
        <v>1203.6000000000001</v>
      </c>
    </row>
    <row r="1015" spans="1:19" x14ac:dyDescent="0.3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str">
        <f>IFERROR(VLOOKUP('Customer Info'!A1007,'Customer Info'!A1007:C1506,2,FALSE),"Not Found")</f>
        <v>Not Found</v>
      </c>
      <c r="H1015" s="6" t="str">
        <f>IFERROR(VLOOKUP('Customer Info'!A1007,'Customer Info'!A1007:C1506,3,FALSE),"Not Found")</f>
        <v>Not Found</v>
      </c>
      <c r="I1015" s="6" t="str">
        <f>IFERROR(VLOOKUP('Customer Info'!A1007,'Customer Info'!A1007:E1506,5,FALSE),"Not Found")</f>
        <v>Not Found</v>
      </c>
      <c r="J1015" s="2">
        <v>4846</v>
      </c>
      <c r="K1015" s="2">
        <v>4492</v>
      </c>
      <c r="L1015" s="2">
        <v>5</v>
      </c>
      <c r="M1015" s="7">
        <f t="shared" si="75"/>
        <v>22460</v>
      </c>
      <c r="N1015" s="7">
        <f t="shared" si="76"/>
        <v>24230</v>
      </c>
      <c r="O1015" s="2">
        <v>34</v>
      </c>
      <c r="P1015" s="8">
        <f t="shared" si="77"/>
        <v>24264</v>
      </c>
      <c r="Q1015" s="8">
        <f t="shared" si="78"/>
        <v>19738</v>
      </c>
      <c r="R1015" s="2" t="s">
        <v>28</v>
      </c>
      <c r="S1015" s="9">
        <f t="shared" si="79"/>
        <v>1213.2</v>
      </c>
    </row>
    <row r="1016" spans="1:19" x14ac:dyDescent="0.3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str">
        <f>IFERROR(VLOOKUP('Customer Info'!A1008,'Customer Info'!A1008:C1507,2,FALSE),"Not Found")</f>
        <v>Not Found</v>
      </c>
      <c r="H1016" s="6" t="str">
        <f>IFERROR(VLOOKUP('Customer Info'!A1008,'Customer Info'!A1008:C1507,3,FALSE),"Not Found")</f>
        <v>Not Found</v>
      </c>
      <c r="I1016" s="6" t="str">
        <f>IFERROR(VLOOKUP('Customer Info'!A1008,'Customer Info'!A1008:E1507,5,FALSE),"Not Found")</f>
        <v>Not Found</v>
      </c>
      <c r="J1016" s="2">
        <v>896</v>
      </c>
      <c r="K1016" s="2">
        <v>870</v>
      </c>
      <c r="L1016" s="2">
        <v>1</v>
      </c>
      <c r="M1016" s="7">
        <f t="shared" si="75"/>
        <v>870</v>
      </c>
      <c r="N1016" s="7">
        <f t="shared" si="76"/>
        <v>896</v>
      </c>
      <c r="O1016" s="2">
        <v>54</v>
      </c>
      <c r="P1016" s="8">
        <f t="shared" si="77"/>
        <v>950</v>
      </c>
      <c r="Q1016" s="8">
        <f t="shared" si="78"/>
        <v>26</v>
      </c>
      <c r="R1016" s="2" t="s">
        <v>28</v>
      </c>
      <c r="S1016" s="9">
        <f t="shared" si="79"/>
        <v>19</v>
      </c>
    </row>
    <row r="1017" spans="1:19" x14ac:dyDescent="0.3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str">
        <f>IFERROR(VLOOKUP('Customer Info'!A1009,'Customer Info'!A1009:C1508,2,FALSE),"Not Found")</f>
        <v>Not Found</v>
      </c>
      <c r="H1017" s="6" t="str">
        <f>IFERROR(VLOOKUP('Customer Info'!A1009,'Customer Info'!A1009:C1508,3,FALSE),"Not Found")</f>
        <v>Not Found</v>
      </c>
      <c r="I1017" s="6" t="str">
        <f>IFERROR(VLOOKUP('Customer Info'!A1009,'Customer Info'!A1009:E1508,5,FALSE),"Not Found")</f>
        <v>Not Found</v>
      </c>
      <c r="J1017" s="2">
        <v>69</v>
      </c>
      <c r="K1017" s="2">
        <v>64</v>
      </c>
      <c r="L1017" s="2">
        <v>1</v>
      </c>
      <c r="M1017" s="7">
        <f t="shared" si="75"/>
        <v>64</v>
      </c>
      <c r="N1017" s="7">
        <f t="shared" si="76"/>
        <v>69</v>
      </c>
      <c r="O1017" s="2">
        <v>10</v>
      </c>
      <c r="P1017" s="8">
        <f t="shared" si="77"/>
        <v>79</v>
      </c>
      <c r="Q1017" s="8">
        <f t="shared" si="78"/>
        <v>5</v>
      </c>
      <c r="R1017" s="2" t="s">
        <v>28</v>
      </c>
      <c r="S1017" s="9">
        <f t="shared" si="79"/>
        <v>1.58</v>
      </c>
    </row>
    <row r="1018" spans="1:19" x14ac:dyDescent="0.3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str">
        <f>IFERROR(VLOOKUP('Customer Info'!A1010,'Customer Info'!A1010:C1509,2,FALSE),"Not Found")</f>
        <v>Not Found</v>
      </c>
      <c r="H1018" s="6" t="str">
        <f>IFERROR(VLOOKUP('Customer Info'!A1010,'Customer Info'!A1010:C1509,3,FALSE),"Not Found")</f>
        <v>Not Found</v>
      </c>
      <c r="I1018" s="6" t="str">
        <f>IFERROR(VLOOKUP('Customer Info'!A1010,'Customer Info'!A1010:E1509,5,FALSE),"Not Found")</f>
        <v>Not Found</v>
      </c>
      <c r="J1018" s="2">
        <v>69</v>
      </c>
      <c r="K1018" s="2">
        <v>64</v>
      </c>
      <c r="L1018" s="2">
        <v>7</v>
      </c>
      <c r="M1018" s="7">
        <f t="shared" si="75"/>
        <v>448</v>
      </c>
      <c r="N1018" s="7">
        <f t="shared" si="76"/>
        <v>483</v>
      </c>
      <c r="O1018" s="2">
        <v>10</v>
      </c>
      <c r="P1018" s="8">
        <f t="shared" si="77"/>
        <v>493</v>
      </c>
      <c r="Q1018" s="8">
        <f t="shared" si="78"/>
        <v>419</v>
      </c>
      <c r="R1018" s="2" t="s">
        <v>28</v>
      </c>
      <c r="S1018" s="9">
        <f t="shared" si="79"/>
        <v>9.86</v>
      </c>
    </row>
    <row r="1019" spans="1:19" x14ac:dyDescent="0.3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str">
        <f>IFERROR(VLOOKUP('Customer Info'!A1011,'Customer Info'!A1011:C1510,2,FALSE),"Not Found")</f>
        <v>Not Found</v>
      </c>
      <c r="H1019" s="6" t="str">
        <f>IFERROR(VLOOKUP('Customer Info'!A1011,'Customer Info'!A1011:C1510,3,FALSE),"Not Found")</f>
        <v>Not Found</v>
      </c>
      <c r="I1019" s="6" t="str">
        <f>IFERROR(VLOOKUP('Customer Info'!A1011,'Customer Info'!A1011:E1510,5,FALSE),"Not Found")</f>
        <v>Not Found</v>
      </c>
      <c r="J1019" s="2">
        <v>1721</v>
      </c>
      <c r="K1019" s="2">
        <v>1640</v>
      </c>
      <c r="L1019" s="2">
        <v>2</v>
      </c>
      <c r="M1019" s="7">
        <f t="shared" si="75"/>
        <v>3280</v>
      </c>
      <c r="N1019" s="7">
        <f t="shared" si="76"/>
        <v>3442</v>
      </c>
      <c r="O1019" s="2">
        <v>34</v>
      </c>
      <c r="P1019" s="8">
        <f t="shared" si="77"/>
        <v>3476</v>
      </c>
      <c r="Q1019" s="8">
        <f t="shared" si="78"/>
        <v>1802</v>
      </c>
      <c r="R1019" s="2" t="s">
        <v>28</v>
      </c>
      <c r="S1019" s="9">
        <f t="shared" si="79"/>
        <v>69.52</v>
      </c>
    </row>
    <row r="1020" spans="1:19" x14ac:dyDescent="0.3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str">
        <f>IFERROR(VLOOKUP('Customer Info'!A1012,'Customer Info'!A1012:C1511,2,FALSE),"Not Found")</f>
        <v>Not Found</v>
      </c>
      <c r="H1020" s="6" t="str">
        <f>IFERROR(VLOOKUP('Customer Info'!A1012,'Customer Info'!A1012:C1511,3,FALSE),"Not Found")</f>
        <v>Not Found</v>
      </c>
      <c r="I1020" s="6" t="str">
        <f>IFERROR(VLOOKUP('Customer Info'!A1012,'Customer Info'!A1012:E1511,5,FALSE),"Not Found")</f>
        <v>Not Found</v>
      </c>
      <c r="J1020" s="2">
        <v>6768</v>
      </c>
      <c r="K1020" s="2">
        <v>6512</v>
      </c>
      <c r="L1020" s="2">
        <v>1</v>
      </c>
      <c r="M1020" s="7">
        <f t="shared" si="75"/>
        <v>6512</v>
      </c>
      <c r="N1020" s="7">
        <f t="shared" si="76"/>
        <v>6768</v>
      </c>
      <c r="O1020" s="2">
        <v>87</v>
      </c>
      <c r="P1020" s="8">
        <f t="shared" si="77"/>
        <v>6855</v>
      </c>
      <c r="Q1020" s="8">
        <f t="shared" si="78"/>
        <v>256</v>
      </c>
      <c r="R1020" s="2" t="s">
        <v>28</v>
      </c>
      <c r="S1020" s="9">
        <f t="shared" si="79"/>
        <v>342.75</v>
      </c>
    </row>
    <row r="1021" spans="1:19" x14ac:dyDescent="0.3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str">
        <f>IFERROR(VLOOKUP('Customer Info'!A1013,'Customer Info'!A1013:C1512,2,FALSE),"Not Found")</f>
        <v>Not Found</v>
      </c>
      <c r="H1021" s="6" t="str">
        <f>IFERROR(VLOOKUP('Customer Info'!A1013,'Customer Info'!A1013:C1512,3,FALSE),"Not Found")</f>
        <v>Not Found</v>
      </c>
      <c r="I1021" s="6" t="str">
        <f>IFERROR(VLOOKUP('Customer Info'!A1013,'Customer Info'!A1013:E1512,5,FALSE),"Not Found")</f>
        <v>Not Found</v>
      </c>
      <c r="J1021" s="2">
        <v>1601</v>
      </c>
      <c r="K1021" s="2">
        <v>1510</v>
      </c>
      <c r="L1021" s="2">
        <v>1</v>
      </c>
      <c r="M1021" s="7">
        <f t="shared" si="75"/>
        <v>1510</v>
      </c>
      <c r="N1021" s="7">
        <f t="shared" si="76"/>
        <v>1601</v>
      </c>
      <c r="O1021" s="2">
        <v>65</v>
      </c>
      <c r="P1021" s="8">
        <f t="shared" si="77"/>
        <v>1666</v>
      </c>
      <c r="Q1021" s="8">
        <f t="shared" si="78"/>
        <v>91</v>
      </c>
      <c r="R1021" s="2" t="s">
        <v>28</v>
      </c>
      <c r="S1021" s="9">
        <f t="shared" si="79"/>
        <v>33.32</v>
      </c>
    </row>
    <row r="1022" spans="1:19" x14ac:dyDescent="0.3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str">
        <f>IFERROR(VLOOKUP('Customer Info'!A1014,'Customer Info'!A1014:C1513,2,FALSE),"Not Found")</f>
        <v>Not Found</v>
      </c>
      <c r="H1022" s="6" t="str">
        <f>IFERROR(VLOOKUP('Customer Info'!A1014,'Customer Info'!A1014:C1513,3,FALSE),"Not Found")</f>
        <v>Not Found</v>
      </c>
      <c r="I1022" s="6" t="str">
        <f>IFERROR(VLOOKUP('Customer Info'!A1014,'Customer Info'!A1014:E1513,5,FALSE),"Not Found")</f>
        <v>Not Found</v>
      </c>
      <c r="J1022" s="2">
        <v>626</v>
      </c>
      <c r="K1022" s="2">
        <v>559</v>
      </c>
      <c r="L1022" s="2">
        <v>6</v>
      </c>
      <c r="M1022" s="7">
        <f t="shared" si="75"/>
        <v>3354</v>
      </c>
      <c r="N1022" s="7">
        <f t="shared" si="76"/>
        <v>3756</v>
      </c>
      <c r="O1022" s="2">
        <v>42</v>
      </c>
      <c r="P1022" s="8">
        <f t="shared" si="77"/>
        <v>3798</v>
      </c>
      <c r="Q1022" s="8">
        <f t="shared" si="78"/>
        <v>3197</v>
      </c>
      <c r="R1022" s="2" t="s">
        <v>50</v>
      </c>
      <c r="S1022" s="9">
        <f t="shared" si="79"/>
        <v>75.960000000000008</v>
      </c>
    </row>
    <row r="1023" spans="1:19" x14ac:dyDescent="0.3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str">
        <f>IFERROR(VLOOKUP('Customer Info'!A1015,'Customer Info'!A1015:C1514,2,FALSE),"Not Found")</f>
        <v>Not Found</v>
      </c>
      <c r="H1023" s="6" t="str">
        <f>IFERROR(VLOOKUP('Customer Info'!A1015,'Customer Info'!A1015:C1514,3,FALSE),"Not Found")</f>
        <v>Not Found</v>
      </c>
      <c r="I1023" s="6" t="str">
        <f>IFERROR(VLOOKUP('Customer Info'!A1015,'Customer Info'!A1015:E1514,5,FALSE),"Not Found")</f>
        <v>Not Found</v>
      </c>
      <c r="J1023" s="2">
        <v>6768</v>
      </c>
      <c r="K1023" s="2">
        <v>6512</v>
      </c>
      <c r="L1023" s="2">
        <v>2</v>
      </c>
      <c r="M1023" s="7">
        <f t="shared" si="75"/>
        <v>13024</v>
      </c>
      <c r="N1023" s="7">
        <f t="shared" si="76"/>
        <v>13536</v>
      </c>
      <c r="O1023" s="2">
        <v>77</v>
      </c>
      <c r="P1023" s="8">
        <f t="shared" si="77"/>
        <v>13613</v>
      </c>
      <c r="Q1023" s="8">
        <f t="shared" si="78"/>
        <v>7024</v>
      </c>
      <c r="R1023" s="2" t="s">
        <v>50</v>
      </c>
      <c r="S1023" s="9">
        <f t="shared" si="79"/>
        <v>680.65000000000009</v>
      </c>
    </row>
    <row r="1024" spans="1:19" x14ac:dyDescent="0.3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str">
        <f>IFERROR(VLOOKUP('Customer Info'!A1016,'Customer Info'!A1016:C1515,2,FALSE),"Not Found")</f>
        <v>Not Found</v>
      </c>
      <c r="H1024" s="6" t="str">
        <f>IFERROR(VLOOKUP('Customer Info'!A1016,'Customer Info'!A1016:C1515,3,FALSE),"Not Found")</f>
        <v>Not Found</v>
      </c>
      <c r="I1024" s="6" t="str">
        <f>IFERROR(VLOOKUP('Customer Info'!A1016,'Customer Info'!A1016:E1515,5,FALSE),"Not Found")</f>
        <v>Not Found</v>
      </c>
      <c r="J1024" s="2">
        <v>1605</v>
      </c>
      <c r="K1024" s="2">
        <v>1487</v>
      </c>
      <c r="L1024" s="2">
        <v>3</v>
      </c>
      <c r="M1024" s="7">
        <f t="shared" si="75"/>
        <v>4461</v>
      </c>
      <c r="N1024" s="7">
        <f t="shared" si="76"/>
        <v>4815</v>
      </c>
      <c r="O1024" s="2">
        <v>82</v>
      </c>
      <c r="P1024" s="8">
        <f t="shared" si="77"/>
        <v>4897</v>
      </c>
      <c r="Q1024" s="8">
        <f t="shared" si="78"/>
        <v>3328</v>
      </c>
      <c r="R1024" s="2" t="s">
        <v>28</v>
      </c>
      <c r="S1024" s="9">
        <f t="shared" si="79"/>
        <v>97.94</v>
      </c>
    </row>
    <row r="1025" spans="1:19" x14ac:dyDescent="0.3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str">
        <f>IFERROR(VLOOKUP('Customer Info'!A1017,'Customer Info'!A1017:C1516,2,FALSE),"Not Found")</f>
        <v>Not Found</v>
      </c>
      <c r="H1025" s="6" t="str">
        <f>IFERROR(VLOOKUP('Customer Info'!A1017,'Customer Info'!A1017:C1516,3,FALSE),"Not Found")</f>
        <v>Not Found</v>
      </c>
      <c r="I1025" s="6" t="str">
        <f>IFERROR(VLOOKUP('Customer Info'!A1017,'Customer Info'!A1017:E1516,5,FALSE),"Not Found")</f>
        <v>Not Found</v>
      </c>
      <c r="J1025" s="2">
        <v>1906</v>
      </c>
      <c r="K1025" s="2">
        <v>1798</v>
      </c>
      <c r="L1025" s="2">
        <v>7</v>
      </c>
      <c r="M1025" s="7">
        <f t="shared" si="75"/>
        <v>12586</v>
      </c>
      <c r="N1025" s="7">
        <f t="shared" si="76"/>
        <v>13342</v>
      </c>
      <c r="O1025" s="2">
        <v>32</v>
      </c>
      <c r="P1025" s="8">
        <f t="shared" si="77"/>
        <v>13374</v>
      </c>
      <c r="Q1025" s="8">
        <f t="shared" si="78"/>
        <v>11544</v>
      </c>
      <c r="R1025" s="2" t="s">
        <v>28</v>
      </c>
      <c r="S1025" s="9">
        <f t="shared" si="79"/>
        <v>668.7</v>
      </c>
    </row>
    <row r="1026" spans="1:19" x14ac:dyDescent="0.3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str">
        <f>IFERROR(VLOOKUP('Customer Info'!A1018,'Customer Info'!A1018:C1517,2,FALSE),"Not Found")</f>
        <v>Not Found</v>
      </c>
      <c r="H1026" s="6" t="str">
        <f>IFERROR(VLOOKUP('Customer Info'!A1018,'Customer Info'!A1018:C1517,3,FALSE),"Not Found")</f>
        <v>Not Found</v>
      </c>
      <c r="I1026" s="6" t="str">
        <f>IFERROR(VLOOKUP('Customer Info'!A1018,'Customer Info'!A1018:E1517,5,FALSE),"Not Found")</f>
        <v>Not Found</v>
      </c>
      <c r="J1026" s="2">
        <v>2829</v>
      </c>
      <c r="K1026" s="2">
        <v>2596</v>
      </c>
      <c r="L1026" s="2">
        <v>2</v>
      </c>
      <c r="M1026" s="7">
        <f t="shared" si="75"/>
        <v>5192</v>
      </c>
      <c r="N1026" s="7">
        <f t="shared" si="76"/>
        <v>5658</v>
      </c>
      <c r="O1026" s="2">
        <v>84</v>
      </c>
      <c r="P1026" s="8">
        <f t="shared" si="77"/>
        <v>5742</v>
      </c>
      <c r="Q1026" s="8">
        <f t="shared" si="78"/>
        <v>3062</v>
      </c>
      <c r="R1026" s="2" t="s">
        <v>50</v>
      </c>
      <c r="S1026" s="9">
        <f t="shared" si="79"/>
        <v>287.10000000000002</v>
      </c>
    </row>
    <row r="1027" spans="1:19" x14ac:dyDescent="0.3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str">
        <f>IFERROR(VLOOKUP('Customer Info'!A1019,'Customer Info'!A1019:C1518,2,FALSE),"Not Found")</f>
        <v>Not Found</v>
      </c>
      <c r="H1027" s="6" t="str">
        <f>IFERROR(VLOOKUP('Customer Info'!A1019,'Customer Info'!A1019:C1518,3,FALSE),"Not Found")</f>
        <v>Not Found</v>
      </c>
      <c r="I1027" s="6" t="str">
        <f>IFERROR(VLOOKUP('Customer Info'!A1019,'Customer Info'!A1019:E1518,5,FALSE),"Not Found")</f>
        <v>Not Found</v>
      </c>
      <c r="J1027" s="2">
        <v>136</v>
      </c>
      <c r="K1027" s="2">
        <v>130</v>
      </c>
      <c r="L1027" s="2">
        <v>1</v>
      </c>
      <c r="M1027" s="7">
        <f t="shared" si="75"/>
        <v>130</v>
      </c>
      <c r="N1027" s="7">
        <f t="shared" si="76"/>
        <v>136</v>
      </c>
      <c r="O1027" s="2">
        <v>30</v>
      </c>
      <c r="P1027" s="8">
        <f t="shared" si="77"/>
        <v>166</v>
      </c>
      <c r="Q1027" s="8">
        <f t="shared" si="78"/>
        <v>6</v>
      </c>
      <c r="R1027" s="2" t="s">
        <v>28</v>
      </c>
      <c r="S1027" s="9">
        <f t="shared" si="79"/>
        <v>3.3200000000000003</v>
      </c>
    </row>
    <row r="1028" spans="1:19" x14ac:dyDescent="0.3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str">
        <f>IFERROR(VLOOKUP('Customer Info'!A1020,'Customer Info'!A1020:C1519,2,FALSE),"Not Found")</f>
        <v>Not Found</v>
      </c>
      <c r="H1028" s="6" t="str">
        <f>IFERROR(VLOOKUP('Customer Info'!A1020,'Customer Info'!A1020:C1519,3,FALSE),"Not Found")</f>
        <v>Not Found</v>
      </c>
      <c r="I1028" s="6" t="str">
        <f>IFERROR(VLOOKUP('Customer Info'!A1020,'Customer Info'!A1020:E1519,5,FALSE),"Not Found")</f>
        <v>Not Found</v>
      </c>
      <c r="J1028" s="2">
        <v>177</v>
      </c>
      <c r="K1028" s="2">
        <v>169</v>
      </c>
      <c r="L1028" s="2">
        <v>8</v>
      </c>
      <c r="M1028" s="7">
        <f t="shared" si="75"/>
        <v>1352</v>
      </c>
      <c r="N1028" s="7">
        <f t="shared" si="76"/>
        <v>1416</v>
      </c>
      <c r="O1028" s="2">
        <v>30</v>
      </c>
      <c r="P1028" s="8">
        <f t="shared" si="77"/>
        <v>1446</v>
      </c>
      <c r="Q1028" s="8">
        <f t="shared" si="78"/>
        <v>1247</v>
      </c>
      <c r="R1028" s="2" t="s">
        <v>28</v>
      </c>
      <c r="S1028" s="9">
        <f t="shared" si="79"/>
        <v>28.92</v>
      </c>
    </row>
    <row r="1029" spans="1:19" x14ac:dyDescent="0.3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str">
        <f>IFERROR(VLOOKUP('Customer Info'!A1021,'Customer Info'!A1021:C1520,2,FALSE),"Not Found")</f>
        <v>Not Found</v>
      </c>
      <c r="H1029" s="6" t="str">
        <f>IFERROR(VLOOKUP('Customer Info'!A1021,'Customer Info'!A1021:C1520,3,FALSE),"Not Found")</f>
        <v>Not Found</v>
      </c>
      <c r="I1029" s="6" t="str">
        <f>IFERROR(VLOOKUP('Customer Info'!A1021,'Customer Info'!A1021:E1520,5,FALSE),"Not Found")</f>
        <v>Not Found</v>
      </c>
      <c r="J1029" s="2">
        <v>2083</v>
      </c>
      <c r="K1029" s="2">
        <v>2004</v>
      </c>
      <c r="L1029" s="2">
        <v>4</v>
      </c>
      <c r="M1029" s="7">
        <f t="shared" si="75"/>
        <v>8016</v>
      </c>
      <c r="N1029" s="7">
        <f t="shared" si="76"/>
        <v>8332</v>
      </c>
      <c r="O1029" s="2">
        <v>28</v>
      </c>
      <c r="P1029" s="8">
        <f t="shared" si="77"/>
        <v>8360</v>
      </c>
      <c r="Q1029" s="8">
        <f t="shared" si="78"/>
        <v>6328</v>
      </c>
      <c r="R1029" s="2" t="s">
        <v>28</v>
      </c>
      <c r="S1029" s="9">
        <f t="shared" si="79"/>
        <v>418</v>
      </c>
    </row>
    <row r="1030" spans="1:19" x14ac:dyDescent="0.3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str">
        <f>IFERROR(VLOOKUP('Customer Info'!A1022,'Customer Info'!A1022:C1521,2,FALSE),"Not Found")</f>
        <v>Not Found</v>
      </c>
      <c r="H1030" s="6" t="str">
        <f>IFERROR(VLOOKUP('Customer Info'!A1022,'Customer Info'!A1022:C1521,3,FALSE),"Not Found")</f>
        <v>Not Found</v>
      </c>
      <c r="I1030" s="6" t="str">
        <f>IFERROR(VLOOKUP('Customer Info'!A1022,'Customer Info'!A1022:E1521,5,FALSE),"Not Found")</f>
        <v>Not Found</v>
      </c>
      <c r="J1030" s="2">
        <v>3341</v>
      </c>
      <c r="K1030" s="2">
        <v>3152</v>
      </c>
      <c r="L1030" s="2">
        <v>2</v>
      </c>
      <c r="M1030" s="7">
        <f t="shared" si="75"/>
        <v>6304</v>
      </c>
      <c r="N1030" s="7">
        <f t="shared" si="76"/>
        <v>6682</v>
      </c>
      <c r="O1030" s="2">
        <v>42</v>
      </c>
      <c r="P1030" s="8">
        <f t="shared" si="77"/>
        <v>6724</v>
      </c>
      <c r="Q1030" s="8">
        <f t="shared" si="78"/>
        <v>3530</v>
      </c>
      <c r="R1030" s="2" t="s">
        <v>28</v>
      </c>
      <c r="S1030" s="9">
        <f t="shared" si="79"/>
        <v>336.20000000000005</v>
      </c>
    </row>
    <row r="1031" spans="1:19" x14ac:dyDescent="0.3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str">
        <f>IFERROR(VLOOKUP('Customer Info'!A1023,'Customer Info'!A1023:C1522,2,FALSE),"Not Found")</f>
        <v>Not Found</v>
      </c>
      <c r="H1031" s="6" t="str">
        <f>IFERROR(VLOOKUP('Customer Info'!A1023,'Customer Info'!A1023:C1522,3,FALSE),"Not Found")</f>
        <v>Not Found</v>
      </c>
      <c r="I1031" s="6" t="str">
        <f>IFERROR(VLOOKUP('Customer Info'!A1023,'Customer Info'!A1023:E1522,5,FALSE),"Not Found")</f>
        <v>Not Found</v>
      </c>
      <c r="J1031" s="2">
        <v>2644</v>
      </c>
      <c r="K1031" s="2">
        <v>2425</v>
      </c>
      <c r="L1031" s="2">
        <v>3</v>
      </c>
      <c r="M1031" s="7">
        <f t="shared" si="75"/>
        <v>7275</v>
      </c>
      <c r="N1031" s="7">
        <f t="shared" si="76"/>
        <v>7932</v>
      </c>
      <c r="O1031" s="2">
        <v>98</v>
      </c>
      <c r="P1031" s="8">
        <f t="shared" si="77"/>
        <v>8030</v>
      </c>
      <c r="Q1031" s="8">
        <f t="shared" si="78"/>
        <v>5507</v>
      </c>
      <c r="R1031" s="2" t="s">
        <v>56</v>
      </c>
      <c r="S1031" s="9">
        <f t="shared" si="79"/>
        <v>401.5</v>
      </c>
    </row>
    <row r="1032" spans="1:19" x14ac:dyDescent="0.3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str">
        <f>IFERROR(VLOOKUP('Customer Info'!A1024,'Customer Info'!A1024:C1523,2,FALSE),"Not Found")</f>
        <v>Not Found</v>
      </c>
      <c r="H1032" s="6" t="str">
        <f>IFERROR(VLOOKUP('Customer Info'!A1024,'Customer Info'!A1024:C1523,3,FALSE),"Not Found")</f>
        <v>Not Found</v>
      </c>
      <c r="I1032" s="6" t="str">
        <f>IFERROR(VLOOKUP('Customer Info'!A1024,'Customer Info'!A1024:E1523,5,FALSE),"Not Found")</f>
        <v>Not Found</v>
      </c>
      <c r="J1032" s="2">
        <v>220</v>
      </c>
      <c r="K1032" s="2">
        <v>206</v>
      </c>
      <c r="L1032" s="2">
        <v>7</v>
      </c>
      <c r="M1032" s="7">
        <f t="shared" si="75"/>
        <v>1442</v>
      </c>
      <c r="N1032" s="7">
        <f t="shared" si="76"/>
        <v>1540</v>
      </c>
      <c r="O1032" s="2">
        <v>34</v>
      </c>
      <c r="P1032" s="8">
        <f t="shared" si="77"/>
        <v>1574</v>
      </c>
      <c r="Q1032" s="8">
        <f t="shared" si="78"/>
        <v>1334</v>
      </c>
      <c r="R1032" s="2" t="s">
        <v>50</v>
      </c>
      <c r="S1032" s="9">
        <f t="shared" si="79"/>
        <v>31.48</v>
      </c>
    </row>
    <row r="1033" spans="1:19" x14ac:dyDescent="0.3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str">
        <f>IFERROR(VLOOKUP('Customer Info'!A1025,'Customer Info'!A1025:C1524,2,FALSE),"Not Found")</f>
        <v>Not Found</v>
      </c>
      <c r="H1033" s="6" t="str">
        <f>IFERROR(VLOOKUP('Customer Info'!A1025,'Customer Info'!A1025:C1524,3,FALSE),"Not Found")</f>
        <v>Not Found</v>
      </c>
      <c r="I1033" s="6" t="str">
        <f>IFERROR(VLOOKUP('Customer Info'!A1025,'Customer Info'!A1025:E1524,5,FALSE),"Not Found")</f>
        <v>Not Found</v>
      </c>
      <c r="J1033" s="2">
        <v>8202</v>
      </c>
      <c r="K1033" s="2">
        <v>7594</v>
      </c>
      <c r="L1033" s="2">
        <v>3</v>
      </c>
      <c r="M1033" s="7">
        <f t="shared" si="75"/>
        <v>22782</v>
      </c>
      <c r="N1033" s="7">
        <f t="shared" si="76"/>
        <v>24606</v>
      </c>
      <c r="O1033" s="2">
        <v>97</v>
      </c>
      <c r="P1033" s="8">
        <f t="shared" si="77"/>
        <v>24703</v>
      </c>
      <c r="Q1033" s="8">
        <f t="shared" si="78"/>
        <v>17012</v>
      </c>
      <c r="R1033" s="2" t="s">
        <v>28</v>
      </c>
      <c r="S1033" s="9">
        <f t="shared" si="79"/>
        <v>1235.1500000000001</v>
      </c>
    </row>
    <row r="1034" spans="1:19" x14ac:dyDescent="0.3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str">
        <f>IFERROR(VLOOKUP('Customer Info'!A1026,'Customer Info'!A1026:C1525,2,FALSE),"Not Found")</f>
        <v>Not Found</v>
      </c>
      <c r="H1034" s="6" t="str">
        <f>IFERROR(VLOOKUP('Customer Info'!A1026,'Customer Info'!A1026:C1525,3,FALSE),"Not Found")</f>
        <v>Not Found</v>
      </c>
      <c r="I1034" s="6" t="str">
        <f>IFERROR(VLOOKUP('Customer Info'!A1026,'Customer Info'!A1026:E1525,5,FALSE),"Not Found")</f>
        <v>Not Found</v>
      </c>
      <c r="J1034" s="2">
        <v>1808</v>
      </c>
      <c r="K1034" s="2">
        <v>1740</v>
      </c>
      <c r="L1034" s="2">
        <v>2</v>
      </c>
      <c r="M1034" s="7">
        <f t="shared" si="75"/>
        <v>3480</v>
      </c>
      <c r="N1034" s="7">
        <f t="shared" si="76"/>
        <v>3616</v>
      </c>
      <c r="O1034" s="2">
        <v>88</v>
      </c>
      <c r="P1034" s="8">
        <f t="shared" si="77"/>
        <v>3704</v>
      </c>
      <c r="Q1034" s="8">
        <f t="shared" si="78"/>
        <v>1876</v>
      </c>
      <c r="R1034" s="2" t="s">
        <v>28</v>
      </c>
      <c r="S1034" s="9">
        <f t="shared" si="79"/>
        <v>74.08</v>
      </c>
    </row>
    <row r="1035" spans="1:19" x14ac:dyDescent="0.3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str">
        <f>IFERROR(VLOOKUP('Customer Info'!A1027,'Customer Info'!A1027:C1526,2,FALSE),"Not Found")</f>
        <v>Not Found</v>
      </c>
      <c r="H1035" s="6" t="str">
        <f>IFERROR(VLOOKUP('Customer Info'!A1027,'Customer Info'!A1027:C1526,3,FALSE),"Not Found")</f>
        <v>Not Found</v>
      </c>
      <c r="I1035" s="6" t="str">
        <f>IFERROR(VLOOKUP('Customer Info'!A1027,'Customer Info'!A1027:E1526,5,FALSE),"Not Found")</f>
        <v>Not Found</v>
      </c>
      <c r="J1035" s="2">
        <v>6520</v>
      </c>
      <c r="K1035" s="2">
        <v>5985</v>
      </c>
      <c r="L1035" s="2">
        <v>3</v>
      </c>
      <c r="M1035" s="7">
        <f t="shared" ref="M1035:M1098" si="80">$K1035*$L1035</f>
        <v>17955</v>
      </c>
      <c r="N1035" s="7">
        <f t="shared" ref="N1035:N1098" si="81">$J1035*$L1035</f>
        <v>19560</v>
      </c>
      <c r="O1035" s="2">
        <v>27</v>
      </c>
      <c r="P1035" s="8">
        <f t="shared" ref="P1035:P1098" si="82">$N1035+$O1035</f>
        <v>19587</v>
      </c>
      <c r="Q1035" s="8">
        <f t="shared" ref="Q1035:Q1098" si="83">$N1035-$K1035</f>
        <v>13575</v>
      </c>
      <c r="R1035" s="2" t="s">
        <v>56</v>
      </c>
      <c r="S1035" s="9">
        <f t="shared" ref="S1035:S1098" si="84" xml:space="preserve"> P1035 * VLOOKUP(P1035, $T$2:$U$6, 2, TRUE)</f>
        <v>979.35</v>
      </c>
    </row>
    <row r="1036" spans="1:19" x14ac:dyDescent="0.3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str">
        <f>IFERROR(VLOOKUP('Customer Info'!A1028,'Customer Info'!A1028:C1527,2,FALSE),"Not Found")</f>
        <v>Not Found</v>
      </c>
      <c r="H1036" s="6" t="str">
        <f>IFERROR(VLOOKUP('Customer Info'!A1028,'Customer Info'!A1028:C1527,3,FALSE),"Not Found")</f>
        <v>Not Found</v>
      </c>
      <c r="I1036" s="6" t="str">
        <f>IFERROR(VLOOKUP('Customer Info'!A1028,'Customer Info'!A1028:E1527,5,FALSE),"Not Found")</f>
        <v>Not Found</v>
      </c>
      <c r="J1036" s="2">
        <v>218</v>
      </c>
      <c r="K1036" s="2">
        <v>200</v>
      </c>
      <c r="L1036" s="2">
        <v>1</v>
      </c>
      <c r="M1036" s="7">
        <f t="shared" si="80"/>
        <v>200</v>
      </c>
      <c r="N1036" s="7">
        <f t="shared" si="81"/>
        <v>218</v>
      </c>
      <c r="O1036" s="2">
        <v>45</v>
      </c>
      <c r="P1036" s="8">
        <f t="shared" si="82"/>
        <v>263</v>
      </c>
      <c r="Q1036" s="8">
        <f t="shared" si="83"/>
        <v>18</v>
      </c>
      <c r="R1036" s="2" t="s">
        <v>50</v>
      </c>
      <c r="S1036" s="9">
        <f t="shared" si="84"/>
        <v>5.26</v>
      </c>
    </row>
    <row r="1037" spans="1:19" x14ac:dyDescent="0.3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str">
        <f>IFERROR(VLOOKUP('Customer Info'!A1029,'Customer Info'!A1029:C1528,2,FALSE),"Not Found")</f>
        <v>Not Found</v>
      </c>
      <c r="H1037" s="6" t="str">
        <f>IFERROR(VLOOKUP('Customer Info'!A1029,'Customer Info'!A1029:C1528,3,FALSE),"Not Found")</f>
        <v>Not Found</v>
      </c>
      <c r="I1037" s="6" t="str">
        <f>IFERROR(VLOOKUP('Customer Info'!A1029,'Customer Info'!A1029:E1528,5,FALSE),"Not Found")</f>
        <v>Not Found</v>
      </c>
      <c r="J1037" s="2">
        <v>2843</v>
      </c>
      <c r="K1037" s="2">
        <v>2735</v>
      </c>
      <c r="L1037" s="2">
        <v>3</v>
      </c>
      <c r="M1037" s="7">
        <f t="shared" si="80"/>
        <v>8205</v>
      </c>
      <c r="N1037" s="7">
        <f t="shared" si="81"/>
        <v>8529</v>
      </c>
      <c r="O1037" s="2">
        <v>74</v>
      </c>
      <c r="P1037" s="8">
        <f t="shared" si="82"/>
        <v>8603</v>
      </c>
      <c r="Q1037" s="8">
        <f t="shared" si="83"/>
        <v>5794</v>
      </c>
      <c r="R1037" s="2" t="s">
        <v>28</v>
      </c>
      <c r="S1037" s="9">
        <f t="shared" si="84"/>
        <v>430.15000000000003</v>
      </c>
    </row>
    <row r="1038" spans="1:19" x14ac:dyDescent="0.3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str">
        <f>IFERROR(VLOOKUP('Customer Info'!A1030,'Customer Info'!A1030:C1529,2,FALSE),"Not Found")</f>
        <v>Not Found</v>
      </c>
      <c r="H1038" s="6" t="str">
        <f>IFERROR(VLOOKUP('Customer Info'!A1030,'Customer Info'!A1030:C1529,3,FALSE),"Not Found")</f>
        <v>Not Found</v>
      </c>
      <c r="I1038" s="6" t="str">
        <f>IFERROR(VLOOKUP('Customer Info'!A1030,'Customer Info'!A1030:E1529,5,FALSE),"Not Found")</f>
        <v>Not Found</v>
      </c>
      <c r="J1038" s="2">
        <v>6585</v>
      </c>
      <c r="K1038" s="2">
        <v>6105</v>
      </c>
      <c r="L1038" s="2">
        <v>3</v>
      </c>
      <c r="M1038" s="7">
        <f t="shared" si="80"/>
        <v>18315</v>
      </c>
      <c r="N1038" s="7">
        <f t="shared" si="81"/>
        <v>19755</v>
      </c>
      <c r="O1038" s="2">
        <v>75</v>
      </c>
      <c r="P1038" s="8">
        <f t="shared" si="82"/>
        <v>19830</v>
      </c>
      <c r="Q1038" s="8">
        <f t="shared" si="83"/>
        <v>13650</v>
      </c>
      <c r="R1038" s="2" t="s">
        <v>28</v>
      </c>
      <c r="S1038" s="9">
        <f t="shared" si="84"/>
        <v>991.5</v>
      </c>
    </row>
    <row r="1039" spans="1:19" x14ac:dyDescent="0.3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str">
        <f>IFERROR(VLOOKUP('Customer Info'!A1031,'Customer Info'!A1031:C1530,2,FALSE),"Not Found")</f>
        <v>Not Found</v>
      </c>
      <c r="H1039" s="6" t="str">
        <f>IFERROR(VLOOKUP('Customer Info'!A1031,'Customer Info'!A1031:C1530,3,FALSE),"Not Found")</f>
        <v>Not Found</v>
      </c>
      <c r="I1039" s="6" t="str">
        <f>IFERROR(VLOOKUP('Customer Info'!A1031,'Customer Info'!A1031:E1530,5,FALSE),"Not Found")</f>
        <v>Not Found</v>
      </c>
      <c r="J1039" s="2">
        <v>2654</v>
      </c>
      <c r="K1039" s="2">
        <v>2410</v>
      </c>
      <c r="L1039" s="2">
        <v>1</v>
      </c>
      <c r="M1039" s="7">
        <f t="shared" si="80"/>
        <v>2410</v>
      </c>
      <c r="N1039" s="7">
        <f t="shared" si="81"/>
        <v>2654</v>
      </c>
      <c r="O1039" s="2">
        <v>37</v>
      </c>
      <c r="P1039" s="8">
        <f t="shared" si="82"/>
        <v>2691</v>
      </c>
      <c r="Q1039" s="8">
        <f t="shared" si="83"/>
        <v>244</v>
      </c>
      <c r="R1039" s="2" t="s">
        <v>28</v>
      </c>
      <c r="S1039" s="9">
        <f t="shared" si="84"/>
        <v>53.82</v>
      </c>
    </row>
    <row r="1040" spans="1:19" x14ac:dyDescent="0.3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str">
        <f>IFERROR(VLOOKUP('Customer Info'!A1032,'Customer Info'!A1032:C1531,2,FALSE),"Not Found")</f>
        <v>Not Found</v>
      </c>
      <c r="H1040" s="6" t="str">
        <f>IFERROR(VLOOKUP('Customer Info'!A1032,'Customer Info'!A1032:C1531,3,FALSE),"Not Found")</f>
        <v>Not Found</v>
      </c>
      <c r="I1040" s="6" t="str">
        <f>IFERROR(VLOOKUP('Customer Info'!A1032,'Customer Info'!A1032:E1531,5,FALSE),"Not Found")</f>
        <v>Not Found</v>
      </c>
      <c r="J1040" s="2">
        <v>900</v>
      </c>
      <c r="K1040" s="2">
        <v>834</v>
      </c>
      <c r="L1040" s="2">
        <v>2</v>
      </c>
      <c r="M1040" s="7">
        <f t="shared" si="80"/>
        <v>1668</v>
      </c>
      <c r="N1040" s="7">
        <f t="shared" si="81"/>
        <v>1800</v>
      </c>
      <c r="O1040" s="2">
        <v>20</v>
      </c>
      <c r="P1040" s="8">
        <f t="shared" si="82"/>
        <v>1820</v>
      </c>
      <c r="Q1040" s="8">
        <f t="shared" si="83"/>
        <v>966</v>
      </c>
      <c r="R1040" s="2" t="s">
        <v>28</v>
      </c>
      <c r="S1040" s="9">
        <f t="shared" si="84"/>
        <v>36.4</v>
      </c>
    </row>
    <row r="1041" spans="1:19" x14ac:dyDescent="0.3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str">
        <f>IFERROR(VLOOKUP('Customer Info'!A1033,'Customer Info'!A1033:C1532,2,FALSE),"Not Found")</f>
        <v>Not Found</v>
      </c>
      <c r="H1041" s="6" t="str">
        <f>IFERROR(VLOOKUP('Customer Info'!A1033,'Customer Info'!A1033:C1532,3,FALSE),"Not Found")</f>
        <v>Not Found</v>
      </c>
      <c r="I1041" s="6" t="str">
        <f>IFERROR(VLOOKUP('Customer Info'!A1033,'Customer Info'!A1033:E1532,5,FALSE),"Not Found")</f>
        <v>Not Found</v>
      </c>
      <c r="J1041" s="2">
        <v>123</v>
      </c>
      <c r="K1041" s="2">
        <v>115</v>
      </c>
      <c r="L1041" s="2">
        <v>4</v>
      </c>
      <c r="M1041" s="7">
        <f t="shared" si="80"/>
        <v>460</v>
      </c>
      <c r="N1041" s="7">
        <f t="shared" si="81"/>
        <v>492</v>
      </c>
      <c r="O1041" s="2">
        <v>30</v>
      </c>
      <c r="P1041" s="8">
        <f t="shared" si="82"/>
        <v>522</v>
      </c>
      <c r="Q1041" s="8">
        <f t="shared" si="83"/>
        <v>377</v>
      </c>
      <c r="R1041" s="2" t="s">
        <v>28</v>
      </c>
      <c r="S1041" s="9">
        <f t="shared" si="84"/>
        <v>10.44</v>
      </c>
    </row>
    <row r="1042" spans="1:19" x14ac:dyDescent="0.3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str">
        <f>IFERROR(VLOOKUP('Customer Info'!A1034,'Customer Info'!A1034:C1533,2,FALSE),"Not Found")</f>
        <v>Not Found</v>
      </c>
      <c r="H1042" s="6" t="str">
        <f>IFERROR(VLOOKUP('Customer Info'!A1034,'Customer Info'!A1034:C1533,3,FALSE),"Not Found")</f>
        <v>Not Found</v>
      </c>
      <c r="I1042" s="6" t="str">
        <f>IFERROR(VLOOKUP('Customer Info'!A1034,'Customer Info'!A1034:E1533,5,FALSE),"Not Found")</f>
        <v>Not Found</v>
      </c>
      <c r="J1042" s="2">
        <v>4704</v>
      </c>
      <c r="K1042" s="2">
        <v>4361</v>
      </c>
      <c r="L1042" s="2">
        <v>3</v>
      </c>
      <c r="M1042" s="7">
        <f t="shared" si="80"/>
        <v>13083</v>
      </c>
      <c r="N1042" s="7">
        <f t="shared" si="81"/>
        <v>14112</v>
      </c>
      <c r="O1042" s="2">
        <v>60</v>
      </c>
      <c r="P1042" s="8">
        <f t="shared" si="82"/>
        <v>14172</v>
      </c>
      <c r="Q1042" s="8">
        <f t="shared" si="83"/>
        <v>9751</v>
      </c>
      <c r="R1042" s="2" t="s">
        <v>50</v>
      </c>
      <c r="S1042" s="9">
        <f t="shared" si="84"/>
        <v>708.6</v>
      </c>
    </row>
    <row r="1043" spans="1:19" x14ac:dyDescent="0.3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str">
        <f>IFERROR(VLOOKUP('Customer Info'!A1035,'Customer Info'!A1035:C1534,2,FALSE),"Not Found")</f>
        <v>Not Found</v>
      </c>
      <c r="H1043" s="6" t="str">
        <f>IFERROR(VLOOKUP('Customer Info'!A1035,'Customer Info'!A1035:C1534,3,FALSE),"Not Found")</f>
        <v>Not Found</v>
      </c>
      <c r="I1043" s="6" t="str">
        <f>IFERROR(VLOOKUP('Customer Info'!A1035,'Customer Info'!A1035:E1534,5,FALSE),"Not Found")</f>
        <v>Not Found</v>
      </c>
      <c r="J1043" s="2">
        <v>1498</v>
      </c>
      <c r="K1043" s="2">
        <v>1335</v>
      </c>
      <c r="L1043" s="2">
        <v>8</v>
      </c>
      <c r="M1043" s="7">
        <f t="shared" si="80"/>
        <v>10680</v>
      </c>
      <c r="N1043" s="7">
        <f t="shared" si="81"/>
        <v>11984</v>
      </c>
      <c r="O1043" s="2">
        <v>81</v>
      </c>
      <c r="P1043" s="8">
        <f t="shared" si="82"/>
        <v>12065</v>
      </c>
      <c r="Q1043" s="8">
        <f t="shared" si="83"/>
        <v>10649</v>
      </c>
      <c r="R1043" s="2" t="s">
        <v>28</v>
      </c>
      <c r="S1043" s="9">
        <f t="shared" si="84"/>
        <v>603.25</v>
      </c>
    </row>
    <row r="1044" spans="1:19" x14ac:dyDescent="0.3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str">
        <f>IFERROR(VLOOKUP('Customer Info'!A1036,'Customer Info'!A1036:C1535,2,FALSE),"Not Found")</f>
        <v>Not Found</v>
      </c>
      <c r="H1044" s="6" t="str">
        <f>IFERROR(VLOOKUP('Customer Info'!A1036,'Customer Info'!A1036:C1535,3,FALSE),"Not Found")</f>
        <v>Not Found</v>
      </c>
      <c r="I1044" s="6" t="str">
        <f>IFERROR(VLOOKUP('Customer Info'!A1036,'Customer Info'!A1036:E1535,5,FALSE),"Not Found")</f>
        <v>Not Found</v>
      </c>
      <c r="J1044" s="2">
        <v>2857</v>
      </c>
      <c r="K1044" s="2">
        <v>2622</v>
      </c>
      <c r="L1044" s="2">
        <v>4</v>
      </c>
      <c r="M1044" s="7">
        <f t="shared" si="80"/>
        <v>10488</v>
      </c>
      <c r="N1044" s="7">
        <f t="shared" si="81"/>
        <v>11428</v>
      </c>
      <c r="O1044" s="2">
        <v>57</v>
      </c>
      <c r="P1044" s="8">
        <f t="shared" si="82"/>
        <v>11485</v>
      </c>
      <c r="Q1044" s="8">
        <f t="shared" si="83"/>
        <v>8806</v>
      </c>
      <c r="R1044" s="2" t="s">
        <v>50</v>
      </c>
      <c r="S1044" s="9">
        <f t="shared" si="84"/>
        <v>574.25</v>
      </c>
    </row>
    <row r="1045" spans="1:19" x14ac:dyDescent="0.3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str">
        <f>IFERROR(VLOOKUP('Customer Info'!A1037,'Customer Info'!A1037:C1536,2,FALSE),"Not Found")</f>
        <v>Not Found</v>
      </c>
      <c r="H1045" s="6" t="str">
        <f>IFERROR(VLOOKUP('Customer Info'!A1037,'Customer Info'!A1037:C1536,3,FALSE),"Not Found")</f>
        <v>Not Found</v>
      </c>
      <c r="I1045" s="6" t="str">
        <f>IFERROR(VLOOKUP('Customer Info'!A1037,'Customer Info'!A1037:E1536,5,FALSE),"Not Found")</f>
        <v>Not Found</v>
      </c>
      <c r="J1045" s="2">
        <v>8433</v>
      </c>
      <c r="K1045" s="2">
        <v>7801</v>
      </c>
      <c r="L1045" s="2">
        <v>6</v>
      </c>
      <c r="M1045" s="7">
        <f t="shared" si="80"/>
        <v>46806</v>
      </c>
      <c r="N1045" s="7">
        <f t="shared" si="81"/>
        <v>50598</v>
      </c>
      <c r="O1045" s="2">
        <v>23</v>
      </c>
      <c r="P1045" s="8">
        <f t="shared" si="82"/>
        <v>50621</v>
      </c>
      <c r="Q1045" s="8">
        <f t="shared" si="83"/>
        <v>42797</v>
      </c>
      <c r="R1045" s="2" t="s">
        <v>28</v>
      </c>
      <c r="S1045" s="9">
        <f t="shared" si="84"/>
        <v>4555.8899999999994</v>
      </c>
    </row>
    <row r="1046" spans="1:19" x14ac:dyDescent="0.3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str">
        <f>IFERROR(VLOOKUP('Customer Info'!A1038,'Customer Info'!A1038:C1537,2,FALSE),"Not Found")</f>
        <v>Not Found</v>
      </c>
      <c r="H1046" s="6" t="str">
        <f>IFERROR(VLOOKUP('Customer Info'!A1038,'Customer Info'!A1038:C1537,3,FALSE),"Not Found")</f>
        <v>Not Found</v>
      </c>
      <c r="I1046" s="6" t="str">
        <f>IFERROR(VLOOKUP('Customer Info'!A1038,'Customer Info'!A1038:E1537,5,FALSE),"Not Found")</f>
        <v>Not Found</v>
      </c>
      <c r="J1046" s="2">
        <v>151</v>
      </c>
      <c r="K1046" s="2">
        <v>139</v>
      </c>
      <c r="L1046" s="2">
        <v>9</v>
      </c>
      <c r="M1046" s="7">
        <f t="shared" si="80"/>
        <v>1251</v>
      </c>
      <c r="N1046" s="7">
        <f t="shared" si="81"/>
        <v>1359</v>
      </c>
      <c r="O1046" s="2">
        <v>30</v>
      </c>
      <c r="P1046" s="8">
        <f t="shared" si="82"/>
        <v>1389</v>
      </c>
      <c r="Q1046" s="8">
        <f t="shared" si="83"/>
        <v>1220</v>
      </c>
      <c r="R1046" s="2" t="s">
        <v>28</v>
      </c>
      <c r="S1046" s="9">
        <f t="shared" si="84"/>
        <v>27.78</v>
      </c>
    </row>
    <row r="1047" spans="1:19" x14ac:dyDescent="0.3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str">
        <f>IFERROR(VLOOKUP('Customer Info'!A1039,'Customer Info'!A1039:C1538,2,FALSE),"Not Found")</f>
        <v>Not Found</v>
      </c>
      <c r="H1047" s="6" t="str">
        <f>IFERROR(VLOOKUP('Customer Info'!A1039,'Customer Info'!A1039:C1538,3,FALSE),"Not Found")</f>
        <v>Not Found</v>
      </c>
      <c r="I1047" s="6" t="str">
        <f>IFERROR(VLOOKUP('Customer Info'!A1039,'Customer Info'!A1039:E1538,5,FALSE),"Not Found")</f>
        <v>Not Found</v>
      </c>
      <c r="J1047" s="2">
        <v>1321</v>
      </c>
      <c r="K1047" s="2">
        <v>1211</v>
      </c>
      <c r="L1047" s="2">
        <v>7</v>
      </c>
      <c r="M1047" s="7">
        <f t="shared" si="80"/>
        <v>8477</v>
      </c>
      <c r="N1047" s="7">
        <f t="shared" si="81"/>
        <v>9247</v>
      </c>
      <c r="O1047" s="2">
        <v>32</v>
      </c>
      <c r="P1047" s="8">
        <f t="shared" si="82"/>
        <v>9279</v>
      </c>
      <c r="Q1047" s="8">
        <f t="shared" si="83"/>
        <v>8036</v>
      </c>
      <c r="R1047" s="2" t="s">
        <v>28</v>
      </c>
      <c r="S1047" s="9">
        <f t="shared" si="84"/>
        <v>463.95000000000005</v>
      </c>
    </row>
    <row r="1048" spans="1:19" x14ac:dyDescent="0.3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str">
        <f>IFERROR(VLOOKUP('Customer Info'!A1040,'Customer Info'!A1040:C1539,2,FALSE),"Not Found")</f>
        <v>Not Found</v>
      </c>
      <c r="H1048" s="6" t="str">
        <f>IFERROR(VLOOKUP('Customer Info'!A1040,'Customer Info'!A1040:C1539,3,FALSE),"Not Found")</f>
        <v>Not Found</v>
      </c>
      <c r="I1048" s="6" t="str">
        <f>IFERROR(VLOOKUP('Customer Info'!A1040,'Customer Info'!A1040:E1539,5,FALSE),"Not Found")</f>
        <v>Not Found</v>
      </c>
      <c r="J1048" s="2">
        <v>183</v>
      </c>
      <c r="K1048" s="2">
        <v>168</v>
      </c>
      <c r="L1048" s="2">
        <v>3</v>
      </c>
      <c r="M1048" s="7">
        <f t="shared" si="80"/>
        <v>504</v>
      </c>
      <c r="N1048" s="7">
        <f t="shared" si="81"/>
        <v>549</v>
      </c>
      <c r="O1048" s="2">
        <v>30</v>
      </c>
      <c r="P1048" s="8">
        <f t="shared" si="82"/>
        <v>579</v>
      </c>
      <c r="Q1048" s="8">
        <f t="shared" si="83"/>
        <v>381</v>
      </c>
      <c r="R1048" s="2" t="s">
        <v>28</v>
      </c>
      <c r="S1048" s="9">
        <f t="shared" si="84"/>
        <v>11.58</v>
      </c>
    </row>
    <row r="1049" spans="1:19" x14ac:dyDescent="0.3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str">
        <f>IFERROR(VLOOKUP('Customer Info'!A1041,'Customer Info'!A1041:C1540,2,FALSE),"Not Found")</f>
        <v>Not Found</v>
      </c>
      <c r="H1049" s="6" t="str">
        <f>IFERROR(VLOOKUP('Customer Info'!A1041,'Customer Info'!A1041:C1540,3,FALSE),"Not Found")</f>
        <v>Not Found</v>
      </c>
      <c r="I1049" s="6" t="str">
        <f>IFERROR(VLOOKUP('Customer Info'!A1041,'Customer Info'!A1041:E1540,5,FALSE),"Not Found")</f>
        <v>Not Found</v>
      </c>
      <c r="J1049" s="2">
        <v>2453</v>
      </c>
      <c r="K1049" s="2">
        <v>2336</v>
      </c>
      <c r="L1049" s="2">
        <v>4</v>
      </c>
      <c r="M1049" s="7">
        <f t="shared" si="80"/>
        <v>9344</v>
      </c>
      <c r="N1049" s="7">
        <f t="shared" si="81"/>
        <v>9812</v>
      </c>
      <c r="O1049" s="2">
        <v>86</v>
      </c>
      <c r="P1049" s="8">
        <f t="shared" si="82"/>
        <v>9898</v>
      </c>
      <c r="Q1049" s="8">
        <f t="shared" si="83"/>
        <v>7476</v>
      </c>
      <c r="R1049" s="2" t="s">
        <v>28</v>
      </c>
      <c r="S1049" s="9">
        <f t="shared" si="84"/>
        <v>494.90000000000003</v>
      </c>
    </row>
    <row r="1050" spans="1:19" x14ac:dyDescent="0.3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str">
        <f>IFERROR(VLOOKUP('Customer Info'!A1042,'Customer Info'!A1042:C1541,2,FALSE),"Not Found")</f>
        <v>Not Found</v>
      </c>
      <c r="H1050" s="6" t="str">
        <f>IFERROR(VLOOKUP('Customer Info'!A1042,'Customer Info'!A1042:C1541,3,FALSE),"Not Found")</f>
        <v>Not Found</v>
      </c>
      <c r="I1050" s="6" t="str">
        <f>IFERROR(VLOOKUP('Customer Info'!A1042,'Customer Info'!A1042:E1541,5,FALSE),"Not Found")</f>
        <v>Not Found</v>
      </c>
      <c r="J1050" s="2">
        <v>3354</v>
      </c>
      <c r="K1050" s="2">
        <v>3102</v>
      </c>
      <c r="L1050" s="2">
        <v>2</v>
      </c>
      <c r="M1050" s="7">
        <f t="shared" si="80"/>
        <v>6204</v>
      </c>
      <c r="N1050" s="7">
        <f t="shared" si="81"/>
        <v>6708</v>
      </c>
      <c r="O1050" s="2">
        <v>83</v>
      </c>
      <c r="P1050" s="8">
        <f t="shared" si="82"/>
        <v>6791</v>
      </c>
      <c r="Q1050" s="8">
        <f t="shared" si="83"/>
        <v>3606</v>
      </c>
      <c r="R1050" s="2" t="s">
        <v>28</v>
      </c>
      <c r="S1050" s="9">
        <f t="shared" si="84"/>
        <v>339.55</v>
      </c>
    </row>
    <row r="1051" spans="1:19" x14ac:dyDescent="0.3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str">
        <f>IFERROR(VLOOKUP('Customer Info'!A1043,'Customer Info'!A1043:C1542,2,FALSE),"Not Found")</f>
        <v>Not Found</v>
      </c>
      <c r="H1051" s="6" t="str">
        <f>IFERROR(VLOOKUP('Customer Info'!A1043,'Customer Info'!A1043:C1542,3,FALSE),"Not Found")</f>
        <v>Not Found</v>
      </c>
      <c r="I1051" s="6" t="str">
        <f>IFERROR(VLOOKUP('Customer Info'!A1043,'Customer Info'!A1043:E1542,5,FALSE),"Not Found")</f>
        <v>Not Found</v>
      </c>
      <c r="J1051" s="2">
        <v>1605</v>
      </c>
      <c r="K1051" s="2">
        <v>1487</v>
      </c>
      <c r="L1051" s="2">
        <v>3</v>
      </c>
      <c r="M1051" s="7">
        <f t="shared" si="80"/>
        <v>4461</v>
      </c>
      <c r="N1051" s="7">
        <f t="shared" si="81"/>
        <v>4815</v>
      </c>
      <c r="O1051" s="2">
        <v>76</v>
      </c>
      <c r="P1051" s="8">
        <f t="shared" si="82"/>
        <v>4891</v>
      </c>
      <c r="Q1051" s="8">
        <f t="shared" si="83"/>
        <v>3328</v>
      </c>
      <c r="R1051" s="2" t="s">
        <v>26</v>
      </c>
      <c r="S1051" s="9">
        <f t="shared" si="84"/>
        <v>97.820000000000007</v>
      </c>
    </row>
    <row r="1052" spans="1:19" x14ac:dyDescent="0.3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str">
        <f>IFERROR(VLOOKUP('Customer Info'!A1044,'Customer Info'!A1044:C1543,2,FALSE),"Not Found")</f>
        <v>Not Found</v>
      </c>
      <c r="H1052" s="6" t="str">
        <f>IFERROR(VLOOKUP('Customer Info'!A1044,'Customer Info'!A1044:C1543,3,FALSE),"Not Found")</f>
        <v>Not Found</v>
      </c>
      <c r="I1052" s="6" t="str">
        <f>IFERROR(VLOOKUP('Customer Info'!A1044,'Customer Info'!A1044:E1543,5,FALSE),"Not Found")</f>
        <v>Not Found</v>
      </c>
      <c r="J1052" s="2">
        <v>1305</v>
      </c>
      <c r="K1052" s="2">
        <v>1197</v>
      </c>
      <c r="L1052" s="2">
        <v>2</v>
      </c>
      <c r="M1052" s="7">
        <f t="shared" si="80"/>
        <v>2394</v>
      </c>
      <c r="N1052" s="7">
        <f t="shared" si="81"/>
        <v>2610</v>
      </c>
      <c r="O1052" s="2">
        <v>86</v>
      </c>
      <c r="P1052" s="8">
        <f t="shared" si="82"/>
        <v>2696</v>
      </c>
      <c r="Q1052" s="8">
        <f t="shared" si="83"/>
        <v>1413</v>
      </c>
      <c r="R1052" s="2" t="s">
        <v>50</v>
      </c>
      <c r="S1052" s="9">
        <f t="shared" si="84"/>
        <v>53.92</v>
      </c>
    </row>
    <row r="1053" spans="1:19" x14ac:dyDescent="0.3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str">
        <f>IFERROR(VLOOKUP('Customer Info'!A1045,'Customer Info'!A1045:C1544,2,FALSE),"Not Found")</f>
        <v>Not Found</v>
      </c>
      <c r="H1053" s="6" t="str">
        <f>IFERROR(VLOOKUP('Customer Info'!A1045,'Customer Info'!A1045:C1544,3,FALSE),"Not Found")</f>
        <v>Not Found</v>
      </c>
      <c r="I1053" s="6" t="str">
        <f>IFERROR(VLOOKUP('Customer Info'!A1045,'Customer Info'!A1045:E1544,5,FALSE),"Not Found")</f>
        <v>Not Found</v>
      </c>
      <c r="J1053" s="2">
        <v>465</v>
      </c>
      <c r="K1053" s="2">
        <v>439</v>
      </c>
      <c r="L1053" s="2">
        <v>2</v>
      </c>
      <c r="M1053" s="7">
        <f t="shared" si="80"/>
        <v>878</v>
      </c>
      <c r="N1053" s="7">
        <f t="shared" si="81"/>
        <v>930</v>
      </c>
      <c r="O1053" s="2">
        <v>98</v>
      </c>
      <c r="P1053" s="8">
        <f t="shared" si="82"/>
        <v>1028</v>
      </c>
      <c r="Q1053" s="8">
        <f t="shared" si="83"/>
        <v>491</v>
      </c>
      <c r="R1053" s="2" t="s">
        <v>28</v>
      </c>
      <c r="S1053" s="9">
        <f t="shared" si="84"/>
        <v>20.56</v>
      </c>
    </row>
    <row r="1054" spans="1:19" x14ac:dyDescent="0.3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str">
        <f>IFERROR(VLOOKUP('Customer Info'!A1046,'Customer Info'!A1046:C1545,2,FALSE),"Not Found")</f>
        <v>Not Found</v>
      </c>
      <c r="H1054" s="6" t="str">
        <f>IFERROR(VLOOKUP('Customer Info'!A1046,'Customer Info'!A1046:C1545,3,FALSE),"Not Found")</f>
        <v>Not Found</v>
      </c>
      <c r="I1054" s="6" t="str">
        <f>IFERROR(VLOOKUP('Customer Info'!A1046,'Customer Info'!A1046:E1545,5,FALSE),"Not Found")</f>
        <v>Not Found</v>
      </c>
      <c r="J1054" s="2">
        <v>2960</v>
      </c>
      <c r="K1054" s="2">
        <v>2635</v>
      </c>
      <c r="L1054" s="2">
        <v>8</v>
      </c>
      <c r="M1054" s="7">
        <f t="shared" si="80"/>
        <v>21080</v>
      </c>
      <c r="N1054" s="7">
        <f t="shared" si="81"/>
        <v>23680</v>
      </c>
      <c r="O1054" s="2">
        <v>63</v>
      </c>
      <c r="P1054" s="8">
        <f t="shared" si="82"/>
        <v>23743</v>
      </c>
      <c r="Q1054" s="8">
        <f t="shared" si="83"/>
        <v>21045</v>
      </c>
      <c r="R1054" s="2" t="s">
        <v>28</v>
      </c>
      <c r="S1054" s="9">
        <f t="shared" si="84"/>
        <v>1187.1500000000001</v>
      </c>
    </row>
    <row r="1055" spans="1:19" x14ac:dyDescent="0.3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str">
        <f>IFERROR(VLOOKUP('Customer Info'!A1047,'Customer Info'!A1047:C1546,2,FALSE),"Not Found")</f>
        <v>Not Found</v>
      </c>
      <c r="H1055" s="6" t="str">
        <f>IFERROR(VLOOKUP('Customer Info'!A1047,'Customer Info'!A1047:C1546,3,FALSE),"Not Found")</f>
        <v>Not Found</v>
      </c>
      <c r="I1055" s="6" t="str">
        <f>IFERROR(VLOOKUP('Customer Info'!A1047,'Customer Info'!A1047:E1546,5,FALSE),"Not Found")</f>
        <v>Not Found</v>
      </c>
      <c r="J1055" s="2">
        <v>8399</v>
      </c>
      <c r="K1055" s="2">
        <v>8001</v>
      </c>
      <c r="L1055" s="2">
        <v>5</v>
      </c>
      <c r="M1055" s="7">
        <f t="shared" si="80"/>
        <v>40005</v>
      </c>
      <c r="N1055" s="7">
        <f t="shared" si="81"/>
        <v>41995</v>
      </c>
      <c r="O1055" s="2">
        <v>78</v>
      </c>
      <c r="P1055" s="8">
        <f t="shared" si="82"/>
        <v>42073</v>
      </c>
      <c r="Q1055" s="8">
        <f t="shared" si="83"/>
        <v>33994</v>
      </c>
      <c r="R1055" s="2" t="s">
        <v>50</v>
      </c>
      <c r="S1055" s="9">
        <f t="shared" si="84"/>
        <v>2945.11</v>
      </c>
    </row>
    <row r="1056" spans="1:19" x14ac:dyDescent="0.3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str">
        <f>IFERROR(VLOOKUP('Customer Info'!A1048,'Customer Info'!A1048:C1547,2,FALSE),"Not Found")</f>
        <v>Not Found</v>
      </c>
      <c r="H1056" s="6" t="str">
        <f>IFERROR(VLOOKUP('Customer Info'!A1048,'Customer Info'!A1048:C1547,3,FALSE),"Not Found")</f>
        <v>Not Found</v>
      </c>
      <c r="I1056" s="6" t="str">
        <f>IFERROR(VLOOKUP('Customer Info'!A1048,'Customer Info'!A1048:E1547,5,FALSE),"Not Found")</f>
        <v>Not Found</v>
      </c>
      <c r="J1056" s="2">
        <v>149</v>
      </c>
      <c r="K1056" s="2">
        <v>131</v>
      </c>
      <c r="L1056" s="2">
        <v>2</v>
      </c>
      <c r="M1056" s="7">
        <f t="shared" si="80"/>
        <v>262</v>
      </c>
      <c r="N1056" s="7">
        <f t="shared" si="81"/>
        <v>298</v>
      </c>
      <c r="O1056" s="2">
        <v>30</v>
      </c>
      <c r="P1056" s="8">
        <f t="shared" si="82"/>
        <v>328</v>
      </c>
      <c r="Q1056" s="8">
        <f t="shared" si="83"/>
        <v>167</v>
      </c>
      <c r="R1056" s="2" t="s">
        <v>28</v>
      </c>
      <c r="S1056" s="9">
        <f t="shared" si="84"/>
        <v>6.5600000000000005</v>
      </c>
    </row>
    <row r="1057" spans="1:19" x14ac:dyDescent="0.3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str">
        <f>IFERROR(VLOOKUP('Customer Info'!A1049,'Customer Info'!A1049:C1548,2,FALSE),"Not Found")</f>
        <v>Not Found</v>
      </c>
      <c r="H1057" s="6" t="str">
        <f>IFERROR(VLOOKUP('Customer Info'!A1049,'Customer Info'!A1049:C1548,3,FALSE),"Not Found")</f>
        <v>Not Found</v>
      </c>
      <c r="I1057" s="6" t="str">
        <f>IFERROR(VLOOKUP('Customer Info'!A1049,'Customer Info'!A1049:E1548,5,FALSE),"Not Found")</f>
        <v>Not Found</v>
      </c>
      <c r="J1057" s="2">
        <v>1306</v>
      </c>
      <c r="K1057" s="2">
        <v>1197</v>
      </c>
      <c r="L1057" s="2">
        <v>1</v>
      </c>
      <c r="M1057" s="7">
        <f t="shared" si="80"/>
        <v>1197</v>
      </c>
      <c r="N1057" s="7">
        <f t="shared" si="81"/>
        <v>1306</v>
      </c>
      <c r="O1057" s="2">
        <v>47</v>
      </c>
      <c r="P1057" s="8">
        <f t="shared" si="82"/>
        <v>1353</v>
      </c>
      <c r="Q1057" s="8">
        <f t="shared" si="83"/>
        <v>109</v>
      </c>
      <c r="R1057" s="2" t="s">
        <v>28</v>
      </c>
      <c r="S1057" s="9">
        <f t="shared" si="84"/>
        <v>27.060000000000002</v>
      </c>
    </row>
    <row r="1058" spans="1:19" x14ac:dyDescent="0.3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str">
        <f>IFERROR(VLOOKUP('Customer Info'!A1050,'Customer Info'!A1050:C1549,2,FALSE),"Not Found")</f>
        <v>Not Found</v>
      </c>
      <c r="H1058" s="6" t="str">
        <f>IFERROR(VLOOKUP('Customer Info'!A1050,'Customer Info'!A1050:C1549,3,FALSE),"Not Found")</f>
        <v>Not Found</v>
      </c>
      <c r="I1058" s="6" t="str">
        <f>IFERROR(VLOOKUP('Customer Info'!A1050,'Customer Info'!A1050:E1549,5,FALSE),"Not Found")</f>
        <v>Not Found</v>
      </c>
      <c r="J1058" s="2">
        <v>691</v>
      </c>
      <c r="K1058" s="2">
        <v>627</v>
      </c>
      <c r="L1058" s="2">
        <v>6</v>
      </c>
      <c r="M1058" s="7">
        <f t="shared" si="80"/>
        <v>3762</v>
      </c>
      <c r="N1058" s="7">
        <f t="shared" si="81"/>
        <v>4146</v>
      </c>
      <c r="O1058" s="2">
        <v>43</v>
      </c>
      <c r="P1058" s="8">
        <f t="shared" si="82"/>
        <v>4189</v>
      </c>
      <c r="Q1058" s="8">
        <f t="shared" si="83"/>
        <v>3519</v>
      </c>
      <c r="R1058" s="2" t="s">
        <v>28</v>
      </c>
      <c r="S1058" s="9">
        <f t="shared" si="84"/>
        <v>83.78</v>
      </c>
    </row>
    <row r="1059" spans="1:19" x14ac:dyDescent="0.3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str">
        <f>IFERROR(VLOOKUP('Customer Info'!A1051,'Customer Info'!A1051:C1550,2,FALSE),"Not Found")</f>
        <v>Not Found</v>
      </c>
      <c r="H1059" s="6" t="str">
        <f>IFERROR(VLOOKUP('Customer Info'!A1051,'Customer Info'!A1051:C1550,3,FALSE),"Not Found")</f>
        <v>Not Found</v>
      </c>
      <c r="I1059" s="6" t="str">
        <f>IFERROR(VLOOKUP('Customer Info'!A1051,'Customer Info'!A1051:E1550,5,FALSE),"Not Found")</f>
        <v>Not Found</v>
      </c>
      <c r="J1059" s="2">
        <v>285</v>
      </c>
      <c r="K1059" s="2">
        <v>259</v>
      </c>
      <c r="L1059" s="2">
        <v>2</v>
      </c>
      <c r="M1059" s="7">
        <f t="shared" si="80"/>
        <v>518</v>
      </c>
      <c r="N1059" s="7">
        <f t="shared" si="81"/>
        <v>570</v>
      </c>
      <c r="O1059" s="2">
        <v>81</v>
      </c>
      <c r="P1059" s="8">
        <f t="shared" si="82"/>
        <v>651</v>
      </c>
      <c r="Q1059" s="8">
        <f t="shared" si="83"/>
        <v>311</v>
      </c>
      <c r="R1059" s="2" t="s">
        <v>50</v>
      </c>
      <c r="S1059" s="9">
        <f t="shared" si="84"/>
        <v>13.02</v>
      </c>
    </row>
    <row r="1060" spans="1:19" x14ac:dyDescent="0.3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str">
        <f>IFERROR(VLOOKUP('Customer Info'!A1052,'Customer Info'!A1052:C1551,2,FALSE),"Not Found")</f>
        <v>Not Found</v>
      </c>
      <c r="H1060" s="6" t="str">
        <f>IFERROR(VLOOKUP('Customer Info'!A1052,'Customer Info'!A1052:C1551,3,FALSE),"Not Found")</f>
        <v>Not Found</v>
      </c>
      <c r="I1060" s="6" t="str">
        <f>IFERROR(VLOOKUP('Customer Info'!A1052,'Customer Info'!A1052:E1551,5,FALSE),"Not Found")</f>
        <v>Not Found</v>
      </c>
      <c r="J1060" s="2">
        <v>1816</v>
      </c>
      <c r="K1060" s="2">
        <v>1700</v>
      </c>
      <c r="L1060" s="2">
        <v>5</v>
      </c>
      <c r="M1060" s="7">
        <f t="shared" si="80"/>
        <v>8500</v>
      </c>
      <c r="N1060" s="7">
        <f t="shared" si="81"/>
        <v>9080</v>
      </c>
      <c r="O1060" s="2">
        <v>22</v>
      </c>
      <c r="P1060" s="8">
        <f t="shared" si="82"/>
        <v>9102</v>
      </c>
      <c r="Q1060" s="8">
        <f t="shared" si="83"/>
        <v>7380</v>
      </c>
      <c r="R1060" s="2" t="s">
        <v>28</v>
      </c>
      <c r="S1060" s="9">
        <f t="shared" si="84"/>
        <v>455.1</v>
      </c>
    </row>
    <row r="1061" spans="1:19" x14ac:dyDescent="0.3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str">
        <f>IFERROR(VLOOKUP('Customer Info'!A1053,'Customer Info'!A1053:C1552,2,FALSE),"Not Found")</f>
        <v>Not Found</v>
      </c>
      <c r="H1061" s="6" t="str">
        <f>IFERROR(VLOOKUP('Customer Info'!A1053,'Customer Info'!A1053:C1552,3,FALSE),"Not Found")</f>
        <v>Not Found</v>
      </c>
      <c r="I1061" s="6" t="str">
        <f>IFERROR(VLOOKUP('Customer Info'!A1053,'Customer Info'!A1053:E1552,5,FALSE),"Not Found")</f>
        <v>Not Found</v>
      </c>
      <c r="J1061" s="2">
        <v>2681</v>
      </c>
      <c r="K1061" s="2">
        <v>2458</v>
      </c>
      <c r="L1061" s="2">
        <v>4</v>
      </c>
      <c r="M1061" s="7">
        <f t="shared" si="80"/>
        <v>9832</v>
      </c>
      <c r="N1061" s="7">
        <f t="shared" si="81"/>
        <v>10724</v>
      </c>
      <c r="O1061" s="2">
        <v>65</v>
      </c>
      <c r="P1061" s="8">
        <f t="shared" si="82"/>
        <v>10789</v>
      </c>
      <c r="Q1061" s="8">
        <f t="shared" si="83"/>
        <v>8266</v>
      </c>
      <c r="R1061" s="2" t="s">
        <v>50</v>
      </c>
      <c r="S1061" s="9">
        <f t="shared" si="84"/>
        <v>539.45000000000005</v>
      </c>
    </row>
    <row r="1062" spans="1:19" x14ac:dyDescent="0.3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str">
        <f>IFERROR(VLOOKUP('Customer Info'!A1054,'Customer Info'!A1054:C1553,2,FALSE),"Not Found")</f>
        <v>Not Found</v>
      </c>
      <c r="H1062" s="6" t="str">
        <f>IFERROR(VLOOKUP('Customer Info'!A1054,'Customer Info'!A1054:C1553,3,FALSE),"Not Found")</f>
        <v>Not Found</v>
      </c>
      <c r="I1062" s="6" t="str">
        <f>IFERROR(VLOOKUP('Customer Info'!A1054,'Customer Info'!A1054:E1553,5,FALSE),"Not Found")</f>
        <v>Not Found</v>
      </c>
      <c r="J1062" s="2">
        <v>1246</v>
      </c>
      <c r="K1062" s="2">
        <v>1164</v>
      </c>
      <c r="L1062" s="2">
        <v>2</v>
      </c>
      <c r="M1062" s="7">
        <f t="shared" si="80"/>
        <v>2328</v>
      </c>
      <c r="N1062" s="7">
        <f t="shared" si="81"/>
        <v>2492</v>
      </c>
      <c r="O1062" s="2">
        <v>47</v>
      </c>
      <c r="P1062" s="8">
        <f t="shared" si="82"/>
        <v>2539</v>
      </c>
      <c r="Q1062" s="8">
        <f t="shared" si="83"/>
        <v>1328</v>
      </c>
      <c r="R1062" s="2" t="s">
        <v>50</v>
      </c>
      <c r="S1062" s="9">
        <f t="shared" si="84"/>
        <v>50.78</v>
      </c>
    </row>
    <row r="1063" spans="1:19" x14ac:dyDescent="0.3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str">
        <f>IFERROR(VLOOKUP('Customer Info'!A1055,'Customer Info'!A1055:C1554,2,FALSE),"Not Found")</f>
        <v>Not Found</v>
      </c>
      <c r="H1063" s="6" t="str">
        <f>IFERROR(VLOOKUP('Customer Info'!A1055,'Customer Info'!A1055:C1554,3,FALSE),"Not Found")</f>
        <v>Not Found</v>
      </c>
      <c r="I1063" s="6" t="str">
        <f>IFERROR(VLOOKUP('Customer Info'!A1055,'Customer Info'!A1055:E1554,5,FALSE),"Not Found")</f>
        <v>Not Found</v>
      </c>
      <c r="J1063" s="2">
        <v>671</v>
      </c>
      <c r="K1063" s="2">
        <v>627</v>
      </c>
      <c r="L1063" s="2">
        <v>4</v>
      </c>
      <c r="M1063" s="7">
        <f t="shared" si="80"/>
        <v>2508</v>
      </c>
      <c r="N1063" s="7">
        <f t="shared" si="81"/>
        <v>2684</v>
      </c>
      <c r="O1063" s="2">
        <v>56</v>
      </c>
      <c r="P1063" s="8">
        <f t="shared" si="82"/>
        <v>2740</v>
      </c>
      <c r="Q1063" s="8">
        <f t="shared" si="83"/>
        <v>2057</v>
      </c>
      <c r="R1063" s="2" t="s">
        <v>28</v>
      </c>
      <c r="S1063" s="9">
        <f t="shared" si="84"/>
        <v>54.800000000000004</v>
      </c>
    </row>
    <row r="1064" spans="1:19" x14ac:dyDescent="0.3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str">
        <f>IFERROR(VLOOKUP('Customer Info'!A1056,'Customer Info'!A1056:C1555,2,FALSE),"Not Found")</f>
        <v>Not Found</v>
      </c>
      <c r="H1064" s="6" t="str">
        <f>IFERROR(VLOOKUP('Customer Info'!A1056,'Customer Info'!A1056:C1555,3,FALSE),"Not Found")</f>
        <v>Not Found</v>
      </c>
      <c r="I1064" s="6" t="str">
        <f>IFERROR(VLOOKUP('Customer Info'!A1056,'Customer Info'!A1056:E1555,5,FALSE),"Not Found")</f>
        <v>Not Found</v>
      </c>
      <c r="J1064" s="2">
        <v>37949</v>
      </c>
      <c r="K1064" s="2">
        <v>34816</v>
      </c>
      <c r="L1064" s="2">
        <v>4</v>
      </c>
      <c r="M1064" s="7">
        <f t="shared" si="80"/>
        <v>139264</v>
      </c>
      <c r="N1064" s="7">
        <f t="shared" si="81"/>
        <v>151796</v>
      </c>
      <c r="O1064" s="2">
        <v>68</v>
      </c>
      <c r="P1064" s="8">
        <f t="shared" si="82"/>
        <v>151864</v>
      </c>
      <c r="Q1064" s="8">
        <f t="shared" si="83"/>
        <v>116980</v>
      </c>
      <c r="R1064" s="2" t="s">
        <v>28</v>
      </c>
      <c r="S1064" s="9">
        <f t="shared" si="84"/>
        <v>18223.68</v>
      </c>
    </row>
    <row r="1065" spans="1:19" x14ac:dyDescent="0.3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str">
        <f>IFERROR(VLOOKUP('Customer Info'!A1057,'Customer Info'!A1057:C1556,2,FALSE),"Not Found")</f>
        <v>Not Found</v>
      </c>
      <c r="H1065" s="6" t="str">
        <f>IFERROR(VLOOKUP('Customer Info'!A1057,'Customer Info'!A1057:C1556,3,FALSE),"Not Found")</f>
        <v>Not Found</v>
      </c>
      <c r="I1065" s="6" t="str">
        <f>IFERROR(VLOOKUP('Customer Info'!A1057,'Customer Info'!A1057:E1556,5,FALSE),"Not Found")</f>
        <v>Not Found</v>
      </c>
      <c r="J1065" s="2">
        <v>1585</v>
      </c>
      <c r="K1065" s="2">
        <v>1495</v>
      </c>
      <c r="L1065" s="2">
        <v>1</v>
      </c>
      <c r="M1065" s="7">
        <f t="shared" si="80"/>
        <v>1495</v>
      </c>
      <c r="N1065" s="7">
        <f t="shared" si="81"/>
        <v>1585</v>
      </c>
      <c r="O1065" s="2">
        <v>79</v>
      </c>
      <c r="P1065" s="8">
        <f t="shared" si="82"/>
        <v>1664</v>
      </c>
      <c r="Q1065" s="8">
        <f t="shared" si="83"/>
        <v>90</v>
      </c>
      <c r="R1065" s="2" t="s">
        <v>28</v>
      </c>
      <c r="S1065" s="9">
        <f t="shared" si="84"/>
        <v>33.28</v>
      </c>
    </row>
    <row r="1066" spans="1:19" x14ac:dyDescent="0.3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str">
        <f>IFERROR(VLOOKUP('Customer Info'!A1058,'Customer Info'!A1058:C1557,2,FALSE),"Not Found")</f>
        <v>Not Found</v>
      </c>
      <c r="H1066" s="6" t="str">
        <f>IFERROR(VLOOKUP('Customer Info'!A1058,'Customer Info'!A1058:C1557,3,FALSE),"Not Found")</f>
        <v>Not Found</v>
      </c>
      <c r="I1066" s="6" t="str">
        <f>IFERROR(VLOOKUP('Customer Info'!A1058,'Customer Info'!A1058:E1557,5,FALSE),"Not Found")</f>
        <v>Not Found</v>
      </c>
      <c r="J1066" s="2">
        <v>2200</v>
      </c>
      <c r="K1066" s="2">
        <v>2020</v>
      </c>
      <c r="L1066" s="2">
        <v>2</v>
      </c>
      <c r="M1066" s="7">
        <f t="shared" si="80"/>
        <v>4040</v>
      </c>
      <c r="N1066" s="7">
        <f t="shared" si="81"/>
        <v>4400</v>
      </c>
      <c r="O1066" s="2">
        <v>40</v>
      </c>
      <c r="P1066" s="8">
        <f t="shared" si="82"/>
        <v>4440</v>
      </c>
      <c r="Q1066" s="8">
        <f t="shared" si="83"/>
        <v>2380</v>
      </c>
      <c r="R1066" s="2" t="s">
        <v>28</v>
      </c>
      <c r="S1066" s="9">
        <f t="shared" si="84"/>
        <v>88.8</v>
      </c>
    </row>
    <row r="1067" spans="1:19" x14ac:dyDescent="0.3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str">
        <f>IFERROR(VLOOKUP('Customer Info'!A1059,'Customer Info'!A1059:C1558,2,FALSE),"Not Found")</f>
        <v>Not Found</v>
      </c>
      <c r="H1067" s="6" t="str">
        <f>IFERROR(VLOOKUP('Customer Info'!A1059,'Customer Info'!A1059:C1558,3,FALSE),"Not Found")</f>
        <v>Not Found</v>
      </c>
      <c r="I1067" s="6" t="str">
        <f>IFERROR(VLOOKUP('Customer Info'!A1059,'Customer Info'!A1059:E1558,5,FALSE),"Not Found")</f>
        <v>Not Found</v>
      </c>
      <c r="J1067" s="2">
        <v>2540</v>
      </c>
      <c r="K1067" s="2">
        <v>2397</v>
      </c>
      <c r="L1067" s="2">
        <v>2</v>
      </c>
      <c r="M1067" s="7">
        <f t="shared" si="80"/>
        <v>4794</v>
      </c>
      <c r="N1067" s="7">
        <f t="shared" si="81"/>
        <v>5080</v>
      </c>
      <c r="O1067" s="2">
        <v>41</v>
      </c>
      <c r="P1067" s="8">
        <f t="shared" si="82"/>
        <v>5121</v>
      </c>
      <c r="Q1067" s="8">
        <f t="shared" si="83"/>
        <v>2683</v>
      </c>
      <c r="R1067" s="2" t="s">
        <v>28</v>
      </c>
      <c r="S1067" s="9">
        <f t="shared" si="84"/>
        <v>256.05</v>
      </c>
    </row>
    <row r="1068" spans="1:19" x14ac:dyDescent="0.3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str">
        <f>IFERROR(VLOOKUP('Customer Info'!A1060,'Customer Info'!A1060:C1559,2,FALSE),"Not Found")</f>
        <v>Not Found</v>
      </c>
      <c r="H1068" s="6" t="str">
        <f>IFERROR(VLOOKUP('Customer Info'!A1060,'Customer Info'!A1060:C1559,3,FALSE),"Not Found")</f>
        <v>Not Found</v>
      </c>
      <c r="I1068" s="6" t="str">
        <f>IFERROR(VLOOKUP('Customer Info'!A1060,'Customer Info'!A1060:E1559,5,FALSE),"Not Found")</f>
        <v>Not Found</v>
      </c>
      <c r="J1068" s="2">
        <v>1605</v>
      </c>
      <c r="K1068" s="2">
        <v>1530</v>
      </c>
      <c r="L1068" s="2">
        <v>3</v>
      </c>
      <c r="M1068" s="7">
        <f t="shared" si="80"/>
        <v>4590</v>
      </c>
      <c r="N1068" s="7">
        <f t="shared" si="81"/>
        <v>4815</v>
      </c>
      <c r="O1068" s="2">
        <v>91</v>
      </c>
      <c r="P1068" s="8">
        <f t="shared" si="82"/>
        <v>4906</v>
      </c>
      <c r="Q1068" s="8">
        <f t="shared" si="83"/>
        <v>3285</v>
      </c>
      <c r="R1068" s="2" t="s">
        <v>26</v>
      </c>
      <c r="S1068" s="9">
        <f t="shared" si="84"/>
        <v>98.12</v>
      </c>
    </row>
    <row r="1069" spans="1:19" x14ac:dyDescent="0.3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str">
        <f>IFERROR(VLOOKUP('Customer Info'!A1061,'Customer Info'!A1061:C1560,2,FALSE),"Not Found")</f>
        <v>Not Found</v>
      </c>
      <c r="H1069" s="6" t="str">
        <f>IFERROR(VLOOKUP('Customer Info'!A1061,'Customer Info'!A1061:C1560,3,FALSE),"Not Found")</f>
        <v>Not Found</v>
      </c>
      <c r="I1069" s="6" t="str">
        <f>IFERROR(VLOOKUP('Customer Info'!A1061,'Customer Info'!A1061:E1560,5,FALSE),"Not Found")</f>
        <v>Not Found</v>
      </c>
      <c r="J1069" s="2">
        <v>2644</v>
      </c>
      <c r="K1069" s="2">
        <v>2425</v>
      </c>
      <c r="L1069" s="2">
        <v>3</v>
      </c>
      <c r="M1069" s="7">
        <f t="shared" si="80"/>
        <v>7275</v>
      </c>
      <c r="N1069" s="7">
        <f t="shared" si="81"/>
        <v>7932</v>
      </c>
      <c r="O1069" s="2">
        <v>71</v>
      </c>
      <c r="P1069" s="8">
        <f t="shared" si="82"/>
        <v>8003</v>
      </c>
      <c r="Q1069" s="8">
        <f t="shared" si="83"/>
        <v>5507</v>
      </c>
      <c r="R1069" s="2" t="s">
        <v>28</v>
      </c>
      <c r="S1069" s="9">
        <f t="shared" si="84"/>
        <v>400.15000000000003</v>
      </c>
    </row>
    <row r="1070" spans="1:19" x14ac:dyDescent="0.3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str">
        <f>IFERROR(VLOOKUP('Customer Info'!A1062,'Customer Info'!A1062:C1561,2,FALSE),"Not Found")</f>
        <v>Not Found</v>
      </c>
      <c r="H1070" s="6" t="str">
        <f>IFERROR(VLOOKUP('Customer Info'!A1062,'Customer Info'!A1062:C1561,3,FALSE),"Not Found")</f>
        <v>Not Found</v>
      </c>
      <c r="I1070" s="6" t="str">
        <f>IFERROR(VLOOKUP('Customer Info'!A1062,'Customer Info'!A1062:E1561,5,FALSE),"Not Found")</f>
        <v>Not Found</v>
      </c>
      <c r="J1070" s="2">
        <v>1574</v>
      </c>
      <c r="K1070" s="2">
        <v>1375</v>
      </c>
      <c r="L1070" s="2">
        <v>2</v>
      </c>
      <c r="M1070" s="7">
        <f t="shared" si="80"/>
        <v>2750</v>
      </c>
      <c r="N1070" s="7">
        <f t="shared" si="81"/>
        <v>3148</v>
      </c>
      <c r="O1070" s="2">
        <v>75</v>
      </c>
      <c r="P1070" s="8">
        <f t="shared" si="82"/>
        <v>3223</v>
      </c>
      <c r="Q1070" s="8">
        <f t="shared" si="83"/>
        <v>1773</v>
      </c>
      <c r="R1070" s="2" t="s">
        <v>28</v>
      </c>
      <c r="S1070" s="9">
        <f t="shared" si="84"/>
        <v>64.460000000000008</v>
      </c>
    </row>
    <row r="1071" spans="1:19" x14ac:dyDescent="0.3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str">
        <f>IFERROR(VLOOKUP('Customer Info'!A1063,'Customer Info'!A1063:C1562,2,FALSE),"Not Found")</f>
        <v>Not Found</v>
      </c>
      <c r="H1071" s="6" t="str">
        <f>IFERROR(VLOOKUP('Customer Info'!A1063,'Customer Info'!A1063:C1562,3,FALSE),"Not Found")</f>
        <v>Not Found</v>
      </c>
      <c r="I1071" s="6" t="str">
        <f>IFERROR(VLOOKUP('Customer Info'!A1063,'Customer Info'!A1063:E1562,5,FALSE),"Not Found")</f>
        <v>Not Found</v>
      </c>
      <c r="J1071" s="2">
        <v>125</v>
      </c>
      <c r="K1071" s="2">
        <v>113</v>
      </c>
      <c r="L1071" s="2">
        <v>1</v>
      </c>
      <c r="M1071" s="7">
        <f t="shared" si="80"/>
        <v>113</v>
      </c>
      <c r="N1071" s="7">
        <f t="shared" si="81"/>
        <v>125</v>
      </c>
      <c r="O1071" s="2">
        <v>30</v>
      </c>
      <c r="P1071" s="8">
        <f t="shared" si="82"/>
        <v>155</v>
      </c>
      <c r="Q1071" s="8">
        <f t="shared" si="83"/>
        <v>12</v>
      </c>
      <c r="R1071" s="2" t="s">
        <v>28</v>
      </c>
      <c r="S1071" s="9">
        <f t="shared" si="84"/>
        <v>3.1</v>
      </c>
    </row>
    <row r="1072" spans="1:19" x14ac:dyDescent="0.3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str">
        <f>IFERROR(VLOOKUP('Customer Info'!A1064,'Customer Info'!A1064:C1563,2,FALSE),"Not Found")</f>
        <v>Not Found</v>
      </c>
      <c r="H1072" s="6" t="str">
        <f>IFERROR(VLOOKUP('Customer Info'!A1064,'Customer Info'!A1064:C1563,3,FALSE),"Not Found")</f>
        <v>Not Found</v>
      </c>
      <c r="I1072" s="6" t="str">
        <f>IFERROR(VLOOKUP('Customer Info'!A1064,'Customer Info'!A1064:E1563,5,FALSE),"Not Found")</f>
        <v>Not Found</v>
      </c>
      <c r="J1072" s="2">
        <v>77</v>
      </c>
      <c r="K1072" s="2">
        <v>73</v>
      </c>
      <c r="L1072" s="2">
        <v>5</v>
      </c>
      <c r="M1072" s="7">
        <f t="shared" si="80"/>
        <v>365</v>
      </c>
      <c r="N1072" s="7">
        <f t="shared" si="81"/>
        <v>385</v>
      </c>
      <c r="O1072" s="2">
        <v>10</v>
      </c>
      <c r="P1072" s="8">
        <f t="shared" si="82"/>
        <v>395</v>
      </c>
      <c r="Q1072" s="8">
        <f t="shared" si="83"/>
        <v>312</v>
      </c>
      <c r="R1072" s="2" t="s">
        <v>26</v>
      </c>
      <c r="S1072" s="9">
        <f t="shared" si="84"/>
        <v>7.9</v>
      </c>
    </row>
    <row r="1073" spans="1:19" x14ac:dyDescent="0.3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str">
        <f>IFERROR(VLOOKUP('Customer Info'!A1065,'Customer Info'!A1065:C1564,2,FALSE),"Not Found")</f>
        <v>Not Found</v>
      </c>
      <c r="H1073" s="6" t="str">
        <f>IFERROR(VLOOKUP('Customer Info'!A1065,'Customer Info'!A1065:C1564,3,FALSE),"Not Found")</f>
        <v>Not Found</v>
      </c>
      <c r="I1073" s="6" t="str">
        <f>IFERROR(VLOOKUP('Customer Info'!A1065,'Customer Info'!A1065:E1564,5,FALSE),"Not Found")</f>
        <v>Not Found</v>
      </c>
      <c r="J1073" s="2">
        <v>1619</v>
      </c>
      <c r="K1073" s="2">
        <v>1442</v>
      </c>
      <c r="L1073" s="2">
        <v>3</v>
      </c>
      <c r="M1073" s="7">
        <f t="shared" si="80"/>
        <v>4326</v>
      </c>
      <c r="N1073" s="7">
        <f t="shared" si="81"/>
        <v>4857</v>
      </c>
      <c r="O1073" s="2">
        <v>86</v>
      </c>
      <c r="P1073" s="8">
        <f t="shared" si="82"/>
        <v>4943</v>
      </c>
      <c r="Q1073" s="8">
        <f t="shared" si="83"/>
        <v>3415</v>
      </c>
      <c r="R1073" s="2" t="s">
        <v>28</v>
      </c>
      <c r="S1073" s="9">
        <f t="shared" si="84"/>
        <v>98.86</v>
      </c>
    </row>
    <row r="1074" spans="1:19" x14ac:dyDescent="0.3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str">
        <f>IFERROR(VLOOKUP('Customer Info'!A1066,'Customer Info'!A1066:C1565,2,FALSE),"Not Found")</f>
        <v>Not Found</v>
      </c>
      <c r="H1074" s="6" t="str">
        <f>IFERROR(VLOOKUP('Customer Info'!A1066,'Customer Info'!A1066:C1565,3,FALSE),"Not Found")</f>
        <v>Not Found</v>
      </c>
      <c r="I1074" s="6" t="str">
        <f>IFERROR(VLOOKUP('Customer Info'!A1066,'Customer Info'!A1066:E1565,5,FALSE),"Not Found")</f>
        <v>Not Found</v>
      </c>
      <c r="J1074" s="2">
        <v>202</v>
      </c>
      <c r="K1074" s="2">
        <v>187</v>
      </c>
      <c r="L1074" s="2">
        <v>5</v>
      </c>
      <c r="M1074" s="7">
        <f t="shared" si="80"/>
        <v>935</v>
      </c>
      <c r="N1074" s="7">
        <f t="shared" si="81"/>
        <v>1010</v>
      </c>
      <c r="O1074" s="2">
        <v>30</v>
      </c>
      <c r="P1074" s="8">
        <f t="shared" si="82"/>
        <v>1040</v>
      </c>
      <c r="Q1074" s="8">
        <f t="shared" si="83"/>
        <v>823</v>
      </c>
      <c r="R1074" s="2" t="s">
        <v>50</v>
      </c>
      <c r="S1074" s="9">
        <f t="shared" si="84"/>
        <v>20.8</v>
      </c>
    </row>
    <row r="1075" spans="1:19" x14ac:dyDescent="0.3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str">
        <f>IFERROR(VLOOKUP('Customer Info'!A1067,'Customer Info'!A1067:C1566,2,FALSE),"Not Found")</f>
        <v>Not Found</v>
      </c>
      <c r="H1075" s="6" t="str">
        <f>IFERROR(VLOOKUP('Customer Info'!A1067,'Customer Info'!A1067:C1566,3,FALSE),"Not Found")</f>
        <v>Not Found</v>
      </c>
      <c r="I1075" s="6" t="str">
        <f>IFERROR(VLOOKUP('Customer Info'!A1067,'Customer Info'!A1067:E1566,5,FALSE),"Not Found")</f>
        <v>Not Found</v>
      </c>
      <c r="J1075" s="2">
        <v>63</v>
      </c>
      <c r="K1075" s="2">
        <v>59</v>
      </c>
      <c r="L1075" s="2">
        <v>2</v>
      </c>
      <c r="M1075" s="7">
        <f t="shared" si="80"/>
        <v>118</v>
      </c>
      <c r="N1075" s="7">
        <f t="shared" si="81"/>
        <v>126</v>
      </c>
      <c r="O1075" s="2">
        <v>10</v>
      </c>
      <c r="P1075" s="8">
        <f t="shared" si="82"/>
        <v>136</v>
      </c>
      <c r="Q1075" s="8">
        <f t="shared" si="83"/>
        <v>67</v>
      </c>
      <c r="R1075" s="2" t="s">
        <v>28</v>
      </c>
      <c r="S1075" s="9">
        <f t="shared" si="84"/>
        <v>2.72</v>
      </c>
    </row>
    <row r="1076" spans="1:19" x14ac:dyDescent="0.3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str">
        <f>IFERROR(VLOOKUP('Customer Info'!A1068,'Customer Info'!A1068:C1567,2,FALSE),"Not Found")</f>
        <v>Not Found</v>
      </c>
      <c r="H1076" s="6" t="str">
        <f>IFERROR(VLOOKUP('Customer Info'!A1068,'Customer Info'!A1068:C1567,3,FALSE),"Not Found")</f>
        <v>Not Found</v>
      </c>
      <c r="I1076" s="6" t="str">
        <f>IFERROR(VLOOKUP('Customer Info'!A1068,'Customer Info'!A1068:E1567,5,FALSE),"Not Found")</f>
        <v>Not Found</v>
      </c>
      <c r="J1076" s="2">
        <v>1798</v>
      </c>
      <c r="K1076" s="2">
        <v>1650</v>
      </c>
      <c r="L1076" s="2">
        <v>1</v>
      </c>
      <c r="M1076" s="7">
        <f t="shared" si="80"/>
        <v>1650</v>
      </c>
      <c r="N1076" s="7">
        <f t="shared" si="81"/>
        <v>1798</v>
      </c>
      <c r="O1076" s="2">
        <v>100</v>
      </c>
      <c r="P1076" s="8">
        <f t="shared" si="82"/>
        <v>1898</v>
      </c>
      <c r="Q1076" s="8">
        <f t="shared" si="83"/>
        <v>148</v>
      </c>
      <c r="R1076" s="2" t="s">
        <v>28</v>
      </c>
      <c r="S1076" s="9">
        <f t="shared" si="84"/>
        <v>37.96</v>
      </c>
    </row>
    <row r="1077" spans="1:19" x14ac:dyDescent="0.3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str">
        <f>IFERROR(VLOOKUP('Customer Info'!A1069,'Customer Info'!A1069:C1568,2,FALSE),"Not Found")</f>
        <v>Not Found</v>
      </c>
      <c r="H1077" s="6" t="str">
        <f>IFERROR(VLOOKUP('Customer Info'!A1069,'Customer Info'!A1069:C1568,3,FALSE),"Not Found")</f>
        <v>Not Found</v>
      </c>
      <c r="I1077" s="6" t="str">
        <f>IFERROR(VLOOKUP('Customer Info'!A1069,'Customer Info'!A1069:E1568,5,FALSE),"Not Found")</f>
        <v>Not Found</v>
      </c>
      <c r="J1077" s="2">
        <v>405</v>
      </c>
      <c r="K1077" s="2">
        <v>381</v>
      </c>
      <c r="L1077" s="2">
        <v>3</v>
      </c>
      <c r="M1077" s="7">
        <f t="shared" si="80"/>
        <v>1143</v>
      </c>
      <c r="N1077" s="7">
        <f t="shared" si="81"/>
        <v>1215</v>
      </c>
      <c r="O1077" s="2">
        <v>45</v>
      </c>
      <c r="P1077" s="8">
        <f t="shared" si="82"/>
        <v>1260</v>
      </c>
      <c r="Q1077" s="8">
        <f t="shared" si="83"/>
        <v>834</v>
      </c>
      <c r="R1077" s="2" t="s">
        <v>26</v>
      </c>
      <c r="S1077" s="9">
        <f t="shared" si="84"/>
        <v>25.2</v>
      </c>
    </row>
    <row r="1078" spans="1:19" x14ac:dyDescent="0.3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str">
        <f>IFERROR(VLOOKUP('Customer Info'!A1070,'Customer Info'!A1070:C1569,2,FALSE),"Not Found")</f>
        <v>Not Found</v>
      </c>
      <c r="H1078" s="6" t="str">
        <f>IFERROR(VLOOKUP('Customer Info'!A1070,'Customer Info'!A1070:C1569,3,FALSE),"Not Found")</f>
        <v>Not Found</v>
      </c>
      <c r="I1078" s="6" t="str">
        <f>IFERROR(VLOOKUP('Customer Info'!A1070,'Customer Info'!A1070:E1569,5,FALSE),"Not Found")</f>
        <v>Not Found</v>
      </c>
      <c r="J1078" s="2">
        <v>531</v>
      </c>
      <c r="K1078" s="2">
        <v>487</v>
      </c>
      <c r="L1078" s="2">
        <v>2</v>
      </c>
      <c r="M1078" s="7">
        <f t="shared" si="80"/>
        <v>974</v>
      </c>
      <c r="N1078" s="7">
        <f t="shared" si="81"/>
        <v>1062</v>
      </c>
      <c r="O1078" s="2">
        <v>66</v>
      </c>
      <c r="P1078" s="8">
        <f t="shared" si="82"/>
        <v>1128</v>
      </c>
      <c r="Q1078" s="8">
        <f t="shared" si="83"/>
        <v>575</v>
      </c>
      <c r="R1078" s="2" t="s">
        <v>28</v>
      </c>
      <c r="S1078" s="9">
        <f t="shared" si="84"/>
        <v>22.56</v>
      </c>
    </row>
    <row r="1079" spans="1:19" x14ac:dyDescent="0.3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str">
        <f>IFERROR(VLOOKUP('Customer Info'!A1071,'Customer Info'!A1071:C1570,2,FALSE),"Not Found")</f>
        <v>Not Found</v>
      </c>
      <c r="H1079" s="6" t="str">
        <f>IFERROR(VLOOKUP('Customer Info'!A1071,'Customer Info'!A1071:C1570,3,FALSE),"Not Found")</f>
        <v>Not Found</v>
      </c>
      <c r="I1079" s="6" t="str">
        <f>IFERROR(VLOOKUP('Customer Info'!A1071,'Customer Info'!A1071:E1570,5,FALSE),"Not Found")</f>
        <v>Not Found</v>
      </c>
      <c r="J1079" s="2">
        <v>8665</v>
      </c>
      <c r="K1079" s="2">
        <v>7723</v>
      </c>
      <c r="L1079" s="2">
        <v>4</v>
      </c>
      <c r="M1079" s="7">
        <f t="shared" si="80"/>
        <v>30892</v>
      </c>
      <c r="N1079" s="7">
        <f t="shared" si="81"/>
        <v>34660</v>
      </c>
      <c r="O1079" s="2">
        <v>41</v>
      </c>
      <c r="P1079" s="8">
        <f t="shared" si="82"/>
        <v>34701</v>
      </c>
      <c r="Q1079" s="8">
        <f t="shared" si="83"/>
        <v>26937</v>
      </c>
      <c r="R1079" s="2" t="s">
        <v>50</v>
      </c>
      <c r="S1079" s="9">
        <f t="shared" si="84"/>
        <v>2429.0700000000002</v>
      </c>
    </row>
    <row r="1080" spans="1:19" x14ac:dyDescent="0.3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str">
        <f>IFERROR(VLOOKUP('Customer Info'!A1072,'Customer Info'!A1072:C1571,2,FALSE),"Not Found")</f>
        <v>Not Found</v>
      </c>
      <c r="H1080" s="6" t="str">
        <f>IFERROR(VLOOKUP('Customer Info'!A1072,'Customer Info'!A1072:C1571,3,FALSE),"Not Found")</f>
        <v>Not Found</v>
      </c>
      <c r="I1080" s="6" t="str">
        <f>IFERROR(VLOOKUP('Customer Info'!A1072,'Customer Info'!A1072:E1571,5,FALSE),"Not Found")</f>
        <v>Not Found</v>
      </c>
      <c r="J1080" s="2">
        <v>474</v>
      </c>
      <c r="K1080" s="2">
        <v>443</v>
      </c>
      <c r="L1080" s="2">
        <v>3</v>
      </c>
      <c r="M1080" s="7">
        <f t="shared" si="80"/>
        <v>1329</v>
      </c>
      <c r="N1080" s="7">
        <f t="shared" si="81"/>
        <v>1422</v>
      </c>
      <c r="O1080" s="2">
        <v>64</v>
      </c>
      <c r="P1080" s="8">
        <f t="shared" si="82"/>
        <v>1486</v>
      </c>
      <c r="Q1080" s="8">
        <f t="shared" si="83"/>
        <v>979</v>
      </c>
      <c r="R1080" s="2" t="s">
        <v>28</v>
      </c>
      <c r="S1080" s="9">
        <f t="shared" si="84"/>
        <v>29.72</v>
      </c>
    </row>
    <row r="1081" spans="1:19" x14ac:dyDescent="0.3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str">
        <f>IFERROR(VLOOKUP('Customer Info'!A1073,'Customer Info'!A1073:C1572,2,FALSE),"Not Found")</f>
        <v>Not Found</v>
      </c>
      <c r="H1081" s="6" t="str">
        <f>IFERROR(VLOOKUP('Customer Info'!A1073,'Customer Info'!A1073:C1572,3,FALSE),"Not Found")</f>
        <v>Not Found</v>
      </c>
      <c r="I1081" s="6" t="str">
        <f>IFERROR(VLOOKUP('Customer Info'!A1073,'Customer Info'!A1073:E1572,5,FALSE),"Not Found")</f>
        <v>Not Found</v>
      </c>
      <c r="J1081" s="2">
        <v>125</v>
      </c>
      <c r="K1081" s="2">
        <v>113</v>
      </c>
      <c r="L1081" s="2">
        <v>3</v>
      </c>
      <c r="M1081" s="7">
        <f t="shared" si="80"/>
        <v>339</v>
      </c>
      <c r="N1081" s="7">
        <f t="shared" si="81"/>
        <v>375</v>
      </c>
      <c r="O1081" s="2">
        <v>30</v>
      </c>
      <c r="P1081" s="8">
        <f t="shared" si="82"/>
        <v>405</v>
      </c>
      <c r="Q1081" s="8">
        <f t="shared" si="83"/>
        <v>262</v>
      </c>
      <c r="R1081" s="2" t="s">
        <v>56</v>
      </c>
      <c r="S1081" s="9">
        <f t="shared" si="84"/>
        <v>8.1</v>
      </c>
    </row>
    <row r="1082" spans="1:19" x14ac:dyDescent="0.3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str">
        <f>IFERROR(VLOOKUP('Customer Info'!A1074,'Customer Info'!A1074:C1573,2,FALSE),"Not Found")</f>
        <v>Not Found</v>
      </c>
      <c r="H1082" s="6" t="str">
        <f>IFERROR(VLOOKUP('Customer Info'!A1074,'Customer Info'!A1074:C1573,3,FALSE),"Not Found")</f>
        <v>Not Found</v>
      </c>
      <c r="I1082" s="6" t="str">
        <f>IFERROR(VLOOKUP('Customer Info'!A1074,'Customer Info'!A1074:E1573,5,FALSE),"Not Found")</f>
        <v>Not Found</v>
      </c>
      <c r="J1082" s="2">
        <v>2342</v>
      </c>
      <c r="K1082" s="2">
        <v>2210</v>
      </c>
      <c r="L1082" s="2">
        <v>1</v>
      </c>
      <c r="M1082" s="7">
        <f t="shared" si="80"/>
        <v>2210</v>
      </c>
      <c r="N1082" s="7">
        <f t="shared" si="81"/>
        <v>2342</v>
      </c>
      <c r="O1082" s="2">
        <v>76</v>
      </c>
      <c r="P1082" s="8">
        <f t="shared" si="82"/>
        <v>2418</v>
      </c>
      <c r="Q1082" s="8">
        <f t="shared" si="83"/>
        <v>132</v>
      </c>
      <c r="R1082" s="2" t="s">
        <v>50</v>
      </c>
      <c r="S1082" s="9">
        <f t="shared" si="84"/>
        <v>48.36</v>
      </c>
    </row>
    <row r="1083" spans="1:19" x14ac:dyDescent="0.3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str">
        <f>IFERROR(VLOOKUP('Customer Info'!A1075,'Customer Info'!A1075:C1574,2,FALSE),"Not Found")</f>
        <v>Not Found</v>
      </c>
      <c r="H1083" s="6" t="str">
        <f>IFERROR(VLOOKUP('Customer Info'!A1075,'Customer Info'!A1075:C1574,3,FALSE),"Not Found")</f>
        <v>Not Found</v>
      </c>
      <c r="I1083" s="6" t="str">
        <f>IFERROR(VLOOKUP('Customer Info'!A1075,'Customer Info'!A1075:E1574,5,FALSE),"Not Found")</f>
        <v>Not Found</v>
      </c>
      <c r="J1083" s="2">
        <v>392</v>
      </c>
      <c r="K1083" s="2">
        <v>356</v>
      </c>
      <c r="L1083" s="2">
        <v>2</v>
      </c>
      <c r="M1083" s="7">
        <f t="shared" si="80"/>
        <v>712</v>
      </c>
      <c r="N1083" s="7">
        <f t="shared" si="81"/>
        <v>784</v>
      </c>
      <c r="O1083" s="2">
        <v>29</v>
      </c>
      <c r="P1083" s="8">
        <f t="shared" si="82"/>
        <v>813</v>
      </c>
      <c r="Q1083" s="8">
        <f t="shared" si="83"/>
        <v>428</v>
      </c>
      <c r="R1083" s="2" t="s">
        <v>28</v>
      </c>
      <c r="S1083" s="9">
        <f t="shared" si="84"/>
        <v>16.260000000000002</v>
      </c>
    </row>
    <row r="1084" spans="1:19" x14ac:dyDescent="0.3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str">
        <f>IFERROR(VLOOKUP('Customer Info'!A1076,'Customer Info'!A1076:C1575,2,FALSE),"Not Found")</f>
        <v>Not Found</v>
      </c>
      <c r="H1084" s="6" t="str">
        <f>IFERROR(VLOOKUP('Customer Info'!A1076,'Customer Info'!A1076:C1575,3,FALSE),"Not Found")</f>
        <v>Not Found</v>
      </c>
      <c r="I1084" s="6" t="str">
        <f>IFERROR(VLOOKUP('Customer Info'!A1076,'Customer Info'!A1076:E1575,5,FALSE),"Not Found")</f>
        <v>Not Found</v>
      </c>
      <c r="J1084" s="2">
        <v>142</v>
      </c>
      <c r="K1084" s="2">
        <v>129</v>
      </c>
      <c r="L1084" s="2">
        <v>3</v>
      </c>
      <c r="M1084" s="7">
        <f t="shared" si="80"/>
        <v>387</v>
      </c>
      <c r="N1084" s="7">
        <f t="shared" si="81"/>
        <v>426</v>
      </c>
      <c r="O1084" s="2">
        <v>30</v>
      </c>
      <c r="P1084" s="8">
        <f t="shared" si="82"/>
        <v>456</v>
      </c>
      <c r="Q1084" s="8">
        <f t="shared" si="83"/>
        <v>297</v>
      </c>
      <c r="R1084" s="2" t="s">
        <v>28</v>
      </c>
      <c r="S1084" s="9">
        <f t="shared" si="84"/>
        <v>9.120000000000001</v>
      </c>
    </row>
    <row r="1085" spans="1:19" x14ac:dyDescent="0.3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str">
        <f>IFERROR(VLOOKUP('Customer Info'!A1077,'Customer Info'!A1077:C1576,2,FALSE),"Not Found")</f>
        <v>Not Found</v>
      </c>
      <c r="H1085" s="6" t="str">
        <f>IFERROR(VLOOKUP('Customer Info'!A1077,'Customer Info'!A1077:C1576,3,FALSE),"Not Found")</f>
        <v>Not Found</v>
      </c>
      <c r="I1085" s="6" t="str">
        <f>IFERROR(VLOOKUP('Customer Info'!A1077,'Customer Info'!A1077:E1576,5,FALSE),"Not Found")</f>
        <v>Not Found</v>
      </c>
      <c r="J1085" s="2">
        <v>92</v>
      </c>
      <c r="K1085" s="2">
        <v>82</v>
      </c>
      <c r="L1085" s="2">
        <v>3</v>
      </c>
      <c r="M1085" s="7">
        <f t="shared" si="80"/>
        <v>246</v>
      </c>
      <c r="N1085" s="7">
        <f t="shared" si="81"/>
        <v>276</v>
      </c>
      <c r="O1085" s="2">
        <v>10</v>
      </c>
      <c r="P1085" s="8">
        <f t="shared" si="82"/>
        <v>286</v>
      </c>
      <c r="Q1085" s="8">
        <f t="shared" si="83"/>
        <v>194</v>
      </c>
      <c r="R1085" s="2" t="s">
        <v>28</v>
      </c>
      <c r="S1085" s="9">
        <f t="shared" si="84"/>
        <v>5.72</v>
      </c>
    </row>
    <row r="1086" spans="1:19" x14ac:dyDescent="0.3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str">
        <f>IFERROR(VLOOKUP('Customer Info'!A1078,'Customer Info'!A1078:C1577,2,FALSE),"Not Found")</f>
        <v>Not Found</v>
      </c>
      <c r="H1086" s="6" t="str">
        <f>IFERROR(VLOOKUP('Customer Info'!A1078,'Customer Info'!A1078:C1577,3,FALSE),"Not Found")</f>
        <v>Not Found</v>
      </c>
      <c r="I1086" s="6" t="str">
        <f>IFERROR(VLOOKUP('Customer Info'!A1078,'Customer Info'!A1078:E1577,5,FALSE),"Not Found")</f>
        <v>Not Found</v>
      </c>
      <c r="J1086" s="2">
        <v>82</v>
      </c>
      <c r="K1086" s="2">
        <v>79</v>
      </c>
      <c r="L1086" s="2">
        <v>1</v>
      </c>
      <c r="M1086" s="7">
        <f t="shared" si="80"/>
        <v>79</v>
      </c>
      <c r="N1086" s="7">
        <f t="shared" si="81"/>
        <v>82</v>
      </c>
      <c r="O1086" s="2">
        <v>10</v>
      </c>
      <c r="P1086" s="8">
        <f t="shared" si="82"/>
        <v>92</v>
      </c>
      <c r="Q1086" s="8">
        <f t="shared" si="83"/>
        <v>3</v>
      </c>
      <c r="R1086" s="2" t="s">
        <v>28</v>
      </c>
      <c r="S1086" s="9">
        <f t="shared" si="84"/>
        <v>1.84</v>
      </c>
    </row>
    <row r="1087" spans="1:19" x14ac:dyDescent="0.3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str">
        <f>IFERROR(VLOOKUP('Customer Info'!A1079,'Customer Info'!A1079:C1578,2,FALSE),"Not Found")</f>
        <v>Not Found</v>
      </c>
      <c r="H1087" s="6" t="str">
        <f>IFERROR(VLOOKUP('Customer Info'!A1079,'Customer Info'!A1079:C1578,3,FALSE),"Not Found")</f>
        <v>Not Found</v>
      </c>
      <c r="I1087" s="6" t="str">
        <f>IFERROR(VLOOKUP('Customer Info'!A1079,'Customer Info'!A1079:E1578,5,FALSE),"Not Found")</f>
        <v>Not Found</v>
      </c>
      <c r="J1087" s="2">
        <v>8889</v>
      </c>
      <c r="K1087" s="2">
        <v>8469</v>
      </c>
      <c r="L1087" s="2">
        <v>2</v>
      </c>
      <c r="M1087" s="7">
        <f t="shared" si="80"/>
        <v>16938</v>
      </c>
      <c r="N1087" s="7">
        <f t="shared" si="81"/>
        <v>17778</v>
      </c>
      <c r="O1087" s="2">
        <v>91</v>
      </c>
      <c r="P1087" s="8">
        <f t="shared" si="82"/>
        <v>17869</v>
      </c>
      <c r="Q1087" s="8">
        <f t="shared" si="83"/>
        <v>9309</v>
      </c>
      <c r="R1087" s="2" t="s">
        <v>28</v>
      </c>
      <c r="S1087" s="9">
        <f t="shared" si="84"/>
        <v>893.45</v>
      </c>
    </row>
    <row r="1088" spans="1:19" x14ac:dyDescent="0.3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str">
        <f>IFERROR(VLOOKUP('Customer Info'!A1080,'Customer Info'!A1080:C1579,2,FALSE),"Not Found")</f>
        <v>Not Found</v>
      </c>
      <c r="H1088" s="6" t="str">
        <f>IFERROR(VLOOKUP('Customer Info'!A1080,'Customer Info'!A1080:C1579,3,FALSE),"Not Found")</f>
        <v>Not Found</v>
      </c>
      <c r="I1088" s="6" t="str">
        <f>IFERROR(VLOOKUP('Customer Info'!A1080,'Customer Info'!A1080:E1579,5,FALSE),"Not Found")</f>
        <v>Not Found</v>
      </c>
      <c r="J1088" s="2">
        <v>63</v>
      </c>
      <c r="K1088" s="2">
        <v>58</v>
      </c>
      <c r="L1088" s="2">
        <v>1</v>
      </c>
      <c r="M1088" s="7">
        <f t="shared" si="80"/>
        <v>58</v>
      </c>
      <c r="N1088" s="7">
        <f t="shared" si="81"/>
        <v>63</v>
      </c>
      <c r="O1088" s="2">
        <v>10</v>
      </c>
      <c r="P1088" s="8">
        <f t="shared" si="82"/>
        <v>73</v>
      </c>
      <c r="Q1088" s="8">
        <f t="shared" si="83"/>
        <v>5</v>
      </c>
      <c r="R1088" s="2" t="s">
        <v>28</v>
      </c>
      <c r="S1088" s="9">
        <f t="shared" si="84"/>
        <v>1.46</v>
      </c>
    </row>
    <row r="1089" spans="1:19" x14ac:dyDescent="0.3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str">
        <f>IFERROR(VLOOKUP('Customer Info'!A1081,'Customer Info'!A1081:C1580,2,FALSE),"Not Found")</f>
        <v>Not Found</v>
      </c>
      <c r="H1089" s="6" t="str">
        <f>IFERROR(VLOOKUP('Customer Info'!A1081,'Customer Info'!A1081:C1580,3,FALSE),"Not Found")</f>
        <v>Not Found</v>
      </c>
      <c r="I1089" s="6" t="str">
        <f>IFERROR(VLOOKUP('Customer Info'!A1081,'Customer Info'!A1081:E1580,5,FALSE),"Not Found")</f>
        <v>Not Found</v>
      </c>
      <c r="J1089" s="2">
        <v>474</v>
      </c>
      <c r="K1089" s="2">
        <v>443</v>
      </c>
      <c r="L1089" s="2">
        <v>1</v>
      </c>
      <c r="M1089" s="7">
        <f t="shared" si="80"/>
        <v>443</v>
      </c>
      <c r="N1089" s="7">
        <f t="shared" si="81"/>
        <v>474</v>
      </c>
      <c r="O1089" s="2">
        <v>33</v>
      </c>
      <c r="P1089" s="8">
        <f t="shared" si="82"/>
        <v>507</v>
      </c>
      <c r="Q1089" s="8">
        <f t="shared" si="83"/>
        <v>31</v>
      </c>
      <c r="R1089" s="2" t="s">
        <v>28</v>
      </c>
      <c r="S1089" s="9">
        <f t="shared" si="84"/>
        <v>10.14</v>
      </c>
    </row>
    <row r="1090" spans="1:19" x14ac:dyDescent="0.3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str">
        <f>IFERROR(VLOOKUP('Customer Info'!A1082,'Customer Info'!A1082:C1581,2,FALSE),"Not Found")</f>
        <v>Not Found</v>
      </c>
      <c r="H1090" s="6" t="str">
        <f>IFERROR(VLOOKUP('Customer Info'!A1082,'Customer Info'!A1082:C1581,3,FALSE),"Not Found")</f>
        <v>Not Found</v>
      </c>
      <c r="I1090" s="6" t="str">
        <f>IFERROR(VLOOKUP('Customer Info'!A1082,'Customer Info'!A1082:E1581,5,FALSE),"Not Found")</f>
        <v>Not Found</v>
      </c>
      <c r="J1090" s="2">
        <v>1700</v>
      </c>
      <c r="K1090" s="2">
        <v>1620</v>
      </c>
      <c r="L1090" s="2">
        <v>1</v>
      </c>
      <c r="M1090" s="7">
        <f t="shared" si="80"/>
        <v>1620</v>
      </c>
      <c r="N1090" s="7">
        <f t="shared" si="81"/>
        <v>1700</v>
      </c>
      <c r="O1090" s="2">
        <v>53</v>
      </c>
      <c r="P1090" s="8">
        <f t="shared" si="82"/>
        <v>1753</v>
      </c>
      <c r="Q1090" s="8">
        <f t="shared" si="83"/>
        <v>80</v>
      </c>
      <c r="R1090" s="2" t="s">
        <v>28</v>
      </c>
      <c r="S1090" s="9">
        <f t="shared" si="84"/>
        <v>35.06</v>
      </c>
    </row>
    <row r="1091" spans="1:19" x14ac:dyDescent="0.3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str">
        <f>IFERROR(VLOOKUP('Customer Info'!A1083,'Customer Info'!A1083:C1582,2,FALSE),"Not Found")</f>
        <v>Not Found</v>
      </c>
      <c r="H1091" s="6" t="str">
        <f>IFERROR(VLOOKUP('Customer Info'!A1083,'Customer Info'!A1083:C1582,3,FALSE),"Not Found")</f>
        <v>Not Found</v>
      </c>
      <c r="I1091" s="6" t="str">
        <f>IFERROR(VLOOKUP('Customer Info'!A1083,'Customer Info'!A1083:E1582,5,FALSE),"Not Found")</f>
        <v>Not Found</v>
      </c>
      <c r="J1091" s="2">
        <v>8281</v>
      </c>
      <c r="K1091" s="2">
        <v>7673</v>
      </c>
      <c r="L1091" s="2">
        <v>5</v>
      </c>
      <c r="M1091" s="7">
        <f t="shared" si="80"/>
        <v>38365</v>
      </c>
      <c r="N1091" s="7">
        <f t="shared" si="81"/>
        <v>41405</v>
      </c>
      <c r="O1091" s="2">
        <v>48</v>
      </c>
      <c r="P1091" s="8">
        <f t="shared" si="82"/>
        <v>41453</v>
      </c>
      <c r="Q1091" s="8">
        <f t="shared" si="83"/>
        <v>33732</v>
      </c>
      <c r="R1091" s="2" t="s">
        <v>26</v>
      </c>
      <c r="S1091" s="9">
        <f t="shared" si="84"/>
        <v>2901.7100000000005</v>
      </c>
    </row>
    <row r="1092" spans="1:19" x14ac:dyDescent="0.3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str">
        <f>IFERROR(VLOOKUP('Customer Info'!A1084,'Customer Info'!A1084:C1583,2,FALSE),"Not Found")</f>
        <v>Not Found</v>
      </c>
      <c r="H1092" s="6" t="str">
        <f>IFERROR(VLOOKUP('Customer Info'!A1084,'Customer Info'!A1084:C1583,3,FALSE),"Not Found")</f>
        <v>Not Found</v>
      </c>
      <c r="I1092" s="6" t="str">
        <f>IFERROR(VLOOKUP('Customer Info'!A1084,'Customer Info'!A1084:E1583,5,FALSE),"Not Found")</f>
        <v>Not Found</v>
      </c>
      <c r="J1092" s="2">
        <v>63</v>
      </c>
      <c r="K1092" s="2">
        <v>58</v>
      </c>
      <c r="L1092" s="2">
        <v>14</v>
      </c>
      <c r="M1092" s="7">
        <f t="shared" si="80"/>
        <v>812</v>
      </c>
      <c r="N1092" s="7">
        <f t="shared" si="81"/>
        <v>882</v>
      </c>
      <c r="O1092" s="2">
        <v>10</v>
      </c>
      <c r="P1092" s="8">
        <f t="shared" si="82"/>
        <v>892</v>
      </c>
      <c r="Q1092" s="8">
        <f t="shared" si="83"/>
        <v>824</v>
      </c>
      <c r="R1092" s="2" t="s">
        <v>28</v>
      </c>
      <c r="S1092" s="9">
        <f t="shared" si="84"/>
        <v>17.84</v>
      </c>
    </row>
    <row r="1093" spans="1:19" x14ac:dyDescent="0.3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str">
        <f>IFERROR(VLOOKUP('Customer Info'!A1085,'Customer Info'!A1085:C1584,2,FALSE),"Not Found")</f>
        <v>Not Found</v>
      </c>
      <c r="H1093" s="6" t="str">
        <f>IFERROR(VLOOKUP('Customer Info'!A1085,'Customer Info'!A1085:C1584,3,FALSE),"Not Found")</f>
        <v>Not Found</v>
      </c>
      <c r="I1093" s="6" t="str">
        <f>IFERROR(VLOOKUP('Customer Info'!A1085,'Customer Info'!A1085:E1584,5,FALSE),"Not Found")</f>
        <v>Not Found</v>
      </c>
      <c r="J1093" s="2">
        <v>6060</v>
      </c>
      <c r="K1093" s="2">
        <v>6002</v>
      </c>
      <c r="L1093" s="2">
        <v>4</v>
      </c>
      <c r="M1093" s="7">
        <f t="shared" si="80"/>
        <v>24008</v>
      </c>
      <c r="N1093" s="7">
        <f t="shared" si="81"/>
        <v>24240</v>
      </c>
      <c r="O1093" s="2">
        <v>67</v>
      </c>
      <c r="P1093" s="8">
        <f t="shared" si="82"/>
        <v>24307</v>
      </c>
      <c r="Q1093" s="8">
        <f t="shared" si="83"/>
        <v>18238</v>
      </c>
      <c r="R1093" s="2" t="s">
        <v>28</v>
      </c>
      <c r="S1093" s="9">
        <f t="shared" si="84"/>
        <v>1215.3500000000001</v>
      </c>
    </row>
    <row r="1094" spans="1:19" x14ac:dyDescent="0.3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str">
        <f>IFERROR(VLOOKUP('Customer Info'!A1086,'Customer Info'!A1086:C1585,2,FALSE),"Not Found")</f>
        <v>Not Found</v>
      </c>
      <c r="H1094" s="6" t="str">
        <f>IFERROR(VLOOKUP('Customer Info'!A1086,'Customer Info'!A1086:C1585,3,FALSE),"Not Found")</f>
        <v>Not Found</v>
      </c>
      <c r="I1094" s="6" t="str">
        <f>IFERROR(VLOOKUP('Customer Info'!A1086,'Customer Info'!A1086:E1585,5,FALSE),"Not Found")</f>
        <v>Not Found</v>
      </c>
      <c r="J1094" s="2">
        <v>29378</v>
      </c>
      <c r="K1094" s="2">
        <v>26912</v>
      </c>
      <c r="L1094" s="2">
        <v>2</v>
      </c>
      <c r="M1094" s="7">
        <f t="shared" si="80"/>
        <v>53824</v>
      </c>
      <c r="N1094" s="7">
        <f t="shared" si="81"/>
        <v>58756</v>
      </c>
      <c r="O1094" s="2">
        <v>74</v>
      </c>
      <c r="P1094" s="8">
        <f t="shared" si="82"/>
        <v>58830</v>
      </c>
      <c r="Q1094" s="8">
        <f t="shared" si="83"/>
        <v>31844</v>
      </c>
      <c r="R1094" s="2" t="s">
        <v>50</v>
      </c>
      <c r="S1094" s="9">
        <f t="shared" si="84"/>
        <v>5294.7</v>
      </c>
    </row>
    <row r="1095" spans="1:19" x14ac:dyDescent="0.3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str">
        <f>IFERROR(VLOOKUP('Customer Info'!A1087,'Customer Info'!A1087:C1586,2,FALSE),"Not Found")</f>
        <v>Not Found</v>
      </c>
      <c r="H1095" s="6" t="str">
        <f>IFERROR(VLOOKUP('Customer Info'!A1087,'Customer Info'!A1087:C1586,3,FALSE),"Not Found")</f>
        <v>Not Found</v>
      </c>
      <c r="I1095" s="6" t="str">
        <f>IFERROR(VLOOKUP('Customer Info'!A1087,'Customer Info'!A1087:E1586,5,FALSE),"Not Found")</f>
        <v>Not Found</v>
      </c>
      <c r="J1095" s="2">
        <v>1210</v>
      </c>
      <c r="K1095" s="2">
        <v>1164</v>
      </c>
      <c r="L1095" s="2">
        <v>1</v>
      </c>
      <c r="M1095" s="7">
        <f t="shared" si="80"/>
        <v>1164</v>
      </c>
      <c r="N1095" s="7">
        <f t="shared" si="81"/>
        <v>1210</v>
      </c>
      <c r="O1095" s="2">
        <v>88</v>
      </c>
      <c r="P1095" s="8">
        <f t="shared" si="82"/>
        <v>1298</v>
      </c>
      <c r="Q1095" s="8">
        <f t="shared" si="83"/>
        <v>46</v>
      </c>
      <c r="R1095" s="2" t="s">
        <v>50</v>
      </c>
      <c r="S1095" s="9">
        <f t="shared" si="84"/>
        <v>25.96</v>
      </c>
    </row>
    <row r="1096" spans="1:19" x14ac:dyDescent="0.3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str">
        <f>IFERROR(VLOOKUP('Customer Info'!A1088,'Customer Info'!A1088:C1587,2,FALSE),"Not Found")</f>
        <v>Not Found</v>
      </c>
      <c r="H1096" s="6" t="str">
        <f>IFERROR(VLOOKUP('Customer Info'!A1088,'Customer Info'!A1088:C1587,3,FALSE),"Not Found")</f>
        <v>Not Found</v>
      </c>
      <c r="I1096" s="6" t="str">
        <f>IFERROR(VLOOKUP('Customer Info'!A1088,'Customer Info'!A1088:E1587,5,FALSE),"Not Found")</f>
        <v>Not Found</v>
      </c>
      <c r="J1096" s="2">
        <v>773</v>
      </c>
      <c r="K1096" s="2">
        <v>708</v>
      </c>
      <c r="L1096" s="2">
        <v>4</v>
      </c>
      <c r="M1096" s="7">
        <f t="shared" si="80"/>
        <v>2832</v>
      </c>
      <c r="N1096" s="7">
        <f t="shared" si="81"/>
        <v>3092</v>
      </c>
      <c r="O1096" s="2">
        <v>98</v>
      </c>
      <c r="P1096" s="8">
        <f t="shared" si="82"/>
        <v>3190</v>
      </c>
      <c r="Q1096" s="8">
        <f t="shared" si="83"/>
        <v>2384</v>
      </c>
      <c r="R1096" s="2" t="s">
        <v>50</v>
      </c>
      <c r="S1096" s="9">
        <f t="shared" si="84"/>
        <v>63.800000000000004</v>
      </c>
    </row>
    <row r="1097" spans="1:19" x14ac:dyDescent="0.3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str">
        <f>IFERROR(VLOOKUP('Customer Info'!A1089,'Customer Info'!A1089:C1588,2,FALSE),"Not Found")</f>
        <v>Not Found</v>
      </c>
      <c r="H1097" s="6" t="str">
        <f>IFERROR(VLOOKUP('Customer Info'!A1089,'Customer Info'!A1089:C1588,3,FALSE),"Not Found")</f>
        <v>Not Found</v>
      </c>
      <c r="I1097" s="6" t="str">
        <f>IFERROR(VLOOKUP('Customer Info'!A1089,'Customer Info'!A1089:E1588,5,FALSE),"Not Found")</f>
        <v>Not Found</v>
      </c>
      <c r="J1097" s="2">
        <v>7001</v>
      </c>
      <c r="K1097" s="2">
        <v>6476</v>
      </c>
      <c r="L1097" s="2">
        <v>1</v>
      </c>
      <c r="M1097" s="7">
        <f t="shared" si="80"/>
        <v>6476</v>
      </c>
      <c r="N1097" s="7">
        <f t="shared" si="81"/>
        <v>7001</v>
      </c>
      <c r="O1097" s="2">
        <v>55</v>
      </c>
      <c r="P1097" s="8">
        <f t="shared" si="82"/>
        <v>7056</v>
      </c>
      <c r="Q1097" s="8">
        <f t="shared" si="83"/>
        <v>525</v>
      </c>
      <c r="R1097" s="2" t="s">
        <v>28</v>
      </c>
      <c r="S1097" s="9">
        <f t="shared" si="84"/>
        <v>352.8</v>
      </c>
    </row>
    <row r="1098" spans="1:19" x14ac:dyDescent="0.3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str">
        <f>IFERROR(VLOOKUP('Customer Info'!A1090,'Customer Info'!A1090:C1589,2,FALSE),"Not Found")</f>
        <v>Not Found</v>
      </c>
      <c r="H1098" s="6" t="str">
        <f>IFERROR(VLOOKUP('Customer Info'!A1090,'Customer Info'!A1090:C1589,3,FALSE),"Not Found")</f>
        <v>Not Found</v>
      </c>
      <c r="I1098" s="6" t="str">
        <f>IFERROR(VLOOKUP('Customer Info'!A1090,'Customer Info'!A1090:E1589,5,FALSE),"Not Found")</f>
        <v>Not Found</v>
      </c>
      <c r="J1098" s="2">
        <v>127</v>
      </c>
      <c r="K1098" s="2">
        <v>116</v>
      </c>
      <c r="L1098" s="2">
        <v>3</v>
      </c>
      <c r="M1098" s="7">
        <f t="shared" si="80"/>
        <v>348</v>
      </c>
      <c r="N1098" s="7">
        <f t="shared" si="81"/>
        <v>381</v>
      </c>
      <c r="O1098" s="2">
        <v>30</v>
      </c>
      <c r="P1098" s="8">
        <f t="shared" si="82"/>
        <v>411</v>
      </c>
      <c r="Q1098" s="8">
        <f t="shared" si="83"/>
        <v>265</v>
      </c>
      <c r="R1098" s="2" t="s">
        <v>28</v>
      </c>
      <c r="S1098" s="9">
        <f t="shared" si="84"/>
        <v>8.2200000000000006</v>
      </c>
    </row>
    <row r="1099" spans="1:19" x14ac:dyDescent="0.3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str">
        <f>IFERROR(VLOOKUP('Customer Info'!A1091,'Customer Info'!A1091:C1590,2,FALSE),"Not Found")</f>
        <v>Not Found</v>
      </c>
      <c r="H1099" s="6" t="str">
        <f>IFERROR(VLOOKUP('Customer Info'!A1091,'Customer Info'!A1091:C1590,3,FALSE),"Not Found")</f>
        <v>Not Found</v>
      </c>
      <c r="I1099" s="6" t="str">
        <f>IFERROR(VLOOKUP('Customer Info'!A1091,'Customer Info'!A1091:E1590,5,FALSE),"Not Found")</f>
        <v>Not Found</v>
      </c>
      <c r="J1099" s="2">
        <v>36057</v>
      </c>
      <c r="K1099" s="2">
        <v>34028</v>
      </c>
      <c r="L1099" s="2">
        <v>1</v>
      </c>
      <c r="M1099" s="7">
        <f t="shared" ref="M1099:M1162" si="85">$K1099*$L1099</f>
        <v>34028</v>
      </c>
      <c r="N1099" s="7">
        <f t="shared" ref="N1099:N1162" si="86">$J1099*$L1099</f>
        <v>36057</v>
      </c>
      <c r="O1099" s="2">
        <v>96</v>
      </c>
      <c r="P1099" s="8">
        <f t="shared" ref="P1099:P1162" si="87">$N1099+$O1099</f>
        <v>36153</v>
      </c>
      <c r="Q1099" s="8">
        <f t="shared" ref="Q1099:Q1162" si="88">$N1099-$K1099</f>
        <v>2029</v>
      </c>
      <c r="R1099" s="2" t="s">
        <v>28</v>
      </c>
      <c r="S1099" s="9">
        <f t="shared" ref="S1099:S1162" si="89" xml:space="preserve"> P1099 * VLOOKUP(P1099, $T$2:$U$6, 2, TRUE)</f>
        <v>2530.71</v>
      </c>
    </row>
    <row r="1100" spans="1:19" x14ac:dyDescent="0.3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str">
        <f>IFERROR(VLOOKUP('Customer Info'!A1092,'Customer Info'!A1092:C1591,2,FALSE),"Not Found")</f>
        <v>Not Found</v>
      </c>
      <c r="H1100" s="6" t="str">
        <f>IFERROR(VLOOKUP('Customer Info'!A1092,'Customer Info'!A1092:C1591,3,FALSE),"Not Found")</f>
        <v>Not Found</v>
      </c>
      <c r="I1100" s="6" t="str">
        <f>IFERROR(VLOOKUP('Customer Info'!A1092,'Customer Info'!A1092:E1591,5,FALSE),"Not Found")</f>
        <v>Not Found</v>
      </c>
      <c r="J1100" s="2">
        <v>674</v>
      </c>
      <c r="K1100" s="2">
        <v>629</v>
      </c>
      <c r="L1100" s="2">
        <v>1</v>
      </c>
      <c r="M1100" s="7">
        <f t="shared" si="85"/>
        <v>629</v>
      </c>
      <c r="N1100" s="7">
        <f t="shared" si="86"/>
        <v>674</v>
      </c>
      <c r="O1100" s="2">
        <v>69</v>
      </c>
      <c r="P1100" s="8">
        <f t="shared" si="87"/>
        <v>743</v>
      </c>
      <c r="Q1100" s="8">
        <f t="shared" si="88"/>
        <v>45</v>
      </c>
      <c r="R1100" s="2" t="s">
        <v>50</v>
      </c>
      <c r="S1100" s="9">
        <f t="shared" si="89"/>
        <v>14.86</v>
      </c>
    </row>
    <row r="1101" spans="1:19" x14ac:dyDescent="0.3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str">
        <f>IFERROR(VLOOKUP('Customer Info'!A1093,'Customer Info'!A1093:C1592,2,FALSE),"Not Found")</f>
        <v>Not Found</v>
      </c>
      <c r="H1101" s="6" t="str">
        <f>IFERROR(VLOOKUP('Customer Info'!A1093,'Customer Info'!A1093:C1592,3,FALSE),"Not Found")</f>
        <v>Not Found</v>
      </c>
      <c r="I1101" s="6" t="str">
        <f>IFERROR(VLOOKUP('Customer Info'!A1093,'Customer Info'!A1093:E1592,5,FALSE),"Not Found")</f>
        <v>Not Found</v>
      </c>
      <c r="J1101" s="2">
        <v>4487</v>
      </c>
      <c r="K1101" s="2">
        <v>4201</v>
      </c>
      <c r="L1101" s="2">
        <v>1</v>
      </c>
      <c r="M1101" s="7">
        <f t="shared" si="85"/>
        <v>4201</v>
      </c>
      <c r="N1101" s="7">
        <f t="shared" si="86"/>
        <v>4487</v>
      </c>
      <c r="O1101" s="2">
        <v>25</v>
      </c>
      <c r="P1101" s="8">
        <f t="shared" si="87"/>
        <v>4512</v>
      </c>
      <c r="Q1101" s="8">
        <f t="shared" si="88"/>
        <v>286</v>
      </c>
      <c r="R1101" s="2" t="s">
        <v>28</v>
      </c>
      <c r="S1101" s="9">
        <f t="shared" si="89"/>
        <v>90.24</v>
      </c>
    </row>
    <row r="1102" spans="1:19" x14ac:dyDescent="0.3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str">
        <f>IFERROR(VLOOKUP('Customer Info'!A1094,'Customer Info'!A1094:C1593,2,FALSE),"Not Found")</f>
        <v>Not Found</v>
      </c>
      <c r="H1102" s="6" t="str">
        <f>IFERROR(VLOOKUP('Customer Info'!A1094,'Customer Info'!A1094:C1593,3,FALSE),"Not Found")</f>
        <v>Not Found</v>
      </c>
      <c r="I1102" s="6" t="str">
        <f>IFERROR(VLOOKUP('Customer Info'!A1094,'Customer Info'!A1094:E1593,5,FALSE),"Not Found")</f>
        <v>Not Found</v>
      </c>
      <c r="J1102" s="2">
        <v>8686</v>
      </c>
      <c r="K1102" s="2">
        <v>8035</v>
      </c>
      <c r="L1102" s="2">
        <v>4</v>
      </c>
      <c r="M1102" s="7">
        <f t="shared" si="85"/>
        <v>32140</v>
      </c>
      <c r="N1102" s="7">
        <f t="shared" si="86"/>
        <v>34744</v>
      </c>
      <c r="O1102" s="2">
        <v>62</v>
      </c>
      <c r="P1102" s="8">
        <f t="shared" si="87"/>
        <v>34806</v>
      </c>
      <c r="Q1102" s="8">
        <f t="shared" si="88"/>
        <v>26709</v>
      </c>
      <c r="R1102" s="2" t="s">
        <v>28</v>
      </c>
      <c r="S1102" s="9">
        <f t="shared" si="89"/>
        <v>2436.42</v>
      </c>
    </row>
    <row r="1103" spans="1:19" x14ac:dyDescent="0.3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str">
        <f>IFERROR(VLOOKUP('Customer Info'!A1095,'Customer Info'!A1095:C1594,2,FALSE),"Not Found")</f>
        <v>Not Found</v>
      </c>
      <c r="H1103" s="6" t="str">
        <f>IFERROR(VLOOKUP('Customer Info'!A1095,'Customer Info'!A1095:C1594,3,FALSE),"Not Found")</f>
        <v>Not Found</v>
      </c>
      <c r="I1103" s="6" t="str">
        <f>IFERROR(VLOOKUP('Customer Info'!A1095,'Customer Info'!A1095:E1594,5,FALSE),"Not Found")</f>
        <v>Not Found</v>
      </c>
      <c r="J1103" s="2">
        <v>2981</v>
      </c>
      <c r="K1103" s="2">
        <v>2870</v>
      </c>
      <c r="L1103" s="2">
        <v>4</v>
      </c>
      <c r="M1103" s="7">
        <f t="shared" si="85"/>
        <v>11480</v>
      </c>
      <c r="N1103" s="7">
        <f t="shared" si="86"/>
        <v>11924</v>
      </c>
      <c r="O1103" s="2">
        <v>39</v>
      </c>
      <c r="P1103" s="8">
        <f t="shared" si="87"/>
        <v>11963</v>
      </c>
      <c r="Q1103" s="8">
        <f t="shared" si="88"/>
        <v>9054</v>
      </c>
      <c r="R1103" s="2" t="s">
        <v>50</v>
      </c>
      <c r="S1103" s="9">
        <f t="shared" si="89"/>
        <v>598.15</v>
      </c>
    </row>
    <row r="1104" spans="1:19" x14ac:dyDescent="0.3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str">
        <f>IFERROR(VLOOKUP('Customer Info'!A1096,'Customer Info'!A1096:C1595,2,FALSE),"Not Found")</f>
        <v>Not Found</v>
      </c>
      <c r="H1104" s="6" t="str">
        <f>IFERROR(VLOOKUP('Customer Info'!A1096,'Customer Info'!A1096:C1595,3,FALSE),"Not Found")</f>
        <v>Not Found</v>
      </c>
      <c r="I1104" s="6" t="str">
        <f>IFERROR(VLOOKUP('Customer Info'!A1096,'Customer Info'!A1096:E1595,5,FALSE),"Not Found")</f>
        <v>Not Found</v>
      </c>
      <c r="J1104" s="2">
        <v>1556</v>
      </c>
      <c r="K1104" s="2">
        <v>1414</v>
      </c>
      <c r="L1104" s="2">
        <v>1</v>
      </c>
      <c r="M1104" s="7">
        <f t="shared" si="85"/>
        <v>1414</v>
      </c>
      <c r="N1104" s="7">
        <f t="shared" si="86"/>
        <v>1556</v>
      </c>
      <c r="O1104" s="2">
        <v>35</v>
      </c>
      <c r="P1104" s="8">
        <f t="shared" si="87"/>
        <v>1591</v>
      </c>
      <c r="Q1104" s="8">
        <f t="shared" si="88"/>
        <v>142</v>
      </c>
      <c r="R1104" s="2" t="s">
        <v>28</v>
      </c>
      <c r="S1104" s="9">
        <f t="shared" si="89"/>
        <v>31.82</v>
      </c>
    </row>
    <row r="1105" spans="1:19" x14ac:dyDescent="0.3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str">
        <f>IFERROR(VLOOKUP('Customer Info'!A1097,'Customer Info'!A1097:C1596,2,FALSE),"Not Found")</f>
        <v>Not Found</v>
      </c>
      <c r="H1105" s="6" t="str">
        <f>IFERROR(VLOOKUP('Customer Info'!A1097,'Customer Info'!A1097:C1596,3,FALSE),"Not Found")</f>
        <v>Not Found</v>
      </c>
      <c r="I1105" s="6" t="str">
        <f>IFERROR(VLOOKUP('Customer Info'!A1097,'Customer Info'!A1097:E1596,5,FALSE),"Not Found")</f>
        <v>Not Found</v>
      </c>
      <c r="J1105" s="2">
        <v>1569</v>
      </c>
      <c r="K1105" s="2">
        <v>1466</v>
      </c>
      <c r="L1105" s="2">
        <v>2</v>
      </c>
      <c r="M1105" s="7">
        <f t="shared" si="85"/>
        <v>2932</v>
      </c>
      <c r="N1105" s="7">
        <f t="shared" si="86"/>
        <v>3138</v>
      </c>
      <c r="O1105" s="2">
        <v>36</v>
      </c>
      <c r="P1105" s="8">
        <f t="shared" si="87"/>
        <v>3174</v>
      </c>
      <c r="Q1105" s="8">
        <f t="shared" si="88"/>
        <v>1672</v>
      </c>
      <c r="R1105" s="2" t="s">
        <v>50</v>
      </c>
      <c r="S1105" s="9">
        <f t="shared" si="89"/>
        <v>63.480000000000004</v>
      </c>
    </row>
    <row r="1106" spans="1:19" x14ac:dyDescent="0.3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str">
        <f>IFERROR(VLOOKUP('Customer Info'!A1098,'Customer Info'!A1098:C1597,2,FALSE),"Not Found")</f>
        <v>Not Found</v>
      </c>
      <c r="H1106" s="6" t="str">
        <f>IFERROR(VLOOKUP('Customer Info'!A1098,'Customer Info'!A1098:C1597,3,FALSE),"Not Found")</f>
        <v>Not Found</v>
      </c>
      <c r="I1106" s="6" t="str">
        <f>IFERROR(VLOOKUP('Customer Info'!A1098,'Customer Info'!A1098:E1597,5,FALSE),"Not Found")</f>
        <v>Not Found</v>
      </c>
      <c r="J1106" s="2">
        <v>1283</v>
      </c>
      <c r="K1106" s="2">
        <v>1187</v>
      </c>
      <c r="L1106" s="2">
        <v>2</v>
      </c>
      <c r="M1106" s="7">
        <f t="shared" si="85"/>
        <v>2374</v>
      </c>
      <c r="N1106" s="7">
        <f t="shared" si="86"/>
        <v>2566</v>
      </c>
      <c r="O1106" s="2">
        <v>20</v>
      </c>
      <c r="P1106" s="8">
        <f t="shared" si="87"/>
        <v>2586</v>
      </c>
      <c r="Q1106" s="8">
        <f t="shared" si="88"/>
        <v>1379</v>
      </c>
      <c r="R1106" s="2" t="s">
        <v>50</v>
      </c>
      <c r="S1106" s="9">
        <f t="shared" si="89"/>
        <v>51.72</v>
      </c>
    </row>
    <row r="1107" spans="1:19" x14ac:dyDescent="0.3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str">
        <f>IFERROR(VLOOKUP('Customer Info'!A1099,'Customer Info'!A1099:C1598,2,FALSE),"Not Found")</f>
        <v>Not Found</v>
      </c>
      <c r="H1107" s="6" t="str">
        <f>IFERROR(VLOOKUP('Customer Info'!A1099,'Customer Info'!A1099:C1598,3,FALSE),"Not Found")</f>
        <v>Not Found</v>
      </c>
      <c r="I1107" s="6" t="str">
        <f>IFERROR(VLOOKUP('Customer Info'!A1099,'Customer Info'!A1099:E1598,5,FALSE),"Not Found")</f>
        <v>Not Found</v>
      </c>
      <c r="J1107" s="2">
        <v>1587</v>
      </c>
      <c r="K1107" s="2">
        <v>1428</v>
      </c>
      <c r="L1107" s="2">
        <v>2</v>
      </c>
      <c r="M1107" s="7">
        <f t="shared" si="85"/>
        <v>2856</v>
      </c>
      <c r="N1107" s="7">
        <f t="shared" si="86"/>
        <v>3174</v>
      </c>
      <c r="O1107" s="2">
        <v>50</v>
      </c>
      <c r="P1107" s="8">
        <f t="shared" si="87"/>
        <v>3224</v>
      </c>
      <c r="Q1107" s="8">
        <f t="shared" si="88"/>
        <v>1746</v>
      </c>
      <c r="R1107" s="2" t="s">
        <v>28</v>
      </c>
      <c r="S1107" s="9">
        <f t="shared" si="89"/>
        <v>64.48</v>
      </c>
    </row>
    <row r="1108" spans="1:19" x14ac:dyDescent="0.3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str">
        <f>IFERROR(VLOOKUP('Customer Info'!A1100,'Customer Info'!A1100:C1599,2,FALSE),"Not Found")</f>
        <v>Not Found</v>
      </c>
      <c r="H1108" s="6" t="str">
        <f>IFERROR(VLOOKUP('Customer Info'!A1100,'Customer Info'!A1100:C1599,3,FALSE),"Not Found")</f>
        <v>Not Found</v>
      </c>
      <c r="I1108" s="6" t="str">
        <f>IFERROR(VLOOKUP('Customer Info'!A1100,'Customer Info'!A1100:E1599,5,FALSE),"Not Found")</f>
        <v>Not Found</v>
      </c>
      <c r="J1108" s="2">
        <v>1668</v>
      </c>
      <c r="K1108" s="2">
        <v>1636</v>
      </c>
      <c r="L1108" s="2">
        <v>5</v>
      </c>
      <c r="M1108" s="7">
        <f t="shared" si="85"/>
        <v>8180</v>
      </c>
      <c r="N1108" s="7">
        <f t="shared" si="86"/>
        <v>8340</v>
      </c>
      <c r="O1108" s="2">
        <v>34</v>
      </c>
      <c r="P1108" s="8">
        <f t="shared" si="87"/>
        <v>8374</v>
      </c>
      <c r="Q1108" s="8">
        <f t="shared" si="88"/>
        <v>6704</v>
      </c>
      <c r="R1108" s="2" t="s">
        <v>50</v>
      </c>
      <c r="S1108" s="9">
        <f t="shared" si="89"/>
        <v>418.70000000000005</v>
      </c>
    </row>
    <row r="1109" spans="1:19" x14ac:dyDescent="0.3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str">
        <f>IFERROR(VLOOKUP('Customer Info'!A1101,'Customer Info'!A1101:C1600,2,FALSE),"Not Found")</f>
        <v>Not Found</v>
      </c>
      <c r="H1109" s="6" t="str">
        <f>IFERROR(VLOOKUP('Customer Info'!A1101,'Customer Info'!A1101:C1600,3,FALSE),"Not Found")</f>
        <v>Not Found</v>
      </c>
      <c r="I1109" s="6" t="str">
        <f>IFERROR(VLOOKUP('Customer Info'!A1101,'Customer Info'!A1101:E1600,5,FALSE),"Not Found")</f>
        <v>Not Found</v>
      </c>
      <c r="J1109" s="2">
        <v>8026</v>
      </c>
      <c r="K1109" s="2">
        <v>7572</v>
      </c>
      <c r="L1109" s="2">
        <v>2</v>
      </c>
      <c r="M1109" s="7">
        <f t="shared" si="85"/>
        <v>15144</v>
      </c>
      <c r="N1109" s="7">
        <f t="shared" si="86"/>
        <v>16052</v>
      </c>
      <c r="O1109" s="2">
        <v>25</v>
      </c>
      <c r="P1109" s="8">
        <f t="shared" si="87"/>
        <v>16077</v>
      </c>
      <c r="Q1109" s="8">
        <f t="shared" si="88"/>
        <v>8480</v>
      </c>
      <c r="R1109" s="2" t="s">
        <v>28</v>
      </c>
      <c r="S1109" s="9">
        <f t="shared" si="89"/>
        <v>803.85</v>
      </c>
    </row>
    <row r="1110" spans="1:19" x14ac:dyDescent="0.3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str">
        <f>IFERROR(VLOOKUP('Customer Info'!A1102,'Customer Info'!A1102:C1601,2,FALSE),"Not Found")</f>
        <v>Not Found</v>
      </c>
      <c r="H1110" s="6" t="str">
        <f>IFERROR(VLOOKUP('Customer Info'!A1102,'Customer Info'!A1102:C1601,3,FALSE),"Not Found")</f>
        <v>Not Found</v>
      </c>
      <c r="I1110" s="6" t="str">
        <f>IFERROR(VLOOKUP('Customer Info'!A1102,'Customer Info'!A1102:E1601,5,FALSE),"Not Found")</f>
        <v>Not Found</v>
      </c>
      <c r="J1110" s="2">
        <v>165</v>
      </c>
      <c r="K1110" s="2">
        <v>149</v>
      </c>
      <c r="L1110" s="2">
        <v>4</v>
      </c>
      <c r="M1110" s="7">
        <f t="shared" si="85"/>
        <v>596</v>
      </c>
      <c r="N1110" s="7">
        <f t="shared" si="86"/>
        <v>660</v>
      </c>
      <c r="O1110" s="2">
        <v>30</v>
      </c>
      <c r="P1110" s="8">
        <f t="shared" si="87"/>
        <v>690</v>
      </c>
      <c r="Q1110" s="8">
        <f t="shared" si="88"/>
        <v>511</v>
      </c>
      <c r="R1110" s="2" t="s">
        <v>28</v>
      </c>
      <c r="S1110" s="9">
        <f t="shared" si="89"/>
        <v>13.8</v>
      </c>
    </row>
    <row r="1111" spans="1:19" x14ac:dyDescent="0.3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str">
        <f>IFERROR(VLOOKUP('Customer Info'!A1103,'Customer Info'!A1103:C1602,2,FALSE),"Not Found")</f>
        <v>Not Found</v>
      </c>
      <c r="H1111" s="6" t="str">
        <f>IFERROR(VLOOKUP('Customer Info'!A1103,'Customer Info'!A1103:C1602,3,FALSE),"Not Found")</f>
        <v>Not Found</v>
      </c>
      <c r="I1111" s="6" t="str">
        <f>IFERROR(VLOOKUP('Customer Info'!A1103,'Customer Info'!A1103:E1602,5,FALSE),"Not Found")</f>
        <v>Not Found</v>
      </c>
      <c r="J1111" s="2">
        <v>2250</v>
      </c>
      <c r="K1111" s="2">
        <v>2207</v>
      </c>
      <c r="L1111" s="2">
        <v>1</v>
      </c>
      <c r="M1111" s="7">
        <f t="shared" si="85"/>
        <v>2207</v>
      </c>
      <c r="N1111" s="7">
        <f t="shared" si="86"/>
        <v>2250</v>
      </c>
      <c r="O1111" s="2">
        <v>22</v>
      </c>
      <c r="P1111" s="8">
        <f t="shared" si="87"/>
        <v>2272</v>
      </c>
      <c r="Q1111" s="8">
        <f t="shared" si="88"/>
        <v>43</v>
      </c>
      <c r="R1111" s="2" t="s">
        <v>28</v>
      </c>
      <c r="S1111" s="9">
        <f t="shared" si="89"/>
        <v>45.44</v>
      </c>
    </row>
    <row r="1112" spans="1:19" x14ac:dyDescent="0.3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str">
        <f>IFERROR(VLOOKUP('Customer Info'!A1104,'Customer Info'!A1104:C1603,2,FALSE),"Not Found")</f>
        <v>Not Found</v>
      </c>
      <c r="H1112" s="6" t="str">
        <f>IFERROR(VLOOKUP('Customer Info'!A1104,'Customer Info'!A1104:C1603,3,FALSE),"Not Found")</f>
        <v>Not Found</v>
      </c>
      <c r="I1112" s="6" t="str">
        <f>IFERROR(VLOOKUP('Customer Info'!A1104,'Customer Info'!A1104:E1603,5,FALSE),"Not Found")</f>
        <v>Not Found</v>
      </c>
      <c r="J1112" s="2">
        <v>8379</v>
      </c>
      <c r="K1112" s="2">
        <v>8061</v>
      </c>
      <c r="L1112" s="2">
        <v>1</v>
      </c>
      <c r="M1112" s="7">
        <f t="shared" si="85"/>
        <v>8061</v>
      </c>
      <c r="N1112" s="7">
        <f t="shared" si="86"/>
        <v>8379</v>
      </c>
      <c r="O1112" s="2">
        <v>81</v>
      </c>
      <c r="P1112" s="8">
        <f t="shared" si="87"/>
        <v>8460</v>
      </c>
      <c r="Q1112" s="8">
        <f t="shared" si="88"/>
        <v>318</v>
      </c>
      <c r="R1112" s="2" t="s">
        <v>28</v>
      </c>
      <c r="S1112" s="9">
        <f t="shared" si="89"/>
        <v>423</v>
      </c>
    </row>
    <row r="1113" spans="1:19" x14ac:dyDescent="0.3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str">
        <f>IFERROR(VLOOKUP('Customer Info'!A1105,'Customer Info'!A1105:C1604,2,FALSE),"Not Found")</f>
        <v>Not Found</v>
      </c>
      <c r="H1113" s="6" t="str">
        <f>IFERROR(VLOOKUP('Customer Info'!A1105,'Customer Info'!A1105:C1604,3,FALSE),"Not Found")</f>
        <v>Not Found</v>
      </c>
      <c r="I1113" s="6" t="str">
        <f>IFERROR(VLOOKUP('Customer Info'!A1105,'Customer Info'!A1105:E1604,5,FALSE),"Not Found")</f>
        <v>Not Found</v>
      </c>
      <c r="J1113" s="2">
        <v>7623</v>
      </c>
      <c r="K1113" s="2">
        <v>7064</v>
      </c>
      <c r="L1113" s="2">
        <v>2</v>
      </c>
      <c r="M1113" s="7">
        <f t="shared" si="85"/>
        <v>14128</v>
      </c>
      <c r="N1113" s="7">
        <f t="shared" si="86"/>
        <v>15246</v>
      </c>
      <c r="O1113" s="2">
        <v>69</v>
      </c>
      <c r="P1113" s="8">
        <f t="shared" si="87"/>
        <v>15315</v>
      </c>
      <c r="Q1113" s="8">
        <f t="shared" si="88"/>
        <v>8182</v>
      </c>
      <c r="R1113" s="2" t="s">
        <v>50</v>
      </c>
      <c r="S1113" s="9">
        <f t="shared" si="89"/>
        <v>765.75</v>
      </c>
    </row>
    <row r="1114" spans="1:19" x14ac:dyDescent="0.3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str">
        <f>IFERROR(VLOOKUP('Customer Info'!A1106,'Customer Info'!A1106:C1605,2,FALSE),"Not Found")</f>
        <v>Not Found</v>
      </c>
      <c r="H1114" s="6" t="str">
        <f>IFERROR(VLOOKUP('Customer Info'!A1106,'Customer Info'!A1106:C1605,3,FALSE),"Not Found")</f>
        <v>Not Found</v>
      </c>
      <c r="I1114" s="6" t="str">
        <f>IFERROR(VLOOKUP('Customer Info'!A1106,'Customer Info'!A1106:E1605,5,FALSE),"Not Found")</f>
        <v>Not Found</v>
      </c>
      <c r="J1114" s="2">
        <v>7001</v>
      </c>
      <c r="K1114" s="2">
        <v>6476</v>
      </c>
      <c r="L1114" s="2">
        <v>5</v>
      </c>
      <c r="M1114" s="7">
        <f t="shared" si="85"/>
        <v>32380</v>
      </c>
      <c r="N1114" s="7">
        <f t="shared" si="86"/>
        <v>35005</v>
      </c>
      <c r="O1114" s="2">
        <v>28</v>
      </c>
      <c r="P1114" s="8">
        <f t="shared" si="87"/>
        <v>35033</v>
      </c>
      <c r="Q1114" s="8">
        <f t="shared" si="88"/>
        <v>28529</v>
      </c>
      <c r="R1114" s="2" t="s">
        <v>50</v>
      </c>
      <c r="S1114" s="9">
        <f t="shared" si="89"/>
        <v>2452.3100000000004</v>
      </c>
    </row>
    <row r="1115" spans="1:19" x14ac:dyDescent="0.3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str">
        <f>IFERROR(VLOOKUP('Customer Info'!A1107,'Customer Info'!A1107:C1606,2,FALSE),"Not Found")</f>
        <v>Not Found</v>
      </c>
      <c r="H1115" s="6" t="str">
        <f>IFERROR(VLOOKUP('Customer Info'!A1107,'Customer Info'!A1107:C1606,3,FALSE),"Not Found")</f>
        <v>Not Found</v>
      </c>
      <c r="I1115" s="6" t="str">
        <f>IFERROR(VLOOKUP('Customer Info'!A1107,'Customer Info'!A1107:E1606,5,FALSE),"Not Found")</f>
        <v>Not Found</v>
      </c>
      <c r="J1115" s="2">
        <v>127</v>
      </c>
      <c r="K1115" s="2">
        <v>116</v>
      </c>
      <c r="L1115" s="2">
        <v>8</v>
      </c>
      <c r="M1115" s="7">
        <f t="shared" si="85"/>
        <v>928</v>
      </c>
      <c r="N1115" s="7">
        <f t="shared" si="86"/>
        <v>1016</v>
      </c>
      <c r="O1115" s="2">
        <v>30</v>
      </c>
      <c r="P1115" s="8">
        <f t="shared" si="87"/>
        <v>1046</v>
      </c>
      <c r="Q1115" s="8">
        <f t="shared" si="88"/>
        <v>900</v>
      </c>
      <c r="R1115" s="2" t="s">
        <v>28</v>
      </c>
      <c r="S1115" s="9">
        <f t="shared" si="89"/>
        <v>20.92</v>
      </c>
    </row>
    <row r="1116" spans="1:19" x14ac:dyDescent="0.3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str">
        <f>IFERROR(VLOOKUP('Customer Info'!A1108,'Customer Info'!A1108:C1607,2,FALSE),"Not Found")</f>
        <v>Not Found</v>
      </c>
      <c r="H1116" s="6" t="str">
        <f>IFERROR(VLOOKUP('Customer Info'!A1108,'Customer Info'!A1108:C1607,3,FALSE),"Not Found")</f>
        <v>Not Found</v>
      </c>
      <c r="I1116" s="6" t="str">
        <f>IFERROR(VLOOKUP('Customer Info'!A1108,'Customer Info'!A1108:E1607,5,FALSE),"Not Found")</f>
        <v>Not Found</v>
      </c>
      <c r="J1116" s="2">
        <v>214</v>
      </c>
      <c r="K1116" s="2">
        <v>200</v>
      </c>
      <c r="L1116" s="2">
        <v>6</v>
      </c>
      <c r="M1116" s="7">
        <f t="shared" si="85"/>
        <v>1200</v>
      </c>
      <c r="N1116" s="7">
        <f t="shared" si="86"/>
        <v>1284</v>
      </c>
      <c r="O1116" s="2">
        <v>41</v>
      </c>
      <c r="P1116" s="8">
        <f t="shared" si="87"/>
        <v>1325</v>
      </c>
      <c r="Q1116" s="8">
        <f t="shared" si="88"/>
        <v>1084</v>
      </c>
      <c r="R1116" s="2" t="s">
        <v>26</v>
      </c>
      <c r="S1116" s="9">
        <f t="shared" si="89"/>
        <v>26.5</v>
      </c>
    </row>
    <row r="1117" spans="1:19" x14ac:dyDescent="0.3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str">
        <f>IFERROR(VLOOKUP('Customer Info'!A1109,'Customer Info'!A1109:C1608,2,FALSE),"Not Found")</f>
        <v>Not Found</v>
      </c>
      <c r="H1117" s="6" t="str">
        <f>IFERROR(VLOOKUP('Customer Info'!A1109,'Customer Info'!A1109:C1608,3,FALSE),"Not Found")</f>
        <v>Not Found</v>
      </c>
      <c r="I1117" s="6" t="str">
        <f>IFERROR(VLOOKUP('Customer Info'!A1109,'Customer Info'!A1109:E1608,5,FALSE),"Not Found")</f>
        <v>Not Found</v>
      </c>
      <c r="J1117" s="2">
        <v>2310</v>
      </c>
      <c r="K1117" s="2">
        <v>2040</v>
      </c>
      <c r="L1117" s="2">
        <v>9</v>
      </c>
      <c r="M1117" s="7">
        <f t="shared" si="85"/>
        <v>18360</v>
      </c>
      <c r="N1117" s="7">
        <f t="shared" si="86"/>
        <v>20790</v>
      </c>
      <c r="O1117" s="2">
        <v>93</v>
      </c>
      <c r="P1117" s="8">
        <f t="shared" si="87"/>
        <v>20883</v>
      </c>
      <c r="Q1117" s="8">
        <f t="shared" si="88"/>
        <v>18750</v>
      </c>
      <c r="R1117" s="2" t="s">
        <v>28</v>
      </c>
      <c r="S1117" s="9">
        <f t="shared" si="89"/>
        <v>1044.1500000000001</v>
      </c>
    </row>
    <row r="1118" spans="1:19" x14ac:dyDescent="0.3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str">
        <f>IFERROR(VLOOKUP('Customer Info'!A1110,'Customer Info'!A1110:C1609,2,FALSE),"Not Found")</f>
        <v>Not Found</v>
      </c>
      <c r="H1118" s="6" t="str">
        <f>IFERROR(VLOOKUP('Customer Info'!A1110,'Customer Info'!A1110:C1609,3,FALSE),"Not Found")</f>
        <v>Not Found</v>
      </c>
      <c r="I1118" s="6" t="str">
        <f>IFERROR(VLOOKUP('Customer Info'!A1110,'Customer Info'!A1110:E1609,5,FALSE),"Not Found")</f>
        <v>Not Found</v>
      </c>
      <c r="J1118" s="2">
        <v>3354</v>
      </c>
      <c r="K1118" s="2">
        <v>3102</v>
      </c>
      <c r="L1118" s="2">
        <v>5</v>
      </c>
      <c r="M1118" s="7">
        <f t="shared" si="85"/>
        <v>15510</v>
      </c>
      <c r="N1118" s="7">
        <f t="shared" si="86"/>
        <v>16770</v>
      </c>
      <c r="O1118" s="2">
        <v>35</v>
      </c>
      <c r="P1118" s="8">
        <f t="shared" si="87"/>
        <v>16805</v>
      </c>
      <c r="Q1118" s="8">
        <f t="shared" si="88"/>
        <v>13668</v>
      </c>
      <c r="R1118" s="2" t="s">
        <v>50</v>
      </c>
      <c r="S1118" s="9">
        <f t="shared" si="89"/>
        <v>840.25</v>
      </c>
    </row>
    <row r="1119" spans="1:19" x14ac:dyDescent="0.3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str">
        <f>IFERROR(VLOOKUP('Customer Info'!A1111,'Customer Info'!A1111:C1610,2,FALSE),"Not Found")</f>
        <v>Not Found</v>
      </c>
      <c r="H1119" s="6" t="str">
        <f>IFERROR(VLOOKUP('Customer Info'!A1111,'Customer Info'!A1111:C1610,3,FALSE),"Not Found")</f>
        <v>Not Found</v>
      </c>
      <c r="I1119" s="6" t="str">
        <f>IFERROR(VLOOKUP('Customer Info'!A1111,'Customer Info'!A1111:E1610,5,FALSE),"Not Found")</f>
        <v>Not Found</v>
      </c>
      <c r="J1119" s="2">
        <v>8022</v>
      </c>
      <c r="K1119" s="2">
        <v>7868</v>
      </c>
      <c r="L1119" s="2">
        <v>2</v>
      </c>
      <c r="M1119" s="7">
        <f t="shared" si="85"/>
        <v>15736</v>
      </c>
      <c r="N1119" s="7">
        <f t="shared" si="86"/>
        <v>16044</v>
      </c>
      <c r="O1119" s="2">
        <v>52</v>
      </c>
      <c r="P1119" s="8">
        <f t="shared" si="87"/>
        <v>16096</v>
      </c>
      <c r="Q1119" s="8">
        <f t="shared" si="88"/>
        <v>8176</v>
      </c>
      <c r="R1119" s="2" t="s">
        <v>26</v>
      </c>
      <c r="S1119" s="9">
        <f t="shared" si="89"/>
        <v>804.80000000000007</v>
      </c>
    </row>
    <row r="1120" spans="1:19" x14ac:dyDescent="0.3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str">
        <f>IFERROR(VLOOKUP('Customer Info'!A1112,'Customer Info'!A1112:C1611,2,FALSE),"Not Found")</f>
        <v>Not Found</v>
      </c>
      <c r="H1120" s="6" t="str">
        <f>IFERROR(VLOOKUP('Customer Info'!A1112,'Customer Info'!A1112:C1611,3,FALSE),"Not Found")</f>
        <v>Not Found</v>
      </c>
      <c r="I1120" s="6" t="str">
        <f>IFERROR(VLOOKUP('Customer Info'!A1112,'Customer Info'!A1112:E1611,5,FALSE),"Not Found")</f>
        <v>Not Found</v>
      </c>
      <c r="J1120" s="2">
        <v>63</v>
      </c>
      <c r="K1120" s="2">
        <v>59</v>
      </c>
      <c r="L1120" s="2">
        <v>3</v>
      </c>
      <c r="M1120" s="7">
        <f t="shared" si="85"/>
        <v>177</v>
      </c>
      <c r="N1120" s="7">
        <f t="shared" si="86"/>
        <v>189</v>
      </c>
      <c r="O1120" s="2">
        <v>10</v>
      </c>
      <c r="P1120" s="8">
        <f t="shared" si="87"/>
        <v>199</v>
      </c>
      <c r="Q1120" s="8">
        <f t="shared" si="88"/>
        <v>130</v>
      </c>
      <c r="R1120" s="2" t="s">
        <v>26</v>
      </c>
      <c r="S1120" s="9">
        <f t="shared" si="89"/>
        <v>3.98</v>
      </c>
    </row>
    <row r="1121" spans="1:19" x14ac:dyDescent="0.3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str">
        <f>IFERROR(VLOOKUP('Customer Info'!A1113,'Customer Info'!A1113:C1612,2,FALSE),"Not Found")</f>
        <v>Not Found</v>
      </c>
      <c r="H1121" s="6" t="str">
        <f>IFERROR(VLOOKUP('Customer Info'!A1113,'Customer Info'!A1113:C1612,3,FALSE),"Not Found")</f>
        <v>Not Found</v>
      </c>
      <c r="I1121" s="6" t="str">
        <f>IFERROR(VLOOKUP('Customer Info'!A1113,'Customer Info'!A1113:E1612,5,FALSE),"Not Found")</f>
        <v>Not Found</v>
      </c>
      <c r="J1121" s="2">
        <v>36057</v>
      </c>
      <c r="K1121" s="2">
        <v>34028</v>
      </c>
      <c r="L1121" s="2">
        <v>5</v>
      </c>
      <c r="M1121" s="7">
        <f t="shared" si="85"/>
        <v>170140</v>
      </c>
      <c r="N1121" s="7">
        <f t="shared" si="86"/>
        <v>180285</v>
      </c>
      <c r="O1121" s="2">
        <v>62</v>
      </c>
      <c r="P1121" s="8">
        <f t="shared" si="87"/>
        <v>180347</v>
      </c>
      <c r="Q1121" s="8">
        <f t="shared" si="88"/>
        <v>146257</v>
      </c>
      <c r="R1121" s="2" t="s">
        <v>50</v>
      </c>
      <c r="S1121" s="9">
        <f t="shared" si="89"/>
        <v>21641.64</v>
      </c>
    </row>
    <row r="1122" spans="1:19" x14ac:dyDescent="0.3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str">
        <f>IFERROR(VLOOKUP('Customer Info'!A1114,'Customer Info'!A1114:C1613,2,FALSE),"Not Found")</f>
        <v>Not Found</v>
      </c>
      <c r="H1122" s="6" t="str">
        <f>IFERROR(VLOOKUP('Customer Info'!A1114,'Customer Info'!A1114:C1613,3,FALSE),"Not Found")</f>
        <v>Not Found</v>
      </c>
      <c r="I1122" s="6" t="str">
        <f>IFERROR(VLOOKUP('Customer Info'!A1114,'Customer Info'!A1114:E1613,5,FALSE),"Not Found")</f>
        <v>Not Found</v>
      </c>
      <c r="J1122" s="2">
        <v>1574</v>
      </c>
      <c r="K1122" s="2">
        <v>1375</v>
      </c>
      <c r="L1122" s="2">
        <v>2</v>
      </c>
      <c r="M1122" s="7">
        <f t="shared" si="85"/>
        <v>2750</v>
      </c>
      <c r="N1122" s="7">
        <f t="shared" si="86"/>
        <v>3148</v>
      </c>
      <c r="O1122" s="2">
        <v>78</v>
      </c>
      <c r="P1122" s="8">
        <f t="shared" si="87"/>
        <v>3226</v>
      </c>
      <c r="Q1122" s="8">
        <f t="shared" si="88"/>
        <v>1773</v>
      </c>
      <c r="R1122" s="2" t="s">
        <v>28</v>
      </c>
      <c r="S1122" s="9">
        <f t="shared" si="89"/>
        <v>64.52</v>
      </c>
    </row>
    <row r="1123" spans="1:19" x14ac:dyDescent="0.3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str">
        <f>IFERROR(VLOOKUP('Customer Info'!A1115,'Customer Info'!A1115:C1614,2,FALSE),"Not Found")</f>
        <v>Not Found</v>
      </c>
      <c r="H1123" s="6" t="str">
        <f>IFERROR(VLOOKUP('Customer Info'!A1115,'Customer Info'!A1115:C1614,3,FALSE),"Not Found")</f>
        <v>Not Found</v>
      </c>
      <c r="I1123" s="6" t="str">
        <f>IFERROR(VLOOKUP('Customer Info'!A1115,'Customer Info'!A1115:E1614,5,FALSE),"Not Found")</f>
        <v>Not Found</v>
      </c>
      <c r="J1123" s="2">
        <v>765</v>
      </c>
      <c r="K1123" s="2">
        <v>701</v>
      </c>
      <c r="L1123" s="2">
        <v>2</v>
      </c>
      <c r="M1123" s="7">
        <f t="shared" si="85"/>
        <v>1402</v>
      </c>
      <c r="N1123" s="7">
        <f t="shared" si="86"/>
        <v>1530</v>
      </c>
      <c r="O1123" s="2">
        <v>58</v>
      </c>
      <c r="P1123" s="8">
        <f t="shared" si="87"/>
        <v>1588</v>
      </c>
      <c r="Q1123" s="8">
        <f t="shared" si="88"/>
        <v>829</v>
      </c>
      <c r="R1123" s="2" t="s">
        <v>28</v>
      </c>
      <c r="S1123" s="9">
        <f t="shared" si="89"/>
        <v>31.76</v>
      </c>
    </row>
    <row r="1124" spans="1:19" x14ac:dyDescent="0.3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str">
        <f>IFERROR(VLOOKUP('Customer Info'!A1116,'Customer Info'!A1116:C1615,2,FALSE),"Not Found")</f>
        <v>Not Found</v>
      </c>
      <c r="H1124" s="6" t="str">
        <f>IFERROR(VLOOKUP('Customer Info'!A1116,'Customer Info'!A1116:C1615,3,FALSE),"Not Found")</f>
        <v>Not Found</v>
      </c>
      <c r="I1124" s="6" t="str">
        <f>IFERROR(VLOOKUP('Customer Info'!A1116,'Customer Info'!A1116:E1615,5,FALSE),"Not Found")</f>
        <v>Not Found</v>
      </c>
      <c r="J1124" s="2">
        <v>1533</v>
      </c>
      <c r="K1124" s="2">
        <v>1406</v>
      </c>
      <c r="L1124" s="2">
        <v>2</v>
      </c>
      <c r="M1124" s="7">
        <f t="shared" si="85"/>
        <v>2812</v>
      </c>
      <c r="N1124" s="7">
        <f t="shared" si="86"/>
        <v>3066</v>
      </c>
      <c r="O1124" s="2">
        <v>28</v>
      </c>
      <c r="P1124" s="8">
        <f t="shared" si="87"/>
        <v>3094</v>
      </c>
      <c r="Q1124" s="8">
        <f t="shared" si="88"/>
        <v>1660</v>
      </c>
      <c r="R1124" s="2" t="s">
        <v>28</v>
      </c>
      <c r="S1124" s="9">
        <f t="shared" si="89"/>
        <v>61.88</v>
      </c>
    </row>
    <row r="1125" spans="1:19" x14ac:dyDescent="0.3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str">
        <f>IFERROR(VLOOKUP('Customer Info'!A1117,'Customer Info'!A1117:C1616,2,FALSE),"Not Found")</f>
        <v>Not Found</v>
      </c>
      <c r="H1125" s="6" t="str">
        <f>IFERROR(VLOOKUP('Customer Info'!A1117,'Customer Info'!A1117:C1616,3,FALSE),"Not Found")</f>
        <v>Not Found</v>
      </c>
      <c r="I1125" s="6" t="str">
        <f>IFERROR(VLOOKUP('Customer Info'!A1117,'Customer Info'!A1117:E1616,5,FALSE),"Not Found")</f>
        <v>Not Found</v>
      </c>
      <c r="J1125" s="2">
        <v>188</v>
      </c>
      <c r="K1125" s="2">
        <v>173</v>
      </c>
      <c r="L1125" s="2">
        <v>1</v>
      </c>
      <c r="M1125" s="7">
        <f t="shared" si="85"/>
        <v>173</v>
      </c>
      <c r="N1125" s="7">
        <f t="shared" si="86"/>
        <v>188</v>
      </c>
      <c r="O1125" s="2">
        <v>30</v>
      </c>
      <c r="P1125" s="8">
        <f t="shared" si="87"/>
        <v>218</v>
      </c>
      <c r="Q1125" s="8">
        <f t="shared" si="88"/>
        <v>15</v>
      </c>
      <c r="R1125" s="2" t="s">
        <v>50</v>
      </c>
      <c r="S1125" s="9">
        <f t="shared" si="89"/>
        <v>4.3600000000000003</v>
      </c>
    </row>
    <row r="1126" spans="1:19" x14ac:dyDescent="0.3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str">
        <f>IFERROR(VLOOKUP('Customer Info'!A1118,'Customer Info'!A1118:C1617,2,FALSE),"Not Found")</f>
        <v>Not Found</v>
      </c>
      <c r="H1126" s="6" t="str">
        <f>IFERROR(VLOOKUP('Customer Info'!A1118,'Customer Info'!A1118:C1617,3,FALSE),"Not Found")</f>
        <v>Not Found</v>
      </c>
      <c r="I1126" s="6" t="str">
        <f>IFERROR(VLOOKUP('Customer Info'!A1118,'Customer Info'!A1118:E1617,5,FALSE),"Not Found")</f>
        <v>Not Found</v>
      </c>
      <c r="J1126" s="2">
        <v>6060</v>
      </c>
      <c r="K1126" s="2">
        <v>6002</v>
      </c>
      <c r="L1126" s="2">
        <v>2</v>
      </c>
      <c r="M1126" s="7">
        <f t="shared" si="85"/>
        <v>12004</v>
      </c>
      <c r="N1126" s="7">
        <f t="shared" si="86"/>
        <v>12120</v>
      </c>
      <c r="O1126" s="2">
        <v>63</v>
      </c>
      <c r="P1126" s="8">
        <f t="shared" si="87"/>
        <v>12183</v>
      </c>
      <c r="Q1126" s="8">
        <f t="shared" si="88"/>
        <v>6118</v>
      </c>
      <c r="R1126" s="2" t="s">
        <v>28</v>
      </c>
      <c r="S1126" s="9">
        <f t="shared" si="89"/>
        <v>609.15</v>
      </c>
    </row>
    <row r="1127" spans="1:19" x14ac:dyDescent="0.3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str">
        <f>IFERROR(VLOOKUP('Customer Info'!A1119,'Customer Info'!A1119:C1618,2,FALSE),"Not Found")</f>
        <v>Not Found</v>
      </c>
      <c r="H1127" s="6" t="str">
        <f>IFERROR(VLOOKUP('Customer Info'!A1119,'Customer Info'!A1119:C1618,3,FALSE),"Not Found")</f>
        <v>Not Found</v>
      </c>
      <c r="I1127" s="6" t="str">
        <f>IFERROR(VLOOKUP('Customer Info'!A1119,'Customer Info'!A1119:E1618,5,FALSE),"Not Found")</f>
        <v>Not Found</v>
      </c>
      <c r="J1127" s="2">
        <v>1916</v>
      </c>
      <c r="K1127" s="2">
        <v>1844</v>
      </c>
      <c r="L1127" s="2">
        <v>3</v>
      </c>
      <c r="M1127" s="7">
        <f t="shared" si="85"/>
        <v>5532</v>
      </c>
      <c r="N1127" s="7">
        <f t="shared" si="86"/>
        <v>5748</v>
      </c>
      <c r="O1127" s="2">
        <v>97</v>
      </c>
      <c r="P1127" s="8">
        <f t="shared" si="87"/>
        <v>5845</v>
      </c>
      <c r="Q1127" s="8">
        <f t="shared" si="88"/>
        <v>3904</v>
      </c>
      <c r="R1127" s="2" t="s">
        <v>50</v>
      </c>
      <c r="S1127" s="9">
        <f t="shared" si="89"/>
        <v>292.25</v>
      </c>
    </row>
    <row r="1128" spans="1:19" x14ac:dyDescent="0.3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str">
        <f>IFERROR(VLOOKUP('Customer Info'!A1120,'Customer Info'!A1120:C1619,2,FALSE),"Not Found")</f>
        <v>Not Found</v>
      </c>
      <c r="H1128" s="6" t="str">
        <f>IFERROR(VLOOKUP('Customer Info'!A1120,'Customer Info'!A1120:C1619,3,FALSE),"Not Found")</f>
        <v>Not Found</v>
      </c>
      <c r="I1128" s="6" t="str">
        <f>IFERROR(VLOOKUP('Customer Info'!A1120,'Customer Info'!A1120:E1619,5,FALSE),"Not Found")</f>
        <v>Not Found</v>
      </c>
      <c r="J1128" s="2">
        <v>729</v>
      </c>
      <c r="K1128" s="2">
        <v>689</v>
      </c>
      <c r="L1128" s="2">
        <v>2</v>
      </c>
      <c r="M1128" s="7">
        <f t="shared" si="85"/>
        <v>1378</v>
      </c>
      <c r="N1128" s="7">
        <f t="shared" si="86"/>
        <v>1458</v>
      </c>
      <c r="O1128" s="2">
        <v>54</v>
      </c>
      <c r="P1128" s="8">
        <f t="shared" si="87"/>
        <v>1512</v>
      </c>
      <c r="Q1128" s="8">
        <f t="shared" si="88"/>
        <v>769</v>
      </c>
      <c r="R1128" s="2" t="s">
        <v>28</v>
      </c>
      <c r="S1128" s="9">
        <f t="shared" si="89"/>
        <v>30.240000000000002</v>
      </c>
    </row>
    <row r="1129" spans="1:19" x14ac:dyDescent="0.3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str">
        <f>IFERROR(VLOOKUP('Customer Info'!A1121,'Customer Info'!A1121:C1620,2,FALSE),"Not Found")</f>
        <v>Not Found</v>
      </c>
      <c r="H1129" s="6" t="str">
        <f>IFERROR(VLOOKUP('Customer Info'!A1121,'Customer Info'!A1121:C1620,3,FALSE),"Not Found")</f>
        <v>Not Found</v>
      </c>
      <c r="I1129" s="6" t="str">
        <f>IFERROR(VLOOKUP('Customer Info'!A1121,'Customer Info'!A1121:E1620,5,FALSE),"Not Found")</f>
        <v>Not Found</v>
      </c>
      <c r="J1129" s="2">
        <v>1798</v>
      </c>
      <c r="K1129" s="2">
        <v>1666</v>
      </c>
      <c r="L1129" s="2">
        <v>3</v>
      </c>
      <c r="M1129" s="7">
        <f t="shared" si="85"/>
        <v>4998</v>
      </c>
      <c r="N1129" s="7">
        <f t="shared" si="86"/>
        <v>5394</v>
      </c>
      <c r="O1129" s="2">
        <v>55</v>
      </c>
      <c r="P1129" s="8">
        <f t="shared" si="87"/>
        <v>5449</v>
      </c>
      <c r="Q1129" s="8">
        <f t="shared" si="88"/>
        <v>3728</v>
      </c>
      <c r="R1129" s="2" t="s">
        <v>28</v>
      </c>
      <c r="S1129" s="9">
        <f t="shared" si="89"/>
        <v>272.45</v>
      </c>
    </row>
    <row r="1130" spans="1:19" x14ac:dyDescent="0.3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str">
        <f>IFERROR(VLOOKUP('Customer Info'!A1122,'Customer Info'!A1122:C1621,2,FALSE),"Not Found")</f>
        <v>Not Found</v>
      </c>
      <c r="H1130" s="6" t="str">
        <f>IFERROR(VLOOKUP('Customer Info'!A1122,'Customer Info'!A1122:C1621,3,FALSE),"Not Found")</f>
        <v>Not Found</v>
      </c>
      <c r="I1130" s="6" t="str">
        <f>IFERROR(VLOOKUP('Customer Info'!A1122,'Customer Info'!A1122:E1621,5,FALSE),"Not Found")</f>
        <v>Not Found</v>
      </c>
      <c r="J1130" s="2">
        <v>222</v>
      </c>
      <c r="K1130" s="2">
        <v>204</v>
      </c>
      <c r="L1130" s="2">
        <v>1</v>
      </c>
      <c r="M1130" s="7">
        <f t="shared" si="85"/>
        <v>204</v>
      </c>
      <c r="N1130" s="7">
        <f t="shared" si="86"/>
        <v>222</v>
      </c>
      <c r="O1130" s="2">
        <v>27</v>
      </c>
      <c r="P1130" s="8">
        <f t="shared" si="87"/>
        <v>249</v>
      </c>
      <c r="Q1130" s="8">
        <f t="shared" si="88"/>
        <v>18</v>
      </c>
      <c r="R1130" s="2" t="s">
        <v>28</v>
      </c>
      <c r="S1130" s="9">
        <f t="shared" si="89"/>
        <v>4.9800000000000004</v>
      </c>
    </row>
    <row r="1131" spans="1:19" x14ac:dyDescent="0.3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str">
        <f>IFERROR(VLOOKUP('Customer Info'!A1123,'Customer Info'!A1123:C1622,2,FALSE),"Not Found")</f>
        <v>Not Found</v>
      </c>
      <c r="H1131" s="6" t="str">
        <f>IFERROR(VLOOKUP('Customer Info'!A1123,'Customer Info'!A1123:C1622,3,FALSE),"Not Found")</f>
        <v>Not Found</v>
      </c>
      <c r="I1131" s="6" t="str">
        <f>IFERROR(VLOOKUP('Customer Info'!A1123,'Customer Info'!A1123:E1622,5,FALSE),"Not Found")</f>
        <v>Not Found</v>
      </c>
      <c r="J1131" s="2">
        <v>21566</v>
      </c>
      <c r="K1131" s="2">
        <v>19225</v>
      </c>
      <c r="L1131" s="2">
        <v>2</v>
      </c>
      <c r="M1131" s="7">
        <f t="shared" si="85"/>
        <v>38450</v>
      </c>
      <c r="N1131" s="7">
        <f t="shared" si="86"/>
        <v>43132</v>
      </c>
      <c r="O1131" s="2">
        <v>75</v>
      </c>
      <c r="P1131" s="8">
        <f t="shared" si="87"/>
        <v>43207</v>
      </c>
      <c r="Q1131" s="8">
        <f t="shared" si="88"/>
        <v>23907</v>
      </c>
      <c r="R1131" s="2" t="s">
        <v>28</v>
      </c>
      <c r="S1131" s="9">
        <f t="shared" si="89"/>
        <v>3024.4900000000002</v>
      </c>
    </row>
    <row r="1132" spans="1:19" x14ac:dyDescent="0.3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str">
        <f>IFERROR(VLOOKUP('Customer Info'!A1124,'Customer Info'!A1124:C1623,2,FALSE),"Not Found")</f>
        <v>Not Found</v>
      </c>
      <c r="H1132" s="6" t="str">
        <f>IFERROR(VLOOKUP('Customer Info'!A1124,'Customer Info'!A1124:C1623,3,FALSE),"Not Found")</f>
        <v>Not Found</v>
      </c>
      <c r="I1132" s="6" t="str">
        <f>IFERROR(VLOOKUP('Customer Info'!A1124,'Customer Info'!A1124:E1623,5,FALSE),"Not Found")</f>
        <v>Not Found</v>
      </c>
      <c r="J1132" s="2">
        <v>151</v>
      </c>
      <c r="K1132" s="2">
        <v>139</v>
      </c>
      <c r="L1132" s="2">
        <v>4</v>
      </c>
      <c r="M1132" s="7">
        <f t="shared" si="85"/>
        <v>556</v>
      </c>
      <c r="N1132" s="7">
        <f t="shared" si="86"/>
        <v>604</v>
      </c>
      <c r="O1132" s="2">
        <v>30</v>
      </c>
      <c r="P1132" s="8">
        <f t="shared" si="87"/>
        <v>634</v>
      </c>
      <c r="Q1132" s="8">
        <f t="shared" si="88"/>
        <v>465</v>
      </c>
      <c r="R1132" s="2" t="s">
        <v>28</v>
      </c>
      <c r="S1132" s="9">
        <f t="shared" si="89"/>
        <v>12.68</v>
      </c>
    </row>
    <row r="1133" spans="1:19" x14ac:dyDescent="0.3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str">
        <f>IFERROR(VLOOKUP('Customer Info'!A1125,'Customer Info'!A1125:C1624,2,FALSE),"Not Found")</f>
        <v>Not Found</v>
      </c>
      <c r="H1133" s="6" t="str">
        <f>IFERROR(VLOOKUP('Customer Info'!A1125,'Customer Info'!A1125:C1624,3,FALSE),"Not Found")</f>
        <v>Not Found</v>
      </c>
      <c r="I1133" s="6" t="str">
        <f>IFERROR(VLOOKUP('Customer Info'!A1125,'Customer Info'!A1125:E1624,5,FALSE),"Not Found")</f>
        <v>Not Found</v>
      </c>
      <c r="J1133" s="2">
        <v>141</v>
      </c>
      <c r="K1133" s="2">
        <v>131</v>
      </c>
      <c r="L1133" s="2">
        <v>8</v>
      </c>
      <c r="M1133" s="7">
        <f t="shared" si="85"/>
        <v>1048</v>
      </c>
      <c r="N1133" s="7">
        <f t="shared" si="86"/>
        <v>1128</v>
      </c>
      <c r="O1133" s="2">
        <v>30</v>
      </c>
      <c r="P1133" s="8">
        <f t="shared" si="87"/>
        <v>1158</v>
      </c>
      <c r="Q1133" s="8">
        <f t="shared" si="88"/>
        <v>997</v>
      </c>
      <c r="R1133" s="2" t="s">
        <v>50</v>
      </c>
      <c r="S1133" s="9">
        <f t="shared" si="89"/>
        <v>23.16</v>
      </c>
    </row>
    <row r="1134" spans="1:19" x14ac:dyDescent="0.3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str">
        <f>IFERROR(VLOOKUP('Customer Info'!A1126,'Customer Info'!A1126:C1625,2,FALSE),"Not Found")</f>
        <v>Not Found</v>
      </c>
      <c r="H1134" s="6" t="str">
        <f>IFERROR(VLOOKUP('Customer Info'!A1126,'Customer Info'!A1126:C1625,3,FALSE),"Not Found")</f>
        <v>Not Found</v>
      </c>
      <c r="I1134" s="6" t="str">
        <f>IFERROR(VLOOKUP('Customer Info'!A1126,'Customer Info'!A1126:E1625,5,FALSE),"Not Found")</f>
        <v>Not Found</v>
      </c>
      <c r="J1134" s="2">
        <v>1359</v>
      </c>
      <c r="K1134" s="2">
        <v>1221</v>
      </c>
      <c r="L1134" s="2">
        <v>7</v>
      </c>
      <c r="M1134" s="7">
        <f t="shared" si="85"/>
        <v>8547</v>
      </c>
      <c r="N1134" s="7">
        <f t="shared" si="86"/>
        <v>9513</v>
      </c>
      <c r="O1134" s="2">
        <v>73</v>
      </c>
      <c r="P1134" s="8">
        <f t="shared" si="87"/>
        <v>9586</v>
      </c>
      <c r="Q1134" s="8">
        <f t="shared" si="88"/>
        <v>8292</v>
      </c>
      <c r="R1134" s="2" t="s">
        <v>28</v>
      </c>
      <c r="S1134" s="9">
        <f t="shared" si="89"/>
        <v>479.3</v>
      </c>
    </row>
    <row r="1135" spans="1:19" x14ac:dyDescent="0.3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str">
        <f>IFERROR(VLOOKUP('Customer Info'!A1127,'Customer Info'!A1127:C1626,2,FALSE),"Not Found")</f>
        <v>Not Found</v>
      </c>
      <c r="H1135" s="6" t="str">
        <f>IFERROR(VLOOKUP('Customer Info'!A1127,'Customer Info'!A1127:C1626,3,FALSE),"Not Found")</f>
        <v>Not Found</v>
      </c>
      <c r="I1135" s="6" t="str">
        <f>IFERROR(VLOOKUP('Customer Info'!A1127,'Customer Info'!A1127:E1626,5,FALSE),"Not Found")</f>
        <v>Not Found</v>
      </c>
      <c r="J1135" s="2">
        <v>8202</v>
      </c>
      <c r="K1135" s="2">
        <v>7594</v>
      </c>
      <c r="L1135" s="2">
        <v>3</v>
      </c>
      <c r="M1135" s="7">
        <f t="shared" si="85"/>
        <v>22782</v>
      </c>
      <c r="N1135" s="7">
        <f t="shared" si="86"/>
        <v>24606</v>
      </c>
      <c r="O1135" s="2">
        <v>21</v>
      </c>
      <c r="P1135" s="8">
        <f t="shared" si="87"/>
        <v>24627</v>
      </c>
      <c r="Q1135" s="8">
        <f t="shared" si="88"/>
        <v>17012</v>
      </c>
      <c r="R1135" s="2" t="s">
        <v>28</v>
      </c>
      <c r="S1135" s="9">
        <f t="shared" si="89"/>
        <v>1231.3500000000001</v>
      </c>
    </row>
    <row r="1136" spans="1:19" x14ac:dyDescent="0.3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str">
        <f>IFERROR(VLOOKUP('Customer Info'!A1128,'Customer Info'!A1128:C1627,2,FALSE),"Not Found")</f>
        <v>Not Found</v>
      </c>
      <c r="H1136" s="6" t="str">
        <f>IFERROR(VLOOKUP('Customer Info'!A1128,'Customer Info'!A1128:C1627,3,FALSE),"Not Found")</f>
        <v>Not Found</v>
      </c>
      <c r="I1136" s="6" t="str">
        <f>IFERROR(VLOOKUP('Customer Info'!A1128,'Customer Info'!A1128:E1627,5,FALSE),"Not Found")</f>
        <v>Not Found</v>
      </c>
      <c r="J1136" s="2">
        <v>179</v>
      </c>
      <c r="K1136" s="2">
        <v>171</v>
      </c>
      <c r="L1136" s="2">
        <v>3</v>
      </c>
      <c r="M1136" s="7">
        <f t="shared" si="85"/>
        <v>513</v>
      </c>
      <c r="N1136" s="7">
        <f t="shared" si="86"/>
        <v>537</v>
      </c>
      <c r="O1136" s="2">
        <v>30</v>
      </c>
      <c r="P1136" s="8">
        <f t="shared" si="87"/>
        <v>567</v>
      </c>
      <c r="Q1136" s="8">
        <f t="shared" si="88"/>
        <v>366</v>
      </c>
      <c r="R1136" s="2" t="s">
        <v>50</v>
      </c>
      <c r="S1136" s="9">
        <f t="shared" si="89"/>
        <v>11.34</v>
      </c>
    </row>
    <row r="1137" spans="1:19" x14ac:dyDescent="0.3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str">
        <f>IFERROR(VLOOKUP('Customer Info'!A1129,'Customer Info'!A1129:C1628,2,FALSE),"Not Found")</f>
        <v>Not Found</v>
      </c>
      <c r="H1137" s="6" t="str">
        <f>IFERROR(VLOOKUP('Customer Info'!A1129,'Customer Info'!A1129:C1628,3,FALSE),"Not Found")</f>
        <v>Not Found</v>
      </c>
      <c r="I1137" s="6" t="str">
        <f>IFERROR(VLOOKUP('Customer Info'!A1129,'Customer Info'!A1129:E1628,5,FALSE),"Not Found")</f>
        <v>Not Found</v>
      </c>
      <c r="J1137" s="2">
        <v>6400</v>
      </c>
      <c r="K1137" s="2">
        <v>6401</v>
      </c>
      <c r="L1137" s="2">
        <v>6</v>
      </c>
      <c r="M1137" s="7">
        <f t="shared" si="85"/>
        <v>38406</v>
      </c>
      <c r="N1137" s="7">
        <f t="shared" si="86"/>
        <v>38400</v>
      </c>
      <c r="O1137" s="2">
        <v>73</v>
      </c>
      <c r="P1137" s="8">
        <f t="shared" si="87"/>
        <v>38473</v>
      </c>
      <c r="Q1137" s="8">
        <f t="shared" si="88"/>
        <v>31999</v>
      </c>
      <c r="R1137" s="2" t="s">
        <v>28</v>
      </c>
      <c r="S1137" s="9">
        <f t="shared" si="89"/>
        <v>2693.11</v>
      </c>
    </row>
    <row r="1138" spans="1:19" x14ac:dyDescent="0.3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str">
        <f>IFERROR(VLOOKUP('Customer Info'!A1130,'Customer Info'!A1130:C1629,2,FALSE),"Not Found")</f>
        <v>Not Found</v>
      </c>
      <c r="H1138" s="6" t="str">
        <f>IFERROR(VLOOKUP('Customer Info'!A1130,'Customer Info'!A1130:C1629,3,FALSE),"Not Found")</f>
        <v>Not Found</v>
      </c>
      <c r="I1138" s="6" t="str">
        <f>IFERROR(VLOOKUP('Customer Info'!A1130,'Customer Info'!A1130:E1629,5,FALSE),"Not Found")</f>
        <v>Not Found</v>
      </c>
      <c r="J1138" s="2">
        <v>7141</v>
      </c>
      <c r="K1138" s="2">
        <v>6541</v>
      </c>
      <c r="L1138" s="2">
        <v>2</v>
      </c>
      <c r="M1138" s="7">
        <f t="shared" si="85"/>
        <v>13082</v>
      </c>
      <c r="N1138" s="7">
        <f t="shared" si="86"/>
        <v>14282</v>
      </c>
      <c r="O1138" s="2">
        <v>59</v>
      </c>
      <c r="P1138" s="8">
        <f t="shared" si="87"/>
        <v>14341</v>
      </c>
      <c r="Q1138" s="8">
        <f t="shared" si="88"/>
        <v>7741</v>
      </c>
      <c r="R1138" s="2" t="s">
        <v>50</v>
      </c>
      <c r="S1138" s="9">
        <f t="shared" si="89"/>
        <v>717.05000000000007</v>
      </c>
    </row>
    <row r="1139" spans="1:19" x14ac:dyDescent="0.3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str">
        <f>IFERROR(VLOOKUP('Customer Info'!A1131,'Customer Info'!A1131:C1630,2,FALSE),"Not Found")</f>
        <v>Not Found</v>
      </c>
      <c r="H1139" s="6" t="str">
        <f>IFERROR(VLOOKUP('Customer Info'!A1131,'Customer Info'!A1131:C1630,3,FALSE),"Not Found")</f>
        <v>Not Found</v>
      </c>
      <c r="I1139" s="6" t="str">
        <f>IFERROR(VLOOKUP('Customer Info'!A1131,'Customer Info'!A1131:E1630,5,FALSE),"Not Found")</f>
        <v>Not Found</v>
      </c>
      <c r="J1139" s="2">
        <v>61</v>
      </c>
      <c r="K1139" s="2">
        <v>57</v>
      </c>
      <c r="L1139" s="2">
        <v>2</v>
      </c>
      <c r="M1139" s="7">
        <f t="shared" si="85"/>
        <v>114</v>
      </c>
      <c r="N1139" s="7">
        <f t="shared" si="86"/>
        <v>122</v>
      </c>
      <c r="O1139" s="2">
        <v>10</v>
      </c>
      <c r="P1139" s="8">
        <f t="shared" si="87"/>
        <v>132</v>
      </c>
      <c r="Q1139" s="8">
        <f t="shared" si="88"/>
        <v>65</v>
      </c>
      <c r="R1139" s="2" t="s">
        <v>26</v>
      </c>
      <c r="S1139" s="9">
        <f t="shared" si="89"/>
        <v>2.64</v>
      </c>
    </row>
    <row r="1140" spans="1:19" x14ac:dyDescent="0.3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str">
        <f>IFERROR(VLOOKUP('Customer Info'!A1132,'Customer Info'!A1132:C1631,2,FALSE),"Not Found")</f>
        <v>Not Found</v>
      </c>
      <c r="H1140" s="6" t="str">
        <f>IFERROR(VLOOKUP('Customer Info'!A1132,'Customer Info'!A1132:C1631,3,FALSE),"Not Found")</f>
        <v>Not Found</v>
      </c>
      <c r="I1140" s="6" t="str">
        <f>IFERROR(VLOOKUP('Customer Info'!A1132,'Customer Info'!A1132:E1631,5,FALSE),"Not Found")</f>
        <v>Not Found</v>
      </c>
      <c r="J1140" s="2">
        <v>1752</v>
      </c>
      <c r="K1140" s="2">
        <v>1576</v>
      </c>
      <c r="L1140" s="2">
        <v>2</v>
      </c>
      <c r="M1140" s="7">
        <f t="shared" si="85"/>
        <v>3152</v>
      </c>
      <c r="N1140" s="7">
        <f t="shared" si="86"/>
        <v>3504</v>
      </c>
      <c r="O1140" s="2">
        <v>92</v>
      </c>
      <c r="P1140" s="8">
        <f t="shared" si="87"/>
        <v>3596</v>
      </c>
      <c r="Q1140" s="8">
        <f t="shared" si="88"/>
        <v>1928</v>
      </c>
      <c r="R1140" s="2" t="s">
        <v>28</v>
      </c>
      <c r="S1140" s="9">
        <f t="shared" si="89"/>
        <v>71.92</v>
      </c>
    </row>
    <row r="1141" spans="1:19" x14ac:dyDescent="0.3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str">
        <f>IFERROR(VLOOKUP('Customer Info'!A1133,'Customer Info'!A1133:C1632,2,FALSE),"Not Found")</f>
        <v>Not Found</v>
      </c>
      <c r="H1141" s="6" t="str">
        <f>IFERROR(VLOOKUP('Customer Info'!A1133,'Customer Info'!A1133:C1632,3,FALSE),"Not Found")</f>
        <v>Not Found</v>
      </c>
      <c r="I1141" s="6" t="str">
        <f>IFERROR(VLOOKUP('Customer Info'!A1133,'Customer Info'!A1133:E1632,5,FALSE),"Not Found")</f>
        <v>Not Found</v>
      </c>
      <c r="J1141" s="2">
        <v>1997</v>
      </c>
      <c r="K1141" s="2">
        <v>1816</v>
      </c>
      <c r="L1141" s="2">
        <v>3</v>
      </c>
      <c r="M1141" s="7">
        <f t="shared" si="85"/>
        <v>5448</v>
      </c>
      <c r="N1141" s="7">
        <f t="shared" si="86"/>
        <v>5991</v>
      </c>
      <c r="O1141" s="2">
        <v>86</v>
      </c>
      <c r="P1141" s="8">
        <f t="shared" si="87"/>
        <v>6077</v>
      </c>
      <c r="Q1141" s="8">
        <f t="shared" si="88"/>
        <v>4175</v>
      </c>
      <c r="R1141" s="2" t="s">
        <v>28</v>
      </c>
      <c r="S1141" s="9">
        <f t="shared" si="89"/>
        <v>303.85000000000002</v>
      </c>
    </row>
    <row r="1142" spans="1:19" x14ac:dyDescent="0.3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str">
        <f>IFERROR(VLOOKUP('Customer Info'!A1134,'Customer Info'!A1134:C1633,2,FALSE),"Not Found")</f>
        <v>Not Found</v>
      </c>
      <c r="H1142" s="6" t="str">
        <f>IFERROR(VLOOKUP('Customer Info'!A1134,'Customer Info'!A1134:C1633,3,FALSE),"Not Found")</f>
        <v>Not Found</v>
      </c>
      <c r="I1142" s="6" t="str">
        <f>IFERROR(VLOOKUP('Customer Info'!A1134,'Customer Info'!A1134:E1633,5,FALSE),"Not Found")</f>
        <v>Not Found</v>
      </c>
      <c r="J1142" s="2">
        <v>666</v>
      </c>
      <c r="K1142" s="2">
        <v>641</v>
      </c>
      <c r="L1142" s="2">
        <v>4</v>
      </c>
      <c r="M1142" s="7">
        <f t="shared" si="85"/>
        <v>2564</v>
      </c>
      <c r="N1142" s="7">
        <f t="shared" si="86"/>
        <v>2664</v>
      </c>
      <c r="O1142" s="2">
        <v>73</v>
      </c>
      <c r="P1142" s="8">
        <f t="shared" si="87"/>
        <v>2737</v>
      </c>
      <c r="Q1142" s="8">
        <f t="shared" si="88"/>
        <v>2023</v>
      </c>
      <c r="R1142" s="2" t="s">
        <v>50</v>
      </c>
      <c r="S1142" s="9">
        <f t="shared" si="89"/>
        <v>54.74</v>
      </c>
    </row>
    <row r="1143" spans="1:19" x14ac:dyDescent="0.3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str">
        <f>IFERROR(VLOOKUP('Customer Info'!A1135,'Customer Info'!A1135:C1634,2,FALSE),"Not Found")</f>
        <v>Not Found</v>
      </c>
      <c r="H1143" s="6" t="str">
        <f>IFERROR(VLOOKUP('Customer Info'!A1135,'Customer Info'!A1135:C1634,3,FALSE),"Not Found")</f>
        <v>Not Found</v>
      </c>
      <c r="I1143" s="6" t="str">
        <f>IFERROR(VLOOKUP('Customer Info'!A1135,'Customer Info'!A1135:E1634,5,FALSE),"Not Found")</f>
        <v>Not Found</v>
      </c>
      <c r="J1143" s="2">
        <v>1621</v>
      </c>
      <c r="K1143" s="2">
        <v>1545</v>
      </c>
      <c r="L1143" s="2">
        <v>6</v>
      </c>
      <c r="M1143" s="7">
        <f t="shared" si="85"/>
        <v>9270</v>
      </c>
      <c r="N1143" s="7">
        <f t="shared" si="86"/>
        <v>9726</v>
      </c>
      <c r="O1143" s="2">
        <v>48</v>
      </c>
      <c r="P1143" s="8">
        <f t="shared" si="87"/>
        <v>9774</v>
      </c>
      <c r="Q1143" s="8">
        <f t="shared" si="88"/>
        <v>8181</v>
      </c>
      <c r="R1143" s="2" t="s">
        <v>50</v>
      </c>
      <c r="S1143" s="9">
        <f t="shared" si="89"/>
        <v>488.70000000000005</v>
      </c>
    </row>
    <row r="1144" spans="1:19" x14ac:dyDescent="0.3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str">
        <f>IFERROR(VLOOKUP('Customer Info'!A1136,'Customer Info'!A1136:C1635,2,FALSE),"Not Found")</f>
        <v>Not Found</v>
      </c>
      <c r="H1144" s="6" t="str">
        <f>IFERROR(VLOOKUP('Customer Info'!A1136,'Customer Info'!A1136:C1635,3,FALSE),"Not Found")</f>
        <v>Not Found</v>
      </c>
      <c r="I1144" s="6" t="str">
        <f>IFERROR(VLOOKUP('Customer Info'!A1136,'Customer Info'!A1136:E1635,5,FALSE),"Not Found")</f>
        <v>Not Found</v>
      </c>
      <c r="J1144" s="2">
        <v>1882</v>
      </c>
      <c r="K1144" s="2">
        <v>1792</v>
      </c>
      <c r="L1144" s="2">
        <v>2</v>
      </c>
      <c r="M1144" s="7">
        <f t="shared" si="85"/>
        <v>3584</v>
      </c>
      <c r="N1144" s="7">
        <f t="shared" si="86"/>
        <v>3764</v>
      </c>
      <c r="O1144" s="2">
        <v>78</v>
      </c>
      <c r="P1144" s="8">
        <f t="shared" si="87"/>
        <v>3842</v>
      </c>
      <c r="Q1144" s="8">
        <f t="shared" si="88"/>
        <v>1972</v>
      </c>
      <c r="R1144" s="2" t="s">
        <v>26</v>
      </c>
      <c r="S1144" s="9">
        <f t="shared" si="89"/>
        <v>76.84</v>
      </c>
    </row>
    <row r="1145" spans="1:19" x14ac:dyDescent="0.3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str">
        <f>IFERROR(VLOOKUP('Customer Info'!A1137,'Customer Info'!A1137:C1636,2,FALSE),"Not Found")</f>
        <v>Not Found</v>
      </c>
      <c r="H1145" s="6" t="str">
        <f>IFERROR(VLOOKUP('Customer Info'!A1137,'Customer Info'!A1137:C1636,3,FALSE),"Not Found")</f>
        <v>Not Found</v>
      </c>
      <c r="I1145" s="6" t="str">
        <f>IFERROR(VLOOKUP('Customer Info'!A1137,'Customer Info'!A1137:E1636,5,FALSE),"Not Found")</f>
        <v>Not Found</v>
      </c>
      <c r="J1145" s="2">
        <v>67</v>
      </c>
      <c r="K1145" s="2">
        <v>62</v>
      </c>
      <c r="L1145" s="2">
        <v>4</v>
      </c>
      <c r="M1145" s="7">
        <f t="shared" si="85"/>
        <v>248</v>
      </c>
      <c r="N1145" s="7">
        <f t="shared" si="86"/>
        <v>268</v>
      </c>
      <c r="O1145" s="2">
        <v>10</v>
      </c>
      <c r="P1145" s="8">
        <f t="shared" si="87"/>
        <v>278</v>
      </c>
      <c r="Q1145" s="8">
        <f t="shared" si="88"/>
        <v>206</v>
      </c>
      <c r="R1145" s="2" t="s">
        <v>28</v>
      </c>
      <c r="S1145" s="9">
        <f t="shared" si="89"/>
        <v>5.5600000000000005</v>
      </c>
    </row>
    <row r="1146" spans="1:19" x14ac:dyDescent="0.3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str">
        <f>IFERROR(VLOOKUP('Customer Info'!A1138,'Customer Info'!A1138:C1637,2,FALSE),"Not Found")</f>
        <v>Not Found</v>
      </c>
      <c r="H1146" s="6" t="str">
        <f>IFERROR(VLOOKUP('Customer Info'!A1138,'Customer Info'!A1138:C1637,3,FALSE),"Not Found")</f>
        <v>Not Found</v>
      </c>
      <c r="I1146" s="6" t="str">
        <f>IFERROR(VLOOKUP('Customer Info'!A1138,'Customer Info'!A1138:E1637,5,FALSE),"Not Found")</f>
        <v>Not Found</v>
      </c>
      <c r="J1146" s="2">
        <v>7691</v>
      </c>
      <c r="K1146" s="2">
        <v>7255</v>
      </c>
      <c r="L1146" s="2">
        <v>1</v>
      </c>
      <c r="M1146" s="7">
        <f t="shared" si="85"/>
        <v>7255</v>
      </c>
      <c r="N1146" s="7">
        <f t="shared" si="86"/>
        <v>7691</v>
      </c>
      <c r="O1146" s="2">
        <v>68</v>
      </c>
      <c r="P1146" s="8">
        <f t="shared" si="87"/>
        <v>7759</v>
      </c>
      <c r="Q1146" s="8">
        <f t="shared" si="88"/>
        <v>436</v>
      </c>
      <c r="R1146" s="2" t="s">
        <v>50</v>
      </c>
      <c r="S1146" s="9">
        <f t="shared" si="89"/>
        <v>387.95000000000005</v>
      </c>
    </row>
    <row r="1147" spans="1:19" x14ac:dyDescent="0.3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str">
        <f>IFERROR(VLOOKUP('Customer Info'!A1139,'Customer Info'!A1139:C1638,2,FALSE),"Not Found")</f>
        <v>Not Found</v>
      </c>
      <c r="H1147" s="6" t="str">
        <f>IFERROR(VLOOKUP('Customer Info'!A1139,'Customer Info'!A1139:C1638,3,FALSE),"Not Found")</f>
        <v>Not Found</v>
      </c>
      <c r="I1147" s="6" t="str">
        <f>IFERROR(VLOOKUP('Customer Info'!A1139,'Customer Info'!A1139:E1638,5,FALSE),"Not Found")</f>
        <v>Not Found</v>
      </c>
      <c r="J1147" s="2">
        <v>1413</v>
      </c>
      <c r="K1147" s="2">
        <v>1334</v>
      </c>
      <c r="L1147" s="2">
        <v>2</v>
      </c>
      <c r="M1147" s="7">
        <f t="shared" si="85"/>
        <v>2668</v>
      </c>
      <c r="N1147" s="7">
        <f t="shared" si="86"/>
        <v>2826</v>
      </c>
      <c r="O1147" s="2">
        <v>60</v>
      </c>
      <c r="P1147" s="8">
        <f t="shared" si="87"/>
        <v>2886</v>
      </c>
      <c r="Q1147" s="8">
        <f t="shared" si="88"/>
        <v>1492</v>
      </c>
      <c r="R1147" s="2" t="s">
        <v>28</v>
      </c>
      <c r="S1147" s="9">
        <f t="shared" si="89"/>
        <v>57.72</v>
      </c>
    </row>
    <row r="1148" spans="1:19" x14ac:dyDescent="0.3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str">
        <f>IFERROR(VLOOKUP('Customer Info'!A1140,'Customer Info'!A1140:C1639,2,FALSE),"Not Found")</f>
        <v>Not Found</v>
      </c>
      <c r="H1148" s="6" t="str">
        <f>IFERROR(VLOOKUP('Customer Info'!A1140,'Customer Info'!A1140:C1639,3,FALSE),"Not Found")</f>
        <v>Not Found</v>
      </c>
      <c r="I1148" s="6" t="str">
        <f>IFERROR(VLOOKUP('Customer Info'!A1140,'Customer Info'!A1140:E1639,5,FALSE),"Not Found")</f>
        <v>Not Found</v>
      </c>
      <c r="J1148" s="2">
        <v>393</v>
      </c>
      <c r="K1148" s="2">
        <v>374</v>
      </c>
      <c r="L1148" s="2">
        <v>4</v>
      </c>
      <c r="M1148" s="7">
        <f t="shared" si="85"/>
        <v>1496</v>
      </c>
      <c r="N1148" s="7">
        <f t="shared" si="86"/>
        <v>1572</v>
      </c>
      <c r="O1148" s="2">
        <v>50</v>
      </c>
      <c r="P1148" s="8">
        <f t="shared" si="87"/>
        <v>1622</v>
      </c>
      <c r="Q1148" s="8">
        <f t="shared" si="88"/>
        <v>1198</v>
      </c>
      <c r="R1148" s="2" t="s">
        <v>50</v>
      </c>
      <c r="S1148" s="9">
        <f t="shared" si="89"/>
        <v>32.44</v>
      </c>
    </row>
    <row r="1149" spans="1:19" x14ac:dyDescent="0.3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str">
        <f>IFERROR(VLOOKUP('Customer Info'!A1141,'Customer Info'!A1141:C1640,2,FALSE),"Not Found")</f>
        <v>Not Found</v>
      </c>
      <c r="H1149" s="6" t="str">
        <f>IFERROR(VLOOKUP('Customer Info'!A1141,'Customer Info'!A1141:C1640,3,FALSE),"Not Found")</f>
        <v>Not Found</v>
      </c>
      <c r="I1149" s="6" t="str">
        <f>IFERROR(VLOOKUP('Customer Info'!A1141,'Customer Info'!A1141:E1640,5,FALSE),"Not Found")</f>
        <v>Not Found</v>
      </c>
      <c r="J1149" s="2">
        <v>1358</v>
      </c>
      <c r="K1149" s="2">
        <v>1257</v>
      </c>
      <c r="L1149" s="2">
        <v>3</v>
      </c>
      <c r="M1149" s="7">
        <f t="shared" si="85"/>
        <v>3771</v>
      </c>
      <c r="N1149" s="7">
        <f t="shared" si="86"/>
        <v>4074</v>
      </c>
      <c r="O1149" s="2">
        <v>35</v>
      </c>
      <c r="P1149" s="8">
        <f t="shared" si="87"/>
        <v>4109</v>
      </c>
      <c r="Q1149" s="8">
        <f t="shared" si="88"/>
        <v>2817</v>
      </c>
      <c r="R1149" s="2" t="s">
        <v>26</v>
      </c>
      <c r="S1149" s="9">
        <f t="shared" si="89"/>
        <v>82.18</v>
      </c>
    </row>
    <row r="1150" spans="1:19" x14ac:dyDescent="0.3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str">
        <f>IFERROR(VLOOKUP('Customer Info'!A1142,'Customer Info'!A1142:C1641,2,FALSE),"Not Found")</f>
        <v>Not Found</v>
      </c>
      <c r="H1150" s="6" t="str">
        <f>IFERROR(VLOOKUP('Customer Info'!A1142,'Customer Info'!A1142:C1641,3,FALSE),"Not Found")</f>
        <v>Not Found</v>
      </c>
      <c r="I1150" s="6" t="str">
        <f>IFERROR(VLOOKUP('Customer Info'!A1142,'Customer Info'!A1142:E1641,5,FALSE),"Not Found")</f>
        <v>Not Found</v>
      </c>
      <c r="J1150" s="2">
        <v>71</v>
      </c>
      <c r="K1150" s="2">
        <v>64</v>
      </c>
      <c r="L1150" s="2">
        <v>2</v>
      </c>
      <c r="M1150" s="7">
        <f t="shared" si="85"/>
        <v>128</v>
      </c>
      <c r="N1150" s="7">
        <f t="shared" si="86"/>
        <v>142</v>
      </c>
      <c r="O1150" s="2">
        <v>10</v>
      </c>
      <c r="P1150" s="8">
        <f t="shared" si="87"/>
        <v>152</v>
      </c>
      <c r="Q1150" s="8">
        <f t="shared" si="88"/>
        <v>78</v>
      </c>
      <c r="R1150" s="2" t="s">
        <v>56</v>
      </c>
      <c r="S1150" s="9">
        <f t="shared" si="89"/>
        <v>3.04</v>
      </c>
    </row>
    <row r="1151" spans="1:19" x14ac:dyDescent="0.3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str">
        <f>IFERROR(VLOOKUP('Customer Info'!A1143,'Customer Info'!A1143:C1642,2,FALSE),"Not Found")</f>
        <v>Not Found</v>
      </c>
      <c r="H1151" s="6" t="str">
        <f>IFERROR(VLOOKUP('Customer Info'!A1143,'Customer Info'!A1143:C1642,3,FALSE),"Not Found")</f>
        <v>Not Found</v>
      </c>
      <c r="I1151" s="6" t="str">
        <f>IFERROR(VLOOKUP('Customer Info'!A1143,'Customer Info'!A1143:E1642,5,FALSE),"Not Found")</f>
        <v>Not Found</v>
      </c>
      <c r="J1151" s="2">
        <v>8617</v>
      </c>
      <c r="K1151" s="2">
        <v>7900</v>
      </c>
      <c r="L1151" s="2">
        <v>4</v>
      </c>
      <c r="M1151" s="7">
        <f t="shared" si="85"/>
        <v>31600</v>
      </c>
      <c r="N1151" s="7">
        <f t="shared" si="86"/>
        <v>34468</v>
      </c>
      <c r="O1151" s="2">
        <v>26</v>
      </c>
      <c r="P1151" s="8">
        <f t="shared" si="87"/>
        <v>34494</v>
      </c>
      <c r="Q1151" s="8">
        <f t="shared" si="88"/>
        <v>26568</v>
      </c>
      <c r="R1151" s="2" t="s">
        <v>28</v>
      </c>
      <c r="S1151" s="9">
        <f t="shared" si="89"/>
        <v>2414.5800000000004</v>
      </c>
    </row>
    <row r="1152" spans="1:19" x14ac:dyDescent="0.3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str">
        <f>IFERROR(VLOOKUP('Customer Info'!A1144,'Customer Info'!A1144:C1643,2,FALSE),"Not Found")</f>
        <v>Not Found</v>
      </c>
      <c r="H1152" s="6" t="str">
        <f>IFERROR(VLOOKUP('Customer Info'!A1144,'Customer Info'!A1144:C1643,3,FALSE),"Not Found")</f>
        <v>Not Found</v>
      </c>
      <c r="I1152" s="6" t="str">
        <f>IFERROR(VLOOKUP('Customer Info'!A1144,'Customer Info'!A1144:E1643,5,FALSE),"Not Found")</f>
        <v>Not Found</v>
      </c>
      <c r="J1152" s="2">
        <v>8869</v>
      </c>
      <c r="K1152" s="2">
        <v>7906</v>
      </c>
      <c r="L1152" s="2">
        <v>2</v>
      </c>
      <c r="M1152" s="7">
        <f t="shared" si="85"/>
        <v>15812</v>
      </c>
      <c r="N1152" s="7">
        <f t="shared" si="86"/>
        <v>17738</v>
      </c>
      <c r="O1152" s="2">
        <v>47</v>
      </c>
      <c r="P1152" s="8">
        <f t="shared" si="87"/>
        <v>17785</v>
      </c>
      <c r="Q1152" s="8">
        <f t="shared" si="88"/>
        <v>9832</v>
      </c>
      <c r="R1152" s="2" t="s">
        <v>28</v>
      </c>
      <c r="S1152" s="9">
        <f t="shared" si="89"/>
        <v>889.25</v>
      </c>
    </row>
    <row r="1153" spans="1:19" x14ac:dyDescent="0.3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str">
        <f>IFERROR(VLOOKUP('Customer Info'!A1145,'Customer Info'!A1145:C1644,2,FALSE),"Not Found")</f>
        <v>Not Found</v>
      </c>
      <c r="H1153" s="6" t="str">
        <f>IFERROR(VLOOKUP('Customer Info'!A1145,'Customer Info'!A1145:C1644,3,FALSE),"Not Found")</f>
        <v>Not Found</v>
      </c>
      <c r="I1153" s="6" t="str">
        <f>IFERROR(VLOOKUP('Customer Info'!A1145,'Customer Info'!A1145:E1644,5,FALSE),"Not Found")</f>
        <v>Not Found</v>
      </c>
      <c r="J1153" s="2">
        <v>1385</v>
      </c>
      <c r="K1153" s="2">
        <v>1295</v>
      </c>
      <c r="L1153" s="2">
        <v>5</v>
      </c>
      <c r="M1153" s="7">
        <f t="shared" si="85"/>
        <v>6475</v>
      </c>
      <c r="N1153" s="7">
        <f t="shared" si="86"/>
        <v>6925</v>
      </c>
      <c r="O1153" s="2">
        <v>100</v>
      </c>
      <c r="P1153" s="8">
        <f t="shared" si="87"/>
        <v>7025</v>
      </c>
      <c r="Q1153" s="8">
        <f t="shared" si="88"/>
        <v>5630</v>
      </c>
      <c r="R1153" s="2" t="s">
        <v>28</v>
      </c>
      <c r="S1153" s="9">
        <f t="shared" si="89"/>
        <v>351.25</v>
      </c>
    </row>
    <row r="1154" spans="1:19" x14ac:dyDescent="0.3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str">
        <f>IFERROR(VLOOKUP('Customer Info'!A1146,'Customer Info'!A1146:C1645,2,FALSE),"Not Found")</f>
        <v>Not Found</v>
      </c>
      <c r="H1154" s="6" t="str">
        <f>IFERROR(VLOOKUP('Customer Info'!A1146,'Customer Info'!A1146:C1645,3,FALSE),"Not Found")</f>
        <v>Not Found</v>
      </c>
      <c r="I1154" s="6" t="str">
        <f>IFERROR(VLOOKUP('Customer Info'!A1146,'Customer Info'!A1146:E1645,5,FALSE),"Not Found")</f>
        <v>Not Found</v>
      </c>
      <c r="J1154" s="2">
        <v>4798</v>
      </c>
      <c r="K1154" s="2">
        <v>4448</v>
      </c>
      <c r="L1154" s="2">
        <v>3</v>
      </c>
      <c r="M1154" s="7">
        <f t="shared" si="85"/>
        <v>13344</v>
      </c>
      <c r="N1154" s="7">
        <f t="shared" si="86"/>
        <v>14394</v>
      </c>
      <c r="O1154" s="2">
        <v>40</v>
      </c>
      <c r="P1154" s="8">
        <f t="shared" si="87"/>
        <v>14434</v>
      </c>
      <c r="Q1154" s="8">
        <f t="shared" si="88"/>
        <v>9946</v>
      </c>
      <c r="R1154" s="2" t="s">
        <v>28</v>
      </c>
      <c r="S1154" s="9">
        <f t="shared" si="89"/>
        <v>721.7</v>
      </c>
    </row>
    <row r="1155" spans="1:19" x14ac:dyDescent="0.3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str">
        <f>IFERROR(VLOOKUP('Customer Info'!A1147,'Customer Info'!A1147:C1646,2,FALSE),"Not Found")</f>
        <v>Not Found</v>
      </c>
      <c r="H1155" s="6" t="str">
        <f>IFERROR(VLOOKUP('Customer Info'!A1147,'Customer Info'!A1147:C1646,3,FALSE),"Not Found")</f>
        <v>Not Found</v>
      </c>
      <c r="I1155" s="6" t="str">
        <f>IFERROR(VLOOKUP('Customer Info'!A1147,'Customer Info'!A1147:E1646,5,FALSE),"Not Found")</f>
        <v>Not Found</v>
      </c>
      <c r="J1155" s="2">
        <v>6864</v>
      </c>
      <c r="K1155" s="2">
        <v>6667</v>
      </c>
      <c r="L1155" s="2">
        <v>1</v>
      </c>
      <c r="M1155" s="7">
        <f t="shared" si="85"/>
        <v>6667</v>
      </c>
      <c r="N1155" s="7">
        <f t="shared" si="86"/>
        <v>6864</v>
      </c>
      <c r="O1155" s="2">
        <v>79</v>
      </c>
      <c r="P1155" s="8">
        <f t="shared" si="87"/>
        <v>6943</v>
      </c>
      <c r="Q1155" s="8">
        <f t="shared" si="88"/>
        <v>197</v>
      </c>
      <c r="R1155" s="2" t="s">
        <v>28</v>
      </c>
      <c r="S1155" s="9">
        <f t="shared" si="89"/>
        <v>347.15000000000003</v>
      </c>
    </row>
    <row r="1156" spans="1:19" x14ac:dyDescent="0.3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str">
        <f>IFERROR(VLOOKUP('Customer Info'!A1148,'Customer Info'!A1148:C1647,2,FALSE),"Not Found")</f>
        <v>Not Found</v>
      </c>
      <c r="H1156" s="6" t="str">
        <f>IFERROR(VLOOKUP('Customer Info'!A1148,'Customer Info'!A1148:C1647,3,FALSE),"Not Found")</f>
        <v>Not Found</v>
      </c>
      <c r="I1156" s="6" t="str">
        <f>IFERROR(VLOOKUP('Customer Info'!A1148,'Customer Info'!A1148:E1647,5,FALSE),"Not Found")</f>
        <v>Not Found</v>
      </c>
      <c r="J1156" s="2">
        <v>6400</v>
      </c>
      <c r="K1156" s="2">
        <v>6401</v>
      </c>
      <c r="L1156" s="2">
        <v>3</v>
      </c>
      <c r="M1156" s="7">
        <f t="shared" si="85"/>
        <v>19203</v>
      </c>
      <c r="N1156" s="7">
        <f t="shared" si="86"/>
        <v>19200</v>
      </c>
      <c r="O1156" s="2">
        <v>88</v>
      </c>
      <c r="P1156" s="8">
        <f t="shared" si="87"/>
        <v>19288</v>
      </c>
      <c r="Q1156" s="8">
        <f t="shared" si="88"/>
        <v>12799</v>
      </c>
      <c r="R1156" s="2" t="s">
        <v>28</v>
      </c>
      <c r="S1156" s="9">
        <f t="shared" si="89"/>
        <v>964.40000000000009</v>
      </c>
    </row>
    <row r="1157" spans="1:19" x14ac:dyDescent="0.3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str">
        <f>IFERROR(VLOOKUP('Customer Info'!A1149,'Customer Info'!A1149:C1648,2,FALSE),"Not Found")</f>
        <v>Not Found</v>
      </c>
      <c r="H1157" s="6" t="str">
        <f>IFERROR(VLOOKUP('Customer Info'!A1149,'Customer Info'!A1149:C1648,3,FALSE),"Not Found")</f>
        <v>Not Found</v>
      </c>
      <c r="I1157" s="6" t="str">
        <f>IFERROR(VLOOKUP('Customer Info'!A1149,'Customer Info'!A1149:E1648,5,FALSE),"Not Found")</f>
        <v>Not Found</v>
      </c>
      <c r="J1157" s="2">
        <v>1635</v>
      </c>
      <c r="K1157" s="2">
        <v>1573</v>
      </c>
      <c r="L1157" s="2">
        <v>6</v>
      </c>
      <c r="M1157" s="7">
        <f t="shared" si="85"/>
        <v>9438</v>
      </c>
      <c r="N1157" s="7">
        <f t="shared" si="86"/>
        <v>9810</v>
      </c>
      <c r="O1157" s="2">
        <v>86</v>
      </c>
      <c r="P1157" s="8">
        <f t="shared" si="87"/>
        <v>9896</v>
      </c>
      <c r="Q1157" s="8">
        <f t="shared" si="88"/>
        <v>8237</v>
      </c>
      <c r="R1157" s="2" t="s">
        <v>28</v>
      </c>
      <c r="S1157" s="9">
        <f t="shared" si="89"/>
        <v>494.8</v>
      </c>
    </row>
    <row r="1158" spans="1:19" x14ac:dyDescent="0.3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str">
        <f>IFERROR(VLOOKUP('Customer Info'!A1150,'Customer Info'!A1150:C1649,2,FALSE),"Not Found")</f>
        <v>Not Found</v>
      </c>
      <c r="H1158" s="6" t="str">
        <f>IFERROR(VLOOKUP('Customer Info'!A1150,'Customer Info'!A1150:C1649,3,FALSE),"Not Found")</f>
        <v>Not Found</v>
      </c>
      <c r="I1158" s="6" t="str">
        <f>IFERROR(VLOOKUP('Customer Info'!A1150,'Customer Info'!A1150:E1649,5,FALSE),"Not Found")</f>
        <v>Not Found</v>
      </c>
      <c r="J1158" s="2">
        <v>2857</v>
      </c>
      <c r="K1158" s="2">
        <v>2622</v>
      </c>
      <c r="L1158" s="2">
        <v>2</v>
      </c>
      <c r="M1158" s="7">
        <f t="shared" si="85"/>
        <v>5244</v>
      </c>
      <c r="N1158" s="7">
        <f t="shared" si="86"/>
        <v>5714</v>
      </c>
      <c r="O1158" s="2">
        <v>98</v>
      </c>
      <c r="P1158" s="8">
        <f t="shared" si="87"/>
        <v>5812</v>
      </c>
      <c r="Q1158" s="8">
        <f t="shared" si="88"/>
        <v>3092</v>
      </c>
      <c r="R1158" s="2" t="s">
        <v>50</v>
      </c>
      <c r="S1158" s="9">
        <f t="shared" si="89"/>
        <v>290.60000000000002</v>
      </c>
    </row>
    <row r="1159" spans="1:19" x14ac:dyDescent="0.3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str">
        <f>IFERROR(VLOOKUP('Customer Info'!A1151,'Customer Info'!A1151:C1650,2,FALSE),"Not Found")</f>
        <v>Not Found</v>
      </c>
      <c r="H1159" s="6" t="str">
        <f>IFERROR(VLOOKUP('Customer Info'!A1151,'Customer Info'!A1151:C1650,3,FALSE),"Not Found")</f>
        <v>Not Found</v>
      </c>
      <c r="I1159" s="6" t="str">
        <f>IFERROR(VLOOKUP('Customer Info'!A1151,'Customer Info'!A1151:E1650,5,FALSE),"Not Found")</f>
        <v>Not Found</v>
      </c>
      <c r="J1159" s="2">
        <v>4808</v>
      </c>
      <c r="K1159" s="2">
        <v>4453</v>
      </c>
      <c r="L1159" s="2">
        <v>4</v>
      </c>
      <c r="M1159" s="7">
        <f t="shared" si="85"/>
        <v>17812</v>
      </c>
      <c r="N1159" s="7">
        <f t="shared" si="86"/>
        <v>19232</v>
      </c>
      <c r="O1159" s="2">
        <v>39</v>
      </c>
      <c r="P1159" s="8">
        <f t="shared" si="87"/>
        <v>19271</v>
      </c>
      <c r="Q1159" s="8">
        <f t="shared" si="88"/>
        <v>14779</v>
      </c>
      <c r="R1159" s="2" t="s">
        <v>28</v>
      </c>
      <c r="S1159" s="9">
        <f t="shared" si="89"/>
        <v>963.55000000000007</v>
      </c>
    </row>
    <row r="1160" spans="1:19" x14ac:dyDescent="0.3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str">
        <f>IFERROR(VLOOKUP('Customer Info'!A1152,'Customer Info'!A1152:C1651,2,FALSE),"Not Found")</f>
        <v>Not Found</v>
      </c>
      <c r="H1160" s="6" t="str">
        <f>IFERROR(VLOOKUP('Customer Info'!A1152,'Customer Info'!A1152:C1651,3,FALSE),"Not Found")</f>
        <v>Not Found</v>
      </c>
      <c r="I1160" s="6" t="str">
        <f>IFERROR(VLOOKUP('Customer Info'!A1152,'Customer Info'!A1152:E1651,5,FALSE),"Not Found")</f>
        <v>Not Found</v>
      </c>
      <c r="J1160" s="2">
        <v>3145</v>
      </c>
      <c r="K1160" s="2">
        <v>3025</v>
      </c>
      <c r="L1160" s="2">
        <v>1</v>
      </c>
      <c r="M1160" s="7">
        <f t="shared" si="85"/>
        <v>3025</v>
      </c>
      <c r="N1160" s="7">
        <f t="shared" si="86"/>
        <v>3145</v>
      </c>
      <c r="O1160" s="2">
        <v>30</v>
      </c>
      <c r="P1160" s="8">
        <f t="shared" si="87"/>
        <v>3175</v>
      </c>
      <c r="Q1160" s="8">
        <f t="shared" si="88"/>
        <v>120</v>
      </c>
      <c r="R1160" s="2" t="s">
        <v>50</v>
      </c>
      <c r="S1160" s="9">
        <f t="shared" si="89"/>
        <v>63.5</v>
      </c>
    </row>
    <row r="1161" spans="1:19" x14ac:dyDescent="0.3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str">
        <f>IFERROR(VLOOKUP('Customer Info'!A1153,'Customer Info'!A1153:C1652,2,FALSE),"Not Found")</f>
        <v>Not Found</v>
      </c>
      <c r="H1161" s="6" t="str">
        <f>IFERROR(VLOOKUP('Customer Info'!A1153,'Customer Info'!A1153:C1652,3,FALSE),"Not Found")</f>
        <v>Not Found</v>
      </c>
      <c r="I1161" s="6" t="str">
        <f>IFERROR(VLOOKUP('Customer Info'!A1153,'Customer Info'!A1153:E1652,5,FALSE),"Not Found")</f>
        <v>Not Found</v>
      </c>
      <c r="J1161" s="2">
        <v>505</v>
      </c>
      <c r="K1161" s="2">
        <v>463</v>
      </c>
      <c r="L1161" s="2">
        <v>5</v>
      </c>
      <c r="M1161" s="7">
        <f t="shared" si="85"/>
        <v>2315</v>
      </c>
      <c r="N1161" s="7">
        <f t="shared" si="86"/>
        <v>2525</v>
      </c>
      <c r="O1161" s="2">
        <v>95</v>
      </c>
      <c r="P1161" s="8">
        <f t="shared" si="87"/>
        <v>2620</v>
      </c>
      <c r="Q1161" s="8">
        <f t="shared" si="88"/>
        <v>2062</v>
      </c>
      <c r="R1161" s="2" t="s">
        <v>50</v>
      </c>
      <c r="S1161" s="9">
        <f t="shared" si="89"/>
        <v>52.4</v>
      </c>
    </row>
    <row r="1162" spans="1:19" x14ac:dyDescent="0.3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str">
        <f>IFERROR(VLOOKUP('Customer Info'!A1154,'Customer Info'!A1154:C1653,2,FALSE),"Not Found")</f>
        <v>Not Found</v>
      </c>
      <c r="H1162" s="6" t="str">
        <f>IFERROR(VLOOKUP('Customer Info'!A1154,'Customer Info'!A1154:C1653,3,FALSE),"Not Found")</f>
        <v>Not Found</v>
      </c>
      <c r="I1162" s="6" t="str">
        <f>IFERROR(VLOOKUP('Customer Info'!A1154,'Customer Info'!A1154:E1653,5,FALSE),"Not Found")</f>
        <v>Not Found</v>
      </c>
      <c r="J1162" s="2">
        <v>184</v>
      </c>
      <c r="K1162" s="2">
        <v>176</v>
      </c>
      <c r="L1162" s="2">
        <v>2</v>
      </c>
      <c r="M1162" s="7">
        <f t="shared" si="85"/>
        <v>352</v>
      </c>
      <c r="N1162" s="7">
        <f t="shared" si="86"/>
        <v>368</v>
      </c>
      <c r="O1162" s="2">
        <v>30</v>
      </c>
      <c r="P1162" s="8">
        <f t="shared" si="87"/>
        <v>398</v>
      </c>
      <c r="Q1162" s="8">
        <f t="shared" si="88"/>
        <v>192</v>
      </c>
      <c r="R1162" s="2" t="s">
        <v>28</v>
      </c>
      <c r="S1162" s="9">
        <f t="shared" si="89"/>
        <v>7.96</v>
      </c>
    </row>
    <row r="1163" spans="1:19" x14ac:dyDescent="0.3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str">
        <f>IFERROR(VLOOKUP('Customer Info'!A1155,'Customer Info'!A1155:C1654,2,FALSE),"Not Found")</f>
        <v>Not Found</v>
      </c>
      <c r="H1163" s="6" t="str">
        <f>IFERROR(VLOOKUP('Customer Info'!A1155,'Customer Info'!A1155:C1654,3,FALSE),"Not Found")</f>
        <v>Not Found</v>
      </c>
      <c r="I1163" s="6" t="str">
        <f>IFERROR(VLOOKUP('Customer Info'!A1155,'Customer Info'!A1155:E1654,5,FALSE),"Not Found")</f>
        <v>Not Found</v>
      </c>
      <c r="J1163" s="2">
        <v>210</v>
      </c>
      <c r="K1163" s="2">
        <v>191</v>
      </c>
      <c r="L1163" s="2">
        <v>2</v>
      </c>
      <c r="M1163" s="7">
        <f t="shared" ref="M1163:M1226" si="90">$K1163*$L1163</f>
        <v>382</v>
      </c>
      <c r="N1163" s="7">
        <f t="shared" ref="N1163:N1226" si="91">$J1163*$L1163</f>
        <v>420</v>
      </c>
      <c r="O1163" s="2">
        <v>55</v>
      </c>
      <c r="P1163" s="8">
        <f t="shared" ref="P1163:P1226" si="92">$N1163+$O1163</f>
        <v>475</v>
      </c>
      <c r="Q1163" s="8">
        <f t="shared" ref="Q1163:Q1226" si="93">$N1163-$K1163</f>
        <v>229</v>
      </c>
      <c r="R1163" s="2" t="s">
        <v>28</v>
      </c>
      <c r="S1163" s="9">
        <f t="shared" ref="S1163:S1226" si="94" xml:space="preserve"> P1163 * VLOOKUP(P1163, $T$2:$U$6, 2, TRUE)</f>
        <v>9.5</v>
      </c>
    </row>
    <row r="1164" spans="1:19" x14ac:dyDescent="0.3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str">
        <f>IFERROR(VLOOKUP('Customer Info'!A1156,'Customer Info'!A1156:C1655,2,FALSE),"Not Found")</f>
        <v>Not Found</v>
      </c>
      <c r="H1164" s="6" t="str">
        <f>IFERROR(VLOOKUP('Customer Info'!A1156,'Customer Info'!A1156:C1655,3,FALSE),"Not Found")</f>
        <v>Not Found</v>
      </c>
      <c r="I1164" s="6" t="str">
        <f>IFERROR(VLOOKUP('Customer Info'!A1156,'Customer Info'!A1156:E1655,5,FALSE),"Not Found")</f>
        <v>Not Found</v>
      </c>
      <c r="J1164" s="2">
        <v>123</v>
      </c>
      <c r="K1164" s="2">
        <v>115</v>
      </c>
      <c r="L1164" s="2">
        <v>5</v>
      </c>
      <c r="M1164" s="7">
        <f t="shared" si="90"/>
        <v>575</v>
      </c>
      <c r="N1164" s="7">
        <f t="shared" si="91"/>
        <v>615</v>
      </c>
      <c r="O1164" s="2">
        <v>30</v>
      </c>
      <c r="P1164" s="8">
        <f t="shared" si="92"/>
        <v>645</v>
      </c>
      <c r="Q1164" s="8">
        <f t="shared" si="93"/>
        <v>500</v>
      </c>
      <c r="R1164" s="2" t="s">
        <v>28</v>
      </c>
      <c r="S1164" s="9">
        <f t="shared" si="94"/>
        <v>12.9</v>
      </c>
    </row>
    <row r="1165" spans="1:19" x14ac:dyDescent="0.3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str">
        <f>IFERROR(VLOOKUP('Customer Info'!A1157,'Customer Info'!A1157:C1656,2,FALSE),"Not Found")</f>
        <v>Not Found</v>
      </c>
      <c r="H1165" s="6" t="str">
        <f>IFERROR(VLOOKUP('Customer Info'!A1157,'Customer Info'!A1157:C1656,3,FALSE),"Not Found")</f>
        <v>Not Found</v>
      </c>
      <c r="I1165" s="6" t="str">
        <f>IFERROR(VLOOKUP('Customer Info'!A1157,'Customer Info'!A1157:E1656,5,FALSE),"Not Found")</f>
        <v>Not Found</v>
      </c>
      <c r="J1165" s="2">
        <v>1587</v>
      </c>
      <c r="K1165" s="2">
        <v>1428</v>
      </c>
      <c r="L1165" s="2">
        <v>3</v>
      </c>
      <c r="M1165" s="7">
        <f t="shared" si="90"/>
        <v>4284</v>
      </c>
      <c r="N1165" s="7">
        <f t="shared" si="91"/>
        <v>4761</v>
      </c>
      <c r="O1165" s="2">
        <v>36</v>
      </c>
      <c r="P1165" s="8">
        <f t="shared" si="92"/>
        <v>4797</v>
      </c>
      <c r="Q1165" s="8">
        <f t="shared" si="93"/>
        <v>3333</v>
      </c>
      <c r="R1165" s="2" t="s">
        <v>50</v>
      </c>
      <c r="S1165" s="9">
        <f t="shared" si="94"/>
        <v>95.94</v>
      </c>
    </row>
    <row r="1166" spans="1:19" x14ac:dyDescent="0.3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str">
        <f>IFERROR(VLOOKUP('Customer Info'!A1158,'Customer Info'!A1158:C1657,2,FALSE),"Not Found")</f>
        <v>Not Found</v>
      </c>
      <c r="H1166" s="6" t="str">
        <f>IFERROR(VLOOKUP('Customer Info'!A1158,'Customer Info'!A1158:C1657,3,FALSE),"Not Found")</f>
        <v>Not Found</v>
      </c>
      <c r="I1166" s="6" t="str">
        <f>IFERROR(VLOOKUP('Customer Info'!A1158,'Customer Info'!A1158:E1657,5,FALSE),"Not Found")</f>
        <v>Not Found</v>
      </c>
      <c r="J1166" s="2">
        <v>3053</v>
      </c>
      <c r="K1166" s="2">
        <v>2937</v>
      </c>
      <c r="L1166" s="2">
        <v>8</v>
      </c>
      <c r="M1166" s="7">
        <f t="shared" si="90"/>
        <v>23496</v>
      </c>
      <c r="N1166" s="7">
        <f t="shared" si="91"/>
        <v>24424</v>
      </c>
      <c r="O1166" s="2">
        <v>34</v>
      </c>
      <c r="P1166" s="8">
        <f t="shared" si="92"/>
        <v>24458</v>
      </c>
      <c r="Q1166" s="8">
        <f t="shared" si="93"/>
        <v>21487</v>
      </c>
      <c r="R1166" s="2" t="s">
        <v>28</v>
      </c>
      <c r="S1166" s="9">
        <f t="shared" si="94"/>
        <v>1222.9000000000001</v>
      </c>
    </row>
    <row r="1167" spans="1:19" x14ac:dyDescent="0.3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str">
        <f>IFERROR(VLOOKUP('Customer Info'!A1159,'Customer Info'!A1159:C1658,2,FALSE),"Not Found")</f>
        <v>Not Found</v>
      </c>
      <c r="H1167" s="6" t="str">
        <f>IFERROR(VLOOKUP('Customer Info'!A1159,'Customer Info'!A1159:C1658,3,FALSE),"Not Found")</f>
        <v>Not Found</v>
      </c>
      <c r="I1167" s="6" t="str">
        <f>IFERROR(VLOOKUP('Customer Info'!A1159,'Customer Info'!A1159:E1658,5,FALSE),"Not Found")</f>
        <v>Not Found</v>
      </c>
      <c r="J1167" s="2">
        <v>2627</v>
      </c>
      <c r="K1167" s="2">
        <v>2528</v>
      </c>
      <c r="L1167" s="2">
        <v>2</v>
      </c>
      <c r="M1167" s="7">
        <f t="shared" si="90"/>
        <v>5056</v>
      </c>
      <c r="N1167" s="7">
        <f t="shared" si="91"/>
        <v>5254</v>
      </c>
      <c r="O1167" s="2">
        <v>82</v>
      </c>
      <c r="P1167" s="8">
        <f t="shared" si="92"/>
        <v>5336</v>
      </c>
      <c r="Q1167" s="8">
        <f t="shared" si="93"/>
        <v>2726</v>
      </c>
      <c r="R1167" s="2" t="s">
        <v>28</v>
      </c>
      <c r="S1167" s="9">
        <f t="shared" si="94"/>
        <v>266.8</v>
      </c>
    </row>
    <row r="1168" spans="1:19" x14ac:dyDescent="0.3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str">
        <f>IFERROR(VLOOKUP('Customer Info'!A1160,'Customer Info'!A1160:C1659,2,FALSE),"Not Found")</f>
        <v>Not Found</v>
      </c>
      <c r="H1168" s="6" t="str">
        <f>IFERROR(VLOOKUP('Customer Info'!A1160,'Customer Info'!A1160:C1659,3,FALSE),"Not Found")</f>
        <v>Not Found</v>
      </c>
      <c r="I1168" s="6" t="str">
        <f>IFERROR(VLOOKUP('Customer Info'!A1160,'Customer Info'!A1160:E1659,5,FALSE),"Not Found")</f>
        <v>Not Found</v>
      </c>
      <c r="J1168" s="2">
        <v>59</v>
      </c>
      <c r="K1168" s="2">
        <v>55</v>
      </c>
      <c r="L1168" s="2">
        <v>1</v>
      </c>
      <c r="M1168" s="7">
        <f t="shared" si="90"/>
        <v>55</v>
      </c>
      <c r="N1168" s="7">
        <f t="shared" si="91"/>
        <v>59</v>
      </c>
      <c r="O1168" s="2">
        <v>10</v>
      </c>
      <c r="P1168" s="8">
        <f t="shared" si="92"/>
        <v>69</v>
      </c>
      <c r="Q1168" s="8">
        <f t="shared" si="93"/>
        <v>4</v>
      </c>
      <c r="R1168" s="2" t="s">
        <v>28</v>
      </c>
      <c r="S1168" s="9">
        <f t="shared" si="94"/>
        <v>1.3800000000000001</v>
      </c>
    </row>
    <row r="1169" spans="1:19" x14ac:dyDescent="0.3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str">
        <f>IFERROR(VLOOKUP('Customer Info'!A1161,'Customer Info'!A1161:C1660,2,FALSE),"Not Found")</f>
        <v>Not Found</v>
      </c>
      <c r="H1169" s="6" t="str">
        <f>IFERROR(VLOOKUP('Customer Info'!A1161,'Customer Info'!A1161:C1660,3,FALSE),"Not Found")</f>
        <v>Not Found</v>
      </c>
      <c r="I1169" s="6" t="str">
        <f>IFERROR(VLOOKUP('Customer Info'!A1161,'Customer Info'!A1161:E1660,5,FALSE),"Not Found")</f>
        <v>Not Found</v>
      </c>
      <c r="J1169" s="2">
        <v>125</v>
      </c>
      <c r="K1169" s="2">
        <v>113</v>
      </c>
      <c r="L1169" s="2">
        <v>3</v>
      </c>
      <c r="M1169" s="7">
        <f t="shared" si="90"/>
        <v>339</v>
      </c>
      <c r="N1169" s="7">
        <f t="shared" si="91"/>
        <v>375</v>
      </c>
      <c r="O1169" s="2">
        <v>30</v>
      </c>
      <c r="P1169" s="8">
        <f t="shared" si="92"/>
        <v>405</v>
      </c>
      <c r="Q1169" s="8">
        <f t="shared" si="93"/>
        <v>262</v>
      </c>
      <c r="R1169" s="2" t="s">
        <v>50</v>
      </c>
      <c r="S1169" s="9">
        <f t="shared" si="94"/>
        <v>8.1</v>
      </c>
    </row>
    <row r="1170" spans="1:19" x14ac:dyDescent="0.3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str">
        <f>IFERROR(VLOOKUP('Customer Info'!A1162,'Customer Info'!A1162:C1661,2,FALSE),"Not Found")</f>
        <v>Not Found</v>
      </c>
      <c r="H1170" s="6" t="str">
        <f>IFERROR(VLOOKUP('Customer Info'!A1162,'Customer Info'!A1162:C1661,3,FALSE),"Not Found")</f>
        <v>Not Found</v>
      </c>
      <c r="I1170" s="6" t="str">
        <f>IFERROR(VLOOKUP('Customer Info'!A1162,'Customer Info'!A1162:E1661,5,FALSE),"Not Found")</f>
        <v>Not Found</v>
      </c>
      <c r="J1170" s="2">
        <v>166</v>
      </c>
      <c r="K1170" s="2">
        <v>149</v>
      </c>
      <c r="L1170" s="2">
        <v>4</v>
      </c>
      <c r="M1170" s="7">
        <f t="shared" si="90"/>
        <v>596</v>
      </c>
      <c r="N1170" s="7">
        <f t="shared" si="91"/>
        <v>664</v>
      </c>
      <c r="O1170" s="2">
        <v>30</v>
      </c>
      <c r="P1170" s="8">
        <f t="shared" si="92"/>
        <v>694</v>
      </c>
      <c r="Q1170" s="8">
        <f t="shared" si="93"/>
        <v>515</v>
      </c>
      <c r="R1170" s="2" t="s">
        <v>28</v>
      </c>
      <c r="S1170" s="9">
        <f t="shared" si="94"/>
        <v>13.88</v>
      </c>
    </row>
    <row r="1171" spans="1:19" x14ac:dyDescent="0.3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str">
        <f>IFERROR(VLOOKUP('Customer Info'!A1163,'Customer Info'!A1163:C1662,2,FALSE),"Not Found")</f>
        <v>Not Found</v>
      </c>
      <c r="H1171" s="6" t="str">
        <f>IFERROR(VLOOKUP('Customer Info'!A1163,'Customer Info'!A1163:C1662,3,FALSE),"Not Found")</f>
        <v>Not Found</v>
      </c>
      <c r="I1171" s="6" t="str">
        <f>IFERROR(VLOOKUP('Customer Info'!A1163,'Customer Info'!A1163:E1662,5,FALSE),"Not Found")</f>
        <v>Not Found</v>
      </c>
      <c r="J1171" s="2">
        <v>726</v>
      </c>
      <c r="K1171" s="2">
        <v>646</v>
      </c>
      <c r="L1171" s="2">
        <v>2</v>
      </c>
      <c r="M1171" s="7">
        <f t="shared" si="90"/>
        <v>1292</v>
      </c>
      <c r="N1171" s="7">
        <f t="shared" si="91"/>
        <v>1452</v>
      </c>
      <c r="O1171" s="2">
        <v>39</v>
      </c>
      <c r="P1171" s="8">
        <f t="shared" si="92"/>
        <v>1491</v>
      </c>
      <c r="Q1171" s="8">
        <f t="shared" si="93"/>
        <v>806</v>
      </c>
      <c r="R1171" s="2" t="s">
        <v>26</v>
      </c>
      <c r="S1171" s="9">
        <f t="shared" si="94"/>
        <v>29.82</v>
      </c>
    </row>
    <row r="1172" spans="1:19" x14ac:dyDescent="0.3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str">
        <f>IFERROR(VLOOKUP('Customer Info'!A1164,'Customer Info'!A1164:C1663,2,FALSE),"Not Found")</f>
        <v>Not Found</v>
      </c>
      <c r="H1172" s="6" t="str">
        <f>IFERROR(VLOOKUP('Customer Info'!A1164,'Customer Info'!A1164:C1663,3,FALSE),"Not Found")</f>
        <v>Not Found</v>
      </c>
      <c r="I1172" s="6" t="str">
        <f>IFERROR(VLOOKUP('Customer Info'!A1164,'Customer Info'!A1164:E1663,5,FALSE),"Not Found")</f>
        <v>Not Found</v>
      </c>
      <c r="J1172" s="2">
        <v>7960</v>
      </c>
      <c r="K1172" s="2">
        <v>7375</v>
      </c>
      <c r="L1172" s="2">
        <v>4</v>
      </c>
      <c r="M1172" s="7">
        <f t="shared" si="90"/>
        <v>29500</v>
      </c>
      <c r="N1172" s="7">
        <f t="shared" si="91"/>
        <v>31840</v>
      </c>
      <c r="O1172" s="2">
        <v>26</v>
      </c>
      <c r="P1172" s="8">
        <f t="shared" si="92"/>
        <v>31866</v>
      </c>
      <c r="Q1172" s="8">
        <f t="shared" si="93"/>
        <v>24465</v>
      </c>
      <c r="R1172" s="2" t="s">
        <v>28</v>
      </c>
      <c r="S1172" s="9">
        <f t="shared" si="94"/>
        <v>2230.6200000000003</v>
      </c>
    </row>
    <row r="1173" spans="1:19" x14ac:dyDescent="0.3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str">
        <f>IFERROR(VLOOKUP('Customer Info'!A1165,'Customer Info'!A1165:C1664,2,FALSE),"Not Found")</f>
        <v>Not Found</v>
      </c>
      <c r="H1173" s="6" t="str">
        <f>IFERROR(VLOOKUP('Customer Info'!A1165,'Customer Info'!A1165:C1664,3,FALSE),"Not Found")</f>
        <v>Not Found</v>
      </c>
      <c r="I1173" s="6" t="str">
        <f>IFERROR(VLOOKUP('Customer Info'!A1165,'Customer Info'!A1165:E1664,5,FALSE),"Not Found")</f>
        <v>Not Found</v>
      </c>
      <c r="J1173" s="2">
        <v>825</v>
      </c>
      <c r="K1173" s="2">
        <v>793</v>
      </c>
      <c r="L1173" s="2">
        <v>5</v>
      </c>
      <c r="M1173" s="7">
        <f t="shared" si="90"/>
        <v>3965</v>
      </c>
      <c r="N1173" s="7">
        <f t="shared" si="91"/>
        <v>4125</v>
      </c>
      <c r="O1173" s="2">
        <v>77</v>
      </c>
      <c r="P1173" s="8">
        <f t="shared" si="92"/>
        <v>4202</v>
      </c>
      <c r="Q1173" s="8">
        <f t="shared" si="93"/>
        <v>3332</v>
      </c>
      <c r="R1173" s="2" t="s">
        <v>28</v>
      </c>
      <c r="S1173" s="9">
        <f t="shared" si="94"/>
        <v>84.04</v>
      </c>
    </row>
    <row r="1174" spans="1:19" x14ac:dyDescent="0.3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str">
        <f>IFERROR(VLOOKUP('Customer Info'!A1166,'Customer Info'!A1166:C1665,2,FALSE),"Not Found")</f>
        <v>Not Found</v>
      </c>
      <c r="H1174" s="6" t="str">
        <f>IFERROR(VLOOKUP('Customer Info'!A1166,'Customer Info'!A1166:C1665,3,FALSE),"Not Found")</f>
        <v>Not Found</v>
      </c>
      <c r="I1174" s="6" t="str">
        <f>IFERROR(VLOOKUP('Customer Info'!A1166,'Customer Info'!A1166:E1665,5,FALSE),"Not Found")</f>
        <v>Not Found</v>
      </c>
      <c r="J1174" s="2">
        <v>2453</v>
      </c>
      <c r="K1174" s="2">
        <v>2336</v>
      </c>
      <c r="L1174" s="2">
        <v>7</v>
      </c>
      <c r="M1174" s="7">
        <f t="shared" si="90"/>
        <v>16352</v>
      </c>
      <c r="N1174" s="7">
        <f t="shared" si="91"/>
        <v>17171</v>
      </c>
      <c r="O1174" s="2">
        <v>90</v>
      </c>
      <c r="P1174" s="8">
        <f t="shared" si="92"/>
        <v>17261</v>
      </c>
      <c r="Q1174" s="8">
        <f t="shared" si="93"/>
        <v>14835</v>
      </c>
      <c r="R1174" s="2" t="s">
        <v>28</v>
      </c>
      <c r="S1174" s="9">
        <f t="shared" si="94"/>
        <v>863.05000000000007</v>
      </c>
    </row>
    <row r="1175" spans="1:19" x14ac:dyDescent="0.3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str">
        <f>IFERROR(VLOOKUP('Customer Info'!A1167,'Customer Info'!A1167:C1666,2,FALSE),"Not Found")</f>
        <v>Not Found</v>
      </c>
      <c r="H1175" s="6" t="str">
        <f>IFERROR(VLOOKUP('Customer Info'!A1167,'Customer Info'!A1167:C1666,3,FALSE),"Not Found")</f>
        <v>Not Found</v>
      </c>
      <c r="I1175" s="6" t="str">
        <f>IFERROR(VLOOKUP('Customer Info'!A1167,'Customer Info'!A1167:E1666,5,FALSE),"Not Found")</f>
        <v>Not Found</v>
      </c>
      <c r="J1175" s="2">
        <v>1305</v>
      </c>
      <c r="K1175" s="2">
        <v>1197</v>
      </c>
      <c r="L1175" s="2">
        <v>3</v>
      </c>
      <c r="M1175" s="7">
        <f t="shared" si="90"/>
        <v>3591</v>
      </c>
      <c r="N1175" s="7">
        <f t="shared" si="91"/>
        <v>3915</v>
      </c>
      <c r="O1175" s="2">
        <v>38</v>
      </c>
      <c r="P1175" s="8">
        <f t="shared" si="92"/>
        <v>3953</v>
      </c>
      <c r="Q1175" s="8">
        <f t="shared" si="93"/>
        <v>2718</v>
      </c>
      <c r="R1175" s="2" t="s">
        <v>28</v>
      </c>
      <c r="S1175" s="9">
        <f t="shared" si="94"/>
        <v>79.06</v>
      </c>
    </row>
    <row r="1176" spans="1:19" x14ac:dyDescent="0.3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str">
        <f>IFERROR(VLOOKUP('Customer Info'!A1168,'Customer Info'!A1168:C1667,2,FALSE),"Not Found")</f>
        <v>Not Found</v>
      </c>
      <c r="H1176" s="6" t="str">
        <f>IFERROR(VLOOKUP('Customer Info'!A1168,'Customer Info'!A1168:C1667,3,FALSE),"Not Found")</f>
        <v>Not Found</v>
      </c>
      <c r="I1176" s="6" t="str">
        <f>IFERROR(VLOOKUP('Customer Info'!A1168,'Customer Info'!A1168:E1667,5,FALSE),"Not Found")</f>
        <v>Not Found</v>
      </c>
      <c r="J1176" s="2">
        <v>6481</v>
      </c>
      <c r="K1176" s="2">
        <v>5884</v>
      </c>
      <c r="L1176" s="2">
        <v>6</v>
      </c>
      <c r="M1176" s="7">
        <f t="shared" si="90"/>
        <v>35304</v>
      </c>
      <c r="N1176" s="7">
        <f t="shared" si="91"/>
        <v>38886</v>
      </c>
      <c r="O1176" s="2">
        <v>21</v>
      </c>
      <c r="P1176" s="8">
        <f t="shared" si="92"/>
        <v>38907</v>
      </c>
      <c r="Q1176" s="8">
        <f t="shared" si="93"/>
        <v>33002</v>
      </c>
      <c r="R1176" s="2" t="s">
        <v>26</v>
      </c>
      <c r="S1176" s="9">
        <f t="shared" si="94"/>
        <v>2723.4900000000002</v>
      </c>
    </row>
    <row r="1177" spans="1:19" x14ac:dyDescent="0.3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str">
        <f>IFERROR(VLOOKUP('Customer Info'!A1169,'Customer Info'!A1169:C1668,2,FALSE),"Not Found")</f>
        <v>Not Found</v>
      </c>
      <c r="H1177" s="6" t="str">
        <f>IFERROR(VLOOKUP('Customer Info'!A1169,'Customer Info'!A1169:C1668,3,FALSE),"Not Found")</f>
        <v>Not Found</v>
      </c>
      <c r="I1177" s="6" t="str">
        <f>IFERROR(VLOOKUP('Customer Info'!A1169,'Customer Info'!A1169:E1668,5,FALSE),"Not Found")</f>
        <v>Not Found</v>
      </c>
      <c r="J1177" s="2">
        <v>2027</v>
      </c>
      <c r="K1177" s="2">
        <v>1913</v>
      </c>
      <c r="L1177" s="2">
        <v>3</v>
      </c>
      <c r="M1177" s="7">
        <f t="shared" si="90"/>
        <v>5739</v>
      </c>
      <c r="N1177" s="7">
        <f t="shared" si="91"/>
        <v>6081</v>
      </c>
      <c r="O1177" s="2">
        <v>80</v>
      </c>
      <c r="P1177" s="8">
        <f t="shared" si="92"/>
        <v>6161</v>
      </c>
      <c r="Q1177" s="8">
        <f t="shared" si="93"/>
        <v>4168</v>
      </c>
      <c r="R1177" s="2" t="s">
        <v>28</v>
      </c>
      <c r="S1177" s="9">
        <f t="shared" si="94"/>
        <v>308.05</v>
      </c>
    </row>
    <row r="1178" spans="1:19" x14ac:dyDescent="0.3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str">
        <f>IFERROR(VLOOKUP('Customer Info'!A1170,'Customer Info'!A1170:C1669,2,FALSE),"Not Found")</f>
        <v>Not Found</v>
      </c>
      <c r="H1178" s="6" t="str">
        <f>IFERROR(VLOOKUP('Customer Info'!A1170,'Customer Info'!A1170:C1669,3,FALSE),"Not Found")</f>
        <v>Not Found</v>
      </c>
      <c r="I1178" s="6" t="str">
        <f>IFERROR(VLOOKUP('Customer Info'!A1170,'Customer Info'!A1170:E1669,5,FALSE),"Not Found")</f>
        <v>Not Found</v>
      </c>
      <c r="J1178" s="2">
        <v>2200</v>
      </c>
      <c r="K1178" s="2">
        <v>2020</v>
      </c>
      <c r="L1178" s="2">
        <v>3</v>
      </c>
      <c r="M1178" s="7">
        <f t="shared" si="90"/>
        <v>6060</v>
      </c>
      <c r="N1178" s="7">
        <f t="shared" si="91"/>
        <v>6600</v>
      </c>
      <c r="O1178" s="2">
        <v>71</v>
      </c>
      <c r="P1178" s="8">
        <f t="shared" si="92"/>
        <v>6671</v>
      </c>
      <c r="Q1178" s="8">
        <f t="shared" si="93"/>
        <v>4580</v>
      </c>
      <c r="R1178" s="2" t="s">
        <v>28</v>
      </c>
      <c r="S1178" s="9">
        <f t="shared" si="94"/>
        <v>333.55</v>
      </c>
    </row>
    <row r="1179" spans="1:19" x14ac:dyDescent="0.3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str">
        <f>IFERROR(VLOOKUP('Customer Info'!A1171,'Customer Info'!A1171:C1670,2,FALSE),"Not Found")</f>
        <v>Not Found</v>
      </c>
      <c r="H1179" s="6" t="str">
        <f>IFERROR(VLOOKUP('Customer Info'!A1171,'Customer Info'!A1171:C1670,3,FALSE),"Not Found")</f>
        <v>Not Found</v>
      </c>
      <c r="I1179" s="6" t="str">
        <f>IFERROR(VLOOKUP('Customer Info'!A1171,'Customer Info'!A1171:E1670,5,FALSE),"Not Found")</f>
        <v>Not Found</v>
      </c>
      <c r="J1179" s="2">
        <v>8738</v>
      </c>
      <c r="K1179" s="2">
        <v>8162</v>
      </c>
      <c r="L1179" s="2">
        <v>2</v>
      </c>
      <c r="M1179" s="7">
        <f t="shared" si="90"/>
        <v>16324</v>
      </c>
      <c r="N1179" s="7">
        <f t="shared" si="91"/>
        <v>17476</v>
      </c>
      <c r="O1179" s="2">
        <v>42</v>
      </c>
      <c r="P1179" s="8">
        <f t="shared" si="92"/>
        <v>17518</v>
      </c>
      <c r="Q1179" s="8">
        <f t="shared" si="93"/>
        <v>9314</v>
      </c>
      <c r="R1179" s="2" t="s">
        <v>28</v>
      </c>
      <c r="S1179" s="9">
        <f t="shared" si="94"/>
        <v>875.90000000000009</v>
      </c>
    </row>
    <row r="1180" spans="1:19" x14ac:dyDescent="0.3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str">
        <f>IFERROR(VLOOKUP('Customer Info'!A1172,'Customer Info'!A1172:C1671,2,FALSE),"Not Found")</f>
        <v>Not Found</v>
      </c>
      <c r="H1180" s="6" t="str">
        <f>IFERROR(VLOOKUP('Customer Info'!A1172,'Customer Info'!A1172:C1671,3,FALSE),"Not Found")</f>
        <v>Not Found</v>
      </c>
      <c r="I1180" s="6" t="str">
        <f>IFERROR(VLOOKUP('Customer Info'!A1172,'Customer Info'!A1172:E1671,5,FALSE),"Not Found")</f>
        <v>Not Found</v>
      </c>
      <c r="J1180" s="2">
        <v>1146</v>
      </c>
      <c r="K1180" s="2">
        <v>1061</v>
      </c>
      <c r="L1180" s="2">
        <v>2</v>
      </c>
      <c r="M1180" s="7">
        <f t="shared" si="90"/>
        <v>2122</v>
      </c>
      <c r="N1180" s="7">
        <f t="shared" si="91"/>
        <v>2292</v>
      </c>
      <c r="O1180" s="2">
        <v>31</v>
      </c>
      <c r="P1180" s="8">
        <f t="shared" si="92"/>
        <v>2323</v>
      </c>
      <c r="Q1180" s="8">
        <f t="shared" si="93"/>
        <v>1231</v>
      </c>
      <c r="R1180" s="2" t="s">
        <v>50</v>
      </c>
      <c r="S1180" s="9">
        <f t="shared" si="94"/>
        <v>46.46</v>
      </c>
    </row>
    <row r="1181" spans="1:19" x14ac:dyDescent="0.3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str">
        <f>IFERROR(VLOOKUP('Customer Info'!A1173,'Customer Info'!A1173:C1672,2,FALSE),"Not Found")</f>
        <v>Not Found</v>
      </c>
      <c r="H1181" s="6" t="str">
        <f>IFERROR(VLOOKUP('Customer Info'!A1173,'Customer Info'!A1173:C1672,3,FALSE),"Not Found")</f>
        <v>Not Found</v>
      </c>
      <c r="I1181" s="6" t="str">
        <f>IFERROR(VLOOKUP('Customer Info'!A1173,'Customer Info'!A1173:E1672,5,FALSE),"Not Found")</f>
        <v>Not Found</v>
      </c>
      <c r="J1181" s="2">
        <v>1790</v>
      </c>
      <c r="K1181" s="2">
        <v>1706</v>
      </c>
      <c r="L1181" s="2">
        <v>1</v>
      </c>
      <c r="M1181" s="7">
        <f t="shared" si="90"/>
        <v>1706</v>
      </c>
      <c r="N1181" s="7">
        <f t="shared" si="91"/>
        <v>1790</v>
      </c>
      <c r="O1181" s="2">
        <v>61</v>
      </c>
      <c r="P1181" s="8">
        <f t="shared" si="92"/>
        <v>1851</v>
      </c>
      <c r="Q1181" s="8">
        <f t="shared" si="93"/>
        <v>84</v>
      </c>
      <c r="R1181" s="2" t="s">
        <v>28</v>
      </c>
      <c r="S1181" s="9">
        <f t="shared" si="94"/>
        <v>37.020000000000003</v>
      </c>
    </row>
    <row r="1182" spans="1:19" x14ac:dyDescent="0.3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str">
        <f>IFERROR(VLOOKUP('Customer Info'!A1174,'Customer Info'!A1174:C1673,2,FALSE),"Not Found")</f>
        <v>Not Found</v>
      </c>
      <c r="H1182" s="6" t="str">
        <f>IFERROR(VLOOKUP('Customer Info'!A1174,'Customer Info'!A1174:C1673,3,FALSE),"Not Found")</f>
        <v>Not Found</v>
      </c>
      <c r="I1182" s="6" t="str">
        <f>IFERROR(VLOOKUP('Customer Info'!A1174,'Customer Info'!A1174:E1673,5,FALSE),"Not Found")</f>
        <v>Not Found</v>
      </c>
      <c r="J1182" s="2">
        <v>135</v>
      </c>
      <c r="K1182" s="2">
        <v>126</v>
      </c>
      <c r="L1182" s="2">
        <v>2</v>
      </c>
      <c r="M1182" s="7">
        <f t="shared" si="90"/>
        <v>252</v>
      </c>
      <c r="N1182" s="7">
        <f t="shared" si="91"/>
        <v>270</v>
      </c>
      <c r="O1182" s="2">
        <v>30</v>
      </c>
      <c r="P1182" s="8">
        <f t="shared" si="92"/>
        <v>300</v>
      </c>
      <c r="Q1182" s="8">
        <f t="shared" si="93"/>
        <v>144</v>
      </c>
      <c r="R1182" s="2" t="s">
        <v>50</v>
      </c>
      <c r="S1182" s="9">
        <f t="shared" si="94"/>
        <v>6</v>
      </c>
    </row>
    <row r="1183" spans="1:19" x14ac:dyDescent="0.3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str">
        <f>IFERROR(VLOOKUP('Customer Info'!A1175,'Customer Info'!A1175:C1674,2,FALSE),"Not Found")</f>
        <v>Not Found</v>
      </c>
      <c r="H1183" s="6" t="str">
        <f>IFERROR(VLOOKUP('Customer Info'!A1175,'Customer Info'!A1175:C1674,3,FALSE),"Not Found")</f>
        <v>Not Found</v>
      </c>
      <c r="I1183" s="6" t="str">
        <f>IFERROR(VLOOKUP('Customer Info'!A1175,'Customer Info'!A1175:E1674,5,FALSE),"Not Found")</f>
        <v>Not Found</v>
      </c>
      <c r="J1183" s="2">
        <v>3248</v>
      </c>
      <c r="K1183" s="2">
        <v>3035</v>
      </c>
      <c r="L1183" s="2">
        <v>2</v>
      </c>
      <c r="M1183" s="7">
        <f t="shared" si="90"/>
        <v>6070</v>
      </c>
      <c r="N1183" s="7">
        <f t="shared" si="91"/>
        <v>6496</v>
      </c>
      <c r="O1183" s="2">
        <v>30</v>
      </c>
      <c r="P1183" s="8">
        <f t="shared" si="92"/>
        <v>6526</v>
      </c>
      <c r="Q1183" s="8">
        <f t="shared" si="93"/>
        <v>3461</v>
      </c>
      <c r="R1183" s="2" t="s">
        <v>56</v>
      </c>
      <c r="S1183" s="9">
        <f t="shared" si="94"/>
        <v>326.3</v>
      </c>
    </row>
    <row r="1184" spans="1:19" x14ac:dyDescent="0.3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str">
        <f>IFERROR(VLOOKUP('Customer Info'!A1176,'Customer Info'!A1176:C1675,2,FALSE),"Not Found")</f>
        <v>Not Found</v>
      </c>
      <c r="H1184" s="6" t="str">
        <f>IFERROR(VLOOKUP('Customer Info'!A1176,'Customer Info'!A1176:C1675,3,FALSE),"Not Found")</f>
        <v>Not Found</v>
      </c>
      <c r="I1184" s="6" t="str">
        <f>IFERROR(VLOOKUP('Customer Info'!A1176,'Customer Info'!A1176:E1675,5,FALSE),"Not Found")</f>
        <v>Not Found</v>
      </c>
      <c r="J1184" s="2">
        <v>179</v>
      </c>
      <c r="K1184" s="2">
        <v>166</v>
      </c>
      <c r="L1184" s="2">
        <v>5</v>
      </c>
      <c r="M1184" s="7">
        <f t="shared" si="90"/>
        <v>830</v>
      </c>
      <c r="N1184" s="7">
        <f t="shared" si="91"/>
        <v>895</v>
      </c>
      <c r="O1184" s="2">
        <v>30</v>
      </c>
      <c r="P1184" s="8">
        <f t="shared" si="92"/>
        <v>925</v>
      </c>
      <c r="Q1184" s="8">
        <f t="shared" si="93"/>
        <v>729</v>
      </c>
      <c r="R1184" s="2" t="s">
        <v>50</v>
      </c>
      <c r="S1184" s="9">
        <f t="shared" si="94"/>
        <v>18.5</v>
      </c>
    </row>
    <row r="1185" spans="1:19" x14ac:dyDescent="0.3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str">
        <f>IFERROR(VLOOKUP('Customer Info'!A1177,'Customer Info'!A1177:C1676,2,FALSE),"Not Found")</f>
        <v>Not Found</v>
      </c>
      <c r="H1185" s="6" t="str">
        <f>IFERROR(VLOOKUP('Customer Info'!A1177,'Customer Info'!A1177:C1676,3,FALSE),"Not Found")</f>
        <v>Not Found</v>
      </c>
      <c r="I1185" s="6" t="str">
        <f>IFERROR(VLOOKUP('Customer Info'!A1177,'Customer Info'!A1177:E1676,5,FALSE),"Not Found")</f>
        <v>Not Found</v>
      </c>
      <c r="J1185" s="2">
        <v>82</v>
      </c>
      <c r="K1185" s="2">
        <v>79</v>
      </c>
      <c r="L1185" s="2">
        <v>7</v>
      </c>
      <c r="M1185" s="7">
        <f t="shared" si="90"/>
        <v>553</v>
      </c>
      <c r="N1185" s="7">
        <f t="shared" si="91"/>
        <v>574</v>
      </c>
      <c r="O1185" s="2">
        <v>10</v>
      </c>
      <c r="P1185" s="8">
        <f t="shared" si="92"/>
        <v>584</v>
      </c>
      <c r="Q1185" s="8">
        <f t="shared" si="93"/>
        <v>495</v>
      </c>
      <c r="R1185" s="2" t="s">
        <v>56</v>
      </c>
      <c r="S1185" s="9">
        <f t="shared" si="94"/>
        <v>11.68</v>
      </c>
    </row>
    <row r="1186" spans="1:19" x14ac:dyDescent="0.3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str">
        <f>IFERROR(VLOOKUP('Customer Info'!A1178,'Customer Info'!A1178:C1677,2,FALSE),"Not Found")</f>
        <v>Not Found</v>
      </c>
      <c r="H1186" s="6" t="str">
        <f>IFERROR(VLOOKUP('Customer Info'!A1178,'Customer Info'!A1178:C1677,3,FALSE),"Not Found")</f>
        <v>Not Found</v>
      </c>
      <c r="I1186" s="6" t="str">
        <f>IFERROR(VLOOKUP('Customer Info'!A1178,'Customer Info'!A1178:E1677,5,FALSE),"Not Found")</f>
        <v>Not Found</v>
      </c>
      <c r="J1186" s="2">
        <v>4798</v>
      </c>
      <c r="K1186" s="2">
        <v>4448</v>
      </c>
      <c r="L1186" s="2">
        <v>1</v>
      </c>
      <c r="M1186" s="7">
        <f t="shared" si="90"/>
        <v>4448</v>
      </c>
      <c r="N1186" s="7">
        <f t="shared" si="91"/>
        <v>4798</v>
      </c>
      <c r="O1186" s="2">
        <v>87</v>
      </c>
      <c r="P1186" s="8">
        <f t="shared" si="92"/>
        <v>4885</v>
      </c>
      <c r="Q1186" s="8">
        <f t="shared" si="93"/>
        <v>350</v>
      </c>
      <c r="R1186" s="2" t="s">
        <v>50</v>
      </c>
      <c r="S1186" s="9">
        <f t="shared" si="94"/>
        <v>97.7</v>
      </c>
    </row>
    <row r="1187" spans="1:19" x14ac:dyDescent="0.3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str">
        <f>IFERROR(VLOOKUP('Customer Info'!A1179,'Customer Info'!A1179:C1678,2,FALSE),"Not Found")</f>
        <v>Not Found</v>
      </c>
      <c r="H1187" s="6" t="str">
        <f>IFERROR(VLOOKUP('Customer Info'!A1179,'Customer Info'!A1179:C1678,3,FALSE),"Not Found")</f>
        <v>Not Found</v>
      </c>
      <c r="I1187" s="6" t="str">
        <f>IFERROR(VLOOKUP('Customer Info'!A1179,'Customer Info'!A1179:E1678,5,FALSE),"Not Found")</f>
        <v>Not Found</v>
      </c>
      <c r="J1187" s="2">
        <v>1619</v>
      </c>
      <c r="K1187" s="2">
        <v>1442</v>
      </c>
      <c r="L1187" s="2">
        <v>3</v>
      </c>
      <c r="M1187" s="7">
        <f t="shared" si="90"/>
        <v>4326</v>
      </c>
      <c r="N1187" s="7">
        <f t="shared" si="91"/>
        <v>4857</v>
      </c>
      <c r="O1187" s="2">
        <v>87</v>
      </c>
      <c r="P1187" s="8">
        <f t="shared" si="92"/>
        <v>4944</v>
      </c>
      <c r="Q1187" s="8">
        <f t="shared" si="93"/>
        <v>3415</v>
      </c>
      <c r="R1187" s="2" t="s">
        <v>28</v>
      </c>
      <c r="S1187" s="9">
        <f t="shared" si="94"/>
        <v>98.88</v>
      </c>
    </row>
    <row r="1188" spans="1:19" x14ac:dyDescent="0.3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str">
        <f>IFERROR(VLOOKUP('Customer Info'!A1180,'Customer Info'!A1180:C1679,2,FALSE),"Not Found")</f>
        <v>Not Found</v>
      </c>
      <c r="H1188" s="6" t="str">
        <f>IFERROR(VLOOKUP('Customer Info'!A1180,'Customer Info'!A1180:C1679,3,FALSE),"Not Found")</f>
        <v>Not Found</v>
      </c>
      <c r="I1188" s="6" t="str">
        <f>IFERROR(VLOOKUP('Customer Info'!A1180,'Customer Info'!A1180:E1679,5,FALSE),"Not Found")</f>
        <v>Not Found</v>
      </c>
      <c r="J1188" s="2">
        <v>1498</v>
      </c>
      <c r="K1188" s="2">
        <v>1335</v>
      </c>
      <c r="L1188" s="2">
        <v>6</v>
      </c>
      <c r="M1188" s="7">
        <f t="shared" si="90"/>
        <v>8010</v>
      </c>
      <c r="N1188" s="7">
        <f t="shared" si="91"/>
        <v>8988</v>
      </c>
      <c r="O1188" s="2">
        <v>57</v>
      </c>
      <c r="P1188" s="8">
        <f t="shared" si="92"/>
        <v>9045</v>
      </c>
      <c r="Q1188" s="8">
        <f t="shared" si="93"/>
        <v>7653</v>
      </c>
      <c r="R1188" s="2" t="s">
        <v>50</v>
      </c>
      <c r="S1188" s="9">
        <f t="shared" si="94"/>
        <v>452.25</v>
      </c>
    </row>
    <row r="1189" spans="1:19" x14ac:dyDescent="0.3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str">
        <f>IFERROR(VLOOKUP('Customer Info'!A1181,'Customer Info'!A1181:C1680,2,FALSE),"Not Found")</f>
        <v>Not Found</v>
      </c>
      <c r="H1189" s="6" t="str">
        <f>IFERROR(VLOOKUP('Customer Info'!A1181,'Customer Info'!A1181:C1680,3,FALSE),"Not Found")</f>
        <v>Not Found</v>
      </c>
      <c r="I1189" s="6" t="str">
        <f>IFERROR(VLOOKUP('Customer Info'!A1181,'Customer Info'!A1181:E1680,5,FALSE),"Not Found")</f>
        <v>Not Found</v>
      </c>
      <c r="J1189" s="2">
        <v>1734</v>
      </c>
      <c r="K1189" s="2">
        <v>1702</v>
      </c>
      <c r="L1189" s="2">
        <v>1</v>
      </c>
      <c r="M1189" s="7">
        <f t="shared" si="90"/>
        <v>1702</v>
      </c>
      <c r="N1189" s="7">
        <f t="shared" si="91"/>
        <v>1734</v>
      </c>
      <c r="O1189" s="2">
        <v>42</v>
      </c>
      <c r="P1189" s="8">
        <f t="shared" si="92"/>
        <v>1776</v>
      </c>
      <c r="Q1189" s="8">
        <f t="shared" si="93"/>
        <v>32</v>
      </c>
      <c r="R1189" s="2" t="s">
        <v>50</v>
      </c>
      <c r="S1189" s="9">
        <f t="shared" si="94"/>
        <v>35.520000000000003</v>
      </c>
    </row>
    <row r="1190" spans="1:19" x14ac:dyDescent="0.3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str">
        <f>IFERROR(VLOOKUP('Customer Info'!A1182,'Customer Info'!A1182:C1681,2,FALSE),"Not Found")</f>
        <v>Not Found</v>
      </c>
      <c r="H1190" s="6" t="str">
        <f>IFERROR(VLOOKUP('Customer Info'!A1182,'Customer Info'!A1182:C1681,3,FALSE),"Not Found")</f>
        <v>Not Found</v>
      </c>
      <c r="I1190" s="6" t="str">
        <f>IFERROR(VLOOKUP('Customer Info'!A1182,'Customer Info'!A1182:E1681,5,FALSE),"Not Found")</f>
        <v>Not Found</v>
      </c>
      <c r="J1190" s="2">
        <v>2921</v>
      </c>
      <c r="K1190" s="2">
        <v>2809</v>
      </c>
      <c r="L1190" s="2">
        <v>5</v>
      </c>
      <c r="M1190" s="7">
        <f t="shared" si="90"/>
        <v>14045</v>
      </c>
      <c r="N1190" s="7">
        <f t="shared" si="91"/>
        <v>14605</v>
      </c>
      <c r="O1190" s="2">
        <v>80</v>
      </c>
      <c r="P1190" s="8">
        <f t="shared" si="92"/>
        <v>14685</v>
      </c>
      <c r="Q1190" s="8">
        <f t="shared" si="93"/>
        <v>11796</v>
      </c>
      <c r="R1190" s="2" t="s">
        <v>56</v>
      </c>
      <c r="S1190" s="9">
        <f t="shared" si="94"/>
        <v>734.25</v>
      </c>
    </row>
    <row r="1191" spans="1:19" x14ac:dyDescent="0.3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str">
        <f>IFERROR(VLOOKUP('Customer Info'!A1183,'Customer Info'!A1183:C1682,2,FALSE),"Not Found")</f>
        <v>Not Found</v>
      </c>
      <c r="H1191" s="6" t="str">
        <f>IFERROR(VLOOKUP('Customer Info'!A1183,'Customer Info'!A1183:C1682,3,FALSE),"Not Found")</f>
        <v>Not Found</v>
      </c>
      <c r="I1191" s="6" t="str">
        <f>IFERROR(VLOOKUP('Customer Info'!A1183,'Customer Info'!A1183:E1682,5,FALSE),"Not Found")</f>
        <v>Not Found</v>
      </c>
      <c r="J1191" s="2">
        <v>465</v>
      </c>
      <c r="K1191" s="2">
        <v>439</v>
      </c>
      <c r="L1191" s="2">
        <v>3</v>
      </c>
      <c r="M1191" s="7">
        <f t="shared" si="90"/>
        <v>1317</v>
      </c>
      <c r="N1191" s="7">
        <f t="shared" si="91"/>
        <v>1395</v>
      </c>
      <c r="O1191" s="2">
        <v>99</v>
      </c>
      <c r="P1191" s="8">
        <f t="shared" si="92"/>
        <v>1494</v>
      </c>
      <c r="Q1191" s="8">
        <f t="shared" si="93"/>
        <v>956</v>
      </c>
      <c r="R1191" s="2" t="s">
        <v>50</v>
      </c>
      <c r="S1191" s="9">
        <f t="shared" si="94"/>
        <v>29.88</v>
      </c>
    </row>
    <row r="1192" spans="1:19" x14ac:dyDescent="0.3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str">
        <f>IFERROR(VLOOKUP('Customer Info'!A1184,'Customer Info'!A1184:C1683,2,FALSE),"Not Found")</f>
        <v>Not Found</v>
      </c>
      <c r="H1192" s="6" t="str">
        <f>IFERROR(VLOOKUP('Customer Info'!A1184,'Customer Info'!A1184:C1683,3,FALSE),"Not Found")</f>
        <v>Not Found</v>
      </c>
      <c r="I1192" s="6" t="str">
        <f>IFERROR(VLOOKUP('Customer Info'!A1184,'Customer Info'!A1184:E1683,5,FALSE),"Not Found")</f>
        <v>Not Found</v>
      </c>
      <c r="J1192" s="2">
        <v>128</v>
      </c>
      <c r="K1192" s="2">
        <v>115</v>
      </c>
      <c r="L1192" s="2">
        <v>1</v>
      </c>
      <c r="M1192" s="7">
        <f t="shared" si="90"/>
        <v>115</v>
      </c>
      <c r="N1192" s="7">
        <f t="shared" si="91"/>
        <v>128</v>
      </c>
      <c r="O1192" s="2">
        <v>30</v>
      </c>
      <c r="P1192" s="8">
        <f t="shared" si="92"/>
        <v>158</v>
      </c>
      <c r="Q1192" s="8">
        <f t="shared" si="93"/>
        <v>13</v>
      </c>
      <c r="R1192" s="2" t="s">
        <v>28</v>
      </c>
      <c r="S1192" s="9">
        <f t="shared" si="94"/>
        <v>3.16</v>
      </c>
    </row>
    <row r="1193" spans="1:19" x14ac:dyDescent="0.3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str">
        <f>IFERROR(VLOOKUP('Customer Info'!A1185,'Customer Info'!A1185:C1684,2,FALSE),"Not Found")</f>
        <v>Not Found</v>
      </c>
      <c r="H1193" s="6" t="str">
        <f>IFERROR(VLOOKUP('Customer Info'!A1185,'Customer Info'!A1185:C1684,3,FALSE),"Not Found")</f>
        <v>Not Found</v>
      </c>
      <c r="I1193" s="6" t="str">
        <f>IFERROR(VLOOKUP('Customer Info'!A1185,'Customer Info'!A1185:E1684,5,FALSE),"Not Found")</f>
        <v>Not Found</v>
      </c>
      <c r="J1193" s="2">
        <v>1552</v>
      </c>
      <c r="K1193" s="2">
        <v>1466</v>
      </c>
      <c r="L1193" s="2">
        <v>2</v>
      </c>
      <c r="M1193" s="7">
        <f t="shared" si="90"/>
        <v>2932</v>
      </c>
      <c r="N1193" s="7">
        <f t="shared" si="91"/>
        <v>3104</v>
      </c>
      <c r="O1193" s="2">
        <v>37</v>
      </c>
      <c r="P1193" s="8">
        <f t="shared" si="92"/>
        <v>3141</v>
      </c>
      <c r="Q1193" s="8">
        <f t="shared" si="93"/>
        <v>1638</v>
      </c>
      <c r="R1193" s="2" t="s">
        <v>28</v>
      </c>
      <c r="S1193" s="9">
        <f t="shared" si="94"/>
        <v>62.82</v>
      </c>
    </row>
    <row r="1194" spans="1:19" x14ac:dyDescent="0.3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str">
        <f>IFERROR(VLOOKUP('Customer Info'!A1186,'Customer Info'!A1186:C1685,2,FALSE),"Not Found")</f>
        <v>Not Found</v>
      </c>
      <c r="H1194" s="6" t="str">
        <f>IFERROR(VLOOKUP('Customer Info'!A1186,'Customer Info'!A1186:C1685,3,FALSE),"Not Found")</f>
        <v>Not Found</v>
      </c>
      <c r="I1194" s="6" t="str">
        <f>IFERROR(VLOOKUP('Customer Info'!A1186,'Customer Info'!A1186:E1685,5,FALSE),"Not Found")</f>
        <v>Not Found</v>
      </c>
      <c r="J1194" s="2">
        <v>789</v>
      </c>
      <c r="K1194" s="2">
        <v>739</v>
      </c>
      <c r="L1194" s="2">
        <v>3</v>
      </c>
      <c r="M1194" s="7">
        <f t="shared" si="90"/>
        <v>2217</v>
      </c>
      <c r="N1194" s="7">
        <f t="shared" si="91"/>
        <v>2367</v>
      </c>
      <c r="O1194" s="2">
        <v>98</v>
      </c>
      <c r="P1194" s="8">
        <f t="shared" si="92"/>
        <v>2465</v>
      </c>
      <c r="Q1194" s="8">
        <f t="shared" si="93"/>
        <v>1628</v>
      </c>
      <c r="R1194" s="2" t="s">
        <v>50</v>
      </c>
      <c r="S1194" s="9">
        <f t="shared" si="94"/>
        <v>49.300000000000004</v>
      </c>
    </row>
    <row r="1195" spans="1:19" x14ac:dyDescent="0.3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str">
        <f>IFERROR(VLOOKUP('Customer Info'!A1187,'Customer Info'!A1187:C1686,2,FALSE),"Not Found")</f>
        <v>Not Found</v>
      </c>
      <c r="H1195" s="6" t="str">
        <f>IFERROR(VLOOKUP('Customer Info'!A1187,'Customer Info'!A1187:C1686,3,FALSE),"Not Found")</f>
        <v>Not Found</v>
      </c>
      <c r="I1195" s="6" t="str">
        <f>IFERROR(VLOOKUP('Customer Info'!A1187,'Customer Info'!A1187:E1686,5,FALSE),"Not Found")</f>
        <v>Not Found</v>
      </c>
      <c r="J1195" s="2">
        <v>695</v>
      </c>
      <c r="K1195" s="2">
        <v>661</v>
      </c>
      <c r="L1195" s="2">
        <v>1</v>
      </c>
      <c r="M1195" s="7">
        <f t="shared" si="90"/>
        <v>661</v>
      </c>
      <c r="N1195" s="7">
        <f t="shared" si="91"/>
        <v>695</v>
      </c>
      <c r="O1195" s="2">
        <v>100</v>
      </c>
      <c r="P1195" s="8">
        <f t="shared" si="92"/>
        <v>795</v>
      </c>
      <c r="Q1195" s="8">
        <f t="shared" si="93"/>
        <v>34</v>
      </c>
      <c r="R1195" s="2" t="s">
        <v>28</v>
      </c>
      <c r="S1195" s="9">
        <f t="shared" si="94"/>
        <v>15.9</v>
      </c>
    </row>
    <row r="1196" spans="1:19" x14ac:dyDescent="0.3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str">
        <f>IFERROR(VLOOKUP('Customer Info'!A1188,'Customer Info'!A1188:C1687,2,FALSE),"Not Found")</f>
        <v>Not Found</v>
      </c>
      <c r="H1196" s="6" t="str">
        <f>IFERROR(VLOOKUP('Customer Info'!A1188,'Customer Info'!A1188:C1687,3,FALSE),"Not Found")</f>
        <v>Not Found</v>
      </c>
      <c r="I1196" s="6" t="str">
        <f>IFERROR(VLOOKUP('Customer Info'!A1188,'Customer Info'!A1188:E1687,5,FALSE),"Not Found")</f>
        <v>Not Found</v>
      </c>
      <c r="J1196" s="2">
        <v>6012</v>
      </c>
      <c r="K1196" s="2">
        <v>5677</v>
      </c>
      <c r="L1196" s="2">
        <v>3</v>
      </c>
      <c r="M1196" s="7">
        <f t="shared" si="90"/>
        <v>17031</v>
      </c>
      <c r="N1196" s="7">
        <f t="shared" si="91"/>
        <v>18036</v>
      </c>
      <c r="O1196" s="2">
        <v>48</v>
      </c>
      <c r="P1196" s="8">
        <f t="shared" si="92"/>
        <v>18084</v>
      </c>
      <c r="Q1196" s="8">
        <f t="shared" si="93"/>
        <v>12359</v>
      </c>
      <c r="R1196" s="2" t="s">
        <v>28</v>
      </c>
      <c r="S1196" s="9">
        <f t="shared" si="94"/>
        <v>904.2</v>
      </c>
    </row>
    <row r="1197" spans="1:19" x14ac:dyDescent="0.3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str">
        <f>IFERROR(VLOOKUP('Customer Info'!A1189,'Customer Info'!A1189:C1688,2,FALSE),"Not Found")</f>
        <v>Not Found</v>
      </c>
      <c r="H1197" s="6" t="str">
        <f>IFERROR(VLOOKUP('Customer Info'!A1189,'Customer Info'!A1189:C1688,3,FALSE),"Not Found")</f>
        <v>Not Found</v>
      </c>
      <c r="I1197" s="6" t="str">
        <f>IFERROR(VLOOKUP('Customer Info'!A1189,'Customer Info'!A1189:E1688,5,FALSE),"Not Found")</f>
        <v>Not Found</v>
      </c>
      <c r="J1197" s="2">
        <v>2787</v>
      </c>
      <c r="K1197" s="2">
        <v>2681</v>
      </c>
      <c r="L1197" s="2">
        <v>3</v>
      </c>
      <c r="M1197" s="7">
        <f t="shared" si="90"/>
        <v>8043</v>
      </c>
      <c r="N1197" s="7">
        <f t="shared" si="91"/>
        <v>8361</v>
      </c>
      <c r="O1197" s="2">
        <v>85</v>
      </c>
      <c r="P1197" s="8">
        <f t="shared" si="92"/>
        <v>8446</v>
      </c>
      <c r="Q1197" s="8">
        <f t="shared" si="93"/>
        <v>5680</v>
      </c>
      <c r="R1197" s="2" t="s">
        <v>50</v>
      </c>
      <c r="S1197" s="9">
        <f t="shared" si="94"/>
        <v>422.3</v>
      </c>
    </row>
    <row r="1198" spans="1:19" x14ac:dyDescent="0.3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str">
        <f>IFERROR(VLOOKUP('Customer Info'!A1190,'Customer Info'!A1190:C1689,2,FALSE),"Not Found")</f>
        <v>Not Found</v>
      </c>
      <c r="H1198" s="6" t="str">
        <f>IFERROR(VLOOKUP('Customer Info'!A1190,'Customer Info'!A1190:C1689,3,FALSE),"Not Found")</f>
        <v>Not Found</v>
      </c>
      <c r="I1198" s="6" t="str">
        <f>IFERROR(VLOOKUP('Customer Info'!A1190,'Customer Info'!A1190:E1689,5,FALSE),"Not Found")</f>
        <v>Not Found</v>
      </c>
      <c r="J1198" s="2">
        <v>7327</v>
      </c>
      <c r="K1198" s="2">
        <v>6658</v>
      </c>
      <c r="L1198" s="2">
        <v>4</v>
      </c>
      <c r="M1198" s="7">
        <f t="shared" si="90"/>
        <v>26632</v>
      </c>
      <c r="N1198" s="7">
        <f t="shared" si="91"/>
        <v>29308</v>
      </c>
      <c r="O1198" s="2">
        <v>95</v>
      </c>
      <c r="P1198" s="8">
        <f t="shared" si="92"/>
        <v>29403</v>
      </c>
      <c r="Q1198" s="8">
        <f t="shared" si="93"/>
        <v>22650</v>
      </c>
      <c r="R1198" s="2" t="s">
        <v>28</v>
      </c>
      <c r="S1198" s="9">
        <f t="shared" si="94"/>
        <v>2058.21</v>
      </c>
    </row>
    <row r="1199" spans="1:19" x14ac:dyDescent="0.3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str">
        <f>IFERROR(VLOOKUP('Customer Info'!A1191,'Customer Info'!A1191:C1690,2,FALSE),"Not Found")</f>
        <v>Not Found</v>
      </c>
      <c r="H1199" s="6" t="str">
        <f>IFERROR(VLOOKUP('Customer Info'!A1191,'Customer Info'!A1191:C1690,3,FALSE),"Not Found")</f>
        <v>Not Found</v>
      </c>
      <c r="I1199" s="6" t="str">
        <f>IFERROR(VLOOKUP('Customer Info'!A1191,'Customer Info'!A1191:E1690,5,FALSE),"Not Found")</f>
        <v>Not Found</v>
      </c>
      <c r="J1199" s="2">
        <v>4487</v>
      </c>
      <c r="K1199" s="2">
        <v>4201</v>
      </c>
      <c r="L1199" s="2">
        <v>2</v>
      </c>
      <c r="M1199" s="7">
        <f t="shared" si="90"/>
        <v>8402</v>
      </c>
      <c r="N1199" s="7">
        <f t="shared" si="91"/>
        <v>8974</v>
      </c>
      <c r="O1199" s="2">
        <v>99</v>
      </c>
      <c r="P1199" s="8">
        <f t="shared" si="92"/>
        <v>9073</v>
      </c>
      <c r="Q1199" s="8">
        <f t="shared" si="93"/>
        <v>4773</v>
      </c>
      <c r="R1199" s="2" t="s">
        <v>50</v>
      </c>
      <c r="S1199" s="9">
        <f t="shared" si="94"/>
        <v>453.65000000000003</v>
      </c>
    </row>
    <row r="1200" spans="1:19" x14ac:dyDescent="0.3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str">
        <f>IFERROR(VLOOKUP('Customer Info'!A1192,'Customer Info'!A1192:C1691,2,FALSE),"Not Found")</f>
        <v>Not Found</v>
      </c>
      <c r="H1200" s="6" t="str">
        <f>IFERROR(VLOOKUP('Customer Info'!A1192,'Customer Info'!A1192:C1691,3,FALSE),"Not Found")</f>
        <v>Not Found</v>
      </c>
      <c r="I1200" s="6" t="str">
        <f>IFERROR(VLOOKUP('Customer Info'!A1192,'Customer Info'!A1192:E1691,5,FALSE),"Not Found")</f>
        <v>Not Found</v>
      </c>
      <c r="J1200" s="2">
        <v>2250</v>
      </c>
      <c r="K1200" s="2">
        <v>2207</v>
      </c>
      <c r="L1200" s="2">
        <v>5</v>
      </c>
      <c r="M1200" s="7">
        <f t="shared" si="90"/>
        <v>11035</v>
      </c>
      <c r="N1200" s="7">
        <f t="shared" si="91"/>
        <v>11250</v>
      </c>
      <c r="O1200" s="2">
        <v>78</v>
      </c>
      <c r="P1200" s="8">
        <f t="shared" si="92"/>
        <v>11328</v>
      </c>
      <c r="Q1200" s="8">
        <f t="shared" si="93"/>
        <v>9043</v>
      </c>
      <c r="R1200" s="2" t="s">
        <v>28</v>
      </c>
      <c r="S1200" s="9">
        <f t="shared" si="94"/>
        <v>566.4</v>
      </c>
    </row>
    <row r="1201" spans="1:19" x14ac:dyDescent="0.3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str">
        <f>IFERROR(VLOOKUP('Customer Info'!A1193,'Customer Info'!A1193:C1692,2,FALSE),"Not Found")</f>
        <v>Not Found</v>
      </c>
      <c r="H1201" s="6" t="str">
        <f>IFERROR(VLOOKUP('Customer Info'!A1193,'Customer Info'!A1193:C1692,3,FALSE),"Not Found")</f>
        <v>Not Found</v>
      </c>
      <c r="I1201" s="6" t="str">
        <f>IFERROR(VLOOKUP('Customer Info'!A1193,'Customer Info'!A1193:E1692,5,FALSE),"Not Found")</f>
        <v>Not Found</v>
      </c>
      <c r="J1201" s="2">
        <v>2697</v>
      </c>
      <c r="K1201" s="2">
        <v>2498</v>
      </c>
      <c r="L1201" s="2">
        <v>3</v>
      </c>
      <c r="M1201" s="7">
        <f t="shared" si="90"/>
        <v>7494</v>
      </c>
      <c r="N1201" s="7">
        <f t="shared" si="91"/>
        <v>8091</v>
      </c>
      <c r="O1201" s="2">
        <v>21</v>
      </c>
      <c r="P1201" s="8">
        <f t="shared" si="92"/>
        <v>8112</v>
      </c>
      <c r="Q1201" s="8">
        <f t="shared" si="93"/>
        <v>5593</v>
      </c>
      <c r="R1201" s="2" t="s">
        <v>50</v>
      </c>
      <c r="S1201" s="9">
        <f t="shared" si="94"/>
        <v>405.6</v>
      </c>
    </row>
    <row r="1202" spans="1:19" x14ac:dyDescent="0.3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str">
        <f>IFERROR(VLOOKUP('Customer Info'!A1194,'Customer Info'!A1194:C1693,2,FALSE),"Not Found")</f>
        <v>Not Found</v>
      </c>
      <c r="H1202" s="6" t="str">
        <f>IFERROR(VLOOKUP('Customer Info'!A1194,'Customer Info'!A1194:C1693,3,FALSE),"Not Found")</f>
        <v>Not Found</v>
      </c>
      <c r="I1202" s="6" t="str">
        <f>IFERROR(VLOOKUP('Customer Info'!A1194,'Customer Info'!A1194:E1693,5,FALSE),"Not Found")</f>
        <v>Not Found</v>
      </c>
      <c r="J1202" s="2">
        <v>138</v>
      </c>
      <c r="K1202" s="2">
        <v>128</v>
      </c>
      <c r="L1202" s="2">
        <v>2</v>
      </c>
      <c r="M1202" s="7">
        <f t="shared" si="90"/>
        <v>256</v>
      </c>
      <c r="N1202" s="7">
        <f t="shared" si="91"/>
        <v>276</v>
      </c>
      <c r="O1202" s="2">
        <v>30</v>
      </c>
      <c r="P1202" s="8">
        <f t="shared" si="92"/>
        <v>306</v>
      </c>
      <c r="Q1202" s="8">
        <f t="shared" si="93"/>
        <v>148</v>
      </c>
      <c r="R1202" s="2" t="s">
        <v>28</v>
      </c>
      <c r="S1202" s="9">
        <f t="shared" si="94"/>
        <v>6.12</v>
      </c>
    </row>
    <row r="1203" spans="1:19" x14ac:dyDescent="0.3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str">
        <f>IFERROR(VLOOKUP('Customer Info'!A1195,'Customer Info'!A1195:C1694,2,FALSE),"Not Found")</f>
        <v>Not Found</v>
      </c>
      <c r="H1203" s="6" t="str">
        <f>IFERROR(VLOOKUP('Customer Info'!A1195,'Customer Info'!A1195:C1694,3,FALSE),"Not Found")</f>
        <v>Not Found</v>
      </c>
      <c r="I1203" s="6" t="str">
        <f>IFERROR(VLOOKUP('Customer Info'!A1195,'Customer Info'!A1195:E1694,5,FALSE),"Not Found")</f>
        <v>Not Found</v>
      </c>
      <c r="J1203" s="2">
        <v>2249</v>
      </c>
      <c r="K1203" s="2">
        <v>2102</v>
      </c>
      <c r="L1203" s="2">
        <v>8</v>
      </c>
      <c r="M1203" s="7">
        <f t="shared" si="90"/>
        <v>16816</v>
      </c>
      <c r="N1203" s="7">
        <f t="shared" si="91"/>
        <v>17992</v>
      </c>
      <c r="O1203" s="2">
        <v>70</v>
      </c>
      <c r="P1203" s="8">
        <f t="shared" si="92"/>
        <v>18062</v>
      </c>
      <c r="Q1203" s="8">
        <f t="shared" si="93"/>
        <v>15890</v>
      </c>
      <c r="R1203" s="2" t="s">
        <v>28</v>
      </c>
      <c r="S1203" s="9">
        <f t="shared" si="94"/>
        <v>903.1</v>
      </c>
    </row>
    <row r="1204" spans="1:19" x14ac:dyDescent="0.3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str">
        <f>IFERROR(VLOOKUP('Customer Info'!A1196,'Customer Info'!A1196:C1695,2,FALSE),"Not Found")</f>
        <v>Not Found</v>
      </c>
      <c r="H1204" s="6" t="str">
        <f>IFERROR(VLOOKUP('Customer Info'!A1196,'Customer Info'!A1196:C1695,3,FALSE),"Not Found")</f>
        <v>Not Found</v>
      </c>
      <c r="I1204" s="6" t="str">
        <f>IFERROR(VLOOKUP('Customer Info'!A1196,'Customer Info'!A1196:E1695,5,FALSE),"Not Found")</f>
        <v>Not Found</v>
      </c>
      <c r="J1204" s="2">
        <v>1605</v>
      </c>
      <c r="K1204" s="2">
        <v>1487</v>
      </c>
      <c r="L1204" s="2">
        <v>5</v>
      </c>
      <c r="M1204" s="7">
        <f t="shared" si="90"/>
        <v>7435</v>
      </c>
      <c r="N1204" s="7">
        <f t="shared" si="91"/>
        <v>8025</v>
      </c>
      <c r="O1204" s="2">
        <v>90</v>
      </c>
      <c r="P1204" s="8">
        <f t="shared" si="92"/>
        <v>8115</v>
      </c>
      <c r="Q1204" s="8">
        <f t="shared" si="93"/>
        <v>6538</v>
      </c>
      <c r="R1204" s="2" t="s">
        <v>28</v>
      </c>
      <c r="S1204" s="9">
        <f t="shared" si="94"/>
        <v>405.75</v>
      </c>
    </row>
    <row r="1205" spans="1:19" x14ac:dyDescent="0.3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str">
        <f>IFERROR(VLOOKUP('Customer Info'!A1197,'Customer Info'!A1197:C1696,2,FALSE),"Not Found")</f>
        <v>Not Found</v>
      </c>
      <c r="H1205" s="6" t="str">
        <f>IFERROR(VLOOKUP('Customer Info'!A1197,'Customer Info'!A1197:C1696,3,FALSE),"Not Found")</f>
        <v>Not Found</v>
      </c>
      <c r="I1205" s="6" t="str">
        <f>IFERROR(VLOOKUP('Customer Info'!A1197,'Customer Info'!A1197:E1696,5,FALSE),"Not Found")</f>
        <v>Not Found</v>
      </c>
      <c r="J1205" s="2">
        <v>4443</v>
      </c>
      <c r="K1205" s="2">
        <v>4079</v>
      </c>
      <c r="L1205" s="2">
        <v>3</v>
      </c>
      <c r="M1205" s="7">
        <f t="shared" si="90"/>
        <v>12237</v>
      </c>
      <c r="N1205" s="7">
        <f t="shared" si="91"/>
        <v>13329</v>
      </c>
      <c r="O1205" s="2">
        <v>26</v>
      </c>
      <c r="P1205" s="8">
        <f t="shared" si="92"/>
        <v>13355</v>
      </c>
      <c r="Q1205" s="8">
        <f t="shared" si="93"/>
        <v>9250</v>
      </c>
      <c r="R1205" s="2" t="s">
        <v>50</v>
      </c>
      <c r="S1205" s="9">
        <f t="shared" si="94"/>
        <v>667.75</v>
      </c>
    </row>
    <row r="1206" spans="1:19" x14ac:dyDescent="0.3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str">
        <f>IFERROR(VLOOKUP('Customer Info'!A1198,'Customer Info'!A1198:C1697,2,FALSE),"Not Found")</f>
        <v>Not Found</v>
      </c>
      <c r="H1206" s="6" t="str">
        <f>IFERROR(VLOOKUP('Customer Info'!A1198,'Customer Info'!A1198:C1697,3,FALSE),"Not Found")</f>
        <v>Not Found</v>
      </c>
      <c r="I1206" s="6" t="str">
        <f>IFERROR(VLOOKUP('Customer Info'!A1198,'Customer Info'!A1198:E1697,5,FALSE),"Not Found")</f>
        <v>Not Found</v>
      </c>
      <c r="J1206" s="2">
        <v>6354</v>
      </c>
      <c r="K1206" s="2">
        <v>5769</v>
      </c>
      <c r="L1206" s="2">
        <v>2</v>
      </c>
      <c r="M1206" s="7">
        <f t="shared" si="90"/>
        <v>11538</v>
      </c>
      <c r="N1206" s="7">
        <f t="shared" si="91"/>
        <v>12708</v>
      </c>
      <c r="O1206" s="2">
        <v>52</v>
      </c>
      <c r="P1206" s="8">
        <f t="shared" si="92"/>
        <v>12760</v>
      </c>
      <c r="Q1206" s="8">
        <f t="shared" si="93"/>
        <v>6939</v>
      </c>
      <c r="R1206" s="2" t="s">
        <v>50</v>
      </c>
      <c r="S1206" s="9">
        <f t="shared" si="94"/>
        <v>638</v>
      </c>
    </row>
    <row r="1207" spans="1:19" x14ac:dyDescent="0.3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str">
        <f>IFERROR(VLOOKUP('Customer Info'!A1199,'Customer Info'!A1199:C1698,2,FALSE),"Not Found")</f>
        <v>Not Found</v>
      </c>
      <c r="H1207" s="6" t="str">
        <f>IFERROR(VLOOKUP('Customer Info'!A1199,'Customer Info'!A1199:C1698,3,FALSE),"Not Found")</f>
        <v>Not Found</v>
      </c>
      <c r="I1207" s="6" t="str">
        <f>IFERROR(VLOOKUP('Customer Info'!A1199,'Customer Info'!A1199:E1698,5,FALSE),"Not Found")</f>
        <v>Not Found</v>
      </c>
      <c r="J1207" s="2">
        <v>7474</v>
      </c>
      <c r="K1207" s="2">
        <v>6858</v>
      </c>
      <c r="L1207" s="2">
        <v>1</v>
      </c>
      <c r="M1207" s="7">
        <f t="shared" si="90"/>
        <v>6858</v>
      </c>
      <c r="N1207" s="7">
        <f t="shared" si="91"/>
        <v>7474</v>
      </c>
      <c r="O1207" s="2">
        <v>44</v>
      </c>
      <c r="P1207" s="8">
        <f t="shared" si="92"/>
        <v>7518</v>
      </c>
      <c r="Q1207" s="8">
        <f t="shared" si="93"/>
        <v>616</v>
      </c>
      <c r="R1207" s="2" t="s">
        <v>50</v>
      </c>
      <c r="S1207" s="9">
        <f t="shared" si="94"/>
        <v>375.90000000000003</v>
      </c>
    </row>
    <row r="1208" spans="1:19" x14ac:dyDescent="0.3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str">
        <f>IFERROR(VLOOKUP('Customer Info'!A1200,'Customer Info'!A1200:C1699,2,FALSE),"Not Found")</f>
        <v>Not Found</v>
      </c>
      <c r="H1208" s="6" t="str">
        <f>IFERROR(VLOOKUP('Customer Info'!A1200,'Customer Info'!A1200:C1699,3,FALSE),"Not Found")</f>
        <v>Not Found</v>
      </c>
      <c r="I1208" s="6" t="str">
        <f>IFERROR(VLOOKUP('Customer Info'!A1200,'Customer Info'!A1200:E1699,5,FALSE),"Not Found")</f>
        <v>Not Found</v>
      </c>
      <c r="J1208" s="2">
        <v>2501</v>
      </c>
      <c r="K1208" s="2">
        <v>2361</v>
      </c>
      <c r="L1208" s="2">
        <v>3</v>
      </c>
      <c r="M1208" s="7">
        <f t="shared" si="90"/>
        <v>7083</v>
      </c>
      <c r="N1208" s="7">
        <f t="shared" si="91"/>
        <v>7503</v>
      </c>
      <c r="O1208" s="2">
        <v>96</v>
      </c>
      <c r="P1208" s="8">
        <f t="shared" si="92"/>
        <v>7599</v>
      </c>
      <c r="Q1208" s="8">
        <f t="shared" si="93"/>
        <v>5142</v>
      </c>
      <c r="R1208" s="2" t="s">
        <v>28</v>
      </c>
      <c r="S1208" s="9">
        <f t="shared" si="94"/>
        <v>379.95000000000005</v>
      </c>
    </row>
    <row r="1209" spans="1:19" x14ac:dyDescent="0.3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str">
        <f>IFERROR(VLOOKUP('Customer Info'!A1201,'Customer Info'!A1201:C1700,2,FALSE),"Not Found")</f>
        <v>Not Found</v>
      </c>
      <c r="H1209" s="6" t="str">
        <f>IFERROR(VLOOKUP('Customer Info'!A1201,'Customer Info'!A1201:C1700,3,FALSE),"Not Found")</f>
        <v>Not Found</v>
      </c>
      <c r="I1209" s="6" t="str">
        <f>IFERROR(VLOOKUP('Customer Info'!A1201,'Customer Info'!A1201:E1700,5,FALSE),"Not Found")</f>
        <v>Not Found</v>
      </c>
      <c r="J1209" s="2">
        <v>2627</v>
      </c>
      <c r="K1209" s="2">
        <v>2528</v>
      </c>
      <c r="L1209" s="2">
        <v>1</v>
      </c>
      <c r="M1209" s="7">
        <f t="shared" si="90"/>
        <v>2528</v>
      </c>
      <c r="N1209" s="7">
        <f t="shared" si="91"/>
        <v>2627</v>
      </c>
      <c r="O1209" s="2">
        <v>93</v>
      </c>
      <c r="P1209" s="8">
        <f t="shared" si="92"/>
        <v>2720</v>
      </c>
      <c r="Q1209" s="8">
        <f t="shared" si="93"/>
        <v>99</v>
      </c>
      <c r="R1209" s="2" t="s">
        <v>50</v>
      </c>
      <c r="S1209" s="9">
        <f t="shared" si="94"/>
        <v>54.4</v>
      </c>
    </row>
    <row r="1210" spans="1:19" x14ac:dyDescent="0.3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str">
        <f>IFERROR(VLOOKUP('Customer Info'!A1202,'Customer Info'!A1202:C1701,2,FALSE),"Not Found")</f>
        <v>Not Found</v>
      </c>
      <c r="H1210" s="6" t="str">
        <f>IFERROR(VLOOKUP('Customer Info'!A1202,'Customer Info'!A1202:C1701,3,FALSE),"Not Found")</f>
        <v>Not Found</v>
      </c>
      <c r="I1210" s="6" t="str">
        <f>IFERROR(VLOOKUP('Customer Info'!A1202,'Customer Info'!A1202:E1701,5,FALSE),"Not Found")</f>
        <v>Not Found</v>
      </c>
      <c r="J1210" s="2">
        <v>526</v>
      </c>
      <c r="K1210" s="2">
        <v>487</v>
      </c>
      <c r="L1210" s="2">
        <v>5</v>
      </c>
      <c r="M1210" s="7">
        <f t="shared" si="90"/>
        <v>2435</v>
      </c>
      <c r="N1210" s="7">
        <f t="shared" si="91"/>
        <v>2630</v>
      </c>
      <c r="O1210" s="2">
        <v>72</v>
      </c>
      <c r="P1210" s="8">
        <f t="shared" si="92"/>
        <v>2702</v>
      </c>
      <c r="Q1210" s="8">
        <f t="shared" si="93"/>
        <v>2143</v>
      </c>
      <c r="R1210" s="2" t="s">
        <v>50</v>
      </c>
      <c r="S1210" s="9">
        <f t="shared" si="94"/>
        <v>54.04</v>
      </c>
    </row>
    <row r="1211" spans="1:19" x14ac:dyDescent="0.3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str">
        <f>IFERROR(VLOOKUP('Customer Info'!A1203,'Customer Info'!A1203:C1702,2,FALSE),"Not Found")</f>
        <v>Not Found</v>
      </c>
      <c r="H1211" s="6" t="str">
        <f>IFERROR(VLOOKUP('Customer Info'!A1203,'Customer Info'!A1203:C1702,3,FALSE),"Not Found")</f>
        <v>Not Found</v>
      </c>
      <c r="I1211" s="6" t="str">
        <f>IFERROR(VLOOKUP('Customer Info'!A1203,'Customer Info'!A1203:E1702,5,FALSE),"Not Found")</f>
        <v>Not Found</v>
      </c>
      <c r="J1211" s="2">
        <v>1181</v>
      </c>
      <c r="K1211" s="2">
        <v>1136</v>
      </c>
      <c r="L1211" s="2">
        <v>2</v>
      </c>
      <c r="M1211" s="7">
        <f t="shared" si="90"/>
        <v>2272</v>
      </c>
      <c r="N1211" s="7">
        <f t="shared" si="91"/>
        <v>2362</v>
      </c>
      <c r="O1211" s="2">
        <v>59</v>
      </c>
      <c r="P1211" s="8">
        <f t="shared" si="92"/>
        <v>2421</v>
      </c>
      <c r="Q1211" s="8">
        <f t="shared" si="93"/>
        <v>1226</v>
      </c>
      <c r="R1211" s="2" t="s">
        <v>56</v>
      </c>
      <c r="S1211" s="9">
        <f t="shared" si="94"/>
        <v>48.42</v>
      </c>
    </row>
    <row r="1212" spans="1:19" x14ac:dyDescent="0.3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str">
        <f>IFERROR(VLOOKUP('Customer Info'!A1204,'Customer Info'!A1204:C1703,2,FALSE),"Not Found")</f>
        <v>Not Found</v>
      </c>
      <c r="H1212" s="6" t="str">
        <f>IFERROR(VLOOKUP('Customer Info'!A1204,'Customer Info'!A1204:C1703,3,FALSE),"Not Found")</f>
        <v>Not Found</v>
      </c>
      <c r="I1212" s="6" t="str">
        <f>IFERROR(VLOOKUP('Customer Info'!A1204,'Customer Info'!A1204:E1703,5,FALSE),"Not Found")</f>
        <v>Not Found</v>
      </c>
      <c r="J1212" s="2">
        <v>6060</v>
      </c>
      <c r="K1212" s="2">
        <v>6002</v>
      </c>
      <c r="L1212" s="2">
        <v>2</v>
      </c>
      <c r="M1212" s="7">
        <f t="shared" si="90"/>
        <v>12004</v>
      </c>
      <c r="N1212" s="7">
        <f t="shared" si="91"/>
        <v>12120</v>
      </c>
      <c r="O1212" s="2">
        <v>51</v>
      </c>
      <c r="P1212" s="8">
        <f t="shared" si="92"/>
        <v>12171</v>
      </c>
      <c r="Q1212" s="8">
        <f t="shared" si="93"/>
        <v>6118</v>
      </c>
      <c r="R1212" s="2" t="s">
        <v>28</v>
      </c>
      <c r="S1212" s="9">
        <f t="shared" si="94"/>
        <v>608.55000000000007</v>
      </c>
    </row>
    <row r="1213" spans="1:19" x14ac:dyDescent="0.3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str">
        <f>IFERROR(VLOOKUP('Customer Info'!A1205,'Customer Info'!A1205:C1704,2,FALSE),"Not Found")</f>
        <v>Not Found</v>
      </c>
      <c r="H1213" s="6" t="str">
        <f>IFERROR(VLOOKUP('Customer Info'!A1205,'Customer Info'!A1205:C1704,3,FALSE),"Not Found")</f>
        <v>Not Found</v>
      </c>
      <c r="I1213" s="6" t="str">
        <f>IFERROR(VLOOKUP('Customer Info'!A1205,'Customer Info'!A1205:E1704,5,FALSE),"Not Found")</f>
        <v>Not Found</v>
      </c>
      <c r="J1213" s="2">
        <v>1653</v>
      </c>
      <c r="K1213" s="2">
        <v>1560</v>
      </c>
      <c r="L1213" s="2">
        <v>12</v>
      </c>
      <c r="M1213" s="7">
        <f t="shared" si="90"/>
        <v>18720</v>
      </c>
      <c r="N1213" s="7">
        <f t="shared" si="91"/>
        <v>19836</v>
      </c>
      <c r="O1213" s="2">
        <v>64</v>
      </c>
      <c r="P1213" s="8">
        <f t="shared" si="92"/>
        <v>19900</v>
      </c>
      <c r="Q1213" s="8">
        <f t="shared" si="93"/>
        <v>18276</v>
      </c>
      <c r="R1213" s="2" t="s">
        <v>28</v>
      </c>
      <c r="S1213" s="9">
        <f t="shared" si="94"/>
        <v>995</v>
      </c>
    </row>
    <row r="1214" spans="1:19" x14ac:dyDescent="0.3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str">
        <f>IFERROR(VLOOKUP('Customer Info'!A1206,'Customer Info'!A1206:C1705,2,FALSE),"Not Found")</f>
        <v>Not Found</v>
      </c>
      <c r="H1214" s="6" t="str">
        <f>IFERROR(VLOOKUP('Customer Info'!A1206,'Customer Info'!A1206:C1705,3,FALSE),"Not Found")</f>
        <v>Not Found</v>
      </c>
      <c r="I1214" s="6" t="str">
        <f>IFERROR(VLOOKUP('Customer Info'!A1206,'Customer Info'!A1206:E1705,5,FALSE),"Not Found")</f>
        <v>Not Found</v>
      </c>
      <c r="J1214" s="2">
        <v>6354</v>
      </c>
      <c r="K1214" s="2">
        <v>5769</v>
      </c>
      <c r="L1214" s="2">
        <v>6</v>
      </c>
      <c r="M1214" s="7">
        <f t="shared" si="90"/>
        <v>34614</v>
      </c>
      <c r="N1214" s="7">
        <f t="shared" si="91"/>
        <v>38124</v>
      </c>
      <c r="O1214" s="2">
        <v>92</v>
      </c>
      <c r="P1214" s="8">
        <f t="shared" si="92"/>
        <v>38216</v>
      </c>
      <c r="Q1214" s="8">
        <f t="shared" si="93"/>
        <v>32355</v>
      </c>
      <c r="R1214" s="2" t="s">
        <v>28</v>
      </c>
      <c r="S1214" s="9">
        <f t="shared" si="94"/>
        <v>2675.1200000000003</v>
      </c>
    </row>
    <row r="1215" spans="1:19" x14ac:dyDescent="0.3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str">
        <f>IFERROR(VLOOKUP('Customer Info'!A1207,'Customer Info'!A1207:C1706,2,FALSE),"Not Found")</f>
        <v>Not Found</v>
      </c>
      <c r="H1215" s="6" t="str">
        <f>IFERROR(VLOOKUP('Customer Info'!A1207,'Customer Info'!A1207:C1706,3,FALSE),"Not Found")</f>
        <v>Not Found</v>
      </c>
      <c r="I1215" s="6" t="str">
        <f>IFERROR(VLOOKUP('Customer Info'!A1207,'Customer Info'!A1207:E1706,5,FALSE),"Not Found")</f>
        <v>Not Found</v>
      </c>
      <c r="J1215" s="2">
        <v>2747</v>
      </c>
      <c r="K1215" s="2">
        <v>2545</v>
      </c>
      <c r="L1215" s="2">
        <v>2</v>
      </c>
      <c r="M1215" s="7">
        <f t="shared" si="90"/>
        <v>5090</v>
      </c>
      <c r="N1215" s="7">
        <f t="shared" si="91"/>
        <v>5494</v>
      </c>
      <c r="O1215" s="2">
        <v>77</v>
      </c>
      <c r="P1215" s="8">
        <f t="shared" si="92"/>
        <v>5571</v>
      </c>
      <c r="Q1215" s="8">
        <f t="shared" si="93"/>
        <v>2949</v>
      </c>
      <c r="R1215" s="2" t="s">
        <v>28</v>
      </c>
      <c r="S1215" s="9">
        <f t="shared" si="94"/>
        <v>278.55</v>
      </c>
    </row>
    <row r="1216" spans="1:19" x14ac:dyDescent="0.3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str">
        <f>IFERROR(VLOOKUP('Customer Info'!A1208,'Customer Info'!A1208:C1707,2,FALSE),"Not Found")</f>
        <v>Not Found</v>
      </c>
      <c r="H1216" s="6" t="str">
        <f>IFERROR(VLOOKUP('Customer Info'!A1208,'Customer Info'!A1208:C1707,3,FALSE),"Not Found")</f>
        <v>Not Found</v>
      </c>
      <c r="I1216" s="6" t="str">
        <f>IFERROR(VLOOKUP('Customer Info'!A1208,'Customer Info'!A1208:E1707,5,FALSE),"Not Found")</f>
        <v>Not Found</v>
      </c>
      <c r="J1216" s="2">
        <v>674</v>
      </c>
      <c r="K1216" s="2">
        <v>629</v>
      </c>
      <c r="L1216" s="2">
        <v>1</v>
      </c>
      <c r="M1216" s="7">
        <f t="shared" si="90"/>
        <v>629</v>
      </c>
      <c r="N1216" s="7">
        <f t="shared" si="91"/>
        <v>674</v>
      </c>
      <c r="O1216" s="2">
        <v>43</v>
      </c>
      <c r="P1216" s="8">
        <f t="shared" si="92"/>
        <v>717</v>
      </c>
      <c r="Q1216" s="8">
        <f t="shared" si="93"/>
        <v>45</v>
      </c>
      <c r="R1216" s="2" t="s">
        <v>50</v>
      </c>
      <c r="S1216" s="9">
        <f t="shared" si="94"/>
        <v>14.34</v>
      </c>
    </row>
    <row r="1217" spans="1:19" x14ac:dyDescent="0.3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str">
        <f>IFERROR(VLOOKUP('Customer Info'!A1209,'Customer Info'!A1209:C1708,2,FALSE),"Not Found")</f>
        <v>Not Found</v>
      </c>
      <c r="H1217" s="6" t="str">
        <f>IFERROR(VLOOKUP('Customer Info'!A1209,'Customer Info'!A1209:C1708,3,FALSE),"Not Found")</f>
        <v>Not Found</v>
      </c>
      <c r="I1217" s="6" t="str">
        <f>IFERROR(VLOOKUP('Customer Info'!A1209,'Customer Info'!A1209:E1708,5,FALSE),"Not Found")</f>
        <v>Not Found</v>
      </c>
      <c r="J1217" s="2">
        <v>1925</v>
      </c>
      <c r="K1217" s="2">
        <v>1834</v>
      </c>
      <c r="L1217" s="2">
        <v>1</v>
      </c>
      <c r="M1217" s="7">
        <f t="shared" si="90"/>
        <v>1834</v>
      </c>
      <c r="N1217" s="7">
        <f t="shared" si="91"/>
        <v>1925</v>
      </c>
      <c r="O1217" s="2">
        <v>33</v>
      </c>
      <c r="P1217" s="8">
        <f t="shared" si="92"/>
        <v>1958</v>
      </c>
      <c r="Q1217" s="8">
        <f t="shared" si="93"/>
        <v>91</v>
      </c>
      <c r="R1217" s="2" t="s">
        <v>26</v>
      </c>
      <c r="S1217" s="9">
        <f t="shared" si="94"/>
        <v>39.160000000000004</v>
      </c>
    </row>
    <row r="1218" spans="1:19" x14ac:dyDescent="0.3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str">
        <f>IFERROR(VLOOKUP('Customer Info'!A1210,'Customer Info'!A1210:C1709,2,FALSE),"Not Found")</f>
        <v>Not Found</v>
      </c>
      <c r="H1218" s="6" t="str">
        <f>IFERROR(VLOOKUP('Customer Info'!A1210,'Customer Info'!A1210:C1709,3,FALSE),"Not Found")</f>
        <v>Not Found</v>
      </c>
      <c r="I1218" s="6" t="str">
        <f>IFERROR(VLOOKUP('Customer Info'!A1210,'Customer Info'!A1210:E1709,5,FALSE),"Not Found")</f>
        <v>Not Found</v>
      </c>
      <c r="J1218" s="2">
        <v>79</v>
      </c>
      <c r="K1218" s="2">
        <v>75</v>
      </c>
      <c r="L1218" s="2">
        <v>4</v>
      </c>
      <c r="M1218" s="7">
        <f t="shared" si="90"/>
        <v>300</v>
      </c>
      <c r="N1218" s="7">
        <f t="shared" si="91"/>
        <v>316</v>
      </c>
      <c r="O1218" s="2">
        <v>10</v>
      </c>
      <c r="P1218" s="8">
        <f t="shared" si="92"/>
        <v>326</v>
      </c>
      <c r="Q1218" s="8">
        <f t="shared" si="93"/>
        <v>241</v>
      </c>
      <c r="R1218" s="2" t="s">
        <v>50</v>
      </c>
      <c r="S1218" s="9">
        <f t="shared" si="94"/>
        <v>6.5200000000000005</v>
      </c>
    </row>
    <row r="1219" spans="1:19" x14ac:dyDescent="0.3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str">
        <f>IFERROR(VLOOKUP('Customer Info'!A1211,'Customer Info'!A1211:C1710,2,FALSE),"Not Found")</f>
        <v>Not Found</v>
      </c>
      <c r="H1219" s="6" t="str">
        <f>IFERROR(VLOOKUP('Customer Info'!A1211,'Customer Info'!A1211:C1710,3,FALSE),"Not Found")</f>
        <v>Not Found</v>
      </c>
      <c r="I1219" s="6" t="str">
        <f>IFERROR(VLOOKUP('Customer Info'!A1211,'Customer Info'!A1211:E1710,5,FALSE),"Not Found")</f>
        <v>Not Found</v>
      </c>
      <c r="J1219" s="2">
        <v>900</v>
      </c>
      <c r="K1219" s="2">
        <v>834</v>
      </c>
      <c r="L1219" s="2">
        <v>3</v>
      </c>
      <c r="M1219" s="7">
        <f t="shared" si="90"/>
        <v>2502</v>
      </c>
      <c r="N1219" s="7">
        <f t="shared" si="91"/>
        <v>2700</v>
      </c>
      <c r="O1219" s="2">
        <v>98</v>
      </c>
      <c r="P1219" s="8">
        <f t="shared" si="92"/>
        <v>2798</v>
      </c>
      <c r="Q1219" s="8">
        <f t="shared" si="93"/>
        <v>1866</v>
      </c>
      <c r="R1219" s="2" t="s">
        <v>28</v>
      </c>
      <c r="S1219" s="9">
        <f t="shared" si="94"/>
        <v>55.96</v>
      </c>
    </row>
    <row r="1220" spans="1:19" x14ac:dyDescent="0.3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str">
        <f>IFERROR(VLOOKUP('Customer Info'!A1212,'Customer Info'!A1212:C1711,2,FALSE),"Not Found")</f>
        <v>Not Found</v>
      </c>
      <c r="H1220" s="6" t="str">
        <f>IFERROR(VLOOKUP('Customer Info'!A1212,'Customer Info'!A1212:C1711,3,FALSE),"Not Found")</f>
        <v>Not Found</v>
      </c>
      <c r="I1220" s="6" t="str">
        <f>IFERROR(VLOOKUP('Customer Info'!A1212,'Customer Info'!A1212:E1711,5,FALSE),"Not Found")</f>
        <v>Not Found</v>
      </c>
      <c r="J1220" s="2">
        <v>7609</v>
      </c>
      <c r="K1220" s="2">
        <v>7248</v>
      </c>
      <c r="L1220" s="2">
        <v>4</v>
      </c>
      <c r="M1220" s="7">
        <f t="shared" si="90"/>
        <v>28992</v>
      </c>
      <c r="N1220" s="7">
        <f t="shared" si="91"/>
        <v>30436</v>
      </c>
      <c r="O1220" s="2">
        <v>55</v>
      </c>
      <c r="P1220" s="8">
        <f t="shared" si="92"/>
        <v>30491</v>
      </c>
      <c r="Q1220" s="8">
        <f t="shared" si="93"/>
        <v>23188</v>
      </c>
      <c r="R1220" s="2" t="s">
        <v>28</v>
      </c>
      <c r="S1220" s="9">
        <f t="shared" si="94"/>
        <v>2134.3700000000003</v>
      </c>
    </row>
    <row r="1221" spans="1:19" x14ac:dyDescent="0.3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str">
        <f>IFERROR(VLOOKUP('Customer Info'!A1213,'Customer Info'!A1213:C1712,2,FALSE),"Not Found")</f>
        <v>Not Found</v>
      </c>
      <c r="H1221" s="6" t="str">
        <f>IFERROR(VLOOKUP('Customer Info'!A1213,'Customer Info'!A1213:C1712,3,FALSE),"Not Found")</f>
        <v>Not Found</v>
      </c>
      <c r="I1221" s="6" t="str">
        <f>IFERROR(VLOOKUP('Customer Info'!A1213,'Customer Info'!A1213:E1712,5,FALSE),"Not Found")</f>
        <v>Not Found</v>
      </c>
      <c r="J1221" s="2">
        <v>179</v>
      </c>
      <c r="K1221" s="2">
        <v>171</v>
      </c>
      <c r="L1221" s="2">
        <v>5</v>
      </c>
      <c r="M1221" s="7">
        <f t="shared" si="90"/>
        <v>855</v>
      </c>
      <c r="N1221" s="7">
        <f t="shared" si="91"/>
        <v>895</v>
      </c>
      <c r="O1221" s="2">
        <v>30</v>
      </c>
      <c r="P1221" s="8">
        <f t="shared" si="92"/>
        <v>925</v>
      </c>
      <c r="Q1221" s="8">
        <f t="shared" si="93"/>
        <v>724</v>
      </c>
      <c r="R1221" s="2" t="s">
        <v>50</v>
      </c>
      <c r="S1221" s="9">
        <f t="shared" si="94"/>
        <v>18.5</v>
      </c>
    </row>
    <row r="1222" spans="1:19" x14ac:dyDescent="0.3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str">
        <f>IFERROR(VLOOKUP('Customer Info'!A1214,'Customer Info'!A1214:C1713,2,FALSE),"Not Found")</f>
        <v>Not Found</v>
      </c>
      <c r="H1222" s="6" t="str">
        <f>IFERROR(VLOOKUP('Customer Info'!A1214,'Customer Info'!A1214:C1713,3,FALSE),"Not Found")</f>
        <v>Not Found</v>
      </c>
      <c r="I1222" s="6" t="str">
        <f>IFERROR(VLOOKUP('Customer Info'!A1214,'Customer Info'!A1214:E1713,5,FALSE),"Not Found")</f>
        <v>Not Found</v>
      </c>
      <c r="J1222" s="2">
        <v>1125</v>
      </c>
      <c r="K1222" s="2">
        <v>1040</v>
      </c>
      <c r="L1222" s="2">
        <v>10</v>
      </c>
      <c r="M1222" s="7">
        <f t="shared" si="90"/>
        <v>10400</v>
      </c>
      <c r="N1222" s="7">
        <f t="shared" si="91"/>
        <v>11250</v>
      </c>
      <c r="O1222" s="2">
        <v>74</v>
      </c>
      <c r="P1222" s="8">
        <f t="shared" si="92"/>
        <v>11324</v>
      </c>
      <c r="Q1222" s="8">
        <f t="shared" si="93"/>
        <v>10210</v>
      </c>
      <c r="R1222" s="2" t="s">
        <v>26</v>
      </c>
      <c r="S1222" s="9">
        <f t="shared" si="94"/>
        <v>566.20000000000005</v>
      </c>
    </row>
    <row r="1223" spans="1:19" x14ac:dyDescent="0.3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str">
        <f>IFERROR(VLOOKUP('Customer Info'!A1215,'Customer Info'!A1215:C1714,2,FALSE),"Not Found")</f>
        <v>Not Found</v>
      </c>
      <c r="H1223" s="6" t="str">
        <f>IFERROR(VLOOKUP('Customer Info'!A1215,'Customer Info'!A1215:C1714,3,FALSE),"Not Found")</f>
        <v>Not Found</v>
      </c>
      <c r="I1223" s="6" t="str">
        <f>IFERROR(VLOOKUP('Customer Info'!A1215,'Customer Info'!A1215:E1714,5,FALSE),"Not Found")</f>
        <v>Not Found</v>
      </c>
      <c r="J1223" s="2">
        <v>1246</v>
      </c>
      <c r="K1223" s="2">
        <v>1164</v>
      </c>
      <c r="L1223" s="2">
        <v>1</v>
      </c>
      <c r="M1223" s="7">
        <f t="shared" si="90"/>
        <v>1164</v>
      </c>
      <c r="N1223" s="7">
        <f t="shared" si="91"/>
        <v>1246</v>
      </c>
      <c r="O1223" s="2">
        <v>47</v>
      </c>
      <c r="P1223" s="8">
        <f t="shared" si="92"/>
        <v>1293</v>
      </c>
      <c r="Q1223" s="8">
        <f t="shared" si="93"/>
        <v>82</v>
      </c>
      <c r="R1223" s="2" t="s">
        <v>50</v>
      </c>
      <c r="S1223" s="9">
        <f t="shared" si="94"/>
        <v>25.86</v>
      </c>
    </row>
    <row r="1224" spans="1:19" x14ac:dyDescent="0.3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str">
        <f>IFERROR(VLOOKUP('Customer Info'!A1216,'Customer Info'!A1216:C1715,2,FALSE),"Not Found")</f>
        <v>Not Found</v>
      </c>
      <c r="H1224" s="6" t="str">
        <f>IFERROR(VLOOKUP('Customer Info'!A1216,'Customer Info'!A1216:C1715,3,FALSE),"Not Found")</f>
        <v>Not Found</v>
      </c>
      <c r="I1224" s="6" t="str">
        <f>IFERROR(VLOOKUP('Customer Info'!A1216,'Customer Info'!A1216:E1715,5,FALSE),"Not Found")</f>
        <v>Not Found</v>
      </c>
      <c r="J1224" s="2">
        <v>214</v>
      </c>
      <c r="K1224" s="2">
        <v>200</v>
      </c>
      <c r="L1224" s="2">
        <v>1</v>
      </c>
      <c r="M1224" s="7">
        <f t="shared" si="90"/>
        <v>200</v>
      </c>
      <c r="N1224" s="7">
        <f t="shared" si="91"/>
        <v>214</v>
      </c>
      <c r="O1224" s="2">
        <v>68</v>
      </c>
      <c r="P1224" s="8">
        <f t="shared" si="92"/>
        <v>282</v>
      </c>
      <c r="Q1224" s="8">
        <f t="shared" si="93"/>
        <v>14</v>
      </c>
      <c r="R1224" s="2" t="s">
        <v>50</v>
      </c>
      <c r="S1224" s="9">
        <f t="shared" si="94"/>
        <v>5.64</v>
      </c>
    </row>
    <row r="1225" spans="1:19" x14ac:dyDescent="0.3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str">
        <f>IFERROR(VLOOKUP('Customer Info'!A1217,'Customer Info'!A1217:C1716,2,FALSE),"Not Found")</f>
        <v>Not Found</v>
      </c>
      <c r="H1225" s="6" t="str">
        <f>IFERROR(VLOOKUP('Customer Info'!A1217,'Customer Info'!A1217:C1716,3,FALSE),"Not Found")</f>
        <v>Not Found</v>
      </c>
      <c r="I1225" s="6" t="str">
        <f>IFERROR(VLOOKUP('Customer Info'!A1217,'Customer Info'!A1217:E1716,5,FALSE),"Not Found")</f>
        <v>Not Found</v>
      </c>
      <c r="J1225" s="2">
        <v>77</v>
      </c>
      <c r="K1225" s="2">
        <v>73</v>
      </c>
      <c r="L1225" s="2">
        <v>2</v>
      </c>
      <c r="M1225" s="7">
        <f t="shared" si="90"/>
        <v>146</v>
      </c>
      <c r="N1225" s="7">
        <f t="shared" si="91"/>
        <v>154</v>
      </c>
      <c r="O1225" s="2">
        <v>10</v>
      </c>
      <c r="P1225" s="8">
        <f t="shared" si="92"/>
        <v>164</v>
      </c>
      <c r="Q1225" s="8">
        <f t="shared" si="93"/>
        <v>81</v>
      </c>
      <c r="R1225" s="2" t="s">
        <v>26</v>
      </c>
      <c r="S1225" s="9">
        <f t="shared" si="94"/>
        <v>3.2800000000000002</v>
      </c>
    </row>
    <row r="1226" spans="1:19" x14ac:dyDescent="0.3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str">
        <f>IFERROR(VLOOKUP('Customer Info'!A1218,'Customer Info'!A1218:C1717,2,FALSE),"Not Found")</f>
        <v>Not Found</v>
      </c>
      <c r="H1226" s="6" t="str">
        <f>IFERROR(VLOOKUP('Customer Info'!A1218,'Customer Info'!A1218:C1717,3,FALSE),"Not Found")</f>
        <v>Not Found</v>
      </c>
      <c r="I1226" s="6" t="str">
        <f>IFERROR(VLOOKUP('Customer Info'!A1218,'Customer Info'!A1218:E1717,5,FALSE),"Not Found")</f>
        <v>Not Found</v>
      </c>
      <c r="J1226" s="2">
        <v>90</v>
      </c>
      <c r="K1226" s="2">
        <v>81</v>
      </c>
      <c r="L1226" s="2">
        <v>4</v>
      </c>
      <c r="M1226" s="7">
        <f t="shared" si="90"/>
        <v>324</v>
      </c>
      <c r="N1226" s="7">
        <f t="shared" si="91"/>
        <v>360</v>
      </c>
      <c r="O1226" s="2">
        <v>10</v>
      </c>
      <c r="P1226" s="8">
        <f t="shared" si="92"/>
        <v>370</v>
      </c>
      <c r="Q1226" s="8">
        <f t="shared" si="93"/>
        <v>279</v>
      </c>
      <c r="R1226" s="2" t="s">
        <v>50</v>
      </c>
      <c r="S1226" s="9">
        <f t="shared" si="94"/>
        <v>7.4</v>
      </c>
    </row>
    <row r="1227" spans="1:19" x14ac:dyDescent="0.3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str">
        <f>IFERROR(VLOOKUP('Customer Info'!A1219,'Customer Info'!A1219:C1718,2,FALSE),"Not Found")</f>
        <v>Not Found</v>
      </c>
      <c r="H1227" s="6" t="str">
        <f>IFERROR(VLOOKUP('Customer Info'!A1219,'Customer Info'!A1219:C1718,3,FALSE),"Not Found")</f>
        <v>Not Found</v>
      </c>
      <c r="I1227" s="6" t="str">
        <f>IFERROR(VLOOKUP('Customer Info'!A1219,'Customer Info'!A1219:E1718,5,FALSE),"Not Found")</f>
        <v>Not Found</v>
      </c>
      <c r="J1227" s="2">
        <v>1399</v>
      </c>
      <c r="K1227" s="2">
        <v>1308</v>
      </c>
      <c r="L1227" s="2">
        <v>1</v>
      </c>
      <c r="M1227" s="7">
        <f t="shared" ref="M1227:M1290" si="95">$K1227*$L1227</f>
        <v>1308</v>
      </c>
      <c r="N1227" s="7">
        <f t="shared" ref="N1227:N1290" si="96">$J1227*$L1227</f>
        <v>1399</v>
      </c>
      <c r="O1227" s="2">
        <v>56</v>
      </c>
      <c r="P1227" s="8">
        <f t="shared" ref="P1227:P1290" si="97">$N1227+$O1227</f>
        <v>1455</v>
      </c>
      <c r="Q1227" s="8">
        <f t="shared" ref="Q1227:Q1290" si="98">$N1227-$K1227</f>
        <v>91</v>
      </c>
      <c r="R1227" s="2" t="s">
        <v>50</v>
      </c>
      <c r="S1227" s="9">
        <f t="shared" ref="S1227:S1290" si="99" xml:space="preserve"> P1227 * VLOOKUP(P1227, $T$2:$U$6, 2, TRUE)</f>
        <v>29.1</v>
      </c>
    </row>
    <row r="1228" spans="1:19" x14ac:dyDescent="0.3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str">
        <f>IFERROR(VLOOKUP('Customer Info'!A1220,'Customer Info'!A1220:C1719,2,FALSE),"Not Found")</f>
        <v>Not Found</v>
      </c>
      <c r="H1228" s="6" t="str">
        <f>IFERROR(VLOOKUP('Customer Info'!A1220,'Customer Info'!A1220:C1719,3,FALSE),"Not Found")</f>
        <v>Not Found</v>
      </c>
      <c r="I1228" s="6" t="str">
        <f>IFERROR(VLOOKUP('Customer Info'!A1220,'Customer Info'!A1220:E1719,5,FALSE),"Not Found")</f>
        <v>Not Found</v>
      </c>
      <c r="J1228" s="2">
        <v>1605</v>
      </c>
      <c r="K1228" s="2">
        <v>1487</v>
      </c>
      <c r="L1228" s="2">
        <v>1</v>
      </c>
      <c r="M1228" s="7">
        <f t="shared" si="95"/>
        <v>1487</v>
      </c>
      <c r="N1228" s="7">
        <f t="shared" si="96"/>
        <v>1605</v>
      </c>
      <c r="O1228" s="2">
        <v>56</v>
      </c>
      <c r="P1228" s="8">
        <f t="shared" si="97"/>
        <v>1661</v>
      </c>
      <c r="Q1228" s="8">
        <f t="shared" si="98"/>
        <v>118</v>
      </c>
      <c r="R1228" s="2" t="s">
        <v>28</v>
      </c>
      <c r="S1228" s="9">
        <f t="shared" si="99"/>
        <v>33.22</v>
      </c>
    </row>
    <row r="1229" spans="1:19" x14ac:dyDescent="0.3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str">
        <f>IFERROR(VLOOKUP('Customer Info'!A1221,'Customer Info'!A1221:C1720,2,FALSE),"Not Found")</f>
        <v>Not Found</v>
      </c>
      <c r="H1229" s="6" t="str">
        <f>IFERROR(VLOOKUP('Customer Info'!A1221,'Customer Info'!A1221:C1720,3,FALSE),"Not Found")</f>
        <v>Not Found</v>
      </c>
      <c r="I1229" s="6" t="str">
        <f>IFERROR(VLOOKUP('Customer Info'!A1221,'Customer Info'!A1221:E1720,5,FALSE),"Not Found")</f>
        <v>Not Found</v>
      </c>
      <c r="J1229" s="2">
        <v>173</v>
      </c>
      <c r="K1229" s="2">
        <v>155</v>
      </c>
      <c r="L1229" s="2">
        <v>1</v>
      </c>
      <c r="M1229" s="7">
        <f t="shared" si="95"/>
        <v>155</v>
      </c>
      <c r="N1229" s="7">
        <f t="shared" si="96"/>
        <v>173</v>
      </c>
      <c r="O1229" s="2">
        <v>30</v>
      </c>
      <c r="P1229" s="8">
        <f t="shared" si="97"/>
        <v>203</v>
      </c>
      <c r="Q1229" s="8">
        <f t="shared" si="98"/>
        <v>18</v>
      </c>
      <c r="R1229" s="2" t="s">
        <v>28</v>
      </c>
      <c r="S1229" s="9">
        <f t="shared" si="99"/>
        <v>4.0600000000000005</v>
      </c>
    </row>
    <row r="1230" spans="1:19" x14ac:dyDescent="0.3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str">
        <f>IFERROR(VLOOKUP('Customer Info'!A1222,'Customer Info'!A1222:C1721,2,FALSE),"Not Found")</f>
        <v>Not Found</v>
      </c>
      <c r="H1230" s="6" t="str">
        <f>IFERROR(VLOOKUP('Customer Info'!A1222,'Customer Info'!A1222:C1721,3,FALSE),"Not Found")</f>
        <v>Not Found</v>
      </c>
      <c r="I1230" s="6" t="str">
        <f>IFERROR(VLOOKUP('Customer Info'!A1222,'Customer Info'!A1222:E1721,5,FALSE),"Not Found")</f>
        <v>Not Found</v>
      </c>
      <c r="J1230" s="2">
        <v>1413</v>
      </c>
      <c r="K1230" s="2">
        <v>1334</v>
      </c>
      <c r="L1230" s="2">
        <v>4</v>
      </c>
      <c r="M1230" s="7">
        <f t="shared" si="95"/>
        <v>5336</v>
      </c>
      <c r="N1230" s="7">
        <f t="shared" si="96"/>
        <v>5652</v>
      </c>
      <c r="O1230" s="2">
        <v>50</v>
      </c>
      <c r="P1230" s="8">
        <f t="shared" si="97"/>
        <v>5702</v>
      </c>
      <c r="Q1230" s="8">
        <f t="shared" si="98"/>
        <v>4318</v>
      </c>
      <c r="R1230" s="2" t="s">
        <v>26</v>
      </c>
      <c r="S1230" s="9">
        <f t="shared" si="99"/>
        <v>285.10000000000002</v>
      </c>
    </row>
    <row r="1231" spans="1:19" x14ac:dyDescent="0.3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str">
        <f>IFERROR(VLOOKUP('Customer Info'!A1223,'Customer Info'!A1223:C1722,2,FALSE),"Not Found")</f>
        <v>Not Found</v>
      </c>
      <c r="H1231" s="6" t="str">
        <f>IFERROR(VLOOKUP('Customer Info'!A1223,'Customer Info'!A1223:C1722,3,FALSE),"Not Found")</f>
        <v>Not Found</v>
      </c>
      <c r="I1231" s="6" t="str">
        <f>IFERROR(VLOOKUP('Customer Info'!A1223,'Customer Info'!A1223:E1722,5,FALSE),"Not Found")</f>
        <v>Not Found</v>
      </c>
      <c r="J1231" s="2">
        <v>2526</v>
      </c>
      <c r="K1231" s="2">
        <v>2408</v>
      </c>
      <c r="L1231" s="2">
        <v>5</v>
      </c>
      <c r="M1231" s="7">
        <f t="shared" si="95"/>
        <v>12040</v>
      </c>
      <c r="N1231" s="7">
        <f t="shared" si="96"/>
        <v>12630</v>
      </c>
      <c r="O1231" s="2">
        <v>55</v>
      </c>
      <c r="P1231" s="8">
        <f t="shared" si="97"/>
        <v>12685</v>
      </c>
      <c r="Q1231" s="8">
        <f t="shared" si="98"/>
        <v>10222</v>
      </c>
      <c r="R1231" s="2" t="s">
        <v>28</v>
      </c>
      <c r="S1231" s="9">
        <f t="shared" si="99"/>
        <v>634.25</v>
      </c>
    </row>
    <row r="1232" spans="1:19" x14ac:dyDescent="0.3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str">
        <f>IFERROR(VLOOKUP('Customer Info'!A1224,'Customer Info'!A1224:C1723,2,FALSE),"Not Found")</f>
        <v>Not Found</v>
      </c>
      <c r="H1232" s="6" t="str">
        <f>IFERROR(VLOOKUP('Customer Info'!A1224,'Customer Info'!A1224:C1723,3,FALSE),"Not Found")</f>
        <v>Not Found</v>
      </c>
      <c r="I1232" s="6" t="str">
        <f>IFERROR(VLOOKUP('Customer Info'!A1224,'Customer Info'!A1224:E1723,5,FALSE),"Not Found")</f>
        <v>Not Found</v>
      </c>
      <c r="J1232" s="2">
        <v>100</v>
      </c>
      <c r="K1232" s="2">
        <v>95</v>
      </c>
      <c r="L1232" s="2">
        <v>8</v>
      </c>
      <c r="M1232" s="7">
        <f t="shared" si="95"/>
        <v>760</v>
      </c>
      <c r="N1232" s="7">
        <f t="shared" si="96"/>
        <v>800</v>
      </c>
      <c r="O1232" s="2">
        <v>10</v>
      </c>
      <c r="P1232" s="8">
        <f t="shared" si="97"/>
        <v>810</v>
      </c>
      <c r="Q1232" s="8">
        <f t="shared" si="98"/>
        <v>705</v>
      </c>
      <c r="R1232" s="2" t="s">
        <v>28</v>
      </c>
      <c r="S1232" s="9">
        <f t="shared" si="99"/>
        <v>16.2</v>
      </c>
    </row>
    <row r="1233" spans="1:19" x14ac:dyDescent="0.3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str">
        <f>IFERROR(VLOOKUP('Customer Info'!A1225,'Customer Info'!A1225:C1724,2,FALSE),"Not Found")</f>
        <v>Not Found</v>
      </c>
      <c r="H1233" s="6" t="str">
        <f>IFERROR(VLOOKUP('Customer Info'!A1225,'Customer Info'!A1225:C1724,3,FALSE),"Not Found")</f>
        <v>Not Found</v>
      </c>
      <c r="I1233" s="6" t="str">
        <f>IFERROR(VLOOKUP('Customer Info'!A1225,'Customer Info'!A1225:E1724,5,FALSE),"Not Found")</f>
        <v>Not Found</v>
      </c>
      <c r="J1233" s="2">
        <v>138</v>
      </c>
      <c r="K1233" s="2">
        <v>128</v>
      </c>
      <c r="L1233" s="2">
        <v>5</v>
      </c>
      <c r="M1233" s="7">
        <f t="shared" si="95"/>
        <v>640</v>
      </c>
      <c r="N1233" s="7">
        <f t="shared" si="96"/>
        <v>690</v>
      </c>
      <c r="O1233" s="2">
        <v>30</v>
      </c>
      <c r="P1233" s="8">
        <f t="shared" si="97"/>
        <v>720</v>
      </c>
      <c r="Q1233" s="8">
        <f t="shared" si="98"/>
        <v>562</v>
      </c>
      <c r="R1233" s="2" t="s">
        <v>56</v>
      </c>
      <c r="S1233" s="9">
        <f t="shared" si="99"/>
        <v>14.4</v>
      </c>
    </row>
    <row r="1234" spans="1:19" x14ac:dyDescent="0.3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str">
        <f>IFERROR(VLOOKUP('Customer Info'!A1226,'Customer Info'!A1226:C1725,2,FALSE),"Not Found")</f>
        <v>Not Found</v>
      </c>
      <c r="H1234" s="6" t="str">
        <f>IFERROR(VLOOKUP('Customer Info'!A1226,'Customer Info'!A1226:C1725,3,FALSE),"Not Found")</f>
        <v>Not Found</v>
      </c>
      <c r="I1234" s="6" t="str">
        <f>IFERROR(VLOOKUP('Customer Info'!A1226,'Customer Info'!A1226:E1725,5,FALSE),"Not Found")</f>
        <v>Not Found</v>
      </c>
      <c r="J1234" s="2">
        <v>149</v>
      </c>
      <c r="K1234" s="2">
        <v>131</v>
      </c>
      <c r="L1234" s="2">
        <v>1</v>
      </c>
      <c r="M1234" s="7">
        <f t="shared" si="95"/>
        <v>131</v>
      </c>
      <c r="N1234" s="7">
        <f t="shared" si="96"/>
        <v>149</v>
      </c>
      <c r="O1234" s="2">
        <v>30</v>
      </c>
      <c r="P1234" s="8">
        <f t="shared" si="97"/>
        <v>179</v>
      </c>
      <c r="Q1234" s="8">
        <f t="shared" si="98"/>
        <v>18</v>
      </c>
      <c r="R1234" s="2" t="s">
        <v>28</v>
      </c>
      <c r="S1234" s="9">
        <f t="shared" si="99"/>
        <v>3.58</v>
      </c>
    </row>
    <row r="1235" spans="1:19" x14ac:dyDescent="0.3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str">
        <f>IFERROR(VLOOKUP('Customer Info'!A1227,'Customer Info'!A1227:C1726,2,FALSE),"Not Found")</f>
        <v>Not Found</v>
      </c>
      <c r="H1235" s="6" t="str">
        <f>IFERROR(VLOOKUP('Customer Info'!A1227,'Customer Info'!A1227:C1726,3,FALSE),"Not Found")</f>
        <v>Not Found</v>
      </c>
      <c r="I1235" s="6" t="str">
        <f>IFERROR(VLOOKUP('Customer Info'!A1227,'Customer Info'!A1227:E1726,5,FALSE),"Not Found")</f>
        <v>Not Found</v>
      </c>
      <c r="J1235" s="2">
        <v>4704</v>
      </c>
      <c r="K1235" s="2">
        <v>4361</v>
      </c>
      <c r="L1235" s="2">
        <v>2</v>
      </c>
      <c r="M1235" s="7">
        <f t="shared" si="95"/>
        <v>8722</v>
      </c>
      <c r="N1235" s="7">
        <f t="shared" si="96"/>
        <v>9408</v>
      </c>
      <c r="O1235" s="2">
        <v>90</v>
      </c>
      <c r="P1235" s="8">
        <f t="shared" si="97"/>
        <v>9498</v>
      </c>
      <c r="Q1235" s="8">
        <f t="shared" si="98"/>
        <v>5047</v>
      </c>
      <c r="R1235" s="2" t="s">
        <v>50</v>
      </c>
      <c r="S1235" s="9">
        <f t="shared" si="99"/>
        <v>474.90000000000003</v>
      </c>
    </row>
    <row r="1236" spans="1:19" x14ac:dyDescent="0.3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str">
        <f>IFERROR(VLOOKUP('Customer Info'!A1228,'Customer Info'!A1228:C1727,2,FALSE),"Not Found")</f>
        <v>Not Found</v>
      </c>
      <c r="H1236" s="6" t="str">
        <f>IFERROR(VLOOKUP('Customer Info'!A1228,'Customer Info'!A1228:C1727,3,FALSE),"Not Found")</f>
        <v>Not Found</v>
      </c>
      <c r="I1236" s="6" t="str">
        <f>IFERROR(VLOOKUP('Customer Info'!A1228,'Customer Info'!A1228:E1727,5,FALSE),"Not Found")</f>
        <v>Not Found</v>
      </c>
      <c r="J1236" s="2">
        <v>6611</v>
      </c>
      <c r="K1236" s="2">
        <v>5943</v>
      </c>
      <c r="L1236" s="2">
        <v>3</v>
      </c>
      <c r="M1236" s="7">
        <f t="shared" si="95"/>
        <v>17829</v>
      </c>
      <c r="N1236" s="7">
        <f t="shared" si="96"/>
        <v>19833</v>
      </c>
      <c r="O1236" s="2">
        <v>99</v>
      </c>
      <c r="P1236" s="8">
        <f t="shared" si="97"/>
        <v>19932</v>
      </c>
      <c r="Q1236" s="8">
        <f t="shared" si="98"/>
        <v>13890</v>
      </c>
      <c r="R1236" s="2" t="s">
        <v>28</v>
      </c>
      <c r="S1236" s="9">
        <f t="shared" si="99"/>
        <v>996.6</v>
      </c>
    </row>
    <row r="1237" spans="1:19" x14ac:dyDescent="0.3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str">
        <f>IFERROR(VLOOKUP('Customer Info'!A1229,'Customer Info'!A1229:C1728,2,FALSE),"Not Found")</f>
        <v>Not Found</v>
      </c>
      <c r="H1237" s="6" t="str">
        <f>IFERROR(VLOOKUP('Customer Info'!A1229,'Customer Info'!A1229:C1728,3,FALSE),"Not Found")</f>
        <v>Not Found</v>
      </c>
      <c r="I1237" s="6" t="str">
        <f>IFERROR(VLOOKUP('Customer Info'!A1229,'Customer Info'!A1229:E1728,5,FALSE),"Not Found")</f>
        <v>Not Found</v>
      </c>
      <c r="J1237" s="2">
        <v>2177</v>
      </c>
      <c r="K1237" s="2">
        <v>2054</v>
      </c>
      <c r="L1237" s="2">
        <v>6</v>
      </c>
      <c r="M1237" s="7">
        <f t="shared" si="95"/>
        <v>12324</v>
      </c>
      <c r="N1237" s="7">
        <f t="shared" si="96"/>
        <v>13062</v>
      </c>
      <c r="O1237" s="2">
        <v>98</v>
      </c>
      <c r="P1237" s="8">
        <f t="shared" si="97"/>
        <v>13160</v>
      </c>
      <c r="Q1237" s="8">
        <f t="shared" si="98"/>
        <v>11008</v>
      </c>
      <c r="R1237" s="2" t="s">
        <v>28</v>
      </c>
      <c r="S1237" s="9">
        <f t="shared" si="99"/>
        <v>658</v>
      </c>
    </row>
    <row r="1238" spans="1:19" x14ac:dyDescent="0.3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str">
        <f>IFERROR(VLOOKUP('Customer Info'!A1230,'Customer Info'!A1230:C1729,2,FALSE),"Not Found")</f>
        <v>Not Found</v>
      </c>
      <c r="H1238" s="6" t="str">
        <f>IFERROR(VLOOKUP('Customer Info'!A1230,'Customer Info'!A1230:C1729,3,FALSE),"Not Found")</f>
        <v>Not Found</v>
      </c>
      <c r="I1238" s="6" t="str">
        <f>IFERROR(VLOOKUP('Customer Info'!A1230,'Customer Info'!A1230:E1729,5,FALSE),"Not Found")</f>
        <v>Not Found</v>
      </c>
      <c r="J1238" s="2">
        <v>1292</v>
      </c>
      <c r="K1238" s="2">
        <v>1185</v>
      </c>
      <c r="L1238" s="2">
        <v>3</v>
      </c>
      <c r="M1238" s="7">
        <f t="shared" si="95"/>
        <v>3555</v>
      </c>
      <c r="N1238" s="7">
        <f t="shared" si="96"/>
        <v>3876</v>
      </c>
      <c r="O1238" s="2">
        <v>95</v>
      </c>
      <c r="P1238" s="8">
        <f t="shared" si="97"/>
        <v>3971</v>
      </c>
      <c r="Q1238" s="8">
        <f t="shared" si="98"/>
        <v>2691</v>
      </c>
      <c r="R1238" s="2" t="s">
        <v>28</v>
      </c>
      <c r="S1238" s="9">
        <f t="shared" si="99"/>
        <v>79.42</v>
      </c>
    </row>
    <row r="1239" spans="1:19" x14ac:dyDescent="0.3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str">
        <f>IFERROR(VLOOKUP('Customer Info'!A1231,'Customer Info'!A1231:C1730,2,FALSE),"Not Found")</f>
        <v>Not Found</v>
      </c>
      <c r="H1239" s="6" t="str">
        <f>IFERROR(VLOOKUP('Customer Info'!A1231,'Customer Info'!A1231:C1730,3,FALSE),"Not Found")</f>
        <v>Not Found</v>
      </c>
      <c r="I1239" s="6" t="str">
        <f>IFERROR(VLOOKUP('Customer Info'!A1231,'Customer Info'!A1231:E1730,5,FALSE),"Not Found")</f>
        <v>Not Found</v>
      </c>
      <c r="J1239" s="2">
        <v>456</v>
      </c>
      <c r="K1239" s="2">
        <v>430</v>
      </c>
      <c r="L1239" s="2">
        <v>4</v>
      </c>
      <c r="M1239" s="7">
        <f t="shared" si="95"/>
        <v>1720</v>
      </c>
      <c r="N1239" s="7">
        <f t="shared" si="96"/>
        <v>1824</v>
      </c>
      <c r="O1239" s="2">
        <v>46</v>
      </c>
      <c r="P1239" s="8">
        <f t="shared" si="97"/>
        <v>1870</v>
      </c>
      <c r="Q1239" s="8">
        <f t="shared" si="98"/>
        <v>1394</v>
      </c>
      <c r="R1239" s="2" t="s">
        <v>26</v>
      </c>
      <c r="S1239" s="9">
        <f t="shared" si="99"/>
        <v>37.4</v>
      </c>
    </row>
    <row r="1240" spans="1:19" x14ac:dyDescent="0.3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str">
        <f>IFERROR(VLOOKUP('Customer Info'!A1232,'Customer Info'!A1232:C1731,2,FALSE),"Not Found")</f>
        <v>Not Found</v>
      </c>
      <c r="H1240" s="6" t="str">
        <f>IFERROR(VLOOKUP('Customer Info'!A1232,'Customer Info'!A1232:C1731,3,FALSE),"Not Found")</f>
        <v>Not Found</v>
      </c>
      <c r="I1240" s="6" t="str">
        <f>IFERROR(VLOOKUP('Customer Info'!A1232,'Customer Info'!A1232:E1731,5,FALSE),"Not Found")</f>
        <v>Not Found</v>
      </c>
      <c r="J1240" s="2">
        <v>932</v>
      </c>
      <c r="K1240" s="2">
        <v>838</v>
      </c>
      <c r="L1240" s="2">
        <v>1</v>
      </c>
      <c r="M1240" s="7">
        <f t="shared" si="95"/>
        <v>838</v>
      </c>
      <c r="N1240" s="7">
        <f t="shared" si="96"/>
        <v>932</v>
      </c>
      <c r="O1240" s="2">
        <v>85</v>
      </c>
      <c r="P1240" s="8">
        <f t="shared" si="97"/>
        <v>1017</v>
      </c>
      <c r="Q1240" s="8">
        <f t="shared" si="98"/>
        <v>94</v>
      </c>
      <c r="R1240" s="2" t="s">
        <v>28</v>
      </c>
      <c r="S1240" s="9">
        <f t="shared" si="99"/>
        <v>20.34</v>
      </c>
    </row>
    <row r="1241" spans="1:19" x14ac:dyDescent="0.3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str">
        <f>IFERROR(VLOOKUP('Customer Info'!A1233,'Customer Info'!A1233:C1732,2,FALSE),"Not Found")</f>
        <v>Not Found</v>
      </c>
      <c r="H1241" s="6" t="str">
        <f>IFERROR(VLOOKUP('Customer Info'!A1233,'Customer Info'!A1233:C1732,3,FALSE),"Not Found")</f>
        <v>Not Found</v>
      </c>
      <c r="I1241" s="6" t="str">
        <f>IFERROR(VLOOKUP('Customer Info'!A1233,'Customer Info'!A1233:E1732,5,FALSE),"Not Found")</f>
        <v>Not Found</v>
      </c>
      <c r="J1241" s="2">
        <v>7943</v>
      </c>
      <c r="K1241" s="2">
        <v>7790</v>
      </c>
      <c r="L1241" s="2">
        <v>6</v>
      </c>
      <c r="M1241" s="7">
        <f t="shared" si="95"/>
        <v>46740</v>
      </c>
      <c r="N1241" s="7">
        <f t="shared" si="96"/>
        <v>47658</v>
      </c>
      <c r="O1241" s="2">
        <v>29</v>
      </c>
      <c r="P1241" s="8">
        <f t="shared" si="97"/>
        <v>47687</v>
      </c>
      <c r="Q1241" s="8">
        <f t="shared" si="98"/>
        <v>39868</v>
      </c>
      <c r="R1241" s="2" t="s">
        <v>28</v>
      </c>
      <c r="S1241" s="9">
        <f t="shared" si="99"/>
        <v>3338.09</v>
      </c>
    </row>
    <row r="1242" spans="1:19" x14ac:dyDescent="0.3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str">
        <f>IFERROR(VLOOKUP('Customer Info'!A1234,'Customer Info'!A1234:C1733,2,FALSE),"Not Found")</f>
        <v>Not Found</v>
      </c>
      <c r="H1242" s="6" t="str">
        <f>IFERROR(VLOOKUP('Customer Info'!A1234,'Customer Info'!A1234:C1733,3,FALSE),"Not Found")</f>
        <v>Not Found</v>
      </c>
      <c r="I1242" s="6" t="str">
        <f>IFERROR(VLOOKUP('Customer Info'!A1234,'Customer Info'!A1234:E1733,5,FALSE),"Not Found")</f>
        <v>Not Found</v>
      </c>
      <c r="J1242" s="2">
        <v>1399</v>
      </c>
      <c r="K1242" s="2">
        <v>1308</v>
      </c>
      <c r="L1242" s="2">
        <v>1</v>
      </c>
      <c r="M1242" s="7">
        <f t="shared" si="95"/>
        <v>1308</v>
      </c>
      <c r="N1242" s="7">
        <f t="shared" si="96"/>
        <v>1399</v>
      </c>
      <c r="O1242" s="2">
        <v>84</v>
      </c>
      <c r="P1242" s="8">
        <f t="shared" si="97"/>
        <v>1483</v>
      </c>
      <c r="Q1242" s="8">
        <f t="shared" si="98"/>
        <v>91</v>
      </c>
      <c r="R1242" s="2" t="s">
        <v>28</v>
      </c>
      <c r="S1242" s="9">
        <f t="shared" si="99"/>
        <v>29.66</v>
      </c>
    </row>
    <row r="1243" spans="1:19" x14ac:dyDescent="0.3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str">
        <f>IFERROR(VLOOKUP('Customer Info'!A1235,'Customer Info'!A1235:C1734,2,FALSE),"Not Found")</f>
        <v>Not Found</v>
      </c>
      <c r="H1243" s="6" t="str">
        <f>IFERROR(VLOOKUP('Customer Info'!A1235,'Customer Info'!A1235:C1734,3,FALSE),"Not Found")</f>
        <v>Not Found</v>
      </c>
      <c r="I1243" s="6" t="str">
        <f>IFERROR(VLOOKUP('Customer Info'!A1235,'Customer Info'!A1235:E1734,5,FALSE),"Not Found")</f>
        <v>Not Found</v>
      </c>
      <c r="J1243" s="2">
        <v>2540</v>
      </c>
      <c r="K1243" s="2">
        <v>2397</v>
      </c>
      <c r="L1243" s="2">
        <v>2</v>
      </c>
      <c r="M1243" s="7">
        <f t="shared" si="95"/>
        <v>4794</v>
      </c>
      <c r="N1243" s="7">
        <f t="shared" si="96"/>
        <v>5080</v>
      </c>
      <c r="O1243" s="2">
        <v>48</v>
      </c>
      <c r="P1243" s="8">
        <f t="shared" si="97"/>
        <v>5128</v>
      </c>
      <c r="Q1243" s="8">
        <f t="shared" si="98"/>
        <v>2683</v>
      </c>
      <c r="R1243" s="2" t="s">
        <v>28</v>
      </c>
      <c r="S1243" s="9">
        <f t="shared" si="99"/>
        <v>256.40000000000003</v>
      </c>
    </row>
    <row r="1244" spans="1:19" x14ac:dyDescent="0.3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str">
        <f>IFERROR(VLOOKUP('Customer Info'!A1236,'Customer Info'!A1236:C1735,2,FALSE),"Not Found")</f>
        <v>Not Found</v>
      </c>
      <c r="H1244" s="6" t="str">
        <f>IFERROR(VLOOKUP('Customer Info'!A1236,'Customer Info'!A1236:C1735,3,FALSE),"Not Found")</f>
        <v>Not Found</v>
      </c>
      <c r="I1244" s="6" t="str">
        <f>IFERROR(VLOOKUP('Customer Info'!A1236,'Customer Info'!A1236:E1735,5,FALSE),"Not Found")</f>
        <v>Not Found</v>
      </c>
      <c r="J1244" s="2">
        <v>92</v>
      </c>
      <c r="K1244" s="2">
        <v>82</v>
      </c>
      <c r="L1244" s="2">
        <v>2</v>
      </c>
      <c r="M1244" s="7">
        <f t="shared" si="95"/>
        <v>164</v>
      </c>
      <c r="N1244" s="7">
        <f t="shared" si="96"/>
        <v>184</v>
      </c>
      <c r="O1244" s="2">
        <v>10</v>
      </c>
      <c r="P1244" s="8">
        <f t="shared" si="97"/>
        <v>194</v>
      </c>
      <c r="Q1244" s="8">
        <f t="shared" si="98"/>
        <v>102</v>
      </c>
      <c r="R1244" s="2" t="s">
        <v>50</v>
      </c>
      <c r="S1244" s="9">
        <f t="shared" si="99"/>
        <v>3.88</v>
      </c>
    </row>
    <row r="1245" spans="1:19" x14ac:dyDescent="0.3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str">
        <f>IFERROR(VLOOKUP('Customer Info'!A1237,'Customer Info'!A1237:C1736,2,FALSE),"Not Found")</f>
        <v>Not Found</v>
      </c>
      <c r="H1245" s="6" t="str">
        <f>IFERROR(VLOOKUP('Customer Info'!A1237,'Customer Info'!A1237:C1736,3,FALSE),"Not Found")</f>
        <v>Not Found</v>
      </c>
      <c r="I1245" s="6" t="str">
        <f>IFERROR(VLOOKUP('Customer Info'!A1237,'Customer Info'!A1237:E1736,5,FALSE),"Not Found")</f>
        <v>Not Found</v>
      </c>
      <c r="J1245" s="2">
        <v>8773</v>
      </c>
      <c r="K1245" s="2">
        <v>8115</v>
      </c>
      <c r="L1245" s="2">
        <v>3</v>
      </c>
      <c r="M1245" s="7">
        <f t="shared" si="95"/>
        <v>24345</v>
      </c>
      <c r="N1245" s="7">
        <f t="shared" si="96"/>
        <v>26319</v>
      </c>
      <c r="O1245" s="2">
        <v>71</v>
      </c>
      <c r="P1245" s="8">
        <f t="shared" si="97"/>
        <v>26390</v>
      </c>
      <c r="Q1245" s="8">
        <f t="shared" si="98"/>
        <v>18204</v>
      </c>
      <c r="R1245" s="2" t="s">
        <v>50</v>
      </c>
      <c r="S1245" s="9">
        <f t="shared" si="99"/>
        <v>1847.3000000000002</v>
      </c>
    </row>
    <row r="1246" spans="1:19" x14ac:dyDescent="0.3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str">
        <f>IFERROR(VLOOKUP('Customer Info'!A1238,'Customer Info'!A1238:C1737,2,FALSE),"Not Found")</f>
        <v>Not Found</v>
      </c>
      <c r="H1246" s="6" t="str">
        <f>IFERROR(VLOOKUP('Customer Info'!A1238,'Customer Info'!A1238:C1737,3,FALSE),"Not Found")</f>
        <v>Not Found</v>
      </c>
      <c r="I1246" s="6" t="str">
        <f>IFERROR(VLOOKUP('Customer Info'!A1238,'Customer Info'!A1238:E1737,5,FALSE),"Not Found")</f>
        <v>Not Found</v>
      </c>
      <c r="J1246" s="2">
        <v>1901</v>
      </c>
      <c r="K1246" s="2">
        <v>1810</v>
      </c>
      <c r="L1246" s="2">
        <v>2</v>
      </c>
      <c r="M1246" s="7">
        <f t="shared" si="95"/>
        <v>3620</v>
      </c>
      <c r="N1246" s="7">
        <f t="shared" si="96"/>
        <v>3802</v>
      </c>
      <c r="O1246" s="2">
        <v>74</v>
      </c>
      <c r="P1246" s="8">
        <f t="shared" si="97"/>
        <v>3876</v>
      </c>
      <c r="Q1246" s="8">
        <f t="shared" si="98"/>
        <v>1992</v>
      </c>
      <c r="R1246" s="2" t="s">
        <v>28</v>
      </c>
      <c r="S1246" s="9">
        <f t="shared" si="99"/>
        <v>77.52</v>
      </c>
    </row>
    <row r="1247" spans="1:19" x14ac:dyDescent="0.3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str">
        <f>IFERROR(VLOOKUP('Customer Info'!A1239,'Customer Info'!A1239:C1738,2,FALSE),"Not Found")</f>
        <v>Not Found</v>
      </c>
      <c r="H1247" s="6" t="str">
        <f>IFERROR(VLOOKUP('Customer Info'!A1239,'Customer Info'!A1239:C1738,3,FALSE),"Not Found")</f>
        <v>Not Found</v>
      </c>
      <c r="I1247" s="6" t="str">
        <f>IFERROR(VLOOKUP('Customer Info'!A1239,'Customer Info'!A1239:E1738,5,FALSE),"Not Found")</f>
        <v>Not Found</v>
      </c>
      <c r="J1247" s="2">
        <v>144</v>
      </c>
      <c r="K1247" s="2">
        <v>132</v>
      </c>
      <c r="L1247" s="2">
        <v>1</v>
      </c>
      <c r="M1247" s="7">
        <f t="shared" si="95"/>
        <v>132</v>
      </c>
      <c r="N1247" s="7">
        <f t="shared" si="96"/>
        <v>144</v>
      </c>
      <c r="O1247" s="2">
        <v>30</v>
      </c>
      <c r="P1247" s="8">
        <f t="shared" si="97"/>
        <v>174</v>
      </c>
      <c r="Q1247" s="8">
        <f t="shared" si="98"/>
        <v>12</v>
      </c>
      <c r="R1247" s="2" t="s">
        <v>28</v>
      </c>
      <c r="S1247" s="9">
        <f t="shared" si="99"/>
        <v>3.48</v>
      </c>
    </row>
    <row r="1248" spans="1:19" x14ac:dyDescent="0.3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str">
        <f>IFERROR(VLOOKUP('Customer Info'!A1240,'Customer Info'!A1240:C1739,2,FALSE),"Not Found")</f>
        <v>Not Found</v>
      </c>
      <c r="H1248" s="6" t="str">
        <f>IFERROR(VLOOKUP('Customer Info'!A1240,'Customer Info'!A1240:C1739,3,FALSE),"Not Found")</f>
        <v>Not Found</v>
      </c>
      <c r="I1248" s="6" t="str">
        <f>IFERROR(VLOOKUP('Customer Info'!A1240,'Customer Info'!A1240:E1739,5,FALSE),"Not Found")</f>
        <v>Not Found</v>
      </c>
      <c r="J1248" s="2">
        <v>759</v>
      </c>
      <c r="K1248" s="2">
        <v>703</v>
      </c>
      <c r="L1248" s="2">
        <v>6</v>
      </c>
      <c r="M1248" s="7">
        <f t="shared" si="95"/>
        <v>4218</v>
      </c>
      <c r="N1248" s="7">
        <f t="shared" si="96"/>
        <v>4554</v>
      </c>
      <c r="O1248" s="2">
        <v>52</v>
      </c>
      <c r="P1248" s="8">
        <f t="shared" si="97"/>
        <v>4606</v>
      </c>
      <c r="Q1248" s="8">
        <f t="shared" si="98"/>
        <v>3851</v>
      </c>
      <c r="R1248" s="2" t="s">
        <v>50</v>
      </c>
      <c r="S1248" s="9">
        <f t="shared" si="99"/>
        <v>92.12</v>
      </c>
    </row>
    <row r="1249" spans="1:19" x14ac:dyDescent="0.3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str">
        <f>IFERROR(VLOOKUP('Customer Info'!A1241,'Customer Info'!A1241:C1740,2,FALSE),"Not Found")</f>
        <v>Not Found</v>
      </c>
      <c r="H1249" s="6" t="str">
        <f>IFERROR(VLOOKUP('Customer Info'!A1241,'Customer Info'!A1241:C1740,3,FALSE),"Not Found")</f>
        <v>Not Found</v>
      </c>
      <c r="I1249" s="6" t="str">
        <f>IFERROR(VLOOKUP('Customer Info'!A1241,'Customer Info'!A1241:E1740,5,FALSE),"Not Found")</f>
        <v>Not Found</v>
      </c>
      <c r="J1249" s="2">
        <v>2273</v>
      </c>
      <c r="K1249" s="2">
        <v>2229</v>
      </c>
      <c r="L1249" s="2">
        <v>1</v>
      </c>
      <c r="M1249" s="7">
        <f t="shared" si="95"/>
        <v>2229</v>
      </c>
      <c r="N1249" s="7">
        <f t="shared" si="96"/>
        <v>2273</v>
      </c>
      <c r="O1249" s="2">
        <v>37</v>
      </c>
      <c r="P1249" s="8">
        <f t="shared" si="97"/>
        <v>2310</v>
      </c>
      <c r="Q1249" s="8">
        <f t="shared" si="98"/>
        <v>44</v>
      </c>
      <c r="R1249" s="2" t="s">
        <v>50</v>
      </c>
      <c r="S1249" s="9">
        <f t="shared" si="99"/>
        <v>46.2</v>
      </c>
    </row>
    <row r="1250" spans="1:19" x14ac:dyDescent="0.3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str">
        <f>IFERROR(VLOOKUP('Customer Info'!A1242,'Customer Info'!A1242:C1741,2,FALSE),"Not Found")</f>
        <v>Not Found</v>
      </c>
      <c r="H1250" s="6" t="str">
        <f>IFERROR(VLOOKUP('Customer Info'!A1242,'Customer Info'!A1242:C1741,3,FALSE),"Not Found")</f>
        <v>Not Found</v>
      </c>
      <c r="I1250" s="6" t="str">
        <f>IFERROR(VLOOKUP('Customer Info'!A1242,'Customer Info'!A1242:E1741,5,FALSE),"Not Found")</f>
        <v>Not Found</v>
      </c>
      <c r="J1250" s="2">
        <v>1413</v>
      </c>
      <c r="K1250" s="2">
        <v>1334</v>
      </c>
      <c r="L1250" s="2">
        <v>4</v>
      </c>
      <c r="M1250" s="7">
        <f t="shared" si="95"/>
        <v>5336</v>
      </c>
      <c r="N1250" s="7">
        <f t="shared" si="96"/>
        <v>5652</v>
      </c>
      <c r="O1250" s="2">
        <v>56</v>
      </c>
      <c r="P1250" s="8">
        <f t="shared" si="97"/>
        <v>5708</v>
      </c>
      <c r="Q1250" s="8">
        <f t="shared" si="98"/>
        <v>4318</v>
      </c>
      <c r="R1250" s="2" t="s">
        <v>50</v>
      </c>
      <c r="S1250" s="9">
        <f t="shared" si="99"/>
        <v>285.40000000000003</v>
      </c>
    </row>
    <row r="1251" spans="1:19" x14ac:dyDescent="0.3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str">
        <f>IFERROR(VLOOKUP('Customer Info'!A1243,'Customer Info'!A1243:C1742,2,FALSE),"Not Found")</f>
        <v>Not Found</v>
      </c>
      <c r="H1251" s="6" t="str">
        <f>IFERROR(VLOOKUP('Customer Info'!A1243,'Customer Info'!A1243:C1742,3,FALSE),"Not Found")</f>
        <v>Not Found</v>
      </c>
      <c r="I1251" s="6" t="str">
        <f>IFERROR(VLOOKUP('Customer Info'!A1243,'Customer Info'!A1243:E1742,5,FALSE),"Not Found")</f>
        <v>Not Found</v>
      </c>
      <c r="J1251" s="2">
        <v>932</v>
      </c>
      <c r="K1251" s="2">
        <v>838</v>
      </c>
      <c r="L1251" s="2">
        <v>3</v>
      </c>
      <c r="M1251" s="7">
        <f t="shared" si="95"/>
        <v>2514</v>
      </c>
      <c r="N1251" s="7">
        <f t="shared" si="96"/>
        <v>2796</v>
      </c>
      <c r="O1251" s="2">
        <v>88</v>
      </c>
      <c r="P1251" s="8">
        <f t="shared" si="97"/>
        <v>2884</v>
      </c>
      <c r="Q1251" s="8">
        <f t="shared" si="98"/>
        <v>1958</v>
      </c>
      <c r="R1251" s="2" t="s">
        <v>50</v>
      </c>
      <c r="S1251" s="9">
        <f t="shared" si="99"/>
        <v>57.68</v>
      </c>
    </row>
    <row r="1252" spans="1:19" x14ac:dyDescent="0.3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str">
        <f>IFERROR(VLOOKUP('Customer Info'!A1244,'Customer Info'!A1244:C1743,2,FALSE),"Not Found")</f>
        <v>Not Found</v>
      </c>
      <c r="H1252" s="6" t="str">
        <f>IFERROR(VLOOKUP('Customer Info'!A1244,'Customer Info'!A1244:C1743,3,FALSE),"Not Found")</f>
        <v>Not Found</v>
      </c>
      <c r="I1252" s="6" t="str">
        <f>IFERROR(VLOOKUP('Customer Info'!A1244,'Customer Info'!A1244:E1743,5,FALSE),"Not Found")</f>
        <v>Not Found</v>
      </c>
      <c r="J1252" s="2">
        <v>1816</v>
      </c>
      <c r="K1252" s="2">
        <v>1699</v>
      </c>
      <c r="L1252" s="2">
        <v>2</v>
      </c>
      <c r="M1252" s="7">
        <f t="shared" si="95"/>
        <v>3398</v>
      </c>
      <c r="N1252" s="7">
        <f t="shared" si="96"/>
        <v>3632</v>
      </c>
      <c r="O1252" s="2">
        <v>84</v>
      </c>
      <c r="P1252" s="8">
        <f t="shared" si="97"/>
        <v>3716</v>
      </c>
      <c r="Q1252" s="8">
        <f t="shared" si="98"/>
        <v>1933</v>
      </c>
      <c r="R1252" s="2" t="s">
        <v>26</v>
      </c>
      <c r="S1252" s="9">
        <f t="shared" si="99"/>
        <v>74.320000000000007</v>
      </c>
    </row>
    <row r="1253" spans="1:19" x14ac:dyDescent="0.3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str">
        <f>IFERROR(VLOOKUP('Customer Info'!A1245,'Customer Info'!A1245:C1744,2,FALSE),"Not Found")</f>
        <v>Not Found</v>
      </c>
      <c r="H1253" s="6" t="str">
        <f>IFERROR(VLOOKUP('Customer Info'!A1245,'Customer Info'!A1245:C1744,3,FALSE),"Not Found")</f>
        <v>Not Found</v>
      </c>
      <c r="I1253" s="6" t="str">
        <f>IFERROR(VLOOKUP('Customer Info'!A1245,'Customer Info'!A1245:E1744,5,FALSE),"Not Found")</f>
        <v>Not Found</v>
      </c>
      <c r="J1253" s="2">
        <v>69</v>
      </c>
      <c r="K1253" s="2">
        <v>64</v>
      </c>
      <c r="L1253" s="2">
        <v>1</v>
      </c>
      <c r="M1253" s="7">
        <f t="shared" si="95"/>
        <v>64</v>
      </c>
      <c r="N1253" s="7">
        <f t="shared" si="96"/>
        <v>69</v>
      </c>
      <c r="O1253" s="2">
        <v>10</v>
      </c>
      <c r="P1253" s="8">
        <f t="shared" si="97"/>
        <v>79</v>
      </c>
      <c r="Q1253" s="8">
        <f t="shared" si="98"/>
        <v>5</v>
      </c>
      <c r="R1253" s="2" t="s">
        <v>28</v>
      </c>
      <c r="S1253" s="9">
        <f t="shared" si="99"/>
        <v>1.58</v>
      </c>
    </row>
    <row r="1254" spans="1:19" x14ac:dyDescent="0.3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str">
        <f>IFERROR(VLOOKUP('Customer Info'!A1246,'Customer Info'!A1246:C1745,2,FALSE),"Not Found")</f>
        <v>Not Found</v>
      </c>
      <c r="H1254" s="6" t="str">
        <f>IFERROR(VLOOKUP('Customer Info'!A1246,'Customer Info'!A1246:C1745,3,FALSE),"Not Found")</f>
        <v>Not Found</v>
      </c>
      <c r="I1254" s="6" t="str">
        <f>IFERROR(VLOOKUP('Customer Info'!A1246,'Customer Info'!A1246:E1745,5,FALSE),"Not Found")</f>
        <v>Not Found</v>
      </c>
      <c r="J1254" s="2">
        <v>69</v>
      </c>
      <c r="K1254" s="2">
        <v>64</v>
      </c>
      <c r="L1254" s="2">
        <v>1</v>
      </c>
      <c r="M1254" s="7">
        <f t="shared" si="95"/>
        <v>64</v>
      </c>
      <c r="N1254" s="7">
        <f t="shared" si="96"/>
        <v>69</v>
      </c>
      <c r="O1254" s="2">
        <v>10</v>
      </c>
      <c r="P1254" s="8">
        <f t="shared" si="97"/>
        <v>79</v>
      </c>
      <c r="Q1254" s="8">
        <f t="shared" si="98"/>
        <v>5</v>
      </c>
      <c r="R1254" s="2" t="s">
        <v>28</v>
      </c>
      <c r="S1254" s="9">
        <f t="shared" si="99"/>
        <v>1.58</v>
      </c>
    </row>
    <row r="1255" spans="1:19" x14ac:dyDescent="0.3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str">
        <f>IFERROR(VLOOKUP('Customer Info'!A1247,'Customer Info'!A1247:C1746,2,FALSE),"Not Found")</f>
        <v>Not Found</v>
      </c>
      <c r="H1255" s="6" t="str">
        <f>IFERROR(VLOOKUP('Customer Info'!A1247,'Customer Info'!A1247:C1746,3,FALSE),"Not Found")</f>
        <v>Not Found</v>
      </c>
      <c r="I1255" s="6" t="str">
        <f>IFERROR(VLOOKUP('Customer Info'!A1247,'Customer Info'!A1247:E1746,5,FALSE),"Not Found")</f>
        <v>Not Found</v>
      </c>
      <c r="J1255" s="2">
        <v>1585</v>
      </c>
      <c r="K1255" s="2">
        <v>1495</v>
      </c>
      <c r="L1255" s="2">
        <v>2</v>
      </c>
      <c r="M1255" s="7">
        <f t="shared" si="95"/>
        <v>2990</v>
      </c>
      <c r="N1255" s="7">
        <f t="shared" si="96"/>
        <v>3170</v>
      </c>
      <c r="O1255" s="2">
        <v>92</v>
      </c>
      <c r="P1255" s="8">
        <f t="shared" si="97"/>
        <v>3262</v>
      </c>
      <c r="Q1255" s="8">
        <f t="shared" si="98"/>
        <v>1675</v>
      </c>
      <c r="R1255" s="2" t="s">
        <v>28</v>
      </c>
      <c r="S1255" s="9">
        <f t="shared" si="99"/>
        <v>65.239999999999995</v>
      </c>
    </row>
    <row r="1256" spans="1:19" x14ac:dyDescent="0.3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str">
        <f>IFERROR(VLOOKUP('Customer Info'!A1248,'Customer Info'!A1248:C1747,2,FALSE),"Not Found")</f>
        <v>Not Found</v>
      </c>
      <c r="H1256" s="6" t="str">
        <f>IFERROR(VLOOKUP('Customer Info'!A1248,'Customer Info'!A1248:C1747,3,FALSE),"Not Found")</f>
        <v>Not Found</v>
      </c>
      <c r="I1256" s="6" t="str">
        <f>IFERROR(VLOOKUP('Customer Info'!A1248,'Customer Info'!A1248:E1747,5,FALSE),"Not Found")</f>
        <v>Not Found</v>
      </c>
      <c r="J1256" s="2">
        <v>7065</v>
      </c>
      <c r="K1256" s="2">
        <v>6545</v>
      </c>
      <c r="L1256" s="2">
        <v>4</v>
      </c>
      <c r="M1256" s="7">
        <f t="shared" si="95"/>
        <v>26180</v>
      </c>
      <c r="N1256" s="7">
        <f t="shared" si="96"/>
        <v>28260</v>
      </c>
      <c r="O1256" s="2">
        <v>39</v>
      </c>
      <c r="P1256" s="8">
        <f t="shared" si="97"/>
        <v>28299</v>
      </c>
      <c r="Q1256" s="8">
        <f t="shared" si="98"/>
        <v>21715</v>
      </c>
      <c r="R1256" s="2" t="s">
        <v>28</v>
      </c>
      <c r="S1256" s="9">
        <f t="shared" si="99"/>
        <v>1980.9300000000003</v>
      </c>
    </row>
    <row r="1257" spans="1:19" x14ac:dyDescent="0.3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str">
        <f>IFERROR(VLOOKUP('Customer Info'!A1249,'Customer Info'!A1249:C1748,2,FALSE),"Not Found")</f>
        <v>Not Found</v>
      </c>
      <c r="H1257" s="6" t="str">
        <f>IFERROR(VLOOKUP('Customer Info'!A1249,'Customer Info'!A1249:C1748,3,FALSE),"Not Found")</f>
        <v>Not Found</v>
      </c>
      <c r="I1257" s="6" t="str">
        <f>IFERROR(VLOOKUP('Customer Info'!A1249,'Customer Info'!A1249:E1748,5,FALSE),"Not Found")</f>
        <v>Not Found</v>
      </c>
      <c r="J1257" s="2">
        <v>1790</v>
      </c>
      <c r="K1257" s="2">
        <v>1706</v>
      </c>
      <c r="L1257" s="2">
        <v>1</v>
      </c>
      <c r="M1257" s="7">
        <f t="shared" si="95"/>
        <v>1706</v>
      </c>
      <c r="N1257" s="7">
        <f t="shared" si="96"/>
        <v>1790</v>
      </c>
      <c r="O1257" s="2">
        <v>100</v>
      </c>
      <c r="P1257" s="8">
        <f t="shared" si="97"/>
        <v>1890</v>
      </c>
      <c r="Q1257" s="8">
        <f t="shared" si="98"/>
        <v>84</v>
      </c>
      <c r="R1257" s="2" t="s">
        <v>50</v>
      </c>
      <c r="S1257" s="9">
        <f t="shared" si="99"/>
        <v>37.800000000000004</v>
      </c>
    </row>
    <row r="1258" spans="1:19" x14ac:dyDescent="0.3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str">
        <f>IFERROR(VLOOKUP('Customer Info'!A1250,'Customer Info'!A1250:C1749,2,FALSE),"Not Found")</f>
        <v>Not Found</v>
      </c>
      <c r="H1258" s="6" t="str">
        <f>IFERROR(VLOOKUP('Customer Info'!A1250,'Customer Info'!A1250:C1749,3,FALSE),"Not Found")</f>
        <v>Not Found</v>
      </c>
      <c r="I1258" s="6" t="str">
        <f>IFERROR(VLOOKUP('Customer Info'!A1250,'Customer Info'!A1250:E1749,5,FALSE),"Not Found")</f>
        <v>Not Found</v>
      </c>
      <c r="J1258" s="2">
        <v>1704</v>
      </c>
      <c r="K1258" s="2">
        <v>1624</v>
      </c>
      <c r="L1258" s="2">
        <v>2</v>
      </c>
      <c r="M1258" s="7">
        <f t="shared" si="95"/>
        <v>3248</v>
      </c>
      <c r="N1258" s="7">
        <f t="shared" si="96"/>
        <v>3408</v>
      </c>
      <c r="O1258" s="2">
        <v>27</v>
      </c>
      <c r="P1258" s="8">
        <f t="shared" si="97"/>
        <v>3435</v>
      </c>
      <c r="Q1258" s="8">
        <f t="shared" si="98"/>
        <v>1784</v>
      </c>
      <c r="R1258" s="2" t="s">
        <v>50</v>
      </c>
      <c r="S1258" s="9">
        <f t="shared" si="99"/>
        <v>68.7</v>
      </c>
    </row>
    <row r="1259" spans="1:19" x14ac:dyDescent="0.3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str">
        <f>IFERROR(VLOOKUP('Customer Info'!A1251,'Customer Info'!A1251:C1750,2,FALSE),"Not Found")</f>
        <v>Not Found</v>
      </c>
      <c r="H1259" s="6" t="str">
        <f>IFERROR(VLOOKUP('Customer Info'!A1251,'Customer Info'!A1251:C1750,3,FALSE),"Not Found")</f>
        <v>Not Found</v>
      </c>
      <c r="I1259" s="6" t="str">
        <f>IFERROR(VLOOKUP('Customer Info'!A1251,'Customer Info'!A1251:E1750,5,FALSE),"Not Found")</f>
        <v>Not Found</v>
      </c>
      <c r="J1259" s="2">
        <v>1482</v>
      </c>
      <c r="K1259" s="2">
        <v>1453</v>
      </c>
      <c r="L1259" s="2">
        <v>2</v>
      </c>
      <c r="M1259" s="7">
        <f t="shared" si="95"/>
        <v>2906</v>
      </c>
      <c r="N1259" s="7">
        <f t="shared" si="96"/>
        <v>2964</v>
      </c>
      <c r="O1259" s="2">
        <v>44</v>
      </c>
      <c r="P1259" s="8">
        <f t="shared" si="97"/>
        <v>3008</v>
      </c>
      <c r="Q1259" s="8">
        <f t="shared" si="98"/>
        <v>1511</v>
      </c>
      <c r="R1259" s="2" t="s">
        <v>28</v>
      </c>
      <c r="S1259" s="9">
        <f t="shared" si="99"/>
        <v>60.160000000000004</v>
      </c>
    </row>
    <row r="1260" spans="1:19" x14ac:dyDescent="0.3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str">
        <f>IFERROR(VLOOKUP('Customer Info'!A1252,'Customer Info'!A1252:C1751,2,FALSE),"Not Found")</f>
        <v>Not Found</v>
      </c>
      <c r="H1260" s="6" t="str">
        <f>IFERROR(VLOOKUP('Customer Info'!A1252,'Customer Info'!A1252:C1751,3,FALSE),"Not Found")</f>
        <v>Not Found</v>
      </c>
      <c r="I1260" s="6" t="str">
        <f>IFERROR(VLOOKUP('Customer Info'!A1252,'Customer Info'!A1252:E1751,5,FALSE),"Not Found")</f>
        <v>Not Found</v>
      </c>
      <c r="J1260" s="2">
        <v>167</v>
      </c>
      <c r="K1260" s="2">
        <v>152</v>
      </c>
      <c r="L1260" s="2">
        <v>8</v>
      </c>
      <c r="M1260" s="7">
        <f t="shared" si="95"/>
        <v>1216</v>
      </c>
      <c r="N1260" s="7">
        <f t="shared" si="96"/>
        <v>1336</v>
      </c>
      <c r="O1260" s="2">
        <v>30</v>
      </c>
      <c r="P1260" s="8">
        <f t="shared" si="97"/>
        <v>1366</v>
      </c>
      <c r="Q1260" s="8">
        <f t="shared" si="98"/>
        <v>1184</v>
      </c>
      <c r="R1260" s="2" t="s">
        <v>50</v>
      </c>
      <c r="S1260" s="9">
        <f t="shared" si="99"/>
        <v>27.32</v>
      </c>
    </row>
    <row r="1261" spans="1:19" x14ac:dyDescent="0.3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str">
        <f>IFERROR(VLOOKUP('Customer Info'!A1253,'Customer Info'!A1253:C1752,2,FALSE),"Not Found")</f>
        <v>Not Found</v>
      </c>
      <c r="H1261" s="6" t="str">
        <f>IFERROR(VLOOKUP('Customer Info'!A1253,'Customer Info'!A1253:C1752,3,FALSE),"Not Found")</f>
        <v>Not Found</v>
      </c>
      <c r="I1261" s="6" t="str">
        <f>IFERROR(VLOOKUP('Customer Info'!A1253,'Customer Info'!A1253:E1752,5,FALSE),"Not Found")</f>
        <v>Not Found</v>
      </c>
      <c r="J1261" s="2">
        <v>679</v>
      </c>
      <c r="K1261" s="2">
        <v>654</v>
      </c>
      <c r="L1261" s="2">
        <v>5</v>
      </c>
      <c r="M1261" s="7">
        <f t="shared" si="95"/>
        <v>3270</v>
      </c>
      <c r="N1261" s="7">
        <f t="shared" si="96"/>
        <v>3395</v>
      </c>
      <c r="O1261" s="2">
        <v>100</v>
      </c>
      <c r="P1261" s="8">
        <f t="shared" si="97"/>
        <v>3495</v>
      </c>
      <c r="Q1261" s="8">
        <f t="shared" si="98"/>
        <v>2741</v>
      </c>
      <c r="R1261" s="2" t="s">
        <v>28</v>
      </c>
      <c r="S1261" s="9">
        <f t="shared" si="99"/>
        <v>69.900000000000006</v>
      </c>
    </row>
    <row r="1262" spans="1:19" x14ac:dyDescent="0.3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str">
        <f>IFERROR(VLOOKUP('Customer Info'!A1254,'Customer Info'!A1254:C1753,2,FALSE),"Not Found")</f>
        <v>Not Found</v>
      </c>
      <c r="H1262" s="6" t="str">
        <f>IFERROR(VLOOKUP('Customer Info'!A1254,'Customer Info'!A1254:C1753,3,FALSE),"Not Found")</f>
        <v>Not Found</v>
      </c>
      <c r="I1262" s="6" t="str">
        <f>IFERROR(VLOOKUP('Customer Info'!A1254,'Customer Info'!A1254:E1753,5,FALSE),"Not Found")</f>
        <v>Not Found</v>
      </c>
      <c r="J1262" s="2">
        <v>1983</v>
      </c>
      <c r="K1262" s="2">
        <v>1908</v>
      </c>
      <c r="L1262" s="2">
        <v>4</v>
      </c>
      <c r="M1262" s="7">
        <f t="shared" si="95"/>
        <v>7632</v>
      </c>
      <c r="N1262" s="7">
        <f t="shared" si="96"/>
        <v>7932</v>
      </c>
      <c r="O1262" s="2">
        <v>59</v>
      </c>
      <c r="P1262" s="8">
        <f t="shared" si="97"/>
        <v>7991</v>
      </c>
      <c r="Q1262" s="8">
        <f t="shared" si="98"/>
        <v>6024</v>
      </c>
      <c r="R1262" s="2" t="s">
        <v>28</v>
      </c>
      <c r="S1262" s="9">
        <f t="shared" si="99"/>
        <v>399.55</v>
      </c>
    </row>
    <row r="1263" spans="1:19" x14ac:dyDescent="0.3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str">
        <f>IFERROR(VLOOKUP('Customer Info'!A1255,'Customer Info'!A1255:C1754,2,FALSE),"Not Found")</f>
        <v>Not Found</v>
      </c>
      <c r="H1263" s="6" t="str">
        <f>IFERROR(VLOOKUP('Customer Info'!A1255,'Customer Info'!A1255:C1754,3,FALSE),"Not Found")</f>
        <v>Not Found</v>
      </c>
      <c r="I1263" s="6" t="str">
        <f>IFERROR(VLOOKUP('Customer Info'!A1255,'Customer Info'!A1255:E1754,5,FALSE),"Not Found")</f>
        <v>Not Found</v>
      </c>
      <c r="J1263" s="2">
        <v>7315</v>
      </c>
      <c r="K1263" s="2">
        <v>6967</v>
      </c>
      <c r="L1263" s="2">
        <v>2</v>
      </c>
      <c r="M1263" s="7">
        <f t="shared" si="95"/>
        <v>13934</v>
      </c>
      <c r="N1263" s="7">
        <f t="shared" si="96"/>
        <v>14630</v>
      </c>
      <c r="O1263" s="2">
        <v>82</v>
      </c>
      <c r="P1263" s="8">
        <f t="shared" si="97"/>
        <v>14712</v>
      </c>
      <c r="Q1263" s="8">
        <f t="shared" si="98"/>
        <v>7663</v>
      </c>
      <c r="R1263" s="2" t="s">
        <v>26</v>
      </c>
      <c r="S1263" s="9">
        <f t="shared" si="99"/>
        <v>735.6</v>
      </c>
    </row>
    <row r="1264" spans="1:19" x14ac:dyDescent="0.3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str">
        <f>IFERROR(VLOOKUP('Customer Info'!A1256,'Customer Info'!A1256:C1755,2,FALSE),"Not Found")</f>
        <v>Not Found</v>
      </c>
      <c r="H1264" s="6" t="str">
        <f>IFERROR(VLOOKUP('Customer Info'!A1256,'Customer Info'!A1256:C1755,3,FALSE),"Not Found")</f>
        <v>Not Found</v>
      </c>
      <c r="I1264" s="6" t="str">
        <f>IFERROR(VLOOKUP('Customer Info'!A1256,'Customer Info'!A1256:E1755,5,FALSE),"Not Found")</f>
        <v>Not Found</v>
      </c>
      <c r="J1264" s="2">
        <v>1654</v>
      </c>
      <c r="K1264" s="2">
        <v>1577</v>
      </c>
      <c r="L1264" s="2">
        <v>1</v>
      </c>
      <c r="M1264" s="7">
        <f t="shared" si="95"/>
        <v>1577</v>
      </c>
      <c r="N1264" s="7">
        <f t="shared" si="96"/>
        <v>1654</v>
      </c>
      <c r="O1264" s="2">
        <v>81</v>
      </c>
      <c r="P1264" s="8">
        <f t="shared" si="97"/>
        <v>1735</v>
      </c>
      <c r="Q1264" s="8">
        <f t="shared" si="98"/>
        <v>77</v>
      </c>
      <c r="R1264" s="2" t="s">
        <v>26</v>
      </c>
      <c r="S1264" s="9">
        <f t="shared" si="99"/>
        <v>34.700000000000003</v>
      </c>
    </row>
    <row r="1265" spans="1:19" x14ac:dyDescent="0.3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str">
        <f>IFERROR(VLOOKUP('Customer Info'!A1257,'Customer Info'!A1257:C1756,2,FALSE),"Not Found")</f>
        <v>Not Found</v>
      </c>
      <c r="H1265" s="6" t="str">
        <f>IFERROR(VLOOKUP('Customer Info'!A1257,'Customer Info'!A1257:C1756,3,FALSE),"Not Found")</f>
        <v>Not Found</v>
      </c>
      <c r="I1265" s="6" t="str">
        <f>IFERROR(VLOOKUP('Customer Info'!A1257,'Customer Info'!A1257:E1756,5,FALSE),"Not Found")</f>
        <v>Not Found</v>
      </c>
      <c r="J1265" s="2">
        <v>495</v>
      </c>
      <c r="K1265" s="2">
        <v>458</v>
      </c>
      <c r="L1265" s="2">
        <v>8</v>
      </c>
      <c r="M1265" s="7">
        <f t="shared" si="95"/>
        <v>3664</v>
      </c>
      <c r="N1265" s="7">
        <f t="shared" si="96"/>
        <v>3960</v>
      </c>
      <c r="O1265" s="2">
        <v>56</v>
      </c>
      <c r="P1265" s="8">
        <f t="shared" si="97"/>
        <v>4016</v>
      </c>
      <c r="Q1265" s="8">
        <f t="shared" si="98"/>
        <v>3502</v>
      </c>
      <c r="R1265" s="2" t="s">
        <v>26</v>
      </c>
      <c r="S1265" s="9">
        <f t="shared" si="99"/>
        <v>80.320000000000007</v>
      </c>
    </row>
    <row r="1266" spans="1:19" x14ac:dyDescent="0.3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str">
        <f>IFERROR(VLOOKUP('Customer Info'!A1258,'Customer Info'!A1258:C1757,2,FALSE),"Not Found")</f>
        <v>Not Found</v>
      </c>
      <c r="H1266" s="6" t="str">
        <f>IFERROR(VLOOKUP('Customer Info'!A1258,'Customer Info'!A1258:C1757,3,FALSE),"Not Found")</f>
        <v>Not Found</v>
      </c>
      <c r="I1266" s="6" t="str">
        <f>IFERROR(VLOOKUP('Customer Info'!A1258,'Customer Info'!A1258:E1757,5,FALSE),"Not Found")</f>
        <v>Not Found</v>
      </c>
      <c r="J1266" s="2">
        <v>887</v>
      </c>
      <c r="K1266" s="2">
        <v>814</v>
      </c>
      <c r="L1266" s="2">
        <v>3</v>
      </c>
      <c r="M1266" s="7">
        <f t="shared" si="95"/>
        <v>2442</v>
      </c>
      <c r="N1266" s="7">
        <f t="shared" si="96"/>
        <v>2661</v>
      </c>
      <c r="O1266" s="2">
        <v>93</v>
      </c>
      <c r="P1266" s="8">
        <f t="shared" si="97"/>
        <v>2754</v>
      </c>
      <c r="Q1266" s="8">
        <f t="shared" si="98"/>
        <v>1847</v>
      </c>
      <c r="R1266" s="2" t="s">
        <v>50</v>
      </c>
      <c r="S1266" s="9">
        <f t="shared" si="99"/>
        <v>55.08</v>
      </c>
    </row>
    <row r="1267" spans="1:19" x14ac:dyDescent="0.3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str">
        <f>IFERROR(VLOOKUP('Customer Info'!A1259,'Customer Info'!A1259:C1758,2,FALSE),"Not Found")</f>
        <v>Not Found</v>
      </c>
      <c r="H1267" s="6" t="str">
        <f>IFERROR(VLOOKUP('Customer Info'!A1259,'Customer Info'!A1259:C1758,3,FALSE),"Not Found")</f>
        <v>Not Found</v>
      </c>
      <c r="I1267" s="6" t="str">
        <f>IFERROR(VLOOKUP('Customer Info'!A1259,'Customer Info'!A1259:E1758,5,FALSE),"Not Found")</f>
        <v>Not Found</v>
      </c>
      <c r="J1267" s="2">
        <v>2857</v>
      </c>
      <c r="K1267" s="2">
        <v>2622</v>
      </c>
      <c r="L1267" s="2">
        <v>2</v>
      </c>
      <c r="M1267" s="7">
        <f t="shared" si="95"/>
        <v>5244</v>
      </c>
      <c r="N1267" s="7">
        <f t="shared" si="96"/>
        <v>5714</v>
      </c>
      <c r="O1267" s="2">
        <v>90</v>
      </c>
      <c r="P1267" s="8">
        <f t="shared" si="97"/>
        <v>5804</v>
      </c>
      <c r="Q1267" s="8">
        <f t="shared" si="98"/>
        <v>3092</v>
      </c>
      <c r="R1267" s="2" t="s">
        <v>28</v>
      </c>
      <c r="S1267" s="9">
        <f t="shared" si="99"/>
        <v>290.2</v>
      </c>
    </row>
    <row r="1268" spans="1:19" x14ac:dyDescent="0.3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str">
        <f>IFERROR(VLOOKUP('Customer Info'!A1260,'Customer Info'!A1260:C1759,2,FALSE),"Not Found")</f>
        <v>Not Found</v>
      </c>
      <c r="H1268" s="6" t="str">
        <f>IFERROR(VLOOKUP('Customer Info'!A1260,'Customer Info'!A1260:C1759,3,FALSE),"Not Found")</f>
        <v>Not Found</v>
      </c>
      <c r="I1268" s="6" t="str">
        <f>IFERROR(VLOOKUP('Customer Info'!A1260,'Customer Info'!A1260:E1759,5,FALSE),"Not Found")</f>
        <v>Not Found</v>
      </c>
      <c r="J1268" s="2">
        <v>8619</v>
      </c>
      <c r="K1268" s="2">
        <v>7759</v>
      </c>
      <c r="L1268" s="2">
        <v>14</v>
      </c>
      <c r="M1268" s="7">
        <f t="shared" si="95"/>
        <v>108626</v>
      </c>
      <c r="N1268" s="7">
        <f t="shared" si="96"/>
        <v>120666</v>
      </c>
      <c r="O1268" s="2">
        <v>24</v>
      </c>
      <c r="P1268" s="8">
        <f t="shared" si="97"/>
        <v>120690</v>
      </c>
      <c r="Q1268" s="8">
        <f t="shared" si="98"/>
        <v>112907</v>
      </c>
      <c r="R1268" s="2" t="s">
        <v>28</v>
      </c>
      <c r="S1268" s="9">
        <f t="shared" si="99"/>
        <v>14482.8</v>
      </c>
    </row>
    <row r="1269" spans="1:19" x14ac:dyDescent="0.3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str">
        <f>IFERROR(VLOOKUP('Customer Info'!A1261,'Customer Info'!A1261:C1760,2,FALSE),"Not Found")</f>
        <v>Not Found</v>
      </c>
      <c r="H1269" s="6" t="str">
        <f>IFERROR(VLOOKUP('Customer Info'!A1261,'Customer Info'!A1261:C1760,3,FALSE),"Not Found")</f>
        <v>Not Found</v>
      </c>
      <c r="I1269" s="6" t="str">
        <f>IFERROR(VLOOKUP('Customer Info'!A1261,'Customer Info'!A1261:E1760,5,FALSE),"Not Found")</f>
        <v>Not Found</v>
      </c>
      <c r="J1269" s="2">
        <v>393</v>
      </c>
      <c r="K1269" s="2">
        <v>374</v>
      </c>
      <c r="L1269" s="2">
        <v>3</v>
      </c>
      <c r="M1269" s="7">
        <f t="shared" si="95"/>
        <v>1122</v>
      </c>
      <c r="N1269" s="7">
        <f t="shared" si="96"/>
        <v>1179</v>
      </c>
      <c r="O1269" s="2">
        <v>32</v>
      </c>
      <c r="P1269" s="8">
        <f t="shared" si="97"/>
        <v>1211</v>
      </c>
      <c r="Q1269" s="8">
        <f t="shared" si="98"/>
        <v>805</v>
      </c>
      <c r="R1269" s="2" t="s">
        <v>28</v>
      </c>
      <c r="S1269" s="9">
        <f t="shared" si="99"/>
        <v>24.22</v>
      </c>
    </row>
    <row r="1270" spans="1:19" x14ac:dyDescent="0.3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str">
        <f>IFERROR(VLOOKUP('Customer Info'!A1262,'Customer Info'!A1262:C1761,2,FALSE),"Not Found")</f>
        <v>Not Found</v>
      </c>
      <c r="H1270" s="6" t="str">
        <f>IFERROR(VLOOKUP('Customer Info'!A1262,'Customer Info'!A1262:C1761,3,FALSE),"Not Found")</f>
        <v>Not Found</v>
      </c>
      <c r="I1270" s="6" t="str">
        <f>IFERROR(VLOOKUP('Customer Info'!A1262,'Customer Info'!A1262:E1761,5,FALSE),"Not Found")</f>
        <v>Not Found</v>
      </c>
      <c r="J1270" s="2">
        <v>2681</v>
      </c>
      <c r="K1270" s="2">
        <v>2458</v>
      </c>
      <c r="L1270" s="2">
        <v>1</v>
      </c>
      <c r="M1270" s="7">
        <f t="shared" si="95"/>
        <v>2458</v>
      </c>
      <c r="N1270" s="7">
        <f t="shared" si="96"/>
        <v>2681</v>
      </c>
      <c r="O1270" s="2">
        <v>41</v>
      </c>
      <c r="P1270" s="8">
        <f t="shared" si="97"/>
        <v>2722</v>
      </c>
      <c r="Q1270" s="8">
        <f t="shared" si="98"/>
        <v>223</v>
      </c>
      <c r="R1270" s="2" t="s">
        <v>28</v>
      </c>
      <c r="S1270" s="9">
        <f t="shared" si="99"/>
        <v>54.44</v>
      </c>
    </row>
    <row r="1271" spans="1:19" x14ac:dyDescent="0.3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str">
        <f>IFERROR(VLOOKUP('Customer Info'!A1263,'Customer Info'!A1263:C1762,2,FALSE),"Not Found")</f>
        <v>Not Found</v>
      </c>
      <c r="H1271" s="6" t="str">
        <f>IFERROR(VLOOKUP('Customer Info'!A1263,'Customer Info'!A1263:C1762,3,FALSE),"Not Found")</f>
        <v>Not Found</v>
      </c>
      <c r="I1271" s="6" t="str">
        <f>IFERROR(VLOOKUP('Customer Info'!A1263,'Customer Info'!A1263:E1762,5,FALSE),"Not Found")</f>
        <v>Not Found</v>
      </c>
      <c r="J1271" s="2">
        <v>1305</v>
      </c>
      <c r="K1271" s="2">
        <v>1197</v>
      </c>
      <c r="L1271" s="2">
        <v>2</v>
      </c>
      <c r="M1271" s="7">
        <f t="shared" si="95"/>
        <v>2394</v>
      </c>
      <c r="N1271" s="7">
        <f t="shared" si="96"/>
        <v>2610</v>
      </c>
      <c r="O1271" s="2">
        <v>94</v>
      </c>
      <c r="P1271" s="8">
        <f t="shared" si="97"/>
        <v>2704</v>
      </c>
      <c r="Q1271" s="8">
        <f t="shared" si="98"/>
        <v>1413</v>
      </c>
      <c r="R1271" s="2" t="s">
        <v>28</v>
      </c>
      <c r="S1271" s="9">
        <f t="shared" si="99"/>
        <v>54.08</v>
      </c>
    </row>
    <row r="1272" spans="1:19" x14ac:dyDescent="0.3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str">
        <f>IFERROR(VLOOKUP('Customer Info'!A1264,'Customer Info'!A1264:C1763,2,FALSE),"Not Found")</f>
        <v>Not Found</v>
      </c>
      <c r="H1272" s="6" t="str">
        <f>IFERROR(VLOOKUP('Customer Info'!A1264,'Customer Info'!A1264:C1763,3,FALSE),"Not Found")</f>
        <v>Not Found</v>
      </c>
      <c r="I1272" s="6" t="str">
        <f>IFERROR(VLOOKUP('Customer Info'!A1264,'Customer Info'!A1264:E1763,5,FALSE),"Not Found")</f>
        <v>Not Found</v>
      </c>
      <c r="J1272" s="2">
        <v>8651</v>
      </c>
      <c r="K1272" s="2">
        <v>8081</v>
      </c>
      <c r="L1272" s="2">
        <v>3</v>
      </c>
      <c r="M1272" s="7">
        <f t="shared" si="95"/>
        <v>24243</v>
      </c>
      <c r="N1272" s="7">
        <f t="shared" si="96"/>
        <v>25953</v>
      </c>
      <c r="O1272" s="2">
        <v>28</v>
      </c>
      <c r="P1272" s="8">
        <f t="shared" si="97"/>
        <v>25981</v>
      </c>
      <c r="Q1272" s="8">
        <f t="shared" si="98"/>
        <v>17872</v>
      </c>
      <c r="R1272" s="2" t="s">
        <v>50</v>
      </c>
      <c r="S1272" s="9">
        <f t="shared" si="99"/>
        <v>1818.67</v>
      </c>
    </row>
    <row r="1273" spans="1:19" x14ac:dyDescent="0.3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str">
        <f>IFERROR(VLOOKUP('Customer Info'!A1265,'Customer Info'!A1265:C1764,2,FALSE),"Not Found")</f>
        <v>Not Found</v>
      </c>
      <c r="H1273" s="6" t="str">
        <f>IFERROR(VLOOKUP('Customer Info'!A1265,'Customer Info'!A1265:C1764,3,FALSE),"Not Found")</f>
        <v>Not Found</v>
      </c>
      <c r="I1273" s="6" t="str">
        <f>IFERROR(VLOOKUP('Customer Info'!A1265,'Customer Info'!A1265:E1764,5,FALSE),"Not Found")</f>
        <v>Not Found</v>
      </c>
      <c r="J1273" s="2">
        <v>1283</v>
      </c>
      <c r="K1273" s="2">
        <v>1187</v>
      </c>
      <c r="L1273" s="2">
        <v>3</v>
      </c>
      <c r="M1273" s="7">
        <f t="shared" si="95"/>
        <v>3561</v>
      </c>
      <c r="N1273" s="7">
        <f t="shared" si="96"/>
        <v>3849</v>
      </c>
      <c r="O1273" s="2">
        <v>80</v>
      </c>
      <c r="P1273" s="8">
        <f t="shared" si="97"/>
        <v>3929</v>
      </c>
      <c r="Q1273" s="8">
        <f t="shared" si="98"/>
        <v>2662</v>
      </c>
      <c r="R1273" s="2" t="s">
        <v>28</v>
      </c>
      <c r="S1273" s="9">
        <f t="shared" si="99"/>
        <v>78.58</v>
      </c>
    </row>
    <row r="1274" spans="1:19" x14ac:dyDescent="0.3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str">
        <f>IFERROR(VLOOKUP('Customer Info'!A1266,'Customer Info'!A1266:C1765,2,FALSE),"Not Found")</f>
        <v>Not Found</v>
      </c>
      <c r="H1274" s="6" t="str">
        <f>IFERROR(VLOOKUP('Customer Info'!A1266,'Customer Info'!A1266:C1765,3,FALSE),"Not Found")</f>
        <v>Not Found</v>
      </c>
      <c r="I1274" s="6" t="str">
        <f>IFERROR(VLOOKUP('Customer Info'!A1266,'Customer Info'!A1266:E1765,5,FALSE),"Not Found")</f>
        <v>Not Found</v>
      </c>
      <c r="J1274" s="2">
        <v>1552</v>
      </c>
      <c r="K1274" s="2">
        <v>1466</v>
      </c>
      <c r="L1274" s="2">
        <v>3</v>
      </c>
      <c r="M1274" s="7">
        <f t="shared" si="95"/>
        <v>4398</v>
      </c>
      <c r="N1274" s="7">
        <f t="shared" si="96"/>
        <v>4656</v>
      </c>
      <c r="O1274" s="2">
        <v>57</v>
      </c>
      <c r="P1274" s="8">
        <f t="shared" si="97"/>
        <v>4713</v>
      </c>
      <c r="Q1274" s="8">
        <f t="shared" si="98"/>
        <v>3190</v>
      </c>
      <c r="R1274" s="2" t="s">
        <v>50</v>
      </c>
      <c r="S1274" s="9">
        <f t="shared" si="99"/>
        <v>94.26</v>
      </c>
    </row>
    <row r="1275" spans="1:19" x14ac:dyDescent="0.3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str">
        <f>IFERROR(VLOOKUP('Customer Info'!A1267,'Customer Info'!A1267:C1766,2,FALSE),"Not Found")</f>
        <v>Not Found</v>
      </c>
      <c r="H1275" s="6" t="str">
        <f>IFERROR(VLOOKUP('Customer Info'!A1267,'Customer Info'!A1267:C1766,3,FALSE),"Not Found")</f>
        <v>Not Found</v>
      </c>
      <c r="I1275" s="6" t="str">
        <f>IFERROR(VLOOKUP('Customer Info'!A1267,'Customer Info'!A1267:E1766,5,FALSE),"Not Found")</f>
        <v>Not Found</v>
      </c>
      <c r="J1275" s="2">
        <v>1498</v>
      </c>
      <c r="K1275" s="2">
        <v>1335</v>
      </c>
      <c r="L1275" s="2">
        <v>4</v>
      </c>
      <c r="M1275" s="7">
        <f t="shared" si="95"/>
        <v>5340</v>
      </c>
      <c r="N1275" s="7">
        <f t="shared" si="96"/>
        <v>5992</v>
      </c>
      <c r="O1275" s="2">
        <v>85</v>
      </c>
      <c r="P1275" s="8">
        <f t="shared" si="97"/>
        <v>6077</v>
      </c>
      <c r="Q1275" s="8">
        <f t="shared" si="98"/>
        <v>4657</v>
      </c>
      <c r="R1275" s="2" t="s">
        <v>28</v>
      </c>
      <c r="S1275" s="9">
        <f t="shared" si="99"/>
        <v>303.85000000000002</v>
      </c>
    </row>
    <row r="1276" spans="1:19" x14ac:dyDescent="0.3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str">
        <f>IFERROR(VLOOKUP('Customer Info'!A1268,'Customer Info'!A1268:C1767,2,FALSE),"Not Found")</f>
        <v>Not Found</v>
      </c>
      <c r="H1276" s="6" t="str">
        <f>IFERROR(VLOOKUP('Customer Info'!A1268,'Customer Info'!A1268:C1767,3,FALSE),"Not Found")</f>
        <v>Not Found</v>
      </c>
      <c r="I1276" s="6" t="str">
        <f>IFERROR(VLOOKUP('Customer Info'!A1268,'Customer Info'!A1268:E1767,5,FALSE),"Not Found")</f>
        <v>Not Found</v>
      </c>
      <c r="J1276" s="2">
        <v>2759</v>
      </c>
      <c r="K1276" s="2">
        <v>2628</v>
      </c>
      <c r="L1276" s="2">
        <v>2</v>
      </c>
      <c r="M1276" s="7">
        <f t="shared" si="95"/>
        <v>5256</v>
      </c>
      <c r="N1276" s="7">
        <f t="shared" si="96"/>
        <v>5518</v>
      </c>
      <c r="O1276" s="2">
        <v>89</v>
      </c>
      <c r="P1276" s="8">
        <f t="shared" si="97"/>
        <v>5607</v>
      </c>
      <c r="Q1276" s="8">
        <f t="shared" si="98"/>
        <v>2890</v>
      </c>
      <c r="R1276" s="2" t="s">
        <v>50</v>
      </c>
      <c r="S1276" s="9">
        <f t="shared" si="99"/>
        <v>280.35000000000002</v>
      </c>
    </row>
    <row r="1277" spans="1:19" x14ac:dyDescent="0.3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str">
        <f>IFERROR(VLOOKUP('Customer Info'!A1269,'Customer Info'!A1269:C1768,2,FALSE),"Not Found")</f>
        <v>Not Found</v>
      </c>
      <c r="H1277" s="6" t="str">
        <f>IFERROR(VLOOKUP('Customer Info'!A1269,'Customer Info'!A1269:C1768,3,FALSE),"Not Found")</f>
        <v>Not Found</v>
      </c>
      <c r="I1277" s="6" t="str">
        <f>IFERROR(VLOOKUP('Customer Info'!A1269,'Customer Info'!A1269:E1768,5,FALSE),"Not Found")</f>
        <v>Not Found</v>
      </c>
      <c r="J1277" s="2">
        <v>141</v>
      </c>
      <c r="K1277" s="2">
        <v>131</v>
      </c>
      <c r="L1277" s="2">
        <v>1</v>
      </c>
      <c r="M1277" s="7">
        <f t="shared" si="95"/>
        <v>131</v>
      </c>
      <c r="N1277" s="7">
        <f t="shared" si="96"/>
        <v>141</v>
      </c>
      <c r="O1277" s="2">
        <v>30</v>
      </c>
      <c r="P1277" s="8">
        <f t="shared" si="97"/>
        <v>171</v>
      </c>
      <c r="Q1277" s="8">
        <f t="shared" si="98"/>
        <v>10</v>
      </c>
      <c r="R1277" s="2" t="s">
        <v>50</v>
      </c>
      <c r="S1277" s="9">
        <f t="shared" si="99"/>
        <v>3.42</v>
      </c>
    </row>
    <row r="1278" spans="1:19" x14ac:dyDescent="0.3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str">
        <f>IFERROR(VLOOKUP('Customer Info'!A1270,'Customer Info'!A1270:C1769,2,FALSE),"Not Found")</f>
        <v>Not Found</v>
      </c>
      <c r="H1278" s="6" t="str">
        <f>IFERROR(VLOOKUP('Customer Info'!A1270,'Customer Info'!A1270:C1769,3,FALSE),"Not Found")</f>
        <v>Not Found</v>
      </c>
      <c r="I1278" s="6" t="str">
        <f>IFERROR(VLOOKUP('Customer Info'!A1270,'Customer Info'!A1270:E1769,5,FALSE),"Not Found")</f>
        <v>Not Found</v>
      </c>
      <c r="J1278" s="2">
        <v>751</v>
      </c>
      <c r="K1278" s="2">
        <v>696</v>
      </c>
      <c r="L1278" s="2">
        <v>2</v>
      </c>
      <c r="M1278" s="7">
        <f t="shared" si="95"/>
        <v>1392</v>
      </c>
      <c r="N1278" s="7">
        <f t="shared" si="96"/>
        <v>1502</v>
      </c>
      <c r="O1278" s="2">
        <v>59</v>
      </c>
      <c r="P1278" s="8">
        <f t="shared" si="97"/>
        <v>1561</v>
      </c>
      <c r="Q1278" s="8">
        <f t="shared" si="98"/>
        <v>806</v>
      </c>
      <c r="R1278" s="2" t="s">
        <v>50</v>
      </c>
      <c r="S1278" s="9">
        <f t="shared" si="99"/>
        <v>31.220000000000002</v>
      </c>
    </row>
    <row r="1279" spans="1:19" x14ac:dyDescent="0.3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str">
        <f>IFERROR(VLOOKUP('Customer Info'!A1271,'Customer Info'!A1271:C1770,2,FALSE),"Not Found")</f>
        <v>Not Found</v>
      </c>
      <c r="H1279" s="6" t="str">
        <f>IFERROR(VLOOKUP('Customer Info'!A1271,'Customer Info'!A1271:C1770,3,FALSE),"Not Found")</f>
        <v>Not Found</v>
      </c>
      <c r="I1279" s="6" t="str">
        <f>IFERROR(VLOOKUP('Customer Info'!A1271,'Customer Info'!A1271:E1770,5,FALSE),"Not Found")</f>
        <v>Not Found</v>
      </c>
      <c r="J1279" s="2">
        <v>8379</v>
      </c>
      <c r="K1279" s="2">
        <v>8061</v>
      </c>
      <c r="L1279" s="2">
        <v>5</v>
      </c>
      <c r="M1279" s="7">
        <f t="shared" si="95"/>
        <v>40305</v>
      </c>
      <c r="N1279" s="7">
        <f t="shared" si="96"/>
        <v>41895</v>
      </c>
      <c r="O1279" s="2">
        <v>62</v>
      </c>
      <c r="P1279" s="8">
        <f t="shared" si="97"/>
        <v>41957</v>
      </c>
      <c r="Q1279" s="8">
        <f t="shared" si="98"/>
        <v>33834</v>
      </c>
      <c r="R1279" s="2" t="s">
        <v>28</v>
      </c>
      <c r="S1279" s="9">
        <f t="shared" si="99"/>
        <v>2936.9900000000002</v>
      </c>
    </row>
    <row r="1280" spans="1:19" x14ac:dyDescent="0.3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str">
        <f>IFERROR(VLOOKUP('Customer Info'!A1272,'Customer Info'!A1272:C1771,2,FALSE),"Not Found")</f>
        <v>Not Found</v>
      </c>
      <c r="H1280" s="6" t="str">
        <f>IFERROR(VLOOKUP('Customer Info'!A1272,'Customer Info'!A1272:C1771,3,FALSE),"Not Found")</f>
        <v>Not Found</v>
      </c>
      <c r="I1280" s="6" t="str">
        <f>IFERROR(VLOOKUP('Customer Info'!A1272,'Customer Info'!A1272:E1771,5,FALSE),"Not Found")</f>
        <v>Not Found</v>
      </c>
      <c r="J1280" s="2">
        <v>142</v>
      </c>
      <c r="K1280" s="2">
        <v>134</v>
      </c>
      <c r="L1280" s="2">
        <v>2</v>
      </c>
      <c r="M1280" s="7">
        <f t="shared" si="95"/>
        <v>268</v>
      </c>
      <c r="N1280" s="7">
        <f t="shared" si="96"/>
        <v>284</v>
      </c>
      <c r="O1280" s="2">
        <v>30</v>
      </c>
      <c r="P1280" s="8">
        <f t="shared" si="97"/>
        <v>314</v>
      </c>
      <c r="Q1280" s="8">
        <f t="shared" si="98"/>
        <v>150</v>
      </c>
      <c r="R1280" s="2" t="s">
        <v>56</v>
      </c>
      <c r="S1280" s="9">
        <f t="shared" si="99"/>
        <v>6.28</v>
      </c>
    </row>
    <row r="1281" spans="1:19" x14ac:dyDescent="0.3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str">
        <f>IFERROR(VLOOKUP('Customer Info'!A1273,'Customer Info'!A1273:C1772,2,FALSE),"Not Found")</f>
        <v>Not Found</v>
      </c>
      <c r="H1281" s="6" t="str">
        <f>IFERROR(VLOOKUP('Customer Info'!A1273,'Customer Info'!A1273:C1772,3,FALSE),"Not Found")</f>
        <v>Not Found</v>
      </c>
      <c r="I1281" s="6" t="str">
        <f>IFERROR(VLOOKUP('Customer Info'!A1273,'Customer Info'!A1273:E1772,5,FALSE),"Not Found")</f>
        <v>Not Found</v>
      </c>
      <c r="J1281" s="2">
        <v>167</v>
      </c>
      <c r="K1281" s="2">
        <v>155</v>
      </c>
      <c r="L1281" s="2">
        <v>6</v>
      </c>
      <c r="M1281" s="7">
        <f t="shared" si="95"/>
        <v>930</v>
      </c>
      <c r="N1281" s="7">
        <f t="shared" si="96"/>
        <v>1002</v>
      </c>
      <c r="O1281" s="2">
        <v>30</v>
      </c>
      <c r="P1281" s="8">
        <f t="shared" si="97"/>
        <v>1032</v>
      </c>
      <c r="Q1281" s="8">
        <f t="shared" si="98"/>
        <v>847</v>
      </c>
      <c r="R1281" s="2" t="s">
        <v>50</v>
      </c>
      <c r="S1281" s="9">
        <f t="shared" si="99"/>
        <v>20.64</v>
      </c>
    </row>
    <row r="1282" spans="1:19" x14ac:dyDescent="0.3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str">
        <f>IFERROR(VLOOKUP('Customer Info'!A1274,'Customer Info'!A1274:C1773,2,FALSE),"Not Found")</f>
        <v>Not Found</v>
      </c>
      <c r="H1282" s="6" t="str">
        <f>IFERROR(VLOOKUP('Customer Info'!A1274,'Customer Info'!A1274:C1773,3,FALSE),"Not Found")</f>
        <v>Not Found</v>
      </c>
      <c r="I1282" s="6" t="str">
        <f>IFERROR(VLOOKUP('Customer Info'!A1274,'Customer Info'!A1274:E1773,5,FALSE),"Not Found")</f>
        <v>Not Found</v>
      </c>
      <c r="J1282" s="2">
        <v>8967</v>
      </c>
      <c r="K1282" s="2">
        <v>8151</v>
      </c>
      <c r="L1282" s="2">
        <v>12</v>
      </c>
      <c r="M1282" s="7">
        <f t="shared" si="95"/>
        <v>97812</v>
      </c>
      <c r="N1282" s="7">
        <f t="shared" si="96"/>
        <v>107604</v>
      </c>
      <c r="O1282" s="2">
        <v>90</v>
      </c>
      <c r="P1282" s="8">
        <f t="shared" si="97"/>
        <v>107694</v>
      </c>
      <c r="Q1282" s="8">
        <f t="shared" si="98"/>
        <v>99453</v>
      </c>
      <c r="R1282" s="2" t="s">
        <v>28</v>
      </c>
      <c r="S1282" s="9">
        <f t="shared" si="99"/>
        <v>12923.279999999999</v>
      </c>
    </row>
    <row r="1283" spans="1:19" x14ac:dyDescent="0.3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str">
        <f>IFERROR(VLOOKUP('Customer Info'!A1275,'Customer Info'!A1275:C1774,2,FALSE),"Not Found")</f>
        <v>Not Found</v>
      </c>
      <c r="H1283" s="6" t="str">
        <f>IFERROR(VLOOKUP('Customer Info'!A1275,'Customer Info'!A1275:C1774,3,FALSE),"Not Found")</f>
        <v>Not Found</v>
      </c>
      <c r="I1283" s="6" t="str">
        <f>IFERROR(VLOOKUP('Customer Info'!A1275,'Customer Info'!A1275:E1774,5,FALSE),"Not Found")</f>
        <v>Not Found</v>
      </c>
      <c r="J1283" s="2">
        <v>3289</v>
      </c>
      <c r="K1283" s="2">
        <v>3105</v>
      </c>
      <c r="L1283" s="2">
        <v>5</v>
      </c>
      <c r="M1283" s="7">
        <f t="shared" si="95"/>
        <v>15525</v>
      </c>
      <c r="N1283" s="7">
        <f t="shared" si="96"/>
        <v>16445</v>
      </c>
      <c r="O1283" s="2">
        <v>46</v>
      </c>
      <c r="P1283" s="8">
        <f t="shared" si="97"/>
        <v>16491</v>
      </c>
      <c r="Q1283" s="8">
        <f t="shared" si="98"/>
        <v>13340</v>
      </c>
      <c r="R1283" s="2" t="s">
        <v>28</v>
      </c>
      <c r="S1283" s="9">
        <f t="shared" si="99"/>
        <v>824.55000000000007</v>
      </c>
    </row>
    <row r="1284" spans="1:19" x14ac:dyDescent="0.3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str">
        <f>IFERROR(VLOOKUP('Customer Info'!A1276,'Customer Info'!A1276:C1775,2,FALSE),"Not Found")</f>
        <v>Not Found</v>
      </c>
      <c r="H1284" s="6" t="str">
        <f>IFERROR(VLOOKUP('Customer Info'!A1276,'Customer Info'!A1276:C1775,3,FALSE),"Not Found")</f>
        <v>Not Found</v>
      </c>
      <c r="I1284" s="6" t="str">
        <f>IFERROR(VLOOKUP('Customer Info'!A1276,'Customer Info'!A1276:E1775,5,FALSE),"Not Found")</f>
        <v>Not Found</v>
      </c>
      <c r="J1284" s="2">
        <v>1574</v>
      </c>
      <c r="K1284" s="2">
        <v>1375</v>
      </c>
      <c r="L1284" s="2">
        <v>4</v>
      </c>
      <c r="M1284" s="7">
        <f t="shared" si="95"/>
        <v>5500</v>
      </c>
      <c r="N1284" s="7">
        <f t="shared" si="96"/>
        <v>6296</v>
      </c>
      <c r="O1284" s="2">
        <v>77</v>
      </c>
      <c r="P1284" s="8">
        <f t="shared" si="97"/>
        <v>6373</v>
      </c>
      <c r="Q1284" s="8">
        <f t="shared" si="98"/>
        <v>4921</v>
      </c>
      <c r="R1284" s="2" t="s">
        <v>28</v>
      </c>
      <c r="S1284" s="9">
        <f t="shared" si="99"/>
        <v>318.65000000000003</v>
      </c>
    </row>
    <row r="1285" spans="1:19" x14ac:dyDescent="0.3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str">
        <f>IFERROR(VLOOKUP('Customer Info'!A1277,'Customer Info'!A1277:C1776,2,FALSE),"Not Found")</f>
        <v>Not Found</v>
      </c>
      <c r="H1285" s="6" t="str">
        <f>IFERROR(VLOOKUP('Customer Info'!A1277,'Customer Info'!A1277:C1776,3,FALSE),"Not Found")</f>
        <v>Not Found</v>
      </c>
      <c r="I1285" s="6" t="str">
        <f>IFERROR(VLOOKUP('Customer Info'!A1277,'Customer Info'!A1277:E1776,5,FALSE),"Not Found")</f>
        <v>Not Found</v>
      </c>
      <c r="J1285" s="2">
        <v>2151</v>
      </c>
      <c r="K1285" s="2">
        <v>2009</v>
      </c>
      <c r="L1285" s="2">
        <v>1</v>
      </c>
      <c r="M1285" s="7">
        <f t="shared" si="95"/>
        <v>2009</v>
      </c>
      <c r="N1285" s="7">
        <f t="shared" si="96"/>
        <v>2151</v>
      </c>
      <c r="O1285" s="2">
        <v>72</v>
      </c>
      <c r="P1285" s="8">
        <f t="shared" si="97"/>
        <v>2223</v>
      </c>
      <c r="Q1285" s="8">
        <f t="shared" si="98"/>
        <v>142</v>
      </c>
      <c r="R1285" s="2" t="s">
        <v>50</v>
      </c>
      <c r="S1285" s="9">
        <f t="shared" si="99"/>
        <v>44.46</v>
      </c>
    </row>
    <row r="1286" spans="1:19" x14ac:dyDescent="0.3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str">
        <f>IFERROR(VLOOKUP('Customer Info'!A1278,'Customer Info'!A1278:C1777,2,FALSE),"Not Found")</f>
        <v>Not Found</v>
      </c>
      <c r="H1286" s="6" t="str">
        <f>IFERROR(VLOOKUP('Customer Info'!A1278,'Customer Info'!A1278:C1777,3,FALSE),"Not Found")</f>
        <v>Not Found</v>
      </c>
      <c r="I1286" s="6" t="str">
        <f>IFERROR(VLOOKUP('Customer Info'!A1278,'Customer Info'!A1278:E1777,5,FALSE),"Not Found")</f>
        <v>Not Found</v>
      </c>
      <c r="J1286" s="2">
        <v>526</v>
      </c>
      <c r="K1286" s="2">
        <v>487</v>
      </c>
      <c r="L1286" s="2">
        <v>6</v>
      </c>
      <c r="M1286" s="7">
        <f t="shared" si="95"/>
        <v>2922</v>
      </c>
      <c r="N1286" s="7">
        <f t="shared" si="96"/>
        <v>3156</v>
      </c>
      <c r="O1286" s="2">
        <v>98</v>
      </c>
      <c r="P1286" s="8">
        <f t="shared" si="97"/>
        <v>3254</v>
      </c>
      <c r="Q1286" s="8">
        <f t="shared" si="98"/>
        <v>2669</v>
      </c>
      <c r="R1286" s="2" t="s">
        <v>28</v>
      </c>
      <c r="S1286" s="9">
        <f t="shared" si="99"/>
        <v>65.08</v>
      </c>
    </row>
    <row r="1287" spans="1:19" x14ac:dyDescent="0.3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str">
        <f>IFERROR(VLOOKUP('Customer Info'!A1279,'Customer Info'!A1279:C1778,2,FALSE),"Not Found")</f>
        <v>Not Found</v>
      </c>
      <c r="H1287" s="6" t="str">
        <f>IFERROR(VLOOKUP('Customer Info'!A1279,'Customer Info'!A1279:C1778,3,FALSE),"Not Found")</f>
        <v>Not Found</v>
      </c>
      <c r="I1287" s="6" t="str">
        <f>IFERROR(VLOOKUP('Customer Info'!A1279,'Customer Info'!A1279:E1778,5,FALSE),"Not Found")</f>
        <v>Not Found</v>
      </c>
      <c r="J1287" s="2">
        <v>3321</v>
      </c>
      <c r="K1287" s="2">
        <v>2989</v>
      </c>
      <c r="L1287" s="2">
        <v>4</v>
      </c>
      <c r="M1287" s="7">
        <f t="shared" si="95"/>
        <v>11956</v>
      </c>
      <c r="N1287" s="7">
        <f t="shared" si="96"/>
        <v>13284</v>
      </c>
      <c r="O1287" s="2">
        <v>69</v>
      </c>
      <c r="P1287" s="8">
        <f t="shared" si="97"/>
        <v>13353</v>
      </c>
      <c r="Q1287" s="8">
        <f t="shared" si="98"/>
        <v>10295</v>
      </c>
      <c r="R1287" s="2" t="s">
        <v>56</v>
      </c>
      <c r="S1287" s="9">
        <f t="shared" si="99"/>
        <v>667.65000000000009</v>
      </c>
    </row>
    <row r="1288" spans="1:19" x14ac:dyDescent="0.3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str">
        <f>IFERROR(VLOOKUP('Customer Info'!A1280,'Customer Info'!A1280:C1779,2,FALSE),"Not Found")</f>
        <v>Not Found</v>
      </c>
      <c r="H1288" s="6" t="str">
        <f>IFERROR(VLOOKUP('Customer Info'!A1280,'Customer Info'!A1280:C1779,3,FALSE),"Not Found")</f>
        <v>Not Found</v>
      </c>
      <c r="I1288" s="6" t="str">
        <f>IFERROR(VLOOKUP('Customer Info'!A1280,'Customer Info'!A1280:E1779,5,FALSE),"Not Found")</f>
        <v>Not Found</v>
      </c>
      <c r="J1288" s="2">
        <v>1372</v>
      </c>
      <c r="K1288" s="2">
        <v>1308</v>
      </c>
      <c r="L1288" s="2">
        <v>5</v>
      </c>
      <c r="M1288" s="7">
        <f t="shared" si="95"/>
        <v>6540</v>
      </c>
      <c r="N1288" s="7">
        <f t="shared" si="96"/>
        <v>6860</v>
      </c>
      <c r="O1288" s="2">
        <v>63</v>
      </c>
      <c r="P1288" s="8">
        <f t="shared" si="97"/>
        <v>6923</v>
      </c>
      <c r="Q1288" s="8">
        <f t="shared" si="98"/>
        <v>5552</v>
      </c>
      <c r="R1288" s="2" t="s">
        <v>28</v>
      </c>
      <c r="S1288" s="9">
        <f t="shared" si="99"/>
        <v>346.15000000000003</v>
      </c>
    </row>
    <row r="1289" spans="1:19" x14ac:dyDescent="0.3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str">
        <f>IFERROR(VLOOKUP('Customer Info'!A1281,'Customer Info'!A1281:C1780,2,FALSE),"Not Found")</f>
        <v>Not Found</v>
      </c>
      <c r="H1289" s="6" t="str">
        <f>IFERROR(VLOOKUP('Customer Info'!A1281,'Customer Info'!A1281:C1780,3,FALSE),"Not Found")</f>
        <v>Not Found</v>
      </c>
      <c r="I1289" s="6" t="str">
        <f>IFERROR(VLOOKUP('Customer Info'!A1281,'Customer Info'!A1281:E1780,5,FALSE),"Not Found")</f>
        <v>Not Found</v>
      </c>
      <c r="J1289" s="2">
        <v>887</v>
      </c>
      <c r="K1289" s="2">
        <v>814</v>
      </c>
      <c r="L1289" s="2">
        <v>4</v>
      </c>
      <c r="M1289" s="7">
        <f t="shared" si="95"/>
        <v>3256</v>
      </c>
      <c r="N1289" s="7">
        <f t="shared" si="96"/>
        <v>3548</v>
      </c>
      <c r="O1289" s="2">
        <v>68</v>
      </c>
      <c r="P1289" s="8">
        <f t="shared" si="97"/>
        <v>3616</v>
      </c>
      <c r="Q1289" s="8">
        <f t="shared" si="98"/>
        <v>2734</v>
      </c>
      <c r="R1289" s="2" t="s">
        <v>28</v>
      </c>
      <c r="S1289" s="9">
        <f t="shared" si="99"/>
        <v>72.320000000000007</v>
      </c>
    </row>
    <row r="1290" spans="1:19" x14ac:dyDescent="0.3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str">
        <f>IFERROR(VLOOKUP('Customer Info'!A1282,'Customer Info'!A1282:C1781,2,FALSE),"Not Found")</f>
        <v>Not Found</v>
      </c>
      <c r="H1290" s="6" t="str">
        <f>IFERROR(VLOOKUP('Customer Info'!A1282,'Customer Info'!A1282:C1781,3,FALSE),"Not Found")</f>
        <v>Not Found</v>
      </c>
      <c r="I1290" s="6" t="str">
        <f>IFERROR(VLOOKUP('Customer Info'!A1282,'Customer Info'!A1282:E1781,5,FALSE),"Not Found")</f>
        <v>Not Found</v>
      </c>
      <c r="J1290" s="2">
        <v>516</v>
      </c>
      <c r="K1290" s="2">
        <v>473</v>
      </c>
      <c r="L1290" s="2">
        <v>6</v>
      </c>
      <c r="M1290" s="7">
        <f t="shared" si="95"/>
        <v>2838</v>
      </c>
      <c r="N1290" s="7">
        <f t="shared" si="96"/>
        <v>3096</v>
      </c>
      <c r="O1290" s="2">
        <v>71</v>
      </c>
      <c r="P1290" s="8">
        <f t="shared" si="97"/>
        <v>3167</v>
      </c>
      <c r="Q1290" s="8">
        <f t="shared" si="98"/>
        <v>2623</v>
      </c>
      <c r="R1290" s="2" t="s">
        <v>28</v>
      </c>
      <c r="S1290" s="9">
        <f t="shared" si="99"/>
        <v>63.34</v>
      </c>
    </row>
    <row r="1291" spans="1:19" x14ac:dyDescent="0.3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str">
        <f>IFERROR(VLOOKUP('Customer Info'!A1283,'Customer Info'!A1283:C1782,2,FALSE),"Not Found")</f>
        <v>Not Found</v>
      </c>
      <c r="H1291" s="6" t="str">
        <f>IFERROR(VLOOKUP('Customer Info'!A1283,'Customer Info'!A1283:C1782,3,FALSE),"Not Found")</f>
        <v>Not Found</v>
      </c>
      <c r="I1291" s="6" t="str">
        <f>IFERROR(VLOOKUP('Customer Info'!A1283,'Customer Info'!A1283:E1782,5,FALSE),"Not Found")</f>
        <v>Not Found</v>
      </c>
      <c r="J1291" s="2">
        <v>2540</v>
      </c>
      <c r="K1291" s="2">
        <v>2397</v>
      </c>
      <c r="L1291" s="2">
        <v>2</v>
      </c>
      <c r="M1291" s="7">
        <f t="shared" ref="M1291:M1354" si="100">$K1291*$L1291</f>
        <v>4794</v>
      </c>
      <c r="N1291" s="7">
        <f t="shared" ref="N1291:N1354" si="101">$J1291*$L1291</f>
        <v>5080</v>
      </c>
      <c r="O1291" s="2">
        <v>38</v>
      </c>
      <c r="P1291" s="8">
        <f t="shared" ref="P1291:P1354" si="102">$N1291+$O1291</f>
        <v>5118</v>
      </c>
      <c r="Q1291" s="8">
        <f t="shared" ref="Q1291:Q1354" si="103">$N1291-$K1291</f>
        <v>2683</v>
      </c>
      <c r="R1291" s="2" t="s">
        <v>28</v>
      </c>
      <c r="S1291" s="9">
        <f t="shared" ref="S1291:S1354" si="104" xml:space="preserve"> P1291 * VLOOKUP(P1291, $T$2:$U$6, 2, TRUE)</f>
        <v>255.9</v>
      </c>
    </row>
    <row r="1292" spans="1:19" x14ac:dyDescent="0.3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str">
        <f>IFERROR(VLOOKUP('Customer Info'!A1284,'Customer Info'!A1284:C1783,2,FALSE),"Not Found")</f>
        <v>Not Found</v>
      </c>
      <c r="H1292" s="6" t="str">
        <f>IFERROR(VLOOKUP('Customer Info'!A1284,'Customer Info'!A1284:C1783,3,FALSE),"Not Found")</f>
        <v>Not Found</v>
      </c>
      <c r="I1292" s="6" t="str">
        <f>IFERROR(VLOOKUP('Customer Info'!A1284,'Customer Info'!A1284:E1783,5,FALSE),"Not Found")</f>
        <v>Not Found</v>
      </c>
      <c r="J1292" s="2">
        <v>1222</v>
      </c>
      <c r="K1292" s="2">
        <v>1187</v>
      </c>
      <c r="L1292" s="2">
        <v>6</v>
      </c>
      <c r="M1292" s="7">
        <f t="shared" si="100"/>
        <v>7122</v>
      </c>
      <c r="N1292" s="7">
        <f t="shared" si="101"/>
        <v>7332</v>
      </c>
      <c r="O1292" s="2">
        <v>68</v>
      </c>
      <c r="P1292" s="8">
        <f t="shared" si="102"/>
        <v>7400</v>
      </c>
      <c r="Q1292" s="8">
        <f t="shared" si="103"/>
        <v>6145</v>
      </c>
      <c r="R1292" s="2" t="s">
        <v>28</v>
      </c>
      <c r="S1292" s="9">
        <f t="shared" si="104"/>
        <v>370</v>
      </c>
    </row>
    <row r="1293" spans="1:19" x14ac:dyDescent="0.3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str">
        <f>IFERROR(VLOOKUP('Customer Info'!A1285,'Customer Info'!A1285:C1784,2,FALSE),"Not Found")</f>
        <v>Not Found</v>
      </c>
      <c r="H1293" s="6" t="str">
        <f>IFERROR(VLOOKUP('Customer Info'!A1285,'Customer Info'!A1285:C1784,3,FALSE),"Not Found")</f>
        <v>Not Found</v>
      </c>
      <c r="I1293" s="6" t="str">
        <f>IFERROR(VLOOKUP('Customer Info'!A1285,'Customer Info'!A1285:E1784,5,FALSE),"Not Found")</f>
        <v>Not Found</v>
      </c>
      <c r="J1293" s="2">
        <v>8202</v>
      </c>
      <c r="K1293" s="2">
        <v>7594</v>
      </c>
      <c r="L1293" s="2">
        <v>6</v>
      </c>
      <c r="M1293" s="7">
        <f t="shared" si="100"/>
        <v>45564</v>
      </c>
      <c r="N1293" s="7">
        <f t="shared" si="101"/>
        <v>49212</v>
      </c>
      <c r="O1293" s="2">
        <v>84</v>
      </c>
      <c r="P1293" s="8">
        <f t="shared" si="102"/>
        <v>49296</v>
      </c>
      <c r="Q1293" s="8">
        <f t="shared" si="103"/>
        <v>41618</v>
      </c>
      <c r="R1293" s="2" t="s">
        <v>26</v>
      </c>
      <c r="S1293" s="9">
        <f t="shared" si="104"/>
        <v>3450.7200000000003</v>
      </c>
    </row>
    <row r="1294" spans="1:19" x14ac:dyDescent="0.3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str">
        <f>IFERROR(VLOOKUP('Customer Info'!A1286,'Customer Info'!A1286:C1785,2,FALSE),"Not Found")</f>
        <v>Not Found</v>
      </c>
      <c r="H1294" s="6" t="str">
        <f>IFERROR(VLOOKUP('Customer Info'!A1286,'Customer Info'!A1286:C1785,3,FALSE),"Not Found")</f>
        <v>Not Found</v>
      </c>
      <c r="I1294" s="6" t="str">
        <f>IFERROR(VLOOKUP('Customer Info'!A1286,'Customer Info'!A1286:E1785,5,FALSE),"Not Found")</f>
        <v>Not Found</v>
      </c>
      <c r="J1294" s="2">
        <v>5941</v>
      </c>
      <c r="K1294" s="2">
        <v>5827</v>
      </c>
      <c r="L1294" s="2">
        <v>1</v>
      </c>
      <c r="M1294" s="7">
        <f t="shared" si="100"/>
        <v>5827</v>
      </c>
      <c r="N1294" s="7">
        <f t="shared" si="101"/>
        <v>5941</v>
      </c>
      <c r="O1294" s="2">
        <v>40</v>
      </c>
      <c r="P1294" s="8">
        <f t="shared" si="102"/>
        <v>5981</v>
      </c>
      <c r="Q1294" s="8">
        <f t="shared" si="103"/>
        <v>114</v>
      </c>
      <c r="R1294" s="2" t="s">
        <v>28</v>
      </c>
      <c r="S1294" s="9">
        <f t="shared" si="104"/>
        <v>299.05</v>
      </c>
    </row>
    <row r="1295" spans="1:19" x14ac:dyDescent="0.3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str">
        <f>IFERROR(VLOOKUP('Customer Info'!A1287,'Customer Info'!A1287:C1786,2,FALSE),"Not Found")</f>
        <v>Not Found</v>
      </c>
      <c r="H1295" s="6" t="str">
        <f>IFERROR(VLOOKUP('Customer Info'!A1287,'Customer Info'!A1287:C1786,3,FALSE),"Not Found")</f>
        <v>Not Found</v>
      </c>
      <c r="I1295" s="6" t="str">
        <f>IFERROR(VLOOKUP('Customer Info'!A1287,'Customer Info'!A1287:E1786,5,FALSE),"Not Found")</f>
        <v>Not Found</v>
      </c>
      <c r="J1295" s="2">
        <v>214</v>
      </c>
      <c r="K1295" s="2">
        <v>199</v>
      </c>
      <c r="L1295" s="2">
        <v>2</v>
      </c>
      <c r="M1295" s="7">
        <f t="shared" si="100"/>
        <v>398</v>
      </c>
      <c r="N1295" s="7">
        <f t="shared" si="101"/>
        <v>428</v>
      </c>
      <c r="O1295" s="2">
        <v>45</v>
      </c>
      <c r="P1295" s="8">
        <f t="shared" si="102"/>
        <v>473</v>
      </c>
      <c r="Q1295" s="8">
        <f t="shared" si="103"/>
        <v>229</v>
      </c>
      <c r="R1295" s="2" t="s">
        <v>28</v>
      </c>
      <c r="S1295" s="9">
        <f t="shared" si="104"/>
        <v>9.4600000000000009</v>
      </c>
    </row>
    <row r="1296" spans="1:19" x14ac:dyDescent="0.3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str">
        <f>IFERROR(VLOOKUP('Customer Info'!A1288,'Customer Info'!A1288:C1787,2,FALSE),"Not Found")</f>
        <v>Not Found</v>
      </c>
      <c r="H1296" s="6" t="str">
        <f>IFERROR(VLOOKUP('Customer Info'!A1288,'Customer Info'!A1288:C1787,3,FALSE),"Not Found")</f>
        <v>Not Found</v>
      </c>
      <c r="I1296" s="6" t="str">
        <f>IFERROR(VLOOKUP('Customer Info'!A1288,'Customer Info'!A1288:E1787,5,FALSE),"Not Found")</f>
        <v>Not Found</v>
      </c>
      <c r="J1296" s="2">
        <v>8379</v>
      </c>
      <c r="K1296" s="2">
        <v>8061</v>
      </c>
      <c r="L1296" s="2">
        <v>3</v>
      </c>
      <c r="M1296" s="7">
        <f t="shared" si="100"/>
        <v>24183</v>
      </c>
      <c r="N1296" s="7">
        <f t="shared" si="101"/>
        <v>25137</v>
      </c>
      <c r="O1296" s="2">
        <v>88</v>
      </c>
      <c r="P1296" s="8">
        <f t="shared" si="102"/>
        <v>25225</v>
      </c>
      <c r="Q1296" s="8">
        <f t="shared" si="103"/>
        <v>17076</v>
      </c>
      <c r="R1296" s="2" t="s">
        <v>26</v>
      </c>
      <c r="S1296" s="9">
        <f t="shared" si="104"/>
        <v>1765.7500000000002</v>
      </c>
    </row>
    <row r="1297" spans="1:19" x14ac:dyDescent="0.3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str">
        <f>IFERROR(VLOOKUP('Customer Info'!A1289,'Customer Info'!A1289:C1788,2,FALSE),"Not Found")</f>
        <v>Not Found</v>
      </c>
      <c r="H1297" s="6" t="str">
        <f>IFERROR(VLOOKUP('Customer Info'!A1289,'Customer Info'!A1289:C1788,3,FALSE),"Not Found")</f>
        <v>Not Found</v>
      </c>
      <c r="I1297" s="6" t="str">
        <f>IFERROR(VLOOKUP('Customer Info'!A1289,'Customer Info'!A1289:E1788,5,FALSE),"Not Found")</f>
        <v>Not Found</v>
      </c>
      <c r="J1297" s="2">
        <v>8773</v>
      </c>
      <c r="K1297" s="2">
        <v>8115</v>
      </c>
      <c r="L1297" s="2">
        <v>3</v>
      </c>
      <c r="M1297" s="7">
        <f t="shared" si="100"/>
        <v>24345</v>
      </c>
      <c r="N1297" s="7">
        <f t="shared" si="101"/>
        <v>26319</v>
      </c>
      <c r="O1297" s="2">
        <v>64</v>
      </c>
      <c r="P1297" s="8">
        <f t="shared" si="102"/>
        <v>26383</v>
      </c>
      <c r="Q1297" s="8">
        <f t="shared" si="103"/>
        <v>18204</v>
      </c>
      <c r="R1297" s="2" t="s">
        <v>50</v>
      </c>
      <c r="S1297" s="9">
        <f t="shared" si="104"/>
        <v>1846.8100000000002</v>
      </c>
    </row>
    <row r="1298" spans="1:19" x14ac:dyDescent="0.3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str">
        <f>IFERROR(VLOOKUP('Customer Info'!A1290,'Customer Info'!A1290:C1789,2,FALSE),"Not Found")</f>
        <v>Not Found</v>
      </c>
      <c r="H1298" s="6" t="str">
        <f>IFERROR(VLOOKUP('Customer Info'!A1290,'Customer Info'!A1290:C1789,3,FALSE),"Not Found")</f>
        <v>Not Found</v>
      </c>
      <c r="I1298" s="6" t="str">
        <f>IFERROR(VLOOKUP('Customer Info'!A1290,'Customer Info'!A1290:E1789,5,FALSE),"Not Found")</f>
        <v>Not Found</v>
      </c>
      <c r="J1298" s="2">
        <v>4846</v>
      </c>
      <c r="K1298" s="2">
        <v>4492</v>
      </c>
      <c r="L1298" s="2">
        <v>1</v>
      </c>
      <c r="M1298" s="7">
        <f t="shared" si="100"/>
        <v>4492</v>
      </c>
      <c r="N1298" s="7">
        <f t="shared" si="101"/>
        <v>4846</v>
      </c>
      <c r="O1298" s="2">
        <v>30</v>
      </c>
      <c r="P1298" s="8">
        <f t="shared" si="102"/>
        <v>4876</v>
      </c>
      <c r="Q1298" s="8">
        <f t="shared" si="103"/>
        <v>354</v>
      </c>
      <c r="R1298" s="2" t="s">
        <v>28</v>
      </c>
      <c r="S1298" s="9">
        <f t="shared" si="104"/>
        <v>97.52</v>
      </c>
    </row>
    <row r="1299" spans="1:19" x14ac:dyDescent="0.3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str">
        <f>IFERROR(VLOOKUP('Customer Info'!A1291,'Customer Info'!A1291:C1790,2,FALSE),"Not Found")</f>
        <v>Not Found</v>
      </c>
      <c r="H1299" s="6" t="str">
        <f>IFERROR(VLOOKUP('Customer Info'!A1291,'Customer Info'!A1291:C1790,3,FALSE),"Not Found")</f>
        <v>Not Found</v>
      </c>
      <c r="I1299" s="6" t="str">
        <f>IFERROR(VLOOKUP('Customer Info'!A1291,'Customer Info'!A1291:E1790,5,FALSE),"Not Found")</f>
        <v>Not Found</v>
      </c>
      <c r="J1299" s="2">
        <v>743</v>
      </c>
      <c r="K1299" s="2">
        <v>694</v>
      </c>
      <c r="L1299" s="2">
        <v>2</v>
      </c>
      <c r="M1299" s="7">
        <f t="shared" si="100"/>
        <v>1388</v>
      </c>
      <c r="N1299" s="7">
        <f t="shared" si="101"/>
        <v>1486</v>
      </c>
      <c r="O1299" s="2">
        <v>95</v>
      </c>
      <c r="P1299" s="8">
        <f t="shared" si="102"/>
        <v>1581</v>
      </c>
      <c r="Q1299" s="8">
        <f t="shared" si="103"/>
        <v>792</v>
      </c>
      <c r="R1299" s="2" t="s">
        <v>28</v>
      </c>
      <c r="S1299" s="9">
        <f t="shared" si="104"/>
        <v>31.62</v>
      </c>
    </row>
    <row r="1300" spans="1:19" x14ac:dyDescent="0.3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str">
        <f>IFERROR(VLOOKUP('Customer Info'!A1292,'Customer Info'!A1292:C1791,2,FALSE),"Not Found")</f>
        <v>Not Found</v>
      </c>
      <c r="H1300" s="6" t="str">
        <f>IFERROR(VLOOKUP('Customer Info'!A1292,'Customer Info'!A1292:C1791,3,FALSE),"Not Found")</f>
        <v>Not Found</v>
      </c>
      <c r="I1300" s="6" t="str">
        <f>IFERROR(VLOOKUP('Customer Info'!A1292,'Customer Info'!A1292:E1791,5,FALSE),"Not Found")</f>
        <v>Not Found</v>
      </c>
      <c r="J1300" s="2">
        <v>2342</v>
      </c>
      <c r="K1300" s="2">
        <v>2210</v>
      </c>
      <c r="L1300" s="2">
        <v>3</v>
      </c>
      <c r="M1300" s="7">
        <f t="shared" si="100"/>
        <v>6630</v>
      </c>
      <c r="N1300" s="7">
        <f t="shared" si="101"/>
        <v>7026</v>
      </c>
      <c r="O1300" s="2">
        <v>62</v>
      </c>
      <c r="P1300" s="8">
        <f t="shared" si="102"/>
        <v>7088</v>
      </c>
      <c r="Q1300" s="8">
        <f t="shared" si="103"/>
        <v>4816</v>
      </c>
      <c r="R1300" s="2" t="s">
        <v>50</v>
      </c>
      <c r="S1300" s="9">
        <f t="shared" si="104"/>
        <v>354.40000000000003</v>
      </c>
    </row>
    <row r="1301" spans="1:19" x14ac:dyDescent="0.3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str">
        <f>IFERROR(VLOOKUP('Customer Info'!A1293,'Customer Info'!A1293:C1792,2,FALSE),"Not Found")</f>
        <v>Not Found</v>
      </c>
      <c r="H1301" s="6" t="str">
        <f>IFERROR(VLOOKUP('Customer Info'!A1293,'Customer Info'!A1293:C1792,3,FALSE),"Not Found")</f>
        <v>Not Found</v>
      </c>
      <c r="I1301" s="6" t="str">
        <f>IFERROR(VLOOKUP('Customer Info'!A1293,'Customer Info'!A1293:E1792,5,FALSE),"Not Found")</f>
        <v>Not Found</v>
      </c>
      <c r="J1301" s="2">
        <v>664</v>
      </c>
      <c r="K1301" s="2">
        <v>576</v>
      </c>
      <c r="L1301" s="2">
        <v>2</v>
      </c>
      <c r="M1301" s="7">
        <f t="shared" si="100"/>
        <v>1152</v>
      </c>
      <c r="N1301" s="7">
        <f t="shared" si="101"/>
        <v>1328</v>
      </c>
      <c r="O1301" s="2">
        <v>92</v>
      </c>
      <c r="P1301" s="8">
        <f t="shared" si="102"/>
        <v>1420</v>
      </c>
      <c r="Q1301" s="8">
        <f t="shared" si="103"/>
        <v>752</v>
      </c>
      <c r="R1301" s="2" t="s">
        <v>50</v>
      </c>
      <c r="S1301" s="9">
        <f t="shared" si="104"/>
        <v>28.400000000000002</v>
      </c>
    </row>
    <row r="1302" spans="1:19" x14ac:dyDescent="0.3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str">
        <f>IFERROR(VLOOKUP('Customer Info'!A1294,'Customer Info'!A1294:C1793,2,FALSE),"Not Found")</f>
        <v>Not Found</v>
      </c>
      <c r="H1302" s="6" t="str">
        <f>IFERROR(VLOOKUP('Customer Info'!A1294,'Customer Info'!A1294:C1793,3,FALSE),"Not Found")</f>
        <v>Not Found</v>
      </c>
      <c r="I1302" s="6" t="str">
        <f>IFERROR(VLOOKUP('Customer Info'!A1294,'Customer Info'!A1294:E1793,5,FALSE),"Not Found")</f>
        <v>Not Found</v>
      </c>
      <c r="J1302" s="2">
        <v>183</v>
      </c>
      <c r="K1302" s="2">
        <v>168</v>
      </c>
      <c r="L1302" s="2">
        <v>5</v>
      </c>
      <c r="M1302" s="7">
        <f t="shared" si="100"/>
        <v>840</v>
      </c>
      <c r="N1302" s="7">
        <f t="shared" si="101"/>
        <v>915</v>
      </c>
      <c r="O1302" s="2">
        <v>30</v>
      </c>
      <c r="P1302" s="8">
        <f t="shared" si="102"/>
        <v>945</v>
      </c>
      <c r="Q1302" s="8">
        <f t="shared" si="103"/>
        <v>747</v>
      </c>
      <c r="R1302" s="2" t="s">
        <v>28</v>
      </c>
      <c r="S1302" s="9">
        <f t="shared" si="104"/>
        <v>18.900000000000002</v>
      </c>
    </row>
    <row r="1303" spans="1:19" x14ac:dyDescent="0.3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str">
        <f>IFERROR(VLOOKUP('Customer Info'!A1295,'Customer Info'!A1295:C1794,2,FALSE),"Not Found")</f>
        <v>Not Found</v>
      </c>
      <c r="H1303" s="6" t="str">
        <f>IFERROR(VLOOKUP('Customer Info'!A1295,'Customer Info'!A1295:C1794,3,FALSE),"Not Found")</f>
        <v>Not Found</v>
      </c>
      <c r="I1303" s="6" t="str">
        <f>IFERROR(VLOOKUP('Customer Info'!A1295,'Customer Info'!A1295:E1794,5,FALSE),"Not Found")</f>
        <v>Not Found</v>
      </c>
      <c r="J1303" s="2">
        <v>1845</v>
      </c>
      <c r="K1303" s="2">
        <v>1742</v>
      </c>
      <c r="L1303" s="2">
        <v>6</v>
      </c>
      <c r="M1303" s="7">
        <f t="shared" si="100"/>
        <v>10452</v>
      </c>
      <c r="N1303" s="7">
        <f t="shared" si="101"/>
        <v>11070</v>
      </c>
      <c r="O1303" s="2">
        <v>52</v>
      </c>
      <c r="P1303" s="8">
        <f t="shared" si="102"/>
        <v>11122</v>
      </c>
      <c r="Q1303" s="8">
        <f t="shared" si="103"/>
        <v>9328</v>
      </c>
      <c r="R1303" s="2" t="s">
        <v>50</v>
      </c>
      <c r="S1303" s="9">
        <f t="shared" si="104"/>
        <v>556.1</v>
      </c>
    </row>
    <row r="1304" spans="1:19" x14ac:dyDescent="0.3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str">
        <f>IFERROR(VLOOKUP('Customer Info'!A1296,'Customer Info'!A1296:C1795,2,FALSE),"Not Found")</f>
        <v>Not Found</v>
      </c>
      <c r="H1304" s="6" t="str">
        <f>IFERROR(VLOOKUP('Customer Info'!A1296,'Customer Info'!A1296:C1795,3,FALSE),"Not Found")</f>
        <v>Not Found</v>
      </c>
      <c r="I1304" s="6" t="str">
        <f>IFERROR(VLOOKUP('Customer Info'!A1296,'Customer Info'!A1296:E1795,5,FALSE),"Not Found")</f>
        <v>Not Found</v>
      </c>
      <c r="J1304" s="2">
        <v>671</v>
      </c>
      <c r="K1304" s="2">
        <v>627</v>
      </c>
      <c r="L1304" s="2">
        <v>3</v>
      </c>
      <c r="M1304" s="7">
        <f t="shared" si="100"/>
        <v>1881</v>
      </c>
      <c r="N1304" s="7">
        <f t="shared" si="101"/>
        <v>2013</v>
      </c>
      <c r="O1304" s="2">
        <v>56</v>
      </c>
      <c r="P1304" s="8">
        <f t="shared" si="102"/>
        <v>2069</v>
      </c>
      <c r="Q1304" s="8">
        <f t="shared" si="103"/>
        <v>1386</v>
      </c>
      <c r="R1304" s="2" t="s">
        <v>28</v>
      </c>
      <c r="S1304" s="9">
        <f t="shared" si="104"/>
        <v>41.38</v>
      </c>
    </row>
    <row r="1305" spans="1:19" x14ac:dyDescent="0.3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str">
        <f>IFERROR(VLOOKUP('Customer Info'!A1297,'Customer Info'!A1297:C1796,2,FALSE),"Not Found")</f>
        <v>Not Found</v>
      </c>
      <c r="H1305" s="6" t="str">
        <f>IFERROR(VLOOKUP('Customer Info'!A1297,'Customer Info'!A1297:C1796,3,FALSE),"Not Found")</f>
        <v>Not Found</v>
      </c>
      <c r="I1305" s="6" t="str">
        <f>IFERROR(VLOOKUP('Customer Info'!A1297,'Customer Info'!A1297:E1796,5,FALSE),"Not Found")</f>
        <v>Not Found</v>
      </c>
      <c r="J1305" s="2">
        <v>36778</v>
      </c>
      <c r="K1305" s="2">
        <v>34709</v>
      </c>
      <c r="L1305" s="2">
        <v>2</v>
      </c>
      <c r="M1305" s="7">
        <f t="shared" si="100"/>
        <v>69418</v>
      </c>
      <c r="N1305" s="7">
        <f t="shared" si="101"/>
        <v>73556</v>
      </c>
      <c r="O1305" s="2">
        <v>54</v>
      </c>
      <c r="P1305" s="8">
        <f t="shared" si="102"/>
        <v>73610</v>
      </c>
      <c r="Q1305" s="8">
        <f t="shared" si="103"/>
        <v>38847</v>
      </c>
      <c r="R1305" s="2" t="s">
        <v>28</v>
      </c>
      <c r="S1305" s="9">
        <f t="shared" si="104"/>
        <v>6624.9</v>
      </c>
    </row>
    <row r="1306" spans="1:19" x14ac:dyDescent="0.3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str">
        <f>IFERROR(VLOOKUP('Customer Info'!A1298,'Customer Info'!A1298:C1797,2,FALSE),"Not Found")</f>
        <v>Not Found</v>
      </c>
      <c r="H1306" s="6" t="str">
        <f>IFERROR(VLOOKUP('Customer Info'!A1298,'Customer Info'!A1298:C1797,3,FALSE),"Not Found")</f>
        <v>Not Found</v>
      </c>
      <c r="I1306" s="6" t="str">
        <f>IFERROR(VLOOKUP('Customer Info'!A1298,'Customer Info'!A1298:E1797,5,FALSE),"Not Found")</f>
        <v>Not Found</v>
      </c>
      <c r="J1306" s="2">
        <v>36057</v>
      </c>
      <c r="K1306" s="2">
        <v>34028</v>
      </c>
      <c r="L1306" s="2">
        <v>4</v>
      </c>
      <c r="M1306" s="7">
        <f t="shared" si="100"/>
        <v>136112</v>
      </c>
      <c r="N1306" s="7">
        <f t="shared" si="101"/>
        <v>144228</v>
      </c>
      <c r="O1306" s="2">
        <v>62</v>
      </c>
      <c r="P1306" s="8">
        <f t="shared" si="102"/>
        <v>144290</v>
      </c>
      <c r="Q1306" s="8">
        <f t="shared" si="103"/>
        <v>110200</v>
      </c>
      <c r="R1306" s="2" t="s">
        <v>26</v>
      </c>
      <c r="S1306" s="9">
        <f t="shared" si="104"/>
        <v>17314.8</v>
      </c>
    </row>
    <row r="1307" spans="1:19" x14ac:dyDescent="0.3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str">
        <f>IFERROR(VLOOKUP('Customer Info'!A1299,'Customer Info'!A1299:C1798,2,FALSE),"Not Found")</f>
        <v>Not Found</v>
      </c>
      <c r="H1307" s="6" t="str">
        <f>IFERROR(VLOOKUP('Customer Info'!A1299,'Customer Info'!A1299:C1798,3,FALSE),"Not Found")</f>
        <v>Not Found</v>
      </c>
      <c r="I1307" s="6" t="str">
        <f>IFERROR(VLOOKUP('Customer Info'!A1299,'Customer Info'!A1299:E1798,5,FALSE),"Not Found")</f>
        <v>Not Found</v>
      </c>
      <c r="J1307" s="2">
        <v>1983</v>
      </c>
      <c r="K1307" s="2">
        <v>1908</v>
      </c>
      <c r="L1307" s="2">
        <v>8</v>
      </c>
      <c r="M1307" s="7">
        <f t="shared" si="100"/>
        <v>15264</v>
      </c>
      <c r="N1307" s="7">
        <f t="shared" si="101"/>
        <v>15864</v>
      </c>
      <c r="O1307" s="2">
        <v>100</v>
      </c>
      <c r="P1307" s="8">
        <f t="shared" si="102"/>
        <v>15964</v>
      </c>
      <c r="Q1307" s="8">
        <f t="shared" si="103"/>
        <v>13956</v>
      </c>
      <c r="R1307" s="2" t="s">
        <v>28</v>
      </c>
      <c r="S1307" s="9">
        <f t="shared" si="104"/>
        <v>798.2</v>
      </c>
    </row>
    <row r="1308" spans="1:19" x14ac:dyDescent="0.3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str">
        <f>IFERROR(VLOOKUP('Customer Info'!A1300,'Customer Info'!A1300:C1799,2,FALSE),"Not Found")</f>
        <v>Not Found</v>
      </c>
      <c r="H1308" s="6" t="str">
        <f>IFERROR(VLOOKUP('Customer Info'!A1300,'Customer Info'!A1300:C1799,3,FALSE),"Not Found")</f>
        <v>Not Found</v>
      </c>
      <c r="I1308" s="6" t="str">
        <f>IFERROR(VLOOKUP('Customer Info'!A1300,'Customer Info'!A1300:E1799,5,FALSE),"Not Found")</f>
        <v>Not Found</v>
      </c>
      <c r="J1308" s="2">
        <v>61</v>
      </c>
      <c r="K1308" s="2">
        <v>57</v>
      </c>
      <c r="L1308" s="2">
        <v>3</v>
      </c>
      <c r="M1308" s="7">
        <f t="shared" si="100"/>
        <v>171</v>
      </c>
      <c r="N1308" s="7">
        <f t="shared" si="101"/>
        <v>183</v>
      </c>
      <c r="O1308" s="2">
        <v>10</v>
      </c>
      <c r="P1308" s="8">
        <f t="shared" si="102"/>
        <v>193</v>
      </c>
      <c r="Q1308" s="8">
        <f t="shared" si="103"/>
        <v>126</v>
      </c>
      <c r="R1308" s="2" t="s">
        <v>56</v>
      </c>
      <c r="S1308" s="9">
        <f t="shared" si="104"/>
        <v>3.86</v>
      </c>
    </row>
    <row r="1309" spans="1:19" x14ac:dyDescent="0.3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str">
        <f>IFERROR(VLOOKUP('Customer Info'!A1301,'Customer Info'!A1301:C1800,2,FALSE),"Not Found")</f>
        <v>Not Found</v>
      </c>
      <c r="H1309" s="6" t="str">
        <f>IFERROR(VLOOKUP('Customer Info'!A1301,'Customer Info'!A1301:C1800,3,FALSE),"Not Found")</f>
        <v>Not Found</v>
      </c>
      <c r="I1309" s="6" t="str">
        <f>IFERROR(VLOOKUP('Customer Info'!A1301,'Customer Info'!A1301:E1800,5,FALSE),"Not Found")</f>
        <v>Not Found</v>
      </c>
      <c r="J1309" s="2">
        <v>142</v>
      </c>
      <c r="K1309" s="2">
        <v>134</v>
      </c>
      <c r="L1309" s="2">
        <v>6</v>
      </c>
      <c r="M1309" s="7">
        <f t="shared" si="100"/>
        <v>804</v>
      </c>
      <c r="N1309" s="7">
        <f t="shared" si="101"/>
        <v>852</v>
      </c>
      <c r="O1309" s="2">
        <v>30</v>
      </c>
      <c r="P1309" s="8">
        <f t="shared" si="102"/>
        <v>882</v>
      </c>
      <c r="Q1309" s="8">
        <f t="shared" si="103"/>
        <v>718</v>
      </c>
      <c r="R1309" s="2" t="s">
        <v>26</v>
      </c>
      <c r="S1309" s="9">
        <f t="shared" si="104"/>
        <v>17.64</v>
      </c>
    </row>
    <row r="1310" spans="1:19" x14ac:dyDescent="0.3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str">
        <f>IFERROR(VLOOKUP('Customer Info'!A1302,'Customer Info'!A1302:C1801,2,FALSE),"Not Found")</f>
        <v>Not Found</v>
      </c>
      <c r="H1310" s="6" t="str">
        <f>IFERROR(VLOOKUP('Customer Info'!A1302,'Customer Info'!A1302:C1801,3,FALSE),"Not Found")</f>
        <v>Not Found</v>
      </c>
      <c r="I1310" s="6" t="str">
        <f>IFERROR(VLOOKUP('Customer Info'!A1302,'Customer Info'!A1302:E1801,5,FALSE),"Not Found")</f>
        <v>Not Found</v>
      </c>
      <c r="J1310" s="2">
        <v>1605</v>
      </c>
      <c r="K1310" s="2">
        <v>1530</v>
      </c>
      <c r="L1310" s="2">
        <v>1</v>
      </c>
      <c r="M1310" s="7">
        <f t="shared" si="100"/>
        <v>1530</v>
      </c>
      <c r="N1310" s="7">
        <f t="shared" si="101"/>
        <v>1605</v>
      </c>
      <c r="O1310" s="2">
        <v>36</v>
      </c>
      <c r="P1310" s="8">
        <f t="shared" si="102"/>
        <v>1641</v>
      </c>
      <c r="Q1310" s="8">
        <f t="shared" si="103"/>
        <v>75</v>
      </c>
      <c r="R1310" s="2" t="s">
        <v>50</v>
      </c>
      <c r="S1310" s="9">
        <f t="shared" si="104"/>
        <v>32.82</v>
      </c>
    </row>
    <row r="1311" spans="1:19" x14ac:dyDescent="0.3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str">
        <f>IFERROR(VLOOKUP('Customer Info'!A1303,'Customer Info'!A1303:C1802,2,FALSE),"Not Found")</f>
        <v>Not Found</v>
      </c>
      <c r="H1311" s="6" t="str">
        <f>IFERROR(VLOOKUP('Customer Info'!A1303,'Customer Info'!A1303:C1802,3,FALSE),"Not Found")</f>
        <v>Not Found</v>
      </c>
      <c r="I1311" s="6" t="str">
        <f>IFERROR(VLOOKUP('Customer Info'!A1303,'Customer Info'!A1303:E1802,5,FALSE),"Not Found")</f>
        <v>Not Found</v>
      </c>
      <c r="J1311" s="2">
        <v>2829</v>
      </c>
      <c r="K1311" s="2">
        <v>2596</v>
      </c>
      <c r="L1311" s="2">
        <v>2</v>
      </c>
      <c r="M1311" s="7">
        <f t="shared" si="100"/>
        <v>5192</v>
      </c>
      <c r="N1311" s="7">
        <f t="shared" si="101"/>
        <v>5658</v>
      </c>
      <c r="O1311" s="2">
        <v>47</v>
      </c>
      <c r="P1311" s="8">
        <f t="shared" si="102"/>
        <v>5705</v>
      </c>
      <c r="Q1311" s="8">
        <f t="shared" si="103"/>
        <v>3062</v>
      </c>
      <c r="R1311" s="2" t="s">
        <v>26</v>
      </c>
      <c r="S1311" s="9">
        <f t="shared" si="104"/>
        <v>285.25</v>
      </c>
    </row>
    <row r="1312" spans="1:19" x14ac:dyDescent="0.3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str">
        <f>IFERROR(VLOOKUP('Customer Info'!A1304,'Customer Info'!A1304:C1803,2,FALSE),"Not Found")</f>
        <v>Not Found</v>
      </c>
      <c r="H1312" s="6" t="str">
        <f>IFERROR(VLOOKUP('Customer Info'!A1304,'Customer Info'!A1304:C1803,3,FALSE),"Not Found")</f>
        <v>Not Found</v>
      </c>
      <c r="I1312" s="6" t="str">
        <f>IFERROR(VLOOKUP('Customer Info'!A1304,'Customer Info'!A1304:E1803,5,FALSE),"Not Found")</f>
        <v>Not Found</v>
      </c>
      <c r="J1312" s="2">
        <v>288</v>
      </c>
      <c r="K1312" s="2">
        <v>264</v>
      </c>
      <c r="L1312" s="2">
        <v>3</v>
      </c>
      <c r="M1312" s="7">
        <f t="shared" si="100"/>
        <v>792</v>
      </c>
      <c r="N1312" s="7">
        <f t="shared" si="101"/>
        <v>864</v>
      </c>
      <c r="O1312" s="2">
        <v>56</v>
      </c>
      <c r="P1312" s="8">
        <f t="shared" si="102"/>
        <v>920</v>
      </c>
      <c r="Q1312" s="8">
        <f t="shared" si="103"/>
        <v>600</v>
      </c>
      <c r="R1312" s="2" t="s">
        <v>28</v>
      </c>
      <c r="S1312" s="9">
        <f t="shared" si="104"/>
        <v>18.400000000000002</v>
      </c>
    </row>
    <row r="1313" spans="1:19" x14ac:dyDescent="0.3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str">
        <f>IFERROR(VLOOKUP('Customer Info'!A1305,'Customer Info'!A1305:C1804,2,FALSE),"Not Found")</f>
        <v>Not Found</v>
      </c>
      <c r="H1313" s="6" t="str">
        <f>IFERROR(VLOOKUP('Customer Info'!A1305,'Customer Info'!A1305:C1804,3,FALSE),"Not Found")</f>
        <v>Not Found</v>
      </c>
      <c r="I1313" s="6" t="str">
        <f>IFERROR(VLOOKUP('Customer Info'!A1305,'Customer Info'!A1305:E1804,5,FALSE),"Not Found")</f>
        <v>Not Found</v>
      </c>
      <c r="J1313" s="2">
        <v>1901</v>
      </c>
      <c r="K1313" s="2">
        <v>1810</v>
      </c>
      <c r="L1313" s="2">
        <v>10</v>
      </c>
      <c r="M1313" s="7">
        <f t="shared" si="100"/>
        <v>18100</v>
      </c>
      <c r="N1313" s="7">
        <f t="shared" si="101"/>
        <v>19010</v>
      </c>
      <c r="O1313" s="2">
        <v>35</v>
      </c>
      <c r="P1313" s="8">
        <f t="shared" si="102"/>
        <v>19045</v>
      </c>
      <c r="Q1313" s="8">
        <f t="shared" si="103"/>
        <v>17200</v>
      </c>
      <c r="R1313" s="2" t="s">
        <v>28</v>
      </c>
      <c r="S1313" s="9">
        <f t="shared" si="104"/>
        <v>952.25</v>
      </c>
    </row>
    <row r="1314" spans="1:19" x14ac:dyDescent="0.3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str">
        <f>IFERROR(VLOOKUP('Customer Info'!A1306,'Customer Info'!A1306:C1805,2,FALSE),"Not Found")</f>
        <v>Not Found</v>
      </c>
      <c r="H1314" s="6" t="str">
        <f>IFERROR(VLOOKUP('Customer Info'!A1306,'Customer Info'!A1306:C1805,3,FALSE),"Not Found")</f>
        <v>Not Found</v>
      </c>
      <c r="I1314" s="6" t="str">
        <f>IFERROR(VLOOKUP('Customer Info'!A1306,'Customer Info'!A1306:E1805,5,FALSE),"Not Found")</f>
        <v>Not Found</v>
      </c>
      <c r="J1314" s="2">
        <v>1305</v>
      </c>
      <c r="K1314" s="2">
        <v>1197</v>
      </c>
      <c r="L1314" s="2">
        <v>1</v>
      </c>
      <c r="M1314" s="7">
        <f t="shared" si="100"/>
        <v>1197</v>
      </c>
      <c r="N1314" s="7">
        <f t="shared" si="101"/>
        <v>1305</v>
      </c>
      <c r="O1314" s="2">
        <v>66</v>
      </c>
      <c r="P1314" s="8">
        <f t="shared" si="102"/>
        <v>1371</v>
      </c>
      <c r="Q1314" s="8">
        <f t="shared" si="103"/>
        <v>108</v>
      </c>
      <c r="R1314" s="2" t="s">
        <v>50</v>
      </c>
      <c r="S1314" s="9">
        <f t="shared" si="104"/>
        <v>27.42</v>
      </c>
    </row>
    <row r="1315" spans="1:19" x14ac:dyDescent="0.3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str">
        <f>IFERROR(VLOOKUP('Customer Info'!A1307,'Customer Info'!A1307:C1806,2,FALSE),"Not Found")</f>
        <v>Not Found</v>
      </c>
      <c r="H1315" s="6" t="str">
        <f>IFERROR(VLOOKUP('Customer Info'!A1307,'Customer Info'!A1307:C1806,3,FALSE),"Not Found")</f>
        <v>Not Found</v>
      </c>
      <c r="I1315" s="6" t="str">
        <f>IFERROR(VLOOKUP('Customer Info'!A1307,'Customer Info'!A1307:E1806,5,FALSE),"Not Found")</f>
        <v>Not Found</v>
      </c>
      <c r="J1315" s="2">
        <v>8379</v>
      </c>
      <c r="K1315" s="2">
        <v>8061</v>
      </c>
      <c r="L1315" s="2">
        <v>8</v>
      </c>
      <c r="M1315" s="7">
        <f t="shared" si="100"/>
        <v>64488</v>
      </c>
      <c r="N1315" s="7">
        <f t="shared" si="101"/>
        <v>67032</v>
      </c>
      <c r="O1315" s="2">
        <v>67</v>
      </c>
      <c r="P1315" s="8">
        <f t="shared" si="102"/>
        <v>67099</v>
      </c>
      <c r="Q1315" s="8">
        <f t="shared" si="103"/>
        <v>58971</v>
      </c>
      <c r="R1315" s="2" t="s">
        <v>50</v>
      </c>
      <c r="S1315" s="9">
        <f t="shared" si="104"/>
        <v>6038.91</v>
      </c>
    </row>
    <row r="1316" spans="1:19" x14ac:dyDescent="0.3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str">
        <f>IFERROR(VLOOKUP('Customer Info'!A1308,'Customer Info'!A1308:C1807,2,FALSE),"Not Found")</f>
        <v>Not Found</v>
      </c>
      <c r="H1316" s="6" t="str">
        <f>IFERROR(VLOOKUP('Customer Info'!A1308,'Customer Info'!A1308:C1807,3,FALSE),"Not Found")</f>
        <v>Not Found</v>
      </c>
      <c r="I1316" s="6" t="str">
        <f>IFERROR(VLOOKUP('Customer Info'!A1308,'Customer Info'!A1308:E1807,5,FALSE),"Not Found")</f>
        <v>Not Found</v>
      </c>
      <c r="J1316" s="2">
        <v>6274</v>
      </c>
      <c r="K1316" s="2">
        <v>6093</v>
      </c>
      <c r="L1316" s="2">
        <v>1</v>
      </c>
      <c r="M1316" s="7">
        <f t="shared" si="100"/>
        <v>6093</v>
      </c>
      <c r="N1316" s="7">
        <f t="shared" si="101"/>
        <v>6274</v>
      </c>
      <c r="O1316" s="2">
        <v>53</v>
      </c>
      <c r="P1316" s="8">
        <f t="shared" si="102"/>
        <v>6327</v>
      </c>
      <c r="Q1316" s="8">
        <f t="shared" si="103"/>
        <v>181</v>
      </c>
      <c r="R1316" s="2" t="s">
        <v>50</v>
      </c>
      <c r="S1316" s="9">
        <f t="shared" si="104"/>
        <v>316.35000000000002</v>
      </c>
    </row>
    <row r="1317" spans="1:19" x14ac:dyDescent="0.3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str">
        <f>IFERROR(VLOOKUP('Customer Info'!A1309,'Customer Info'!A1309:C1808,2,FALSE),"Not Found")</f>
        <v>Not Found</v>
      </c>
      <c r="H1317" s="6" t="str">
        <f>IFERROR(VLOOKUP('Customer Info'!A1309,'Customer Info'!A1309:C1808,3,FALSE),"Not Found")</f>
        <v>Not Found</v>
      </c>
      <c r="I1317" s="6" t="str">
        <f>IFERROR(VLOOKUP('Customer Info'!A1309,'Customer Info'!A1309:E1808,5,FALSE),"Not Found")</f>
        <v>Not Found</v>
      </c>
      <c r="J1317" s="2">
        <v>896</v>
      </c>
      <c r="K1317" s="2">
        <v>870</v>
      </c>
      <c r="L1317" s="2">
        <v>4</v>
      </c>
      <c r="M1317" s="7">
        <f t="shared" si="100"/>
        <v>3480</v>
      </c>
      <c r="N1317" s="7">
        <f t="shared" si="101"/>
        <v>3584</v>
      </c>
      <c r="O1317" s="2">
        <v>39</v>
      </c>
      <c r="P1317" s="8">
        <f t="shared" si="102"/>
        <v>3623</v>
      </c>
      <c r="Q1317" s="8">
        <f t="shared" si="103"/>
        <v>2714</v>
      </c>
      <c r="R1317" s="2" t="s">
        <v>50</v>
      </c>
      <c r="S1317" s="9">
        <f t="shared" si="104"/>
        <v>72.460000000000008</v>
      </c>
    </row>
    <row r="1318" spans="1:19" x14ac:dyDescent="0.3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str">
        <f>IFERROR(VLOOKUP('Customer Info'!A1310,'Customer Info'!A1310:C1809,2,FALSE),"Not Found")</f>
        <v>Not Found</v>
      </c>
      <c r="H1318" s="6" t="str">
        <f>IFERROR(VLOOKUP('Customer Info'!A1310,'Customer Info'!A1310:C1809,3,FALSE),"Not Found")</f>
        <v>Not Found</v>
      </c>
      <c r="I1318" s="6" t="str">
        <f>IFERROR(VLOOKUP('Customer Info'!A1310,'Customer Info'!A1310:E1809,5,FALSE),"Not Found")</f>
        <v>Not Found</v>
      </c>
      <c r="J1318" s="2">
        <v>63</v>
      </c>
      <c r="K1318" s="2">
        <v>58</v>
      </c>
      <c r="L1318" s="2">
        <v>5</v>
      </c>
      <c r="M1318" s="7">
        <f t="shared" si="100"/>
        <v>290</v>
      </c>
      <c r="N1318" s="7">
        <f t="shared" si="101"/>
        <v>315</v>
      </c>
      <c r="O1318" s="2">
        <v>10</v>
      </c>
      <c r="P1318" s="8">
        <f t="shared" si="102"/>
        <v>325</v>
      </c>
      <c r="Q1318" s="8">
        <f t="shared" si="103"/>
        <v>257</v>
      </c>
      <c r="R1318" s="2" t="s">
        <v>28</v>
      </c>
      <c r="S1318" s="9">
        <f t="shared" si="104"/>
        <v>6.5</v>
      </c>
    </row>
    <row r="1319" spans="1:19" x14ac:dyDescent="0.3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str">
        <f>IFERROR(VLOOKUP('Customer Info'!A1311,'Customer Info'!A1311:C1810,2,FALSE),"Not Found")</f>
        <v>Not Found</v>
      </c>
      <c r="H1319" s="6" t="str">
        <f>IFERROR(VLOOKUP('Customer Info'!A1311,'Customer Info'!A1311:C1810,3,FALSE),"Not Found")</f>
        <v>Not Found</v>
      </c>
      <c r="I1319" s="6" t="str">
        <f>IFERROR(VLOOKUP('Customer Info'!A1311,'Customer Info'!A1311:E1810,5,FALSE),"Not Found")</f>
        <v>Not Found</v>
      </c>
      <c r="J1319" s="2">
        <v>392</v>
      </c>
      <c r="K1319" s="2">
        <v>356</v>
      </c>
      <c r="L1319" s="2">
        <v>2</v>
      </c>
      <c r="M1319" s="7">
        <f t="shared" si="100"/>
        <v>712</v>
      </c>
      <c r="N1319" s="7">
        <f t="shared" si="101"/>
        <v>784</v>
      </c>
      <c r="O1319" s="2">
        <v>78</v>
      </c>
      <c r="P1319" s="8">
        <f t="shared" si="102"/>
        <v>862</v>
      </c>
      <c r="Q1319" s="8">
        <f t="shared" si="103"/>
        <v>428</v>
      </c>
      <c r="R1319" s="2" t="s">
        <v>28</v>
      </c>
      <c r="S1319" s="9">
        <f t="shared" si="104"/>
        <v>17.240000000000002</v>
      </c>
    </row>
    <row r="1320" spans="1:19" x14ac:dyDescent="0.3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str">
        <f>IFERROR(VLOOKUP('Customer Info'!A1312,'Customer Info'!A1312:C1811,2,FALSE),"Not Found")</f>
        <v>Not Found</v>
      </c>
      <c r="H1320" s="6" t="str">
        <f>IFERROR(VLOOKUP('Customer Info'!A1312,'Customer Info'!A1312:C1811,3,FALSE),"Not Found")</f>
        <v>Not Found</v>
      </c>
      <c r="I1320" s="6" t="str">
        <f>IFERROR(VLOOKUP('Customer Info'!A1312,'Customer Info'!A1312:E1811,5,FALSE),"Not Found")</f>
        <v>Not Found</v>
      </c>
      <c r="J1320" s="2">
        <v>6400</v>
      </c>
      <c r="K1320" s="2">
        <v>6401</v>
      </c>
      <c r="L1320" s="2">
        <v>2</v>
      </c>
      <c r="M1320" s="7">
        <f t="shared" si="100"/>
        <v>12802</v>
      </c>
      <c r="N1320" s="7">
        <f t="shared" si="101"/>
        <v>12800</v>
      </c>
      <c r="O1320" s="2">
        <v>38</v>
      </c>
      <c r="P1320" s="8">
        <f t="shared" si="102"/>
        <v>12838</v>
      </c>
      <c r="Q1320" s="8">
        <f t="shared" si="103"/>
        <v>6399</v>
      </c>
      <c r="R1320" s="2" t="s">
        <v>50</v>
      </c>
      <c r="S1320" s="9">
        <f t="shared" si="104"/>
        <v>641.90000000000009</v>
      </c>
    </row>
    <row r="1321" spans="1:19" x14ac:dyDescent="0.3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str">
        <f>IFERROR(VLOOKUP('Customer Info'!A1313,'Customer Info'!A1313:C1812,2,FALSE),"Not Found")</f>
        <v>Not Found</v>
      </c>
      <c r="H1321" s="6" t="str">
        <f>IFERROR(VLOOKUP('Customer Info'!A1313,'Customer Info'!A1313:C1812,3,FALSE),"Not Found")</f>
        <v>Not Found</v>
      </c>
      <c r="I1321" s="6" t="str">
        <f>IFERROR(VLOOKUP('Customer Info'!A1313,'Customer Info'!A1313:E1812,5,FALSE),"Not Found")</f>
        <v>Not Found</v>
      </c>
      <c r="J1321" s="2">
        <v>101</v>
      </c>
      <c r="K1321" s="2">
        <v>98</v>
      </c>
      <c r="L1321" s="2">
        <v>5</v>
      </c>
      <c r="M1321" s="7">
        <f t="shared" si="100"/>
        <v>490</v>
      </c>
      <c r="N1321" s="7">
        <f t="shared" si="101"/>
        <v>505</v>
      </c>
      <c r="O1321" s="2">
        <v>10</v>
      </c>
      <c r="P1321" s="8">
        <f t="shared" si="102"/>
        <v>515</v>
      </c>
      <c r="Q1321" s="8">
        <f t="shared" si="103"/>
        <v>407</v>
      </c>
      <c r="R1321" s="2" t="s">
        <v>50</v>
      </c>
      <c r="S1321" s="9">
        <f t="shared" si="104"/>
        <v>10.3</v>
      </c>
    </row>
    <row r="1322" spans="1:19" x14ac:dyDescent="0.3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str">
        <f>IFERROR(VLOOKUP('Customer Info'!A1314,'Customer Info'!A1314:C1813,2,FALSE),"Not Found")</f>
        <v>Not Found</v>
      </c>
      <c r="H1322" s="6" t="str">
        <f>IFERROR(VLOOKUP('Customer Info'!A1314,'Customer Info'!A1314:C1813,3,FALSE),"Not Found")</f>
        <v>Not Found</v>
      </c>
      <c r="I1322" s="6" t="str">
        <f>IFERROR(VLOOKUP('Customer Info'!A1314,'Customer Info'!A1314:E1813,5,FALSE),"Not Found")</f>
        <v>Not Found</v>
      </c>
      <c r="J1322" s="2">
        <v>59</v>
      </c>
      <c r="K1322" s="2">
        <v>55</v>
      </c>
      <c r="L1322" s="2">
        <v>7</v>
      </c>
      <c r="M1322" s="7">
        <f t="shared" si="100"/>
        <v>385</v>
      </c>
      <c r="N1322" s="7">
        <f t="shared" si="101"/>
        <v>413</v>
      </c>
      <c r="O1322" s="2">
        <v>10</v>
      </c>
      <c r="P1322" s="8">
        <f t="shared" si="102"/>
        <v>423</v>
      </c>
      <c r="Q1322" s="8">
        <f t="shared" si="103"/>
        <v>358</v>
      </c>
      <c r="R1322" s="2" t="s">
        <v>50</v>
      </c>
      <c r="S1322" s="9">
        <f t="shared" si="104"/>
        <v>8.4600000000000009</v>
      </c>
    </row>
    <row r="1323" spans="1:19" x14ac:dyDescent="0.3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str">
        <f>IFERROR(VLOOKUP('Customer Info'!A1315,'Customer Info'!A1315:C1814,2,FALSE),"Not Found")</f>
        <v>Not Found</v>
      </c>
      <c r="H1323" s="6" t="str">
        <f>IFERROR(VLOOKUP('Customer Info'!A1315,'Customer Info'!A1315:C1814,3,FALSE),"Not Found")</f>
        <v>Not Found</v>
      </c>
      <c r="I1323" s="6" t="str">
        <f>IFERROR(VLOOKUP('Customer Info'!A1315,'Customer Info'!A1315:E1814,5,FALSE),"Not Found")</f>
        <v>Not Found</v>
      </c>
      <c r="J1323" s="2">
        <v>645</v>
      </c>
      <c r="K1323" s="2">
        <v>565</v>
      </c>
      <c r="L1323" s="2">
        <v>2</v>
      </c>
      <c r="M1323" s="7">
        <f t="shared" si="100"/>
        <v>1130</v>
      </c>
      <c r="N1323" s="7">
        <f t="shared" si="101"/>
        <v>1290</v>
      </c>
      <c r="O1323" s="2">
        <v>24</v>
      </c>
      <c r="P1323" s="8">
        <f t="shared" si="102"/>
        <v>1314</v>
      </c>
      <c r="Q1323" s="8">
        <f t="shared" si="103"/>
        <v>725</v>
      </c>
      <c r="R1323" s="2" t="s">
        <v>28</v>
      </c>
      <c r="S1323" s="9">
        <f t="shared" si="104"/>
        <v>26.28</v>
      </c>
    </row>
    <row r="1324" spans="1:19" x14ac:dyDescent="0.3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str">
        <f>IFERROR(VLOOKUP('Customer Info'!A1316,'Customer Info'!A1316:C1815,2,FALSE),"Not Found")</f>
        <v>Not Found</v>
      </c>
      <c r="H1324" s="6" t="str">
        <f>IFERROR(VLOOKUP('Customer Info'!A1316,'Customer Info'!A1316:C1815,3,FALSE),"Not Found")</f>
        <v>Not Found</v>
      </c>
      <c r="I1324" s="6" t="str">
        <f>IFERROR(VLOOKUP('Customer Info'!A1316,'Customer Info'!A1316:E1815,5,FALSE),"Not Found")</f>
        <v>Not Found</v>
      </c>
      <c r="J1324" s="2">
        <v>1615</v>
      </c>
      <c r="K1324" s="2">
        <v>1525</v>
      </c>
      <c r="L1324" s="2">
        <v>6</v>
      </c>
      <c r="M1324" s="7">
        <f t="shared" si="100"/>
        <v>9150</v>
      </c>
      <c r="N1324" s="7">
        <f t="shared" si="101"/>
        <v>9690</v>
      </c>
      <c r="O1324" s="2">
        <v>36</v>
      </c>
      <c r="P1324" s="8">
        <f t="shared" si="102"/>
        <v>9726</v>
      </c>
      <c r="Q1324" s="8">
        <f t="shared" si="103"/>
        <v>8165</v>
      </c>
      <c r="R1324" s="2" t="s">
        <v>26</v>
      </c>
      <c r="S1324" s="9">
        <f t="shared" si="104"/>
        <v>486.3</v>
      </c>
    </row>
    <row r="1325" spans="1:19" x14ac:dyDescent="0.3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str">
        <f>IFERROR(VLOOKUP('Customer Info'!A1317,'Customer Info'!A1317:C1816,2,FALSE),"Not Found")</f>
        <v>Not Found</v>
      </c>
      <c r="H1325" s="6" t="str">
        <f>IFERROR(VLOOKUP('Customer Info'!A1317,'Customer Info'!A1317:C1816,3,FALSE),"Not Found")</f>
        <v>Not Found</v>
      </c>
      <c r="I1325" s="6" t="str">
        <f>IFERROR(VLOOKUP('Customer Info'!A1317,'Customer Info'!A1317:E1816,5,FALSE),"Not Found")</f>
        <v>Not Found</v>
      </c>
      <c r="J1325" s="2">
        <v>1585</v>
      </c>
      <c r="K1325" s="2">
        <v>1495</v>
      </c>
      <c r="L1325" s="2">
        <v>2</v>
      </c>
      <c r="M1325" s="7">
        <f t="shared" si="100"/>
        <v>2990</v>
      </c>
      <c r="N1325" s="7">
        <f t="shared" si="101"/>
        <v>3170</v>
      </c>
      <c r="O1325" s="2">
        <v>25</v>
      </c>
      <c r="P1325" s="8">
        <f t="shared" si="102"/>
        <v>3195</v>
      </c>
      <c r="Q1325" s="8">
        <f t="shared" si="103"/>
        <v>1675</v>
      </c>
      <c r="R1325" s="2" t="s">
        <v>50</v>
      </c>
      <c r="S1325" s="9">
        <f t="shared" si="104"/>
        <v>63.9</v>
      </c>
    </row>
    <row r="1326" spans="1:19" x14ac:dyDescent="0.3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str">
        <f>IFERROR(VLOOKUP('Customer Info'!A1318,'Customer Info'!A1318:C1817,2,FALSE),"Not Found")</f>
        <v>Not Found</v>
      </c>
      <c r="H1326" s="6" t="str">
        <f>IFERROR(VLOOKUP('Customer Info'!A1318,'Customer Info'!A1318:C1817,3,FALSE),"Not Found")</f>
        <v>Not Found</v>
      </c>
      <c r="I1326" s="6" t="str">
        <f>IFERROR(VLOOKUP('Customer Info'!A1318,'Customer Info'!A1318:E1817,5,FALSE),"Not Found")</f>
        <v>Not Found</v>
      </c>
      <c r="J1326" s="2">
        <v>1246</v>
      </c>
      <c r="K1326" s="2">
        <v>1164</v>
      </c>
      <c r="L1326" s="2">
        <v>3</v>
      </c>
      <c r="M1326" s="7">
        <f t="shared" si="100"/>
        <v>3492</v>
      </c>
      <c r="N1326" s="7">
        <f t="shared" si="101"/>
        <v>3738</v>
      </c>
      <c r="O1326" s="2">
        <v>45</v>
      </c>
      <c r="P1326" s="8">
        <f t="shared" si="102"/>
        <v>3783</v>
      </c>
      <c r="Q1326" s="8">
        <f t="shared" si="103"/>
        <v>2574</v>
      </c>
      <c r="R1326" s="2" t="s">
        <v>50</v>
      </c>
      <c r="S1326" s="9">
        <f t="shared" si="104"/>
        <v>75.66</v>
      </c>
    </row>
    <row r="1327" spans="1:19" x14ac:dyDescent="0.3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str">
        <f>IFERROR(VLOOKUP('Customer Info'!A1319,'Customer Info'!A1319:C1818,2,FALSE),"Not Found")</f>
        <v>Not Found</v>
      </c>
      <c r="H1327" s="6" t="str">
        <f>IFERROR(VLOOKUP('Customer Info'!A1319,'Customer Info'!A1319:C1818,3,FALSE),"Not Found")</f>
        <v>Not Found</v>
      </c>
      <c r="I1327" s="6" t="str">
        <f>IFERROR(VLOOKUP('Customer Info'!A1319,'Customer Info'!A1319:E1818,5,FALSE),"Not Found")</f>
        <v>Not Found</v>
      </c>
      <c r="J1327" s="2">
        <v>3054</v>
      </c>
      <c r="K1327" s="2">
        <v>2721</v>
      </c>
      <c r="L1327" s="2">
        <v>1</v>
      </c>
      <c r="M1327" s="7">
        <f t="shared" si="100"/>
        <v>2721</v>
      </c>
      <c r="N1327" s="7">
        <f t="shared" si="101"/>
        <v>3054</v>
      </c>
      <c r="O1327" s="2">
        <v>90</v>
      </c>
      <c r="P1327" s="8">
        <f t="shared" si="102"/>
        <v>3144</v>
      </c>
      <c r="Q1327" s="8">
        <f t="shared" si="103"/>
        <v>333</v>
      </c>
      <c r="R1327" s="2" t="s">
        <v>28</v>
      </c>
      <c r="S1327" s="9">
        <f t="shared" si="104"/>
        <v>62.88</v>
      </c>
    </row>
    <row r="1328" spans="1:19" x14ac:dyDescent="0.3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str">
        <f>IFERROR(VLOOKUP('Customer Info'!A1320,'Customer Info'!A1320:C1819,2,FALSE),"Not Found")</f>
        <v>Not Found</v>
      </c>
      <c r="H1328" s="6" t="str">
        <f>IFERROR(VLOOKUP('Customer Info'!A1320,'Customer Info'!A1320:C1819,3,FALSE),"Not Found")</f>
        <v>Not Found</v>
      </c>
      <c r="I1328" s="6" t="str">
        <f>IFERROR(VLOOKUP('Customer Info'!A1320,'Customer Info'!A1320:E1819,5,FALSE),"Not Found")</f>
        <v>Not Found</v>
      </c>
      <c r="J1328" s="2">
        <v>4714</v>
      </c>
      <c r="K1328" s="2">
        <v>4323</v>
      </c>
      <c r="L1328" s="2">
        <v>1</v>
      </c>
      <c r="M1328" s="7">
        <f t="shared" si="100"/>
        <v>4323</v>
      </c>
      <c r="N1328" s="7">
        <f t="shared" si="101"/>
        <v>4714</v>
      </c>
      <c r="O1328" s="2">
        <v>50</v>
      </c>
      <c r="P1328" s="8">
        <f t="shared" si="102"/>
        <v>4764</v>
      </c>
      <c r="Q1328" s="8">
        <f t="shared" si="103"/>
        <v>391</v>
      </c>
      <c r="R1328" s="2" t="s">
        <v>26</v>
      </c>
      <c r="S1328" s="9">
        <f t="shared" si="104"/>
        <v>95.28</v>
      </c>
    </row>
    <row r="1329" spans="1:19" x14ac:dyDescent="0.3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str">
        <f>IFERROR(VLOOKUP('Customer Info'!A1321,'Customer Info'!A1321:C1820,2,FALSE),"Not Found")</f>
        <v>Not Found</v>
      </c>
      <c r="H1329" s="6" t="str">
        <f>IFERROR(VLOOKUP('Customer Info'!A1321,'Customer Info'!A1321:C1820,3,FALSE),"Not Found")</f>
        <v>Not Found</v>
      </c>
      <c r="I1329" s="6" t="str">
        <f>IFERROR(VLOOKUP('Customer Info'!A1321,'Customer Info'!A1321:E1820,5,FALSE),"Not Found")</f>
        <v>Not Found</v>
      </c>
      <c r="J1329" s="2">
        <v>1359</v>
      </c>
      <c r="K1329" s="2">
        <v>1221</v>
      </c>
      <c r="L1329" s="2">
        <v>7</v>
      </c>
      <c r="M1329" s="7">
        <f t="shared" si="100"/>
        <v>8547</v>
      </c>
      <c r="N1329" s="7">
        <f t="shared" si="101"/>
        <v>9513</v>
      </c>
      <c r="O1329" s="2">
        <v>87</v>
      </c>
      <c r="P1329" s="8">
        <f t="shared" si="102"/>
        <v>9600</v>
      </c>
      <c r="Q1329" s="8">
        <f t="shared" si="103"/>
        <v>8292</v>
      </c>
      <c r="R1329" s="2" t="s">
        <v>50</v>
      </c>
      <c r="S1329" s="9">
        <f t="shared" si="104"/>
        <v>480</v>
      </c>
    </row>
    <row r="1330" spans="1:19" x14ac:dyDescent="0.3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str">
        <f>IFERROR(VLOOKUP('Customer Info'!A1322,'Customer Info'!A1322:C1821,2,FALSE),"Not Found")</f>
        <v>Not Found</v>
      </c>
      <c r="H1330" s="6" t="str">
        <f>IFERROR(VLOOKUP('Customer Info'!A1322,'Customer Info'!A1322:C1821,3,FALSE),"Not Found")</f>
        <v>Not Found</v>
      </c>
      <c r="I1330" s="6" t="str">
        <f>IFERROR(VLOOKUP('Customer Info'!A1322,'Customer Info'!A1322:E1821,5,FALSE),"Not Found")</f>
        <v>Not Found</v>
      </c>
      <c r="J1330" s="2">
        <v>7609</v>
      </c>
      <c r="K1330" s="2">
        <v>7248</v>
      </c>
      <c r="L1330" s="2">
        <v>2</v>
      </c>
      <c r="M1330" s="7">
        <f t="shared" si="100"/>
        <v>14496</v>
      </c>
      <c r="N1330" s="7">
        <f t="shared" si="101"/>
        <v>15218</v>
      </c>
      <c r="O1330" s="2">
        <v>89</v>
      </c>
      <c r="P1330" s="8">
        <f t="shared" si="102"/>
        <v>15307</v>
      </c>
      <c r="Q1330" s="8">
        <f t="shared" si="103"/>
        <v>7970</v>
      </c>
      <c r="R1330" s="2" t="s">
        <v>28</v>
      </c>
      <c r="S1330" s="9">
        <f t="shared" si="104"/>
        <v>765.35</v>
      </c>
    </row>
    <row r="1331" spans="1:19" x14ac:dyDescent="0.3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str">
        <f>IFERROR(VLOOKUP('Customer Info'!A1323,'Customer Info'!A1323:C1822,2,FALSE),"Not Found")</f>
        <v>Not Found</v>
      </c>
      <c r="H1331" s="6" t="str">
        <f>IFERROR(VLOOKUP('Customer Info'!A1323,'Customer Info'!A1323:C1822,3,FALSE),"Not Found")</f>
        <v>Not Found</v>
      </c>
      <c r="I1331" s="6" t="str">
        <f>IFERROR(VLOOKUP('Customer Info'!A1323,'Customer Info'!A1323:E1822,5,FALSE),"Not Found")</f>
        <v>Not Found</v>
      </c>
      <c r="J1331" s="2">
        <v>2874</v>
      </c>
      <c r="K1331" s="2">
        <v>2583</v>
      </c>
      <c r="L1331" s="2">
        <v>2</v>
      </c>
      <c r="M1331" s="7">
        <f t="shared" si="100"/>
        <v>5166</v>
      </c>
      <c r="N1331" s="7">
        <f t="shared" si="101"/>
        <v>5748</v>
      </c>
      <c r="O1331" s="2">
        <v>58</v>
      </c>
      <c r="P1331" s="8">
        <f t="shared" si="102"/>
        <v>5806</v>
      </c>
      <c r="Q1331" s="8">
        <f t="shared" si="103"/>
        <v>3165</v>
      </c>
      <c r="R1331" s="2" t="s">
        <v>26</v>
      </c>
      <c r="S1331" s="9">
        <f t="shared" si="104"/>
        <v>290.3</v>
      </c>
    </row>
    <row r="1332" spans="1:19" x14ac:dyDescent="0.3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str">
        <f>IFERROR(VLOOKUP('Customer Info'!A1324,'Customer Info'!A1324:C1823,2,FALSE),"Not Found")</f>
        <v>Not Found</v>
      </c>
      <c r="H1332" s="6" t="str">
        <f>IFERROR(VLOOKUP('Customer Info'!A1324,'Customer Info'!A1324:C1823,3,FALSE),"Not Found")</f>
        <v>Not Found</v>
      </c>
      <c r="I1332" s="6" t="str">
        <f>IFERROR(VLOOKUP('Customer Info'!A1324,'Customer Info'!A1324:E1823,5,FALSE),"Not Found")</f>
        <v>Not Found</v>
      </c>
      <c r="J1332" s="2">
        <v>3256</v>
      </c>
      <c r="K1332" s="2">
        <v>2959</v>
      </c>
      <c r="L1332" s="2">
        <v>1</v>
      </c>
      <c r="M1332" s="7">
        <f t="shared" si="100"/>
        <v>2959</v>
      </c>
      <c r="N1332" s="7">
        <f t="shared" si="101"/>
        <v>3256</v>
      </c>
      <c r="O1332" s="2">
        <v>49</v>
      </c>
      <c r="P1332" s="8">
        <f t="shared" si="102"/>
        <v>3305</v>
      </c>
      <c r="Q1332" s="8">
        <f t="shared" si="103"/>
        <v>297</v>
      </c>
      <c r="R1332" s="2" t="s">
        <v>28</v>
      </c>
      <c r="S1332" s="9">
        <f t="shared" si="104"/>
        <v>66.099999999999994</v>
      </c>
    </row>
    <row r="1333" spans="1:19" x14ac:dyDescent="0.3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str">
        <f>IFERROR(VLOOKUP('Customer Info'!A1325,'Customer Info'!A1325:C1824,2,FALSE),"Not Found")</f>
        <v>Not Found</v>
      </c>
      <c r="H1333" s="6" t="str">
        <f>IFERROR(VLOOKUP('Customer Info'!A1325,'Customer Info'!A1325:C1824,3,FALSE),"Not Found")</f>
        <v>Not Found</v>
      </c>
      <c r="I1333" s="6" t="str">
        <f>IFERROR(VLOOKUP('Customer Info'!A1325,'Customer Info'!A1325:E1824,5,FALSE),"Not Found")</f>
        <v>Not Found</v>
      </c>
      <c r="J1333" s="2">
        <v>773</v>
      </c>
      <c r="K1333" s="2">
        <v>708</v>
      </c>
      <c r="L1333" s="2">
        <v>6</v>
      </c>
      <c r="M1333" s="7">
        <f t="shared" si="100"/>
        <v>4248</v>
      </c>
      <c r="N1333" s="7">
        <f t="shared" si="101"/>
        <v>4638</v>
      </c>
      <c r="O1333" s="2">
        <v>85</v>
      </c>
      <c r="P1333" s="8">
        <f t="shared" si="102"/>
        <v>4723</v>
      </c>
      <c r="Q1333" s="8">
        <f t="shared" si="103"/>
        <v>3930</v>
      </c>
      <c r="R1333" s="2" t="s">
        <v>28</v>
      </c>
      <c r="S1333" s="9">
        <f t="shared" si="104"/>
        <v>94.460000000000008</v>
      </c>
    </row>
    <row r="1334" spans="1:19" x14ac:dyDescent="0.3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str">
        <f>IFERROR(VLOOKUP('Customer Info'!A1326,'Customer Info'!A1326:C1825,2,FALSE),"Not Found")</f>
        <v>Not Found</v>
      </c>
      <c r="H1334" s="6" t="str">
        <f>IFERROR(VLOOKUP('Customer Info'!A1326,'Customer Info'!A1326:C1825,3,FALSE),"Not Found")</f>
        <v>Not Found</v>
      </c>
      <c r="I1334" s="6" t="str">
        <f>IFERROR(VLOOKUP('Customer Info'!A1326,'Customer Info'!A1326:E1825,5,FALSE),"Not Found")</f>
        <v>Not Found</v>
      </c>
      <c r="J1334" s="2">
        <v>6864</v>
      </c>
      <c r="K1334" s="2">
        <v>6667</v>
      </c>
      <c r="L1334" s="2">
        <v>1</v>
      </c>
      <c r="M1334" s="7">
        <f t="shared" si="100"/>
        <v>6667</v>
      </c>
      <c r="N1334" s="7">
        <f t="shared" si="101"/>
        <v>6864</v>
      </c>
      <c r="O1334" s="2">
        <v>86</v>
      </c>
      <c r="P1334" s="8">
        <f t="shared" si="102"/>
        <v>6950</v>
      </c>
      <c r="Q1334" s="8">
        <f t="shared" si="103"/>
        <v>197</v>
      </c>
      <c r="R1334" s="2" t="s">
        <v>50</v>
      </c>
      <c r="S1334" s="9">
        <f t="shared" si="104"/>
        <v>347.5</v>
      </c>
    </row>
    <row r="1335" spans="1:19" x14ac:dyDescent="0.3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str">
        <f>IFERROR(VLOOKUP('Customer Info'!A1327,'Customer Info'!A1327:C1826,2,FALSE),"Not Found")</f>
        <v>Not Found</v>
      </c>
      <c r="H1335" s="6" t="str">
        <f>IFERROR(VLOOKUP('Customer Info'!A1327,'Customer Info'!A1327:C1826,3,FALSE),"Not Found")</f>
        <v>Not Found</v>
      </c>
      <c r="I1335" s="6" t="str">
        <f>IFERROR(VLOOKUP('Customer Info'!A1327,'Customer Info'!A1327:E1826,5,FALSE),"Not Found")</f>
        <v>Not Found</v>
      </c>
      <c r="J1335" s="2">
        <v>2442</v>
      </c>
      <c r="K1335" s="2">
        <v>2304</v>
      </c>
      <c r="L1335" s="2">
        <v>5</v>
      </c>
      <c r="M1335" s="7">
        <f t="shared" si="100"/>
        <v>11520</v>
      </c>
      <c r="N1335" s="7">
        <f t="shared" si="101"/>
        <v>12210</v>
      </c>
      <c r="O1335" s="2">
        <v>72</v>
      </c>
      <c r="P1335" s="8">
        <f t="shared" si="102"/>
        <v>12282</v>
      </c>
      <c r="Q1335" s="8">
        <f t="shared" si="103"/>
        <v>9906</v>
      </c>
      <c r="R1335" s="2" t="s">
        <v>28</v>
      </c>
      <c r="S1335" s="9">
        <f t="shared" si="104"/>
        <v>614.1</v>
      </c>
    </row>
    <row r="1336" spans="1:19" x14ac:dyDescent="0.3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str">
        <f>IFERROR(VLOOKUP('Customer Info'!A1328,'Customer Info'!A1328:C1827,2,FALSE),"Not Found")</f>
        <v>Not Found</v>
      </c>
      <c r="H1336" s="6" t="str">
        <f>IFERROR(VLOOKUP('Customer Info'!A1328,'Customer Info'!A1328:C1827,3,FALSE),"Not Found")</f>
        <v>Not Found</v>
      </c>
      <c r="I1336" s="6" t="str">
        <f>IFERROR(VLOOKUP('Customer Info'!A1328,'Customer Info'!A1328:E1827,5,FALSE),"Not Found")</f>
        <v>Not Found</v>
      </c>
      <c r="J1336" s="2">
        <v>886</v>
      </c>
      <c r="K1336" s="2">
        <v>796</v>
      </c>
      <c r="L1336" s="2">
        <v>5</v>
      </c>
      <c r="M1336" s="7">
        <f t="shared" si="100"/>
        <v>3980</v>
      </c>
      <c r="N1336" s="7">
        <f t="shared" si="101"/>
        <v>4430</v>
      </c>
      <c r="O1336" s="2">
        <v>46</v>
      </c>
      <c r="P1336" s="8">
        <f t="shared" si="102"/>
        <v>4476</v>
      </c>
      <c r="Q1336" s="8">
        <f t="shared" si="103"/>
        <v>3634</v>
      </c>
      <c r="R1336" s="2" t="s">
        <v>56</v>
      </c>
      <c r="S1336" s="9">
        <f t="shared" si="104"/>
        <v>89.52</v>
      </c>
    </row>
    <row r="1337" spans="1:19" x14ac:dyDescent="0.3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str">
        <f>IFERROR(VLOOKUP('Customer Info'!A1329,'Customer Info'!A1329:C1828,2,FALSE),"Not Found")</f>
        <v>Not Found</v>
      </c>
      <c r="H1337" s="6" t="str">
        <f>IFERROR(VLOOKUP('Customer Info'!A1329,'Customer Info'!A1329:C1828,3,FALSE),"Not Found")</f>
        <v>Not Found</v>
      </c>
      <c r="I1337" s="6" t="str">
        <f>IFERROR(VLOOKUP('Customer Info'!A1329,'Customer Info'!A1329:E1828,5,FALSE),"Not Found")</f>
        <v>Not Found</v>
      </c>
      <c r="J1337" s="2">
        <v>887</v>
      </c>
      <c r="K1337" s="2">
        <v>814</v>
      </c>
      <c r="L1337" s="2">
        <v>5</v>
      </c>
      <c r="M1337" s="7">
        <f t="shared" si="100"/>
        <v>4070</v>
      </c>
      <c r="N1337" s="7">
        <f t="shared" si="101"/>
        <v>4435</v>
      </c>
      <c r="O1337" s="2">
        <v>71</v>
      </c>
      <c r="P1337" s="8">
        <f t="shared" si="102"/>
        <v>4506</v>
      </c>
      <c r="Q1337" s="8">
        <f t="shared" si="103"/>
        <v>3621</v>
      </c>
      <c r="R1337" s="2" t="s">
        <v>28</v>
      </c>
      <c r="S1337" s="9">
        <f t="shared" si="104"/>
        <v>90.12</v>
      </c>
    </row>
    <row r="1338" spans="1:19" x14ac:dyDescent="0.3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str">
        <f>IFERROR(VLOOKUP('Customer Info'!A1330,'Customer Info'!A1330:C1829,2,FALSE),"Not Found")</f>
        <v>Not Found</v>
      </c>
      <c r="H1338" s="6" t="str">
        <f>IFERROR(VLOOKUP('Customer Info'!A1330,'Customer Info'!A1330:C1829,3,FALSE),"Not Found")</f>
        <v>Not Found</v>
      </c>
      <c r="I1338" s="6" t="str">
        <f>IFERROR(VLOOKUP('Customer Info'!A1330,'Customer Info'!A1330:E1829,5,FALSE),"Not Found")</f>
        <v>Not Found</v>
      </c>
      <c r="J1338" s="2">
        <v>69</v>
      </c>
      <c r="K1338" s="2">
        <v>64</v>
      </c>
      <c r="L1338" s="2">
        <v>1</v>
      </c>
      <c r="M1338" s="7">
        <f t="shared" si="100"/>
        <v>64</v>
      </c>
      <c r="N1338" s="7">
        <f t="shared" si="101"/>
        <v>69</v>
      </c>
      <c r="O1338" s="2">
        <v>10</v>
      </c>
      <c r="P1338" s="8">
        <f t="shared" si="102"/>
        <v>79</v>
      </c>
      <c r="Q1338" s="8">
        <f t="shared" si="103"/>
        <v>5</v>
      </c>
      <c r="R1338" s="2" t="s">
        <v>28</v>
      </c>
      <c r="S1338" s="9">
        <f t="shared" si="104"/>
        <v>1.58</v>
      </c>
    </row>
    <row r="1339" spans="1:19" x14ac:dyDescent="0.3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str">
        <f>IFERROR(VLOOKUP('Customer Info'!A1331,'Customer Info'!A1331:C1830,2,FALSE),"Not Found")</f>
        <v>Not Found</v>
      </c>
      <c r="H1339" s="6" t="str">
        <f>IFERROR(VLOOKUP('Customer Info'!A1331,'Customer Info'!A1331:C1830,3,FALSE),"Not Found")</f>
        <v>Not Found</v>
      </c>
      <c r="I1339" s="6" t="str">
        <f>IFERROR(VLOOKUP('Customer Info'!A1331,'Customer Info'!A1331:E1830,5,FALSE),"Not Found")</f>
        <v>Not Found</v>
      </c>
      <c r="J1339" s="2">
        <v>1246</v>
      </c>
      <c r="K1339" s="2">
        <v>1164</v>
      </c>
      <c r="L1339" s="2">
        <v>8</v>
      </c>
      <c r="M1339" s="7">
        <f t="shared" si="100"/>
        <v>9312</v>
      </c>
      <c r="N1339" s="7">
        <f t="shared" si="101"/>
        <v>9968</v>
      </c>
      <c r="O1339" s="2">
        <v>59</v>
      </c>
      <c r="P1339" s="8">
        <f t="shared" si="102"/>
        <v>10027</v>
      </c>
      <c r="Q1339" s="8">
        <f t="shared" si="103"/>
        <v>8804</v>
      </c>
      <c r="R1339" s="2" t="s">
        <v>26</v>
      </c>
      <c r="S1339" s="9">
        <f t="shared" si="104"/>
        <v>501.35</v>
      </c>
    </row>
    <row r="1340" spans="1:19" x14ac:dyDescent="0.3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str">
        <f>IFERROR(VLOOKUP('Customer Info'!A1332,'Customer Info'!A1332:C1831,2,FALSE),"Not Found")</f>
        <v>Not Found</v>
      </c>
      <c r="H1340" s="6" t="str">
        <f>IFERROR(VLOOKUP('Customer Info'!A1332,'Customer Info'!A1332:C1831,3,FALSE),"Not Found")</f>
        <v>Not Found</v>
      </c>
      <c r="I1340" s="6" t="str">
        <f>IFERROR(VLOOKUP('Customer Info'!A1332,'Customer Info'!A1332:E1831,5,FALSE),"Not Found")</f>
        <v>Not Found</v>
      </c>
      <c r="J1340" s="2">
        <v>2503</v>
      </c>
      <c r="K1340" s="2">
        <v>2454</v>
      </c>
      <c r="L1340" s="2">
        <v>3</v>
      </c>
      <c r="M1340" s="7">
        <f t="shared" si="100"/>
        <v>7362</v>
      </c>
      <c r="N1340" s="7">
        <f t="shared" si="101"/>
        <v>7509</v>
      </c>
      <c r="O1340" s="2">
        <v>78</v>
      </c>
      <c r="P1340" s="8">
        <f t="shared" si="102"/>
        <v>7587</v>
      </c>
      <c r="Q1340" s="8">
        <f t="shared" si="103"/>
        <v>5055</v>
      </c>
      <c r="R1340" s="2" t="s">
        <v>50</v>
      </c>
      <c r="S1340" s="9">
        <f t="shared" si="104"/>
        <v>379.35</v>
      </c>
    </row>
    <row r="1341" spans="1:19" x14ac:dyDescent="0.3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str">
        <f>IFERROR(VLOOKUP('Customer Info'!A1333,'Customer Info'!A1333:C1832,2,FALSE),"Not Found")</f>
        <v>Not Found</v>
      </c>
      <c r="H1341" s="6" t="str">
        <f>IFERROR(VLOOKUP('Customer Info'!A1333,'Customer Info'!A1333:C1832,3,FALSE),"Not Found")</f>
        <v>Not Found</v>
      </c>
      <c r="I1341" s="6" t="str">
        <f>IFERROR(VLOOKUP('Customer Info'!A1333,'Customer Info'!A1333:E1832,5,FALSE),"Not Found")</f>
        <v>Not Found</v>
      </c>
      <c r="J1341" s="2">
        <v>138</v>
      </c>
      <c r="K1341" s="2">
        <v>128</v>
      </c>
      <c r="L1341" s="2">
        <v>1</v>
      </c>
      <c r="M1341" s="7">
        <f t="shared" si="100"/>
        <v>128</v>
      </c>
      <c r="N1341" s="7">
        <f t="shared" si="101"/>
        <v>138</v>
      </c>
      <c r="O1341" s="2">
        <v>30</v>
      </c>
      <c r="P1341" s="8">
        <f t="shared" si="102"/>
        <v>168</v>
      </c>
      <c r="Q1341" s="8">
        <f t="shared" si="103"/>
        <v>10</v>
      </c>
      <c r="R1341" s="2" t="s">
        <v>28</v>
      </c>
      <c r="S1341" s="9">
        <f t="shared" si="104"/>
        <v>3.36</v>
      </c>
    </row>
    <row r="1342" spans="1:19" x14ac:dyDescent="0.3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str">
        <f>IFERROR(VLOOKUP('Customer Info'!A1334,'Customer Info'!A1334:C1833,2,FALSE),"Not Found")</f>
        <v>Not Found</v>
      </c>
      <c r="H1342" s="6" t="str">
        <f>IFERROR(VLOOKUP('Customer Info'!A1334,'Customer Info'!A1334:C1833,3,FALSE),"Not Found")</f>
        <v>Not Found</v>
      </c>
      <c r="I1342" s="6" t="str">
        <f>IFERROR(VLOOKUP('Customer Info'!A1334,'Customer Info'!A1334:E1833,5,FALSE),"Not Found")</f>
        <v>Not Found</v>
      </c>
      <c r="J1342" s="2">
        <v>3289</v>
      </c>
      <c r="K1342" s="2">
        <v>3105</v>
      </c>
      <c r="L1342" s="2">
        <v>4</v>
      </c>
      <c r="M1342" s="7">
        <f t="shared" si="100"/>
        <v>12420</v>
      </c>
      <c r="N1342" s="7">
        <f t="shared" si="101"/>
        <v>13156</v>
      </c>
      <c r="O1342" s="2">
        <v>31</v>
      </c>
      <c r="P1342" s="8">
        <f t="shared" si="102"/>
        <v>13187</v>
      </c>
      <c r="Q1342" s="8">
        <f t="shared" si="103"/>
        <v>10051</v>
      </c>
      <c r="R1342" s="2" t="s">
        <v>50</v>
      </c>
      <c r="S1342" s="9">
        <f t="shared" si="104"/>
        <v>659.35</v>
      </c>
    </row>
    <row r="1343" spans="1:19" x14ac:dyDescent="0.3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str">
        <f>IFERROR(VLOOKUP('Customer Info'!A1335,'Customer Info'!A1335:C1834,2,FALSE),"Not Found")</f>
        <v>Not Found</v>
      </c>
      <c r="H1343" s="6" t="str">
        <f>IFERROR(VLOOKUP('Customer Info'!A1335,'Customer Info'!A1335:C1834,3,FALSE),"Not Found")</f>
        <v>Not Found</v>
      </c>
      <c r="I1343" s="6" t="str">
        <f>IFERROR(VLOOKUP('Customer Info'!A1335,'Customer Info'!A1335:E1834,5,FALSE),"Not Found")</f>
        <v>Not Found</v>
      </c>
      <c r="J1343" s="2">
        <v>1637</v>
      </c>
      <c r="K1343" s="2">
        <v>1532</v>
      </c>
      <c r="L1343" s="2">
        <v>5</v>
      </c>
      <c r="M1343" s="7">
        <f t="shared" si="100"/>
        <v>7660</v>
      </c>
      <c r="N1343" s="7">
        <f t="shared" si="101"/>
        <v>8185</v>
      </c>
      <c r="O1343" s="2">
        <v>41</v>
      </c>
      <c r="P1343" s="8">
        <f t="shared" si="102"/>
        <v>8226</v>
      </c>
      <c r="Q1343" s="8">
        <f t="shared" si="103"/>
        <v>6653</v>
      </c>
      <c r="R1343" s="2" t="s">
        <v>28</v>
      </c>
      <c r="S1343" s="9">
        <f t="shared" si="104"/>
        <v>411.3</v>
      </c>
    </row>
    <row r="1344" spans="1:19" x14ac:dyDescent="0.3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str">
        <f>IFERROR(VLOOKUP('Customer Info'!A1336,'Customer Info'!A1336:C1835,2,FALSE),"Not Found")</f>
        <v>Not Found</v>
      </c>
      <c r="H1344" s="6" t="str">
        <f>IFERROR(VLOOKUP('Customer Info'!A1336,'Customer Info'!A1336:C1835,3,FALSE),"Not Found")</f>
        <v>Not Found</v>
      </c>
      <c r="I1344" s="6" t="str">
        <f>IFERROR(VLOOKUP('Customer Info'!A1336,'Customer Info'!A1336:E1835,5,FALSE),"Not Found")</f>
        <v>Not Found</v>
      </c>
      <c r="J1344" s="2">
        <v>1246</v>
      </c>
      <c r="K1344" s="2">
        <v>1164</v>
      </c>
      <c r="L1344" s="2">
        <v>2</v>
      </c>
      <c r="M1344" s="7">
        <f t="shared" si="100"/>
        <v>2328</v>
      </c>
      <c r="N1344" s="7">
        <f t="shared" si="101"/>
        <v>2492</v>
      </c>
      <c r="O1344" s="2">
        <v>73</v>
      </c>
      <c r="P1344" s="8">
        <f t="shared" si="102"/>
        <v>2565</v>
      </c>
      <c r="Q1344" s="8">
        <f t="shared" si="103"/>
        <v>1328</v>
      </c>
      <c r="R1344" s="2" t="s">
        <v>50</v>
      </c>
      <c r="S1344" s="9">
        <f t="shared" si="104"/>
        <v>51.300000000000004</v>
      </c>
    </row>
    <row r="1345" spans="1:19" x14ac:dyDescent="0.3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str">
        <f>IFERROR(VLOOKUP('Customer Info'!A1337,'Customer Info'!A1337:C1836,2,FALSE),"Not Found")</f>
        <v>Not Found</v>
      </c>
      <c r="H1345" s="6" t="str">
        <f>IFERROR(VLOOKUP('Customer Info'!A1337,'Customer Info'!A1337:C1836,3,FALSE),"Not Found")</f>
        <v>Not Found</v>
      </c>
      <c r="I1345" s="6" t="str">
        <f>IFERROR(VLOOKUP('Customer Info'!A1337,'Customer Info'!A1337:E1836,5,FALSE),"Not Found")</f>
        <v>Not Found</v>
      </c>
      <c r="J1345" s="2">
        <v>8665</v>
      </c>
      <c r="K1345" s="2">
        <v>7723</v>
      </c>
      <c r="L1345" s="2">
        <v>3</v>
      </c>
      <c r="M1345" s="7">
        <f t="shared" si="100"/>
        <v>23169</v>
      </c>
      <c r="N1345" s="7">
        <f t="shared" si="101"/>
        <v>25995</v>
      </c>
      <c r="O1345" s="2">
        <v>68</v>
      </c>
      <c r="P1345" s="8">
        <f t="shared" si="102"/>
        <v>26063</v>
      </c>
      <c r="Q1345" s="8">
        <f t="shared" si="103"/>
        <v>18272</v>
      </c>
      <c r="R1345" s="2" t="s">
        <v>50</v>
      </c>
      <c r="S1345" s="9">
        <f t="shared" si="104"/>
        <v>1824.41</v>
      </c>
    </row>
    <row r="1346" spans="1:19" x14ac:dyDescent="0.3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str">
        <f>IFERROR(VLOOKUP('Customer Info'!A1338,'Customer Info'!A1338:C1837,2,FALSE),"Not Found")</f>
        <v>Not Found</v>
      </c>
      <c r="H1346" s="6" t="str">
        <f>IFERROR(VLOOKUP('Customer Info'!A1338,'Customer Info'!A1338:C1837,3,FALSE),"Not Found")</f>
        <v>Not Found</v>
      </c>
      <c r="I1346" s="6" t="str">
        <f>IFERROR(VLOOKUP('Customer Info'!A1338,'Customer Info'!A1338:E1837,5,FALSE),"Not Found")</f>
        <v>Not Found</v>
      </c>
      <c r="J1346" s="2">
        <v>531</v>
      </c>
      <c r="K1346" s="2">
        <v>487</v>
      </c>
      <c r="L1346" s="2">
        <v>3</v>
      </c>
      <c r="M1346" s="7">
        <f t="shared" si="100"/>
        <v>1461</v>
      </c>
      <c r="N1346" s="7">
        <f t="shared" si="101"/>
        <v>1593</v>
      </c>
      <c r="O1346" s="2">
        <v>96</v>
      </c>
      <c r="P1346" s="8">
        <f t="shared" si="102"/>
        <v>1689</v>
      </c>
      <c r="Q1346" s="8">
        <f t="shared" si="103"/>
        <v>1106</v>
      </c>
      <c r="R1346" s="2" t="s">
        <v>50</v>
      </c>
      <c r="S1346" s="9">
        <f t="shared" si="104"/>
        <v>33.78</v>
      </c>
    </row>
    <row r="1347" spans="1:19" x14ac:dyDescent="0.3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str">
        <f>IFERROR(VLOOKUP('Customer Info'!A1339,'Customer Info'!A1339:C1838,2,FALSE),"Not Found")</f>
        <v>Not Found</v>
      </c>
      <c r="H1347" s="6" t="str">
        <f>IFERROR(VLOOKUP('Customer Info'!A1339,'Customer Info'!A1339:C1838,3,FALSE),"Not Found")</f>
        <v>Not Found</v>
      </c>
      <c r="I1347" s="6" t="str">
        <f>IFERROR(VLOOKUP('Customer Info'!A1339,'Customer Info'!A1339:E1838,5,FALSE),"Not Found")</f>
        <v>Not Found</v>
      </c>
      <c r="J1347" s="2">
        <v>170</v>
      </c>
      <c r="K1347" s="2">
        <v>153</v>
      </c>
      <c r="L1347" s="2">
        <v>1</v>
      </c>
      <c r="M1347" s="7">
        <f t="shared" si="100"/>
        <v>153</v>
      </c>
      <c r="N1347" s="7">
        <f t="shared" si="101"/>
        <v>170</v>
      </c>
      <c r="O1347" s="2">
        <v>30</v>
      </c>
      <c r="P1347" s="8">
        <f t="shared" si="102"/>
        <v>200</v>
      </c>
      <c r="Q1347" s="8">
        <f t="shared" si="103"/>
        <v>17</v>
      </c>
      <c r="R1347" s="2" t="s">
        <v>28</v>
      </c>
      <c r="S1347" s="9">
        <f t="shared" si="104"/>
        <v>4</v>
      </c>
    </row>
    <row r="1348" spans="1:19" x14ac:dyDescent="0.3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str">
        <f>IFERROR(VLOOKUP('Customer Info'!A1340,'Customer Info'!A1340:C1839,2,FALSE),"Not Found")</f>
        <v>Not Found</v>
      </c>
      <c r="H1348" s="6" t="str">
        <f>IFERROR(VLOOKUP('Customer Info'!A1340,'Customer Info'!A1340:C1839,3,FALSE),"Not Found")</f>
        <v>Not Found</v>
      </c>
      <c r="I1348" s="6" t="str">
        <f>IFERROR(VLOOKUP('Customer Info'!A1340,'Customer Info'!A1340:E1839,5,FALSE),"Not Found")</f>
        <v>Not Found</v>
      </c>
      <c r="J1348" s="2">
        <v>6598</v>
      </c>
      <c r="K1348" s="2">
        <v>6346</v>
      </c>
      <c r="L1348" s="2">
        <v>2</v>
      </c>
      <c r="M1348" s="7">
        <f t="shared" si="100"/>
        <v>12692</v>
      </c>
      <c r="N1348" s="7">
        <f t="shared" si="101"/>
        <v>13196</v>
      </c>
      <c r="O1348" s="2">
        <v>57</v>
      </c>
      <c r="P1348" s="8">
        <f t="shared" si="102"/>
        <v>13253</v>
      </c>
      <c r="Q1348" s="8">
        <f t="shared" si="103"/>
        <v>6850</v>
      </c>
      <c r="R1348" s="2" t="s">
        <v>50</v>
      </c>
      <c r="S1348" s="9">
        <f t="shared" si="104"/>
        <v>662.65000000000009</v>
      </c>
    </row>
    <row r="1349" spans="1:19" x14ac:dyDescent="0.3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str">
        <f>IFERROR(VLOOKUP('Customer Info'!A1341,'Customer Info'!A1341:C1840,2,FALSE),"Not Found")</f>
        <v>Not Found</v>
      </c>
      <c r="H1349" s="6" t="str">
        <f>IFERROR(VLOOKUP('Customer Info'!A1341,'Customer Info'!A1341:C1840,3,FALSE),"Not Found")</f>
        <v>Not Found</v>
      </c>
      <c r="I1349" s="6" t="str">
        <f>IFERROR(VLOOKUP('Customer Info'!A1341,'Customer Info'!A1341:E1840,5,FALSE),"Not Found")</f>
        <v>Not Found</v>
      </c>
      <c r="J1349" s="2">
        <v>1585</v>
      </c>
      <c r="K1349" s="2">
        <v>1495</v>
      </c>
      <c r="L1349" s="2">
        <v>1</v>
      </c>
      <c r="M1349" s="7">
        <f t="shared" si="100"/>
        <v>1495</v>
      </c>
      <c r="N1349" s="7">
        <f t="shared" si="101"/>
        <v>1585</v>
      </c>
      <c r="O1349" s="2">
        <v>61</v>
      </c>
      <c r="P1349" s="8">
        <f t="shared" si="102"/>
        <v>1646</v>
      </c>
      <c r="Q1349" s="8">
        <f t="shared" si="103"/>
        <v>90</v>
      </c>
      <c r="R1349" s="2" t="s">
        <v>28</v>
      </c>
      <c r="S1349" s="9">
        <f t="shared" si="104"/>
        <v>32.92</v>
      </c>
    </row>
    <row r="1350" spans="1:19" x14ac:dyDescent="0.3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str">
        <f>IFERROR(VLOOKUP('Customer Info'!A1342,'Customer Info'!A1342:C1841,2,FALSE),"Not Found")</f>
        <v>Not Found</v>
      </c>
      <c r="H1350" s="6" t="str">
        <f>IFERROR(VLOOKUP('Customer Info'!A1342,'Customer Info'!A1342:C1841,3,FALSE),"Not Found")</f>
        <v>Not Found</v>
      </c>
      <c r="I1350" s="6" t="str">
        <f>IFERROR(VLOOKUP('Customer Info'!A1342,'Customer Info'!A1342:E1841,5,FALSE),"Not Found")</f>
        <v>Not Found</v>
      </c>
      <c r="J1350" s="2">
        <v>1816</v>
      </c>
      <c r="K1350" s="2">
        <v>1700</v>
      </c>
      <c r="L1350" s="2">
        <v>1</v>
      </c>
      <c r="M1350" s="7">
        <f t="shared" si="100"/>
        <v>1700</v>
      </c>
      <c r="N1350" s="7">
        <f t="shared" si="101"/>
        <v>1816</v>
      </c>
      <c r="O1350" s="2">
        <v>95</v>
      </c>
      <c r="P1350" s="8">
        <f t="shared" si="102"/>
        <v>1911</v>
      </c>
      <c r="Q1350" s="8">
        <f t="shared" si="103"/>
        <v>116</v>
      </c>
      <c r="R1350" s="2" t="s">
        <v>28</v>
      </c>
      <c r="S1350" s="9">
        <f t="shared" si="104"/>
        <v>38.22</v>
      </c>
    </row>
    <row r="1351" spans="1:19" x14ac:dyDescent="0.3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str">
        <f>IFERROR(VLOOKUP('Customer Info'!A1343,'Customer Info'!A1343:C1842,2,FALSE),"Not Found")</f>
        <v>Not Found</v>
      </c>
      <c r="H1351" s="6" t="str">
        <f>IFERROR(VLOOKUP('Customer Info'!A1343,'Customer Info'!A1343:C1842,3,FALSE),"Not Found")</f>
        <v>Not Found</v>
      </c>
      <c r="I1351" s="6" t="str">
        <f>IFERROR(VLOOKUP('Customer Info'!A1343,'Customer Info'!A1343:E1842,5,FALSE),"Not Found")</f>
        <v>Not Found</v>
      </c>
      <c r="J1351" s="2">
        <v>2864</v>
      </c>
      <c r="K1351" s="2">
        <v>2754</v>
      </c>
      <c r="L1351" s="2">
        <v>5</v>
      </c>
      <c r="M1351" s="7">
        <f t="shared" si="100"/>
        <v>13770</v>
      </c>
      <c r="N1351" s="7">
        <f t="shared" si="101"/>
        <v>14320</v>
      </c>
      <c r="O1351" s="2">
        <v>54</v>
      </c>
      <c r="P1351" s="8">
        <f t="shared" si="102"/>
        <v>14374</v>
      </c>
      <c r="Q1351" s="8">
        <f t="shared" si="103"/>
        <v>11566</v>
      </c>
      <c r="R1351" s="2" t="s">
        <v>28</v>
      </c>
      <c r="S1351" s="9">
        <f t="shared" si="104"/>
        <v>718.7</v>
      </c>
    </row>
    <row r="1352" spans="1:19" x14ac:dyDescent="0.3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str">
        <f>IFERROR(VLOOKUP('Customer Info'!A1344,'Customer Info'!A1344:C1843,2,FALSE),"Not Found")</f>
        <v>Not Found</v>
      </c>
      <c r="H1352" s="6" t="str">
        <f>IFERROR(VLOOKUP('Customer Info'!A1344,'Customer Info'!A1344:C1843,3,FALSE),"Not Found")</f>
        <v>Not Found</v>
      </c>
      <c r="I1352" s="6" t="str">
        <f>IFERROR(VLOOKUP('Customer Info'!A1344,'Customer Info'!A1344:E1843,5,FALSE),"Not Found")</f>
        <v>Not Found</v>
      </c>
      <c r="J1352" s="2">
        <v>5906</v>
      </c>
      <c r="K1352" s="2">
        <v>5266</v>
      </c>
      <c r="L1352" s="2">
        <v>2</v>
      </c>
      <c r="M1352" s="7">
        <f t="shared" si="100"/>
        <v>10532</v>
      </c>
      <c r="N1352" s="7">
        <f t="shared" si="101"/>
        <v>11812</v>
      </c>
      <c r="O1352" s="2">
        <v>34</v>
      </c>
      <c r="P1352" s="8">
        <f t="shared" si="102"/>
        <v>11846</v>
      </c>
      <c r="Q1352" s="8">
        <f t="shared" si="103"/>
        <v>6546</v>
      </c>
      <c r="R1352" s="2" t="s">
        <v>28</v>
      </c>
      <c r="S1352" s="9">
        <f t="shared" si="104"/>
        <v>592.30000000000007</v>
      </c>
    </row>
    <row r="1353" spans="1:19" x14ac:dyDescent="0.3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str">
        <f>IFERROR(VLOOKUP('Customer Info'!A1345,'Customer Info'!A1345:C1844,2,FALSE),"Not Found")</f>
        <v>Not Found</v>
      </c>
      <c r="H1353" s="6" t="str">
        <f>IFERROR(VLOOKUP('Customer Info'!A1345,'Customer Info'!A1345:C1844,3,FALSE),"Not Found")</f>
        <v>Not Found</v>
      </c>
      <c r="I1353" s="6" t="str">
        <f>IFERROR(VLOOKUP('Customer Info'!A1345,'Customer Info'!A1345:E1844,5,FALSE),"Not Found")</f>
        <v>Not Found</v>
      </c>
      <c r="J1353" s="2">
        <v>4002</v>
      </c>
      <c r="K1353" s="2">
        <v>3744</v>
      </c>
      <c r="L1353" s="2">
        <v>6</v>
      </c>
      <c r="M1353" s="7">
        <f t="shared" si="100"/>
        <v>22464</v>
      </c>
      <c r="N1353" s="7">
        <f t="shared" si="101"/>
        <v>24012</v>
      </c>
      <c r="O1353" s="2">
        <v>59</v>
      </c>
      <c r="P1353" s="8">
        <f t="shared" si="102"/>
        <v>24071</v>
      </c>
      <c r="Q1353" s="8">
        <f t="shared" si="103"/>
        <v>20268</v>
      </c>
      <c r="R1353" s="2" t="s">
        <v>50</v>
      </c>
      <c r="S1353" s="9">
        <f t="shared" si="104"/>
        <v>1203.55</v>
      </c>
    </row>
    <row r="1354" spans="1:19" x14ac:dyDescent="0.3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str">
        <f>IFERROR(VLOOKUP('Customer Info'!A1346,'Customer Info'!A1346:C1845,2,FALSE),"Not Found")</f>
        <v>Not Found</v>
      </c>
      <c r="H1354" s="6" t="str">
        <f>IFERROR(VLOOKUP('Customer Info'!A1346,'Customer Info'!A1346:C1845,3,FALSE),"Not Found")</f>
        <v>Not Found</v>
      </c>
      <c r="I1354" s="6" t="str">
        <f>IFERROR(VLOOKUP('Customer Info'!A1346,'Customer Info'!A1346:E1845,5,FALSE),"Not Found")</f>
        <v>Not Found</v>
      </c>
      <c r="J1354" s="2">
        <v>222</v>
      </c>
      <c r="K1354" s="2">
        <v>204</v>
      </c>
      <c r="L1354" s="2">
        <v>6</v>
      </c>
      <c r="M1354" s="7">
        <f t="shared" si="100"/>
        <v>1224</v>
      </c>
      <c r="N1354" s="7">
        <f t="shared" si="101"/>
        <v>1332</v>
      </c>
      <c r="O1354" s="2">
        <v>43</v>
      </c>
      <c r="P1354" s="8">
        <f t="shared" si="102"/>
        <v>1375</v>
      </c>
      <c r="Q1354" s="8">
        <f t="shared" si="103"/>
        <v>1128</v>
      </c>
      <c r="R1354" s="2" t="s">
        <v>28</v>
      </c>
      <c r="S1354" s="9">
        <f t="shared" si="104"/>
        <v>27.5</v>
      </c>
    </row>
    <row r="1355" spans="1:19" x14ac:dyDescent="0.3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str">
        <f>IFERROR(VLOOKUP('Customer Info'!A1347,'Customer Info'!A1347:C1846,2,FALSE),"Not Found")</f>
        <v>Not Found</v>
      </c>
      <c r="H1355" s="6" t="str">
        <f>IFERROR(VLOOKUP('Customer Info'!A1347,'Customer Info'!A1347:C1846,3,FALSE),"Not Found")</f>
        <v>Not Found</v>
      </c>
      <c r="I1355" s="6" t="str">
        <f>IFERROR(VLOOKUP('Customer Info'!A1347,'Customer Info'!A1347:E1846,5,FALSE),"Not Found")</f>
        <v>Not Found</v>
      </c>
      <c r="J1355" s="2">
        <v>1358</v>
      </c>
      <c r="K1355" s="2">
        <v>1257</v>
      </c>
      <c r="L1355" s="2">
        <v>2</v>
      </c>
      <c r="M1355" s="7">
        <f t="shared" ref="M1355:M1418" si="105">$K1355*$L1355</f>
        <v>2514</v>
      </c>
      <c r="N1355" s="7">
        <f t="shared" ref="N1355:N1418" si="106">$J1355*$L1355</f>
        <v>2716</v>
      </c>
      <c r="O1355" s="2">
        <v>33</v>
      </c>
      <c r="P1355" s="8">
        <f t="shared" ref="P1355:P1418" si="107">$N1355+$O1355</f>
        <v>2749</v>
      </c>
      <c r="Q1355" s="8">
        <f t="shared" ref="Q1355:Q1418" si="108">$N1355-$K1355</f>
        <v>1459</v>
      </c>
      <c r="R1355" s="2" t="s">
        <v>28</v>
      </c>
      <c r="S1355" s="9">
        <f t="shared" ref="S1355:S1418" si="109" xml:space="preserve"> P1355 * VLOOKUP(P1355, $T$2:$U$6, 2, TRUE)</f>
        <v>54.980000000000004</v>
      </c>
    </row>
    <row r="1356" spans="1:19" x14ac:dyDescent="0.3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str">
        <f>IFERROR(VLOOKUP('Customer Info'!A1348,'Customer Info'!A1348:C1847,2,FALSE),"Not Found")</f>
        <v>Not Found</v>
      </c>
      <c r="H1356" s="6" t="str">
        <f>IFERROR(VLOOKUP('Customer Info'!A1348,'Customer Info'!A1348:C1847,3,FALSE),"Not Found")</f>
        <v>Not Found</v>
      </c>
      <c r="I1356" s="6" t="str">
        <f>IFERROR(VLOOKUP('Customer Info'!A1348,'Customer Info'!A1348:E1847,5,FALSE),"Not Found")</f>
        <v>Not Found</v>
      </c>
      <c r="J1356" s="2">
        <v>914</v>
      </c>
      <c r="K1356" s="2">
        <v>830</v>
      </c>
      <c r="L1356" s="2">
        <v>7</v>
      </c>
      <c r="M1356" s="7">
        <f t="shared" si="105"/>
        <v>5810</v>
      </c>
      <c r="N1356" s="7">
        <f t="shared" si="106"/>
        <v>6398</v>
      </c>
      <c r="O1356" s="2">
        <v>66</v>
      </c>
      <c r="P1356" s="8">
        <f t="shared" si="107"/>
        <v>6464</v>
      </c>
      <c r="Q1356" s="8">
        <f t="shared" si="108"/>
        <v>5568</v>
      </c>
      <c r="R1356" s="2" t="s">
        <v>50</v>
      </c>
      <c r="S1356" s="9">
        <f t="shared" si="109"/>
        <v>323.20000000000005</v>
      </c>
    </row>
    <row r="1357" spans="1:19" x14ac:dyDescent="0.3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str">
        <f>IFERROR(VLOOKUP('Customer Info'!A1349,'Customer Info'!A1349:C1848,2,FALSE),"Not Found")</f>
        <v>Not Found</v>
      </c>
      <c r="H1357" s="6" t="str">
        <f>IFERROR(VLOOKUP('Customer Info'!A1349,'Customer Info'!A1349:C1848,3,FALSE),"Not Found")</f>
        <v>Not Found</v>
      </c>
      <c r="I1357" s="6" t="str">
        <f>IFERROR(VLOOKUP('Customer Info'!A1349,'Customer Info'!A1349:E1848,5,FALSE),"Not Found")</f>
        <v>Not Found</v>
      </c>
      <c r="J1357" s="2">
        <v>171</v>
      </c>
      <c r="K1357" s="2">
        <v>153</v>
      </c>
      <c r="L1357" s="2">
        <v>4</v>
      </c>
      <c r="M1357" s="7">
        <f t="shared" si="105"/>
        <v>612</v>
      </c>
      <c r="N1357" s="7">
        <f t="shared" si="106"/>
        <v>684</v>
      </c>
      <c r="O1357" s="2">
        <v>30</v>
      </c>
      <c r="P1357" s="8">
        <f t="shared" si="107"/>
        <v>714</v>
      </c>
      <c r="Q1357" s="8">
        <f t="shared" si="108"/>
        <v>531</v>
      </c>
      <c r="R1357" s="2" t="s">
        <v>28</v>
      </c>
      <c r="S1357" s="9">
        <f t="shared" si="109"/>
        <v>14.280000000000001</v>
      </c>
    </row>
    <row r="1358" spans="1:19" x14ac:dyDescent="0.3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str">
        <f>IFERROR(VLOOKUP('Customer Info'!A1350,'Customer Info'!A1350:C1849,2,FALSE),"Not Found")</f>
        <v>Not Found</v>
      </c>
      <c r="H1358" s="6" t="str">
        <f>IFERROR(VLOOKUP('Customer Info'!A1350,'Customer Info'!A1350:C1849,3,FALSE),"Not Found")</f>
        <v>Not Found</v>
      </c>
      <c r="I1358" s="6" t="str">
        <f>IFERROR(VLOOKUP('Customer Info'!A1350,'Customer Info'!A1350:E1849,5,FALSE),"Not Found")</f>
        <v>Not Found</v>
      </c>
      <c r="J1358" s="2">
        <v>2088</v>
      </c>
      <c r="K1358" s="2">
        <v>1970</v>
      </c>
      <c r="L1358" s="2">
        <v>3</v>
      </c>
      <c r="M1358" s="7">
        <f t="shared" si="105"/>
        <v>5910</v>
      </c>
      <c r="N1358" s="7">
        <f t="shared" si="106"/>
        <v>6264</v>
      </c>
      <c r="O1358" s="2">
        <v>94</v>
      </c>
      <c r="P1358" s="8">
        <f t="shared" si="107"/>
        <v>6358</v>
      </c>
      <c r="Q1358" s="8">
        <f t="shared" si="108"/>
        <v>4294</v>
      </c>
      <c r="R1358" s="2" t="s">
        <v>50</v>
      </c>
      <c r="S1358" s="9">
        <f t="shared" si="109"/>
        <v>317.90000000000003</v>
      </c>
    </row>
    <row r="1359" spans="1:19" x14ac:dyDescent="0.3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str">
        <f>IFERROR(VLOOKUP('Customer Info'!A1351,'Customer Info'!A1351:C1850,2,FALSE),"Not Found")</f>
        <v>Not Found</v>
      </c>
      <c r="H1359" s="6" t="str">
        <f>IFERROR(VLOOKUP('Customer Info'!A1351,'Customer Info'!A1351:C1850,3,FALSE),"Not Found")</f>
        <v>Not Found</v>
      </c>
      <c r="I1359" s="6" t="str">
        <f>IFERROR(VLOOKUP('Customer Info'!A1351,'Customer Info'!A1351:E1850,5,FALSE),"Not Found")</f>
        <v>Not Found</v>
      </c>
      <c r="J1359" s="2">
        <v>69</v>
      </c>
      <c r="K1359" s="2">
        <v>64</v>
      </c>
      <c r="L1359" s="2">
        <v>2</v>
      </c>
      <c r="M1359" s="7">
        <f t="shared" si="105"/>
        <v>128</v>
      </c>
      <c r="N1359" s="7">
        <f t="shared" si="106"/>
        <v>138</v>
      </c>
      <c r="O1359" s="2">
        <v>10</v>
      </c>
      <c r="P1359" s="8">
        <f t="shared" si="107"/>
        <v>148</v>
      </c>
      <c r="Q1359" s="8">
        <f t="shared" si="108"/>
        <v>74</v>
      </c>
      <c r="R1359" s="2" t="s">
        <v>28</v>
      </c>
      <c r="S1359" s="9">
        <f t="shared" si="109"/>
        <v>2.96</v>
      </c>
    </row>
    <row r="1360" spans="1:19" x14ac:dyDescent="0.3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str">
        <f>IFERROR(VLOOKUP('Customer Info'!A1352,'Customer Info'!A1352:C1851,2,FALSE),"Not Found")</f>
        <v>Not Found</v>
      </c>
      <c r="H1360" s="6" t="str">
        <f>IFERROR(VLOOKUP('Customer Info'!A1352,'Customer Info'!A1352:C1851,3,FALSE),"Not Found")</f>
        <v>Not Found</v>
      </c>
      <c r="I1360" s="6" t="str">
        <f>IFERROR(VLOOKUP('Customer Info'!A1352,'Customer Info'!A1352:E1851,5,FALSE),"Not Found")</f>
        <v>Not Found</v>
      </c>
      <c r="J1360" s="2">
        <v>1283</v>
      </c>
      <c r="K1360" s="2">
        <v>1187</v>
      </c>
      <c r="L1360" s="2">
        <v>3</v>
      </c>
      <c r="M1360" s="7">
        <f t="shared" si="105"/>
        <v>3561</v>
      </c>
      <c r="N1360" s="7">
        <f t="shared" si="106"/>
        <v>3849</v>
      </c>
      <c r="O1360" s="2">
        <v>69</v>
      </c>
      <c r="P1360" s="8">
        <f t="shared" si="107"/>
        <v>3918</v>
      </c>
      <c r="Q1360" s="8">
        <f t="shared" si="108"/>
        <v>2662</v>
      </c>
      <c r="R1360" s="2" t="s">
        <v>50</v>
      </c>
      <c r="S1360" s="9">
        <f t="shared" si="109"/>
        <v>78.36</v>
      </c>
    </row>
    <row r="1361" spans="1:19" x14ac:dyDescent="0.3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str">
        <f>IFERROR(VLOOKUP('Customer Info'!A1353,'Customer Info'!A1353:C1852,2,FALSE),"Not Found")</f>
        <v>Not Found</v>
      </c>
      <c r="H1361" s="6" t="str">
        <f>IFERROR(VLOOKUP('Customer Info'!A1353,'Customer Info'!A1353:C1852,3,FALSE),"Not Found")</f>
        <v>Not Found</v>
      </c>
      <c r="I1361" s="6" t="str">
        <f>IFERROR(VLOOKUP('Customer Info'!A1353,'Customer Info'!A1353:E1852,5,FALSE),"Not Found")</f>
        <v>Not Found</v>
      </c>
      <c r="J1361" s="2">
        <v>62</v>
      </c>
      <c r="K1361" s="2">
        <v>58</v>
      </c>
      <c r="L1361" s="2">
        <v>11</v>
      </c>
      <c r="M1361" s="7">
        <f t="shared" si="105"/>
        <v>638</v>
      </c>
      <c r="N1361" s="7">
        <f t="shared" si="106"/>
        <v>682</v>
      </c>
      <c r="O1361" s="2">
        <v>10</v>
      </c>
      <c r="P1361" s="8">
        <f t="shared" si="107"/>
        <v>692</v>
      </c>
      <c r="Q1361" s="8">
        <f t="shared" si="108"/>
        <v>624</v>
      </c>
      <c r="R1361" s="2" t="s">
        <v>50</v>
      </c>
      <c r="S1361" s="9">
        <f t="shared" si="109"/>
        <v>13.84</v>
      </c>
    </row>
    <row r="1362" spans="1:19" x14ac:dyDescent="0.3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str">
        <f>IFERROR(VLOOKUP('Customer Info'!A1354,'Customer Info'!A1354:C1853,2,FALSE),"Not Found")</f>
        <v>Not Found</v>
      </c>
      <c r="H1362" s="6" t="str">
        <f>IFERROR(VLOOKUP('Customer Info'!A1354,'Customer Info'!A1354:C1853,3,FALSE),"Not Found")</f>
        <v>Not Found</v>
      </c>
      <c r="I1362" s="6" t="str">
        <f>IFERROR(VLOOKUP('Customer Info'!A1354,'Customer Info'!A1354:E1853,5,FALSE),"Not Found")</f>
        <v>Not Found</v>
      </c>
      <c r="J1362" s="2">
        <v>2155</v>
      </c>
      <c r="K1362" s="2">
        <v>2014</v>
      </c>
      <c r="L1362" s="2">
        <v>5</v>
      </c>
      <c r="M1362" s="7">
        <f t="shared" si="105"/>
        <v>10070</v>
      </c>
      <c r="N1362" s="7">
        <f t="shared" si="106"/>
        <v>10775</v>
      </c>
      <c r="O1362" s="2">
        <v>56</v>
      </c>
      <c r="P1362" s="8">
        <f t="shared" si="107"/>
        <v>10831</v>
      </c>
      <c r="Q1362" s="8">
        <f t="shared" si="108"/>
        <v>8761</v>
      </c>
      <c r="R1362" s="2" t="s">
        <v>28</v>
      </c>
      <c r="S1362" s="9">
        <f t="shared" si="109"/>
        <v>541.55000000000007</v>
      </c>
    </row>
    <row r="1363" spans="1:19" x14ac:dyDescent="0.3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str">
        <f>IFERROR(VLOOKUP('Customer Info'!A1355,'Customer Info'!A1355:C1854,2,FALSE),"Not Found")</f>
        <v>Not Found</v>
      </c>
      <c r="H1363" s="6" t="str">
        <f>IFERROR(VLOOKUP('Customer Info'!A1355,'Customer Info'!A1355:C1854,3,FALSE),"Not Found")</f>
        <v>Not Found</v>
      </c>
      <c r="I1363" s="6" t="str">
        <f>IFERROR(VLOOKUP('Customer Info'!A1355,'Customer Info'!A1355:E1854,5,FALSE),"Not Found")</f>
        <v>Not Found</v>
      </c>
      <c r="J1363" s="2">
        <v>1556</v>
      </c>
      <c r="K1363" s="2">
        <v>1414</v>
      </c>
      <c r="L1363" s="2">
        <v>2</v>
      </c>
      <c r="M1363" s="7">
        <f t="shared" si="105"/>
        <v>2828</v>
      </c>
      <c r="N1363" s="7">
        <f t="shared" si="106"/>
        <v>3112</v>
      </c>
      <c r="O1363" s="2">
        <v>93</v>
      </c>
      <c r="P1363" s="8">
        <f t="shared" si="107"/>
        <v>3205</v>
      </c>
      <c r="Q1363" s="8">
        <f t="shared" si="108"/>
        <v>1698</v>
      </c>
      <c r="R1363" s="2" t="s">
        <v>28</v>
      </c>
      <c r="S1363" s="9">
        <f t="shared" si="109"/>
        <v>64.099999999999994</v>
      </c>
    </row>
    <row r="1364" spans="1:19" x14ac:dyDescent="0.3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str">
        <f>IFERROR(VLOOKUP('Customer Info'!A1356,'Customer Info'!A1356:C1855,2,FALSE),"Not Found")</f>
        <v>Not Found</v>
      </c>
      <c r="H1364" s="6" t="str">
        <f>IFERROR(VLOOKUP('Customer Info'!A1356,'Customer Info'!A1356:C1855,3,FALSE),"Not Found")</f>
        <v>Not Found</v>
      </c>
      <c r="I1364" s="6" t="str">
        <f>IFERROR(VLOOKUP('Customer Info'!A1356,'Customer Info'!A1356:E1855,5,FALSE),"Not Found")</f>
        <v>Not Found</v>
      </c>
      <c r="J1364" s="2">
        <v>1453</v>
      </c>
      <c r="K1364" s="2">
        <v>1411</v>
      </c>
      <c r="L1364" s="2">
        <v>2</v>
      </c>
      <c r="M1364" s="7">
        <f t="shared" si="105"/>
        <v>2822</v>
      </c>
      <c r="N1364" s="7">
        <f t="shared" si="106"/>
        <v>2906</v>
      </c>
      <c r="O1364" s="2">
        <v>32</v>
      </c>
      <c r="P1364" s="8">
        <f t="shared" si="107"/>
        <v>2938</v>
      </c>
      <c r="Q1364" s="8">
        <f t="shared" si="108"/>
        <v>1495</v>
      </c>
      <c r="R1364" s="2" t="s">
        <v>28</v>
      </c>
      <c r="S1364" s="9">
        <f t="shared" si="109"/>
        <v>58.76</v>
      </c>
    </row>
    <row r="1365" spans="1:19" x14ac:dyDescent="0.3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str">
        <f>IFERROR(VLOOKUP('Customer Info'!A1357,'Customer Info'!A1357:C1856,2,FALSE),"Not Found")</f>
        <v>Not Found</v>
      </c>
      <c r="H1365" s="6" t="str">
        <f>IFERROR(VLOOKUP('Customer Info'!A1357,'Customer Info'!A1357:C1856,3,FALSE),"Not Found")</f>
        <v>Not Found</v>
      </c>
      <c r="I1365" s="6" t="str">
        <f>IFERROR(VLOOKUP('Customer Info'!A1357,'Customer Info'!A1357:E1856,5,FALSE),"Not Found")</f>
        <v>Not Found</v>
      </c>
      <c r="J1365" s="2">
        <v>144</v>
      </c>
      <c r="K1365" s="2">
        <v>132</v>
      </c>
      <c r="L1365" s="2">
        <v>6</v>
      </c>
      <c r="M1365" s="7">
        <f t="shared" si="105"/>
        <v>792</v>
      </c>
      <c r="N1365" s="7">
        <f t="shared" si="106"/>
        <v>864</v>
      </c>
      <c r="O1365" s="2">
        <v>30</v>
      </c>
      <c r="P1365" s="8">
        <f t="shared" si="107"/>
        <v>894</v>
      </c>
      <c r="Q1365" s="8">
        <f t="shared" si="108"/>
        <v>732</v>
      </c>
      <c r="R1365" s="2" t="s">
        <v>50</v>
      </c>
      <c r="S1365" s="9">
        <f t="shared" si="109"/>
        <v>17.88</v>
      </c>
    </row>
    <row r="1366" spans="1:19" x14ac:dyDescent="0.3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str">
        <f>IFERROR(VLOOKUP('Customer Info'!A1358,'Customer Info'!A1358:C1857,2,FALSE),"Not Found")</f>
        <v>Not Found</v>
      </c>
      <c r="H1366" s="6" t="str">
        <f>IFERROR(VLOOKUP('Customer Info'!A1358,'Customer Info'!A1358:C1857,3,FALSE),"Not Found")</f>
        <v>Not Found</v>
      </c>
      <c r="I1366" s="6" t="str">
        <f>IFERROR(VLOOKUP('Customer Info'!A1358,'Customer Info'!A1358:E1857,5,FALSE),"Not Found")</f>
        <v>Not Found</v>
      </c>
      <c r="J1366" s="2">
        <v>143</v>
      </c>
      <c r="K1366" s="2">
        <v>137</v>
      </c>
      <c r="L1366" s="2">
        <v>4</v>
      </c>
      <c r="M1366" s="7">
        <f t="shared" si="105"/>
        <v>548</v>
      </c>
      <c r="N1366" s="7">
        <f t="shared" si="106"/>
        <v>572</v>
      </c>
      <c r="O1366" s="2">
        <v>30</v>
      </c>
      <c r="P1366" s="8">
        <f t="shared" si="107"/>
        <v>602</v>
      </c>
      <c r="Q1366" s="8">
        <f t="shared" si="108"/>
        <v>435</v>
      </c>
      <c r="R1366" s="2" t="s">
        <v>26</v>
      </c>
      <c r="S1366" s="9">
        <f t="shared" si="109"/>
        <v>12.040000000000001</v>
      </c>
    </row>
    <row r="1367" spans="1:19" x14ac:dyDescent="0.3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str">
        <f>IFERROR(VLOOKUP('Customer Info'!A1359,'Customer Info'!A1359:C1858,2,FALSE),"Not Found")</f>
        <v>Not Found</v>
      </c>
      <c r="H1367" s="6" t="str">
        <f>IFERROR(VLOOKUP('Customer Info'!A1359,'Customer Info'!A1359:C1858,3,FALSE),"Not Found")</f>
        <v>Not Found</v>
      </c>
      <c r="I1367" s="6" t="str">
        <f>IFERROR(VLOOKUP('Customer Info'!A1359,'Customer Info'!A1359:E1858,5,FALSE),"Not Found")</f>
        <v>Not Found</v>
      </c>
      <c r="J1367" s="2">
        <v>8665</v>
      </c>
      <c r="K1367" s="2">
        <v>7723</v>
      </c>
      <c r="L1367" s="2">
        <v>12</v>
      </c>
      <c r="M1367" s="7">
        <f t="shared" si="105"/>
        <v>92676</v>
      </c>
      <c r="N1367" s="7">
        <f t="shared" si="106"/>
        <v>103980</v>
      </c>
      <c r="O1367" s="2">
        <v>49</v>
      </c>
      <c r="P1367" s="8">
        <f t="shared" si="107"/>
        <v>104029</v>
      </c>
      <c r="Q1367" s="8">
        <f t="shared" si="108"/>
        <v>96257</v>
      </c>
      <c r="R1367" s="2" t="s">
        <v>28</v>
      </c>
      <c r="S1367" s="9">
        <f t="shared" si="109"/>
        <v>12483.48</v>
      </c>
    </row>
    <row r="1368" spans="1:19" x14ac:dyDescent="0.3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str">
        <f>IFERROR(VLOOKUP('Customer Info'!A1360,'Customer Info'!A1360:C1859,2,FALSE),"Not Found")</f>
        <v>Not Found</v>
      </c>
      <c r="H1368" s="6" t="str">
        <f>IFERROR(VLOOKUP('Customer Info'!A1360,'Customer Info'!A1360:C1859,3,FALSE),"Not Found")</f>
        <v>Not Found</v>
      </c>
      <c r="I1368" s="6" t="str">
        <f>IFERROR(VLOOKUP('Customer Info'!A1360,'Customer Info'!A1360:E1859,5,FALSE),"Not Found")</f>
        <v>Not Found</v>
      </c>
      <c r="J1368" s="2">
        <v>1306</v>
      </c>
      <c r="K1368" s="2">
        <v>1197</v>
      </c>
      <c r="L1368" s="2">
        <v>8</v>
      </c>
      <c r="M1368" s="7">
        <f t="shared" si="105"/>
        <v>9576</v>
      </c>
      <c r="N1368" s="7">
        <f t="shared" si="106"/>
        <v>10448</v>
      </c>
      <c r="O1368" s="2">
        <v>35</v>
      </c>
      <c r="P1368" s="8">
        <f t="shared" si="107"/>
        <v>10483</v>
      </c>
      <c r="Q1368" s="8">
        <f t="shared" si="108"/>
        <v>9251</v>
      </c>
      <c r="R1368" s="2" t="s">
        <v>28</v>
      </c>
      <c r="S1368" s="9">
        <f t="shared" si="109"/>
        <v>524.15</v>
      </c>
    </row>
    <row r="1369" spans="1:19" x14ac:dyDescent="0.3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str">
        <f>IFERROR(VLOOKUP('Customer Info'!A1361,'Customer Info'!A1361:C1860,2,FALSE),"Not Found")</f>
        <v>Not Found</v>
      </c>
      <c r="H1369" s="6" t="str">
        <f>IFERROR(VLOOKUP('Customer Info'!A1361,'Customer Info'!A1361:C1860,3,FALSE),"Not Found")</f>
        <v>Not Found</v>
      </c>
      <c r="I1369" s="6" t="str">
        <f>IFERROR(VLOOKUP('Customer Info'!A1361,'Customer Info'!A1361:E1860,5,FALSE),"Not Found")</f>
        <v>Not Found</v>
      </c>
      <c r="J1369" s="2">
        <v>811</v>
      </c>
      <c r="K1369" s="2">
        <v>780</v>
      </c>
      <c r="L1369" s="2">
        <v>1</v>
      </c>
      <c r="M1369" s="7">
        <f t="shared" si="105"/>
        <v>780</v>
      </c>
      <c r="N1369" s="7">
        <f t="shared" si="106"/>
        <v>811</v>
      </c>
      <c r="O1369" s="2">
        <v>63</v>
      </c>
      <c r="P1369" s="8">
        <f t="shared" si="107"/>
        <v>874</v>
      </c>
      <c r="Q1369" s="8">
        <f t="shared" si="108"/>
        <v>31</v>
      </c>
      <c r="R1369" s="2" t="s">
        <v>50</v>
      </c>
      <c r="S1369" s="9">
        <f t="shared" si="109"/>
        <v>17.48</v>
      </c>
    </row>
    <row r="1370" spans="1:19" x14ac:dyDescent="0.3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str">
        <f>IFERROR(VLOOKUP('Customer Info'!A1362,'Customer Info'!A1362:C1861,2,FALSE),"Not Found")</f>
        <v>Not Found</v>
      </c>
      <c r="H1370" s="6" t="str">
        <f>IFERROR(VLOOKUP('Customer Info'!A1362,'Customer Info'!A1362:C1861,3,FALSE),"Not Found")</f>
        <v>Not Found</v>
      </c>
      <c r="I1370" s="6" t="str">
        <f>IFERROR(VLOOKUP('Customer Info'!A1362,'Customer Info'!A1362:E1861,5,FALSE),"Not Found")</f>
        <v>Not Found</v>
      </c>
      <c r="J1370" s="2">
        <v>288</v>
      </c>
      <c r="K1370" s="2">
        <v>264</v>
      </c>
      <c r="L1370" s="2">
        <v>3</v>
      </c>
      <c r="M1370" s="7">
        <f t="shared" si="105"/>
        <v>792</v>
      </c>
      <c r="N1370" s="7">
        <f t="shared" si="106"/>
        <v>864</v>
      </c>
      <c r="O1370" s="2">
        <v>61</v>
      </c>
      <c r="P1370" s="8">
        <f t="shared" si="107"/>
        <v>925</v>
      </c>
      <c r="Q1370" s="8">
        <f t="shared" si="108"/>
        <v>600</v>
      </c>
      <c r="R1370" s="2" t="s">
        <v>28</v>
      </c>
      <c r="S1370" s="9">
        <f t="shared" si="109"/>
        <v>18.5</v>
      </c>
    </row>
    <row r="1371" spans="1:19" x14ac:dyDescent="0.3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str">
        <f>IFERROR(VLOOKUP('Customer Info'!A1363,'Customer Info'!A1363:C1862,2,FALSE),"Not Found")</f>
        <v>Not Found</v>
      </c>
      <c r="H1371" s="6" t="str">
        <f>IFERROR(VLOOKUP('Customer Info'!A1363,'Customer Info'!A1363:C1862,3,FALSE),"Not Found")</f>
        <v>Not Found</v>
      </c>
      <c r="I1371" s="6" t="str">
        <f>IFERROR(VLOOKUP('Customer Info'!A1363,'Customer Info'!A1363:E1862,5,FALSE),"Not Found")</f>
        <v>Not Found</v>
      </c>
      <c r="J1371" s="2">
        <v>149</v>
      </c>
      <c r="K1371" s="2">
        <v>131</v>
      </c>
      <c r="L1371" s="2">
        <v>4</v>
      </c>
      <c r="M1371" s="7">
        <f t="shared" si="105"/>
        <v>524</v>
      </c>
      <c r="N1371" s="7">
        <f t="shared" si="106"/>
        <v>596</v>
      </c>
      <c r="O1371" s="2">
        <v>30</v>
      </c>
      <c r="P1371" s="8">
        <f t="shared" si="107"/>
        <v>626</v>
      </c>
      <c r="Q1371" s="8">
        <f t="shared" si="108"/>
        <v>465</v>
      </c>
      <c r="R1371" s="2" t="s">
        <v>28</v>
      </c>
      <c r="S1371" s="9">
        <f t="shared" si="109"/>
        <v>12.52</v>
      </c>
    </row>
    <row r="1372" spans="1:19" x14ac:dyDescent="0.3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str">
        <f>IFERROR(VLOOKUP('Customer Info'!A1364,'Customer Info'!A1364:C1863,2,FALSE),"Not Found")</f>
        <v>Not Found</v>
      </c>
      <c r="H1372" s="6" t="str">
        <f>IFERROR(VLOOKUP('Customer Info'!A1364,'Customer Info'!A1364:C1863,3,FALSE),"Not Found")</f>
        <v>Not Found</v>
      </c>
      <c r="I1372" s="6" t="str">
        <f>IFERROR(VLOOKUP('Customer Info'!A1364,'Customer Info'!A1364:E1863,5,FALSE),"Not Found")</f>
        <v>Not Found</v>
      </c>
      <c r="J1372" s="2">
        <v>1518</v>
      </c>
      <c r="K1372" s="2">
        <v>1392</v>
      </c>
      <c r="L1372" s="2">
        <v>7</v>
      </c>
      <c r="M1372" s="7">
        <f t="shared" si="105"/>
        <v>9744</v>
      </c>
      <c r="N1372" s="7">
        <f t="shared" si="106"/>
        <v>10626</v>
      </c>
      <c r="O1372" s="2">
        <v>70</v>
      </c>
      <c r="P1372" s="8">
        <f t="shared" si="107"/>
        <v>10696</v>
      </c>
      <c r="Q1372" s="8">
        <f t="shared" si="108"/>
        <v>9234</v>
      </c>
      <c r="R1372" s="2" t="s">
        <v>28</v>
      </c>
      <c r="S1372" s="9">
        <f t="shared" si="109"/>
        <v>534.80000000000007</v>
      </c>
    </row>
    <row r="1373" spans="1:19" x14ac:dyDescent="0.3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str">
        <f>IFERROR(VLOOKUP('Customer Info'!A1365,'Customer Info'!A1365:C1864,2,FALSE),"Not Found")</f>
        <v>Not Found</v>
      </c>
      <c r="H1373" s="6" t="str">
        <f>IFERROR(VLOOKUP('Customer Info'!A1365,'Customer Info'!A1365:C1864,3,FALSE),"Not Found")</f>
        <v>Not Found</v>
      </c>
      <c r="I1373" s="6" t="str">
        <f>IFERROR(VLOOKUP('Customer Info'!A1365,'Customer Info'!A1365:E1864,5,FALSE),"Not Found")</f>
        <v>Not Found</v>
      </c>
      <c r="J1373" s="2">
        <v>96</v>
      </c>
      <c r="K1373" s="2">
        <v>87</v>
      </c>
      <c r="L1373" s="2">
        <v>6</v>
      </c>
      <c r="M1373" s="7">
        <f t="shared" si="105"/>
        <v>522</v>
      </c>
      <c r="N1373" s="7">
        <f t="shared" si="106"/>
        <v>576</v>
      </c>
      <c r="O1373" s="2">
        <v>10</v>
      </c>
      <c r="P1373" s="8">
        <f t="shared" si="107"/>
        <v>586</v>
      </c>
      <c r="Q1373" s="8">
        <f t="shared" si="108"/>
        <v>489</v>
      </c>
      <c r="R1373" s="2" t="s">
        <v>50</v>
      </c>
      <c r="S1373" s="9">
        <f t="shared" si="109"/>
        <v>11.72</v>
      </c>
    </row>
    <row r="1374" spans="1:19" x14ac:dyDescent="0.3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str">
        <f>IFERROR(VLOOKUP('Customer Info'!A1366,'Customer Info'!A1366:C1865,2,FALSE),"Not Found")</f>
        <v>Not Found</v>
      </c>
      <c r="H1374" s="6" t="str">
        <f>IFERROR(VLOOKUP('Customer Info'!A1366,'Customer Info'!A1366:C1865,3,FALSE),"Not Found")</f>
        <v>Not Found</v>
      </c>
      <c r="I1374" s="6" t="str">
        <f>IFERROR(VLOOKUP('Customer Info'!A1366,'Customer Info'!A1366:E1865,5,FALSE),"Not Found")</f>
        <v>Not Found</v>
      </c>
      <c r="J1374" s="2">
        <v>2453</v>
      </c>
      <c r="K1374" s="2">
        <v>2336</v>
      </c>
      <c r="L1374" s="2">
        <v>4</v>
      </c>
      <c r="M1374" s="7">
        <f t="shared" si="105"/>
        <v>9344</v>
      </c>
      <c r="N1374" s="7">
        <f t="shared" si="106"/>
        <v>9812</v>
      </c>
      <c r="O1374" s="2">
        <v>55</v>
      </c>
      <c r="P1374" s="8">
        <f t="shared" si="107"/>
        <v>9867</v>
      </c>
      <c r="Q1374" s="8">
        <f t="shared" si="108"/>
        <v>7476</v>
      </c>
      <c r="R1374" s="2" t="s">
        <v>28</v>
      </c>
      <c r="S1374" s="9">
        <f t="shared" si="109"/>
        <v>493.35</v>
      </c>
    </row>
    <row r="1375" spans="1:19" x14ac:dyDescent="0.3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str">
        <f>IFERROR(VLOOKUP('Customer Info'!A1367,'Customer Info'!A1367:C1866,2,FALSE),"Not Found")</f>
        <v>Not Found</v>
      </c>
      <c r="H1375" s="6" t="str">
        <f>IFERROR(VLOOKUP('Customer Info'!A1367,'Customer Info'!A1367:C1866,3,FALSE),"Not Found")</f>
        <v>Not Found</v>
      </c>
      <c r="I1375" s="6" t="str">
        <f>IFERROR(VLOOKUP('Customer Info'!A1367,'Customer Info'!A1367:E1866,5,FALSE),"Not Found")</f>
        <v>Not Found</v>
      </c>
      <c r="J1375" s="2">
        <v>6635</v>
      </c>
      <c r="K1375" s="2">
        <v>6321</v>
      </c>
      <c r="L1375" s="2">
        <v>2</v>
      </c>
      <c r="M1375" s="7">
        <f t="shared" si="105"/>
        <v>12642</v>
      </c>
      <c r="N1375" s="7">
        <f t="shared" si="106"/>
        <v>13270</v>
      </c>
      <c r="O1375" s="2">
        <v>60</v>
      </c>
      <c r="P1375" s="8">
        <f t="shared" si="107"/>
        <v>13330</v>
      </c>
      <c r="Q1375" s="8">
        <f t="shared" si="108"/>
        <v>6949</v>
      </c>
      <c r="R1375" s="2" t="s">
        <v>28</v>
      </c>
      <c r="S1375" s="9">
        <f t="shared" si="109"/>
        <v>666.5</v>
      </c>
    </row>
    <row r="1376" spans="1:19" x14ac:dyDescent="0.3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str">
        <f>IFERROR(VLOOKUP('Customer Info'!A1368,'Customer Info'!A1368:C1867,2,FALSE),"Not Found")</f>
        <v>Not Found</v>
      </c>
      <c r="H1376" s="6" t="str">
        <f>IFERROR(VLOOKUP('Customer Info'!A1368,'Customer Info'!A1368:C1867,3,FALSE),"Not Found")</f>
        <v>Not Found</v>
      </c>
      <c r="I1376" s="6" t="str">
        <f>IFERROR(VLOOKUP('Customer Info'!A1368,'Customer Info'!A1368:E1867,5,FALSE),"Not Found")</f>
        <v>Not Found</v>
      </c>
      <c r="J1376" s="2">
        <v>1809</v>
      </c>
      <c r="K1376" s="2">
        <v>1691</v>
      </c>
      <c r="L1376" s="2">
        <v>9</v>
      </c>
      <c r="M1376" s="7">
        <f t="shared" si="105"/>
        <v>15219</v>
      </c>
      <c r="N1376" s="7">
        <f t="shared" si="106"/>
        <v>16281</v>
      </c>
      <c r="O1376" s="2">
        <v>60</v>
      </c>
      <c r="P1376" s="8">
        <f t="shared" si="107"/>
        <v>16341</v>
      </c>
      <c r="Q1376" s="8">
        <f t="shared" si="108"/>
        <v>14590</v>
      </c>
      <c r="R1376" s="2" t="s">
        <v>28</v>
      </c>
      <c r="S1376" s="9">
        <f t="shared" si="109"/>
        <v>817.05000000000007</v>
      </c>
    </row>
    <row r="1377" spans="1:19" x14ac:dyDescent="0.3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str">
        <f>IFERROR(VLOOKUP('Customer Info'!A1369,'Customer Info'!A1369:C1868,2,FALSE),"Not Found")</f>
        <v>Not Found</v>
      </c>
      <c r="H1377" s="6" t="str">
        <f>IFERROR(VLOOKUP('Customer Info'!A1369,'Customer Info'!A1369:C1868,3,FALSE),"Not Found")</f>
        <v>Not Found</v>
      </c>
      <c r="I1377" s="6" t="str">
        <f>IFERROR(VLOOKUP('Customer Info'!A1369,'Customer Info'!A1369:E1868,5,FALSE),"Not Found")</f>
        <v>Not Found</v>
      </c>
      <c r="J1377" s="2">
        <v>505</v>
      </c>
      <c r="K1377" s="2">
        <v>463</v>
      </c>
      <c r="L1377" s="2">
        <v>2</v>
      </c>
      <c r="M1377" s="7">
        <f t="shared" si="105"/>
        <v>926</v>
      </c>
      <c r="N1377" s="7">
        <f t="shared" si="106"/>
        <v>1010</v>
      </c>
      <c r="O1377" s="2">
        <v>61</v>
      </c>
      <c r="P1377" s="8">
        <f t="shared" si="107"/>
        <v>1071</v>
      </c>
      <c r="Q1377" s="8">
        <f t="shared" si="108"/>
        <v>547</v>
      </c>
      <c r="R1377" s="2" t="s">
        <v>50</v>
      </c>
      <c r="S1377" s="9">
        <f t="shared" si="109"/>
        <v>21.42</v>
      </c>
    </row>
    <row r="1378" spans="1:19" x14ac:dyDescent="0.3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str">
        <f>IFERROR(VLOOKUP('Customer Info'!A1370,'Customer Info'!A1370:C1869,2,FALSE),"Not Found")</f>
        <v>Not Found</v>
      </c>
      <c r="H1378" s="6" t="str">
        <f>IFERROR(VLOOKUP('Customer Info'!A1370,'Customer Info'!A1370:C1869,3,FALSE),"Not Found")</f>
        <v>Not Found</v>
      </c>
      <c r="I1378" s="6" t="str">
        <f>IFERROR(VLOOKUP('Customer Info'!A1370,'Customer Info'!A1370:E1869,5,FALSE),"Not Found")</f>
        <v>Not Found</v>
      </c>
      <c r="J1378" s="2">
        <v>829</v>
      </c>
      <c r="K1378" s="2">
        <v>761</v>
      </c>
      <c r="L1378" s="2">
        <v>2</v>
      </c>
      <c r="M1378" s="7">
        <f t="shared" si="105"/>
        <v>1522</v>
      </c>
      <c r="N1378" s="7">
        <f t="shared" si="106"/>
        <v>1658</v>
      </c>
      <c r="O1378" s="2">
        <v>81</v>
      </c>
      <c r="P1378" s="8">
        <f t="shared" si="107"/>
        <v>1739</v>
      </c>
      <c r="Q1378" s="8">
        <f t="shared" si="108"/>
        <v>897</v>
      </c>
      <c r="R1378" s="2" t="s">
        <v>28</v>
      </c>
      <c r="S1378" s="9">
        <f t="shared" si="109"/>
        <v>34.78</v>
      </c>
    </row>
    <row r="1379" spans="1:19" x14ac:dyDescent="0.3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str">
        <f>IFERROR(VLOOKUP('Customer Info'!A1371,'Customer Info'!A1371:C1870,2,FALSE),"Not Found")</f>
        <v>Not Found</v>
      </c>
      <c r="H1379" s="6" t="str">
        <f>IFERROR(VLOOKUP('Customer Info'!A1371,'Customer Info'!A1371:C1870,3,FALSE),"Not Found")</f>
        <v>Not Found</v>
      </c>
      <c r="I1379" s="6" t="str">
        <f>IFERROR(VLOOKUP('Customer Info'!A1371,'Customer Info'!A1371:E1870,5,FALSE),"Not Found")</f>
        <v>Not Found</v>
      </c>
      <c r="J1379" s="2">
        <v>7922</v>
      </c>
      <c r="K1379" s="2">
        <v>7328</v>
      </c>
      <c r="L1379" s="2">
        <v>2</v>
      </c>
      <c r="M1379" s="7">
        <f t="shared" si="105"/>
        <v>14656</v>
      </c>
      <c r="N1379" s="7">
        <f t="shared" si="106"/>
        <v>15844</v>
      </c>
      <c r="O1379" s="2">
        <v>91</v>
      </c>
      <c r="P1379" s="8">
        <f t="shared" si="107"/>
        <v>15935</v>
      </c>
      <c r="Q1379" s="8">
        <f t="shared" si="108"/>
        <v>8516</v>
      </c>
      <c r="R1379" s="2" t="s">
        <v>56</v>
      </c>
      <c r="S1379" s="9">
        <f t="shared" si="109"/>
        <v>796.75</v>
      </c>
    </row>
    <row r="1380" spans="1:19" x14ac:dyDescent="0.3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str">
        <f>IFERROR(VLOOKUP('Customer Info'!A1372,'Customer Info'!A1372:C1871,2,FALSE),"Not Found")</f>
        <v>Not Found</v>
      </c>
      <c r="H1380" s="6" t="str">
        <f>IFERROR(VLOOKUP('Customer Info'!A1372,'Customer Info'!A1372:C1871,3,FALSE),"Not Found")</f>
        <v>Not Found</v>
      </c>
      <c r="I1380" s="6" t="str">
        <f>IFERROR(VLOOKUP('Customer Info'!A1372,'Customer Info'!A1372:E1871,5,FALSE),"Not Found")</f>
        <v>Not Found</v>
      </c>
      <c r="J1380" s="2">
        <v>1552</v>
      </c>
      <c r="K1380" s="2">
        <v>1466</v>
      </c>
      <c r="L1380" s="2">
        <v>7</v>
      </c>
      <c r="M1380" s="7">
        <f t="shared" si="105"/>
        <v>10262</v>
      </c>
      <c r="N1380" s="7">
        <f t="shared" si="106"/>
        <v>10864</v>
      </c>
      <c r="O1380" s="2">
        <v>28</v>
      </c>
      <c r="P1380" s="8">
        <f t="shared" si="107"/>
        <v>10892</v>
      </c>
      <c r="Q1380" s="8">
        <f t="shared" si="108"/>
        <v>9398</v>
      </c>
      <c r="R1380" s="2" t="s">
        <v>50</v>
      </c>
      <c r="S1380" s="9">
        <f t="shared" si="109"/>
        <v>544.6</v>
      </c>
    </row>
    <row r="1381" spans="1:19" x14ac:dyDescent="0.3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str">
        <f>IFERROR(VLOOKUP('Customer Info'!A1373,'Customer Info'!A1373:C1872,2,FALSE),"Not Found")</f>
        <v>Not Found</v>
      </c>
      <c r="H1381" s="6" t="str">
        <f>IFERROR(VLOOKUP('Customer Info'!A1373,'Customer Info'!A1373:C1872,3,FALSE),"Not Found")</f>
        <v>Not Found</v>
      </c>
      <c r="I1381" s="6" t="str">
        <f>IFERROR(VLOOKUP('Customer Info'!A1373,'Customer Info'!A1373:E1872,5,FALSE),"Not Found")</f>
        <v>Not Found</v>
      </c>
      <c r="J1381" s="2">
        <v>177</v>
      </c>
      <c r="K1381" s="2">
        <v>169</v>
      </c>
      <c r="L1381" s="2">
        <v>2</v>
      </c>
      <c r="M1381" s="7">
        <f t="shared" si="105"/>
        <v>338</v>
      </c>
      <c r="N1381" s="7">
        <f t="shared" si="106"/>
        <v>354</v>
      </c>
      <c r="O1381" s="2">
        <v>30</v>
      </c>
      <c r="P1381" s="8">
        <f t="shared" si="107"/>
        <v>384</v>
      </c>
      <c r="Q1381" s="8">
        <f t="shared" si="108"/>
        <v>185</v>
      </c>
      <c r="R1381" s="2" t="s">
        <v>28</v>
      </c>
      <c r="S1381" s="9">
        <f t="shared" si="109"/>
        <v>7.68</v>
      </c>
    </row>
    <row r="1382" spans="1:19" x14ac:dyDescent="0.3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str">
        <f>IFERROR(VLOOKUP('Customer Info'!A1374,'Customer Info'!A1374:C1873,2,FALSE),"Not Found")</f>
        <v>Not Found</v>
      </c>
      <c r="H1382" s="6" t="str">
        <f>IFERROR(VLOOKUP('Customer Info'!A1374,'Customer Info'!A1374:C1873,3,FALSE),"Not Found")</f>
        <v>Not Found</v>
      </c>
      <c r="I1382" s="6" t="str">
        <f>IFERROR(VLOOKUP('Customer Info'!A1374,'Customer Info'!A1374:E1873,5,FALSE),"Not Found")</f>
        <v>Not Found</v>
      </c>
      <c r="J1382" s="2">
        <v>1283</v>
      </c>
      <c r="K1382" s="2">
        <v>1187</v>
      </c>
      <c r="L1382" s="2">
        <v>4</v>
      </c>
      <c r="M1382" s="7">
        <f t="shared" si="105"/>
        <v>4748</v>
      </c>
      <c r="N1382" s="7">
        <f t="shared" si="106"/>
        <v>5132</v>
      </c>
      <c r="O1382" s="2">
        <v>28</v>
      </c>
      <c r="P1382" s="8">
        <f t="shared" si="107"/>
        <v>5160</v>
      </c>
      <c r="Q1382" s="8">
        <f t="shared" si="108"/>
        <v>3945</v>
      </c>
      <c r="R1382" s="2" t="s">
        <v>50</v>
      </c>
      <c r="S1382" s="9">
        <f t="shared" si="109"/>
        <v>258</v>
      </c>
    </row>
    <row r="1383" spans="1:19" x14ac:dyDescent="0.3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str">
        <f>IFERROR(VLOOKUP('Customer Info'!A1375,'Customer Info'!A1375:C1874,2,FALSE),"Not Found")</f>
        <v>Not Found</v>
      </c>
      <c r="H1383" s="6" t="str">
        <f>IFERROR(VLOOKUP('Customer Info'!A1375,'Customer Info'!A1375:C1874,3,FALSE),"Not Found")</f>
        <v>Not Found</v>
      </c>
      <c r="I1383" s="6" t="str">
        <f>IFERROR(VLOOKUP('Customer Info'!A1375,'Customer Info'!A1375:E1874,5,FALSE),"Not Found")</f>
        <v>Not Found</v>
      </c>
      <c r="J1383" s="2">
        <v>2503</v>
      </c>
      <c r="K1383" s="2">
        <v>2454</v>
      </c>
      <c r="L1383" s="2">
        <v>2</v>
      </c>
      <c r="M1383" s="7">
        <f t="shared" si="105"/>
        <v>4908</v>
      </c>
      <c r="N1383" s="7">
        <f t="shared" si="106"/>
        <v>5006</v>
      </c>
      <c r="O1383" s="2">
        <v>60</v>
      </c>
      <c r="P1383" s="8">
        <f t="shared" si="107"/>
        <v>5066</v>
      </c>
      <c r="Q1383" s="8">
        <f t="shared" si="108"/>
        <v>2552</v>
      </c>
      <c r="R1383" s="2" t="s">
        <v>28</v>
      </c>
      <c r="S1383" s="9">
        <f t="shared" si="109"/>
        <v>253.3</v>
      </c>
    </row>
    <row r="1384" spans="1:19" x14ac:dyDescent="0.3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str">
        <f>IFERROR(VLOOKUP('Customer Info'!A1376,'Customer Info'!A1376:C1875,2,FALSE),"Not Found")</f>
        <v>Not Found</v>
      </c>
      <c r="H1384" s="6" t="str">
        <f>IFERROR(VLOOKUP('Customer Info'!A1376,'Customer Info'!A1376:C1875,3,FALSE),"Not Found")</f>
        <v>Not Found</v>
      </c>
      <c r="I1384" s="6" t="str">
        <f>IFERROR(VLOOKUP('Customer Info'!A1376,'Customer Info'!A1376:E1875,5,FALSE),"Not Found")</f>
        <v>Not Found</v>
      </c>
      <c r="J1384" s="2">
        <v>2365</v>
      </c>
      <c r="K1384" s="2">
        <v>2232</v>
      </c>
      <c r="L1384" s="2">
        <v>1</v>
      </c>
      <c r="M1384" s="7">
        <f t="shared" si="105"/>
        <v>2232</v>
      </c>
      <c r="N1384" s="7">
        <f t="shared" si="106"/>
        <v>2365</v>
      </c>
      <c r="O1384" s="2">
        <v>85</v>
      </c>
      <c r="P1384" s="8">
        <f t="shared" si="107"/>
        <v>2450</v>
      </c>
      <c r="Q1384" s="8">
        <f t="shared" si="108"/>
        <v>133</v>
      </c>
      <c r="R1384" s="2" t="s">
        <v>28</v>
      </c>
      <c r="S1384" s="9">
        <f t="shared" si="109"/>
        <v>49</v>
      </c>
    </row>
    <row r="1385" spans="1:19" x14ac:dyDescent="0.3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str">
        <f>IFERROR(VLOOKUP('Customer Info'!A1377,'Customer Info'!A1377:C1876,2,FALSE),"Not Found")</f>
        <v>Not Found</v>
      </c>
      <c r="H1385" s="6" t="str">
        <f>IFERROR(VLOOKUP('Customer Info'!A1377,'Customer Info'!A1377:C1876,3,FALSE),"Not Found")</f>
        <v>Not Found</v>
      </c>
      <c r="I1385" s="6" t="str">
        <f>IFERROR(VLOOKUP('Customer Info'!A1377,'Customer Info'!A1377:E1876,5,FALSE),"Not Found")</f>
        <v>Not Found</v>
      </c>
      <c r="J1385" s="2">
        <v>1654</v>
      </c>
      <c r="K1385" s="2">
        <v>1577</v>
      </c>
      <c r="L1385" s="2">
        <v>1</v>
      </c>
      <c r="M1385" s="7">
        <f t="shared" si="105"/>
        <v>1577</v>
      </c>
      <c r="N1385" s="7">
        <f t="shared" si="106"/>
        <v>1654</v>
      </c>
      <c r="O1385" s="2">
        <v>41</v>
      </c>
      <c r="P1385" s="8">
        <f t="shared" si="107"/>
        <v>1695</v>
      </c>
      <c r="Q1385" s="8">
        <f t="shared" si="108"/>
        <v>77</v>
      </c>
      <c r="R1385" s="2" t="s">
        <v>28</v>
      </c>
      <c r="S1385" s="9">
        <f t="shared" si="109"/>
        <v>33.9</v>
      </c>
    </row>
    <row r="1386" spans="1:19" x14ac:dyDescent="0.3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str">
        <f>IFERROR(VLOOKUP('Customer Info'!A1378,'Customer Info'!A1378:C1877,2,FALSE),"Not Found")</f>
        <v>Not Found</v>
      </c>
      <c r="H1386" s="6" t="str">
        <f>IFERROR(VLOOKUP('Customer Info'!A1378,'Customer Info'!A1378:C1877,3,FALSE),"Not Found")</f>
        <v>Not Found</v>
      </c>
      <c r="I1386" s="6" t="str">
        <f>IFERROR(VLOOKUP('Customer Info'!A1378,'Customer Info'!A1378:E1877,5,FALSE),"Not Found")</f>
        <v>Not Found</v>
      </c>
      <c r="J1386" s="2">
        <v>2442</v>
      </c>
      <c r="K1386" s="2">
        <v>2304</v>
      </c>
      <c r="L1386" s="2">
        <v>4</v>
      </c>
      <c r="M1386" s="7">
        <f t="shared" si="105"/>
        <v>9216</v>
      </c>
      <c r="N1386" s="7">
        <f t="shared" si="106"/>
        <v>9768</v>
      </c>
      <c r="O1386" s="2">
        <v>95</v>
      </c>
      <c r="P1386" s="8">
        <f t="shared" si="107"/>
        <v>9863</v>
      </c>
      <c r="Q1386" s="8">
        <f t="shared" si="108"/>
        <v>7464</v>
      </c>
      <c r="R1386" s="2" t="s">
        <v>28</v>
      </c>
      <c r="S1386" s="9">
        <f t="shared" si="109"/>
        <v>493.15000000000003</v>
      </c>
    </row>
    <row r="1387" spans="1:19" x14ac:dyDescent="0.3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str">
        <f>IFERROR(VLOOKUP('Customer Info'!A1379,'Customer Info'!A1379:C1878,2,FALSE),"Not Found")</f>
        <v>Not Found</v>
      </c>
      <c r="H1387" s="6" t="str">
        <f>IFERROR(VLOOKUP('Customer Info'!A1379,'Customer Info'!A1379:C1878,3,FALSE),"Not Found")</f>
        <v>Not Found</v>
      </c>
      <c r="I1387" s="6" t="str">
        <f>IFERROR(VLOOKUP('Customer Info'!A1379,'Customer Info'!A1379:E1878,5,FALSE),"Not Found")</f>
        <v>Not Found</v>
      </c>
      <c r="J1387" s="2">
        <v>2027</v>
      </c>
      <c r="K1387" s="2">
        <v>1913</v>
      </c>
      <c r="L1387" s="2">
        <v>7</v>
      </c>
      <c r="M1387" s="7">
        <f t="shared" si="105"/>
        <v>13391</v>
      </c>
      <c r="N1387" s="7">
        <f t="shared" si="106"/>
        <v>14189</v>
      </c>
      <c r="O1387" s="2">
        <v>39</v>
      </c>
      <c r="P1387" s="8">
        <f t="shared" si="107"/>
        <v>14228</v>
      </c>
      <c r="Q1387" s="8">
        <f t="shared" si="108"/>
        <v>12276</v>
      </c>
      <c r="R1387" s="2" t="s">
        <v>28</v>
      </c>
      <c r="S1387" s="9">
        <f t="shared" si="109"/>
        <v>711.40000000000009</v>
      </c>
    </row>
    <row r="1388" spans="1:19" x14ac:dyDescent="0.3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str">
        <f>IFERROR(VLOOKUP('Customer Info'!A1380,'Customer Info'!A1380:C1879,2,FALSE),"Not Found")</f>
        <v>Not Found</v>
      </c>
      <c r="H1388" s="6" t="str">
        <f>IFERROR(VLOOKUP('Customer Info'!A1380,'Customer Info'!A1380:C1879,3,FALSE),"Not Found")</f>
        <v>Not Found</v>
      </c>
      <c r="I1388" s="6" t="str">
        <f>IFERROR(VLOOKUP('Customer Info'!A1380,'Customer Info'!A1380:E1879,5,FALSE),"Not Found")</f>
        <v>Not Found</v>
      </c>
      <c r="J1388" s="2">
        <v>135</v>
      </c>
      <c r="K1388" s="2">
        <v>129</v>
      </c>
      <c r="L1388" s="2">
        <v>1</v>
      </c>
      <c r="M1388" s="7">
        <f t="shared" si="105"/>
        <v>129</v>
      </c>
      <c r="N1388" s="7">
        <f t="shared" si="106"/>
        <v>135</v>
      </c>
      <c r="O1388" s="2">
        <v>30</v>
      </c>
      <c r="P1388" s="8">
        <f t="shared" si="107"/>
        <v>165</v>
      </c>
      <c r="Q1388" s="8">
        <f t="shared" si="108"/>
        <v>6</v>
      </c>
      <c r="R1388" s="2" t="s">
        <v>26</v>
      </c>
      <c r="S1388" s="9">
        <f t="shared" si="109"/>
        <v>3.3000000000000003</v>
      </c>
    </row>
    <row r="1389" spans="1:19" x14ac:dyDescent="0.3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str">
        <f>IFERROR(VLOOKUP('Customer Info'!A1381,'Customer Info'!A1381:C1880,2,FALSE),"Not Found")</f>
        <v>Not Found</v>
      </c>
      <c r="H1389" s="6" t="str">
        <f>IFERROR(VLOOKUP('Customer Info'!A1381,'Customer Info'!A1381:C1880,3,FALSE),"Not Found")</f>
        <v>Not Found</v>
      </c>
      <c r="I1389" s="6" t="str">
        <f>IFERROR(VLOOKUP('Customer Info'!A1381,'Customer Info'!A1381:E1880,5,FALSE),"Not Found")</f>
        <v>Not Found</v>
      </c>
      <c r="J1389" s="2">
        <v>729</v>
      </c>
      <c r="K1389" s="2">
        <v>689</v>
      </c>
      <c r="L1389" s="2">
        <v>5</v>
      </c>
      <c r="M1389" s="7">
        <f t="shared" si="105"/>
        <v>3445</v>
      </c>
      <c r="N1389" s="7">
        <f t="shared" si="106"/>
        <v>3645</v>
      </c>
      <c r="O1389" s="2">
        <v>54</v>
      </c>
      <c r="P1389" s="8">
        <f t="shared" si="107"/>
        <v>3699</v>
      </c>
      <c r="Q1389" s="8">
        <f t="shared" si="108"/>
        <v>2956</v>
      </c>
      <c r="R1389" s="2" t="s">
        <v>28</v>
      </c>
      <c r="S1389" s="9">
        <f t="shared" si="109"/>
        <v>73.98</v>
      </c>
    </row>
    <row r="1390" spans="1:19" x14ac:dyDescent="0.3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str">
        <f>IFERROR(VLOOKUP('Customer Info'!A1382,'Customer Info'!A1382:C1881,2,FALSE),"Not Found")</f>
        <v>Not Found</v>
      </c>
      <c r="H1390" s="6" t="str">
        <f>IFERROR(VLOOKUP('Customer Info'!A1382,'Customer Info'!A1382:C1881,3,FALSE),"Not Found")</f>
        <v>Not Found</v>
      </c>
      <c r="I1390" s="6" t="str">
        <f>IFERROR(VLOOKUP('Customer Info'!A1382,'Customer Info'!A1382:E1881,5,FALSE),"Not Found")</f>
        <v>Not Found</v>
      </c>
      <c r="J1390" s="2">
        <v>3091</v>
      </c>
      <c r="K1390" s="2">
        <v>2889</v>
      </c>
      <c r="L1390" s="2">
        <v>1</v>
      </c>
      <c r="M1390" s="7">
        <f t="shared" si="105"/>
        <v>2889</v>
      </c>
      <c r="N1390" s="7">
        <f t="shared" si="106"/>
        <v>3091</v>
      </c>
      <c r="O1390" s="2">
        <v>94</v>
      </c>
      <c r="P1390" s="8">
        <f t="shared" si="107"/>
        <v>3185</v>
      </c>
      <c r="Q1390" s="8">
        <f t="shared" si="108"/>
        <v>202</v>
      </c>
      <c r="R1390" s="2" t="s">
        <v>28</v>
      </c>
      <c r="S1390" s="9">
        <f t="shared" si="109"/>
        <v>63.7</v>
      </c>
    </row>
    <row r="1391" spans="1:19" x14ac:dyDescent="0.3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str">
        <f>IFERROR(VLOOKUP('Customer Info'!A1383,'Customer Info'!A1383:C1882,2,FALSE),"Not Found")</f>
        <v>Not Found</v>
      </c>
      <c r="H1391" s="6" t="str">
        <f>IFERROR(VLOOKUP('Customer Info'!A1383,'Customer Info'!A1383:C1882,3,FALSE),"Not Found")</f>
        <v>Not Found</v>
      </c>
      <c r="I1391" s="6" t="str">
        <f>IFERROR(VLOOKUP('Customer Info'!A1383,'Customer Info'!A1383:E1882,5,FALSE),"Not Found")</f>
        <v>Not Found</v>
      </c>
      <c r="J1391" s="2">
        <v>405</v>
      </c>
      <c r="K1391" s="2">
        <v>381</v>
      </c>
      <c r="L1391" s="2">
        <v>7</v>
      </c>
      <c r="M1391" s="7">
        <f t="shared" si="105"/>
        <v>2667</v>
      </c>
      <c r="N1391" s="7">
        <f t="shared" si="106"/>
        <v>2835</v>
      </c>
      <c r="O1391" s="2">
        <v>93</v>
      </c>
      <c r="P1391" s="8">
        <f t="shared" si="107"/>
        <v>2928</v>
      </c>
      <c r="Q1391" s="8">
        <f t="shared" si="108"/>
        <v>2454</v>
      </c>
      <c r="R1391" s="2" t="s">
        <v>28</v>
      </c>
      <c r="S1391" s="9">
        <f t="shared" si="109"/>
        <v>58.56</v>
      </c>
    </row>
    <row r="1392" spans="1:19" x14ac:dyDescent="0.3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str">
        <f>IFERROR(VLOOKUP('Customer Info'!A1384,'Customer Info'!A1384:C1883,2,FALSE),"Not Found")</f>
        <v>Not Found</v>
      </c>
      <c r="H1392" s="6" t="str">
        <f>IFERROR(VLOOKUP('Customer Info'!A1384,'Customer Info'!A1384:C1883,3,FALSE),"Not Found")</f>
        <v>Not Found</v>
      </c>
      <c r="I1392" s="6" t="str">
        <f>IFERROR(VLOOKUP('Customer Info'!A1384,'Customer Info'!A1384:E1883,5,FALSE),"Not Found")</f>
        <v>Not Found</v>
      </c>
      <c r="J1392" s="2">
        <v>645</v>
      </c>
      <c r="K1392" s="2">
        <v>565</v>
      </c>
      <c r="L1392" s="2">
        <v>4</v>
      </c>
      <c r="M1392" s="7">
        <f t="shared" si="105"/>
        <v>2260</v>
      </c>
      <c r="N1392" s="7">
        <f t="shared" si="106"/>
        <v>2580</v>
      </c>
      <c r="O1392" s="2">
        <v>36</v>
      </c>
      <c r="P1392" s="8">
        <f t="shared" si="107"/>
        <v>2616</v>
      </c>
      <c r="Q1392" s="8">
        <f t="shared" si="108"/>
        <v>2015</v>
      </c>
      <c r="R1392" s="2" t="s">
        <v>50</v>
      </c>
      <c r="S1392" s="9">
        <f t="shared" si="109"/>
        <v>52.32</v>
      </c>
    </row>
    <row r="1393" spans="1:19" x14ac:dyDescent="0.3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str">
        <f>IFERROR(VLOOKUP('Customer Info'!A1385,'Customer Info'!A1385:C1884,2,FALSE),"Not Found")</f>
        <v>Not Found</v>
      </c>
      <c r="H1393" s="6" t="str">
        <f>IFERROR(VLOOKUP('Customer Info'!A1385,'Customer Info'!A1385:C1884,3,FALSE),"Not Found")</f>
        <v>Not Found</v>
      </c>
      <c r="I1393" s="6" t="str">
        <f>IFERROR(VLOOKUP('Customer Info'!A1385,'Customer Info'!A1385:E1884,5,FALSE),"Not Found")</f>
        <v>Not Found</v>
      </c>
      <c r="J1393" s="2">
        <v>2778</v>
      </c>
      <c r="K1393" s="2">
        <v>2573</v>
      </c>
      <c r="L1393" s="2">
        <v>2</v>
      </c>
      <c r="M1393" s="7">
        <f t="shared" si="105"/>
        <v>5146</v>
      </c>
      <c r="N1393" s="7">
        <f t="shared" si="106"/>
        <v>5556</v>
      </c>
      <c r="O1393" s="2">
        <v>68</v>
      </c>
      <c r="P1393" s="8">
        <f t="shared" si="107"/>
        <v>5624</v>
      </c>
      <c r="Q1393" s="8">
        <f t="shared" si="108"/>
        <v>2983</v>
      </c>
      <c r="R1393" s="2" t="s">
        <v>28</v>
      </c>
      <c r="S1393" s="9">
        <f t="shared" si="109"/>
        <v>281.2</v>
      </c>
    </row>
    <row r="1394" spans="1:19" x14ac:dyDescent="0.3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str">
        <f>IFERROR(VLOOKUP('Customer Info'!A1386,'Customer Info'!A1386:C1885,2,FALSE),"Not Found")</f>
        <v>Not Found</v>
      </c>
      <c r="H1394" s="6" t="str">
        <f>IFERROR(VLOOKUP('Customer Info'!A1386,'Customer Info'!A1386:C1885,3,FALSE),"Not Found")</f>
        <v>Not Found</v>
      </c>
      <c r="I1394" s="6" t="str">
        <f>IFERROR(VLOOKUP('Customer Info'!A1386,'Customer Info'!A1386:E1885,5,FALSE),"Not Found")</f>
        <v>Not Found</v>
      </c>
      <c r="J1394" s="2">
        <v>4487</v>
      </c>
      <c r="K1394" s="2">
        <v>4201</v>
      </c>
      <c r="L1394" s="2">
        <v>3</v>
      </c>
      <c r="M1394" s="7">
        <f t="shared" si="105"/>
        <v>12603</v>
      </c>
      <c r="N1394" s="7">
        <f t="shared" si="106"/>
        <v>13461</v>
      </c>
      <c r="O1394" s="2">
        <v>84</v>
      </c>
      <c r="P1394" s="8">
        <f t="shared" si="107"/>
        <v>13545</v>
      </c>
      <c r="Q1394" s="8">
        <f t="shared" si="108"/>
        <v>9260</v>
      </c>
      <c r="R1394" s="2" t="s">
        <v>50</v>
      </c>
      <c r="S1394" s="9">
        <f t="shared" si="109"/>
        <v>677.25</v>
      </c>
    </row>
    <row r="1395" spans="1:19" x14ac:dyDescent="0.3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str">
        <f>IFERROR(VLOOKUP('Customer Info'!A1387,'Customer Info'!A1387:C1886,2,FALSE),"Not Found")</f>
        <v>Not Found</v>
      </c>
      <c r="H1395" s="6" t="str">
        <f>IFERROR(VLOOKUP('Customer Info'!A1387,'Customer Info'!A1387:C1886,3,FALSE),"Not Found")</f>
        <v>Not Found</v>
      </c>
      <c r="I1395" s="6" t="str">
        <f>IFERROR(VLOOKUP('Customer Info'!A1387,'Customer Info'!A1387:E1886,5,FALSE),"Not Found")</f>
        <v>Not Found</v>
      </c>
      <c r="J1395" s="2">
        <v>1545</v>
      </c>
      <c r="K1395" s="2">
        <v>1486</v>
      </c>
      <c r="L1395" s="2">
        <v>2</v>
      </c>
      <c r="M1395" s="7">
        <f t="shared" si="105"/>
        <v>2972</v>
      </c>
      <c r="N1395" s="7">
        <f t="shared" si="106"/>
        <v>3090</v>
      </c>
      <c r="O1395" s="2">
        <v>76</v>
      </c>
      <c r="P1395" s="8">
        <f t="shared" si="107"/>
        <v>3166</v>
      </c>
      <c r="Q1395" s="8">
        <f t="shared" si="108"/>
        <v>1604</v>
      </c>
      <c r="R1395" s="2" t="s">
        <v>50</v>
      </c>
      <c r="S1395" s="9">
        <f t="shared" si="109"/>
        <v>63.32</v>
      </c>
    </row>
    <row r="1396" spans="1:19" x14ac:dyDescent="0.3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str">
        <f>IFERROR(VLOOKUP('Customer Info'!A1388,'Customer Info'!A1388:C1887,2,FALSE),"Not Found")</f>
        <v>Not Found</v>
      </c>
      <c r="H1396" s="6" t="str">
        <f>IFERROR(VLOOKUP('Customer Info'!A1388,'Customer Info'!A1388:C1887,3,FALSE),"Not Found")</f>
        <v>Not Found</v>
      </c>
      <c r="I1396" s="6" t="str">
        <f>IFERROR(VLOOKUP('Customer Info'!A1388,'Customer Info'!A1388:E1887,5,FALSE),"Not Found")</f>
        <v>Not Found</v>
      </c>
      <c r="J1396" s="2">
        <v>288</v>
      </c>
      <c r="K1396" s="2">
        <v>264</v>
      </c>
      <c r="L1396" s="2">
        <v>5</v>
      </c>
      <c r="M1396" s="7">
        <f t="shared" si="105"/>
        <v>1320</v>
      </c>
      <c r="N1396" s="7">
        <f t="shared" si="106"/>
        <v>1440</v>
      </c>
      <c r="O1396" s="2">
        <v>69</v>
      </c>
      <c r="P1396" s="8">
        <f t="shared" si="107"/>
        <v>1509</v>
      </c>
      <c r="Q1396" s="8">
        <f t="shared" si="108"/>
        <v>1176</v>
      </c>
      <c r="R1396" s="2" t="s">
        <v>28</v>
      </c>
      <c r="S1396" s="9">
        <f t="shared" si="109"/>
        <v>30.18</v>
      </c>
    </row>
    <row r="1397" spans="1:19" x14ac:dyDescent="0.3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str">
        <f>IFERROR(VLOOKUP('Customer Info'!A1389,'Customer Info'!A1389:C1888,2,FALSE),"Not Found")</f>
        <v>Not Found</v>
      </c>
      <c r="H1397" s="6" t="str">
        <f>IFERROR(VLOOKUP('Customer Info'!A1389,'Customer Info'!A1389:C1888,3,FALSE),"Not Found")</f>
        <v>Not Found</v>
      </c>
      <c r="I1397" s="6" t="str">
        <f>IFERROR(VLOOKUP('Customer Info'!A1389,'Customer Info'!A1389:E1888,5,FALSE),"Not Found")</f>
        <v>Not Found</v>
      </c>
      <c r="J1397" s="2">
        <v>1906</v>
      </c>
      <c r="K1397" s="2">
        <v>1798</v>
      </c>
      <c r="L1397" s="2">
        <v>4</v>
      </c>
      <c r="M1397" s="7">
        <f t="shared" si="105"/>
        <v>7192</v>
      </c>
      <c r="N1397" s="7">
        <f t="shared" si="106"/>
        <v>7624</v>
      </c>
      <c r="O1397" s="2">
        <v>29</v>
      </c>
      <c r="P1397" s="8">
        <f t="shared" si="107"/>
        <v>7653</v>
      </c>
      <c r="Q1397" s="8">
        <f t="shared" si="108"/>
        <v>5826</v>
      </c>
      <c r="R1397" s="2" t="s">
        <v>28</v>
      </c>
      <c r="S1397" s="9">
        <f t="shared" si="109"/>
        <v>382.65000000000003</v>
      </c>
    </row>
    <row r="1398" spans="1:19" x14ac:dyDescent="0.3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str">
        <f>IFERROR(VLOOKUP('Customer Info'!A1390,'Customer Info'!A1390:C1889,2,FALSE),"Not Found")</f>
        <v>Not Found</v>
      </c>
      <c r="H1398" s="6" t="str">
        <f>IFERROR(VLOOKUP('Customer Info'!A1390,'Customer Info'!A1390:C1889,3,FALSE),"Not Found")</f>
        <v>Not Found</v>
      </c>
      <c r="I1398" s="6" t="str">
        <f>IFERROR(VLOOKUP('Customer Info'!A1390,'Customer Info'!A1390:E1889,5,FALSE),"Not Found")</f>
        <v>Not Found</v>
      </c>
      <c r="J1398" s="2">
        <v>4737</v>
      </c>
      <c r="K1398" s="2">
        <v>4473</v>
      </c>
      <c r="L1398" s="2">
        <v>3</v>
      </c>
      <c r="M1398" s="7">
        <f t="shared" si="105"/>
        <v>13419</v>
      </c>
      <c r="N1398" s="7">
        <f t="shared" si="106"/>
        <v>14211</v>
      </c>
      <c r="O1398" s="2">
        <v>95</v>
      </c>
      <c r="P1398" s="8">
        <f t="shared" si="107"/>
        <v>14306</v>
      </c>
      <c r="Q1398" s="8">
        <f t="shared" si="108"/>
        <v>9738</v>
      </c>
      <c r="R1398" s="2" t="s">
        <v>26</v>
      </c>
      <c r="S1398" s="9">
        <f t="shared" si="109"/>
        <v>715.30000000000007</v>
      </c>
    </row>
    <row r="1399" spans="1:19" x14ac:dyDescent="0.3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str">
        <f>IFERROR(VLOOKUP('Customer Info'!A1391,'Customer Info'!A1391:C1890,2,FALSE),"Not Found")</f>
        <v>Not Found</v>
      </c>
      <c r="H1399" s="6" t="str">
        <f>IFERROR(VLOOKUP('Customer Info'!A1391,'Customer Info'!A1391:C1890,3,FALSE),"Not Found")</f>
        <v>Not Found</v>
      </c>
      <c r="I1399" s="6" t="str">
        <f>IFERROR(VLOOKUP('Customer Info'!A1391,'Customer Info'!A1391:E1890,5,FALSE),"Not Found")</f>
        <v>Not Found</v>
      </c>
      <c r="J1399" s="2">
        <v>2088</v>
      </c>
      <c r="K1399" s="2">
        <v>1970</v>
      </c>
      <c r="L1399" s="2">
        <v>3</v>
      </c>
      <c r="M1399" s="7">
        <f t="shared" si="105"/>
        <v>5910</v>
      </c>
      <c r="N1399" s="7">
        <f t="shared" si="106"/>
        <v>6264</v>
      </c>
      <c r="O1399" s="2">
        <v>79</v>
      </c>
      <c r="P1399" s="8">
        <f t="shared" si="107"/>
        <v>6343</v>
      </c>
      <c r="Q1399" s="8">
        <f t="shared" si="108"/>
        <v>4294</v>
      </c>
      <c r="R1399" s="2" t="s">
        <v>50</v>
      </c>
      <c r="S1399" s="9">
        <f t="shared" si="109"/>
        <v>317.15000000000003</v>
      </c>
    </row>
    <row r="1400" spans="1:19" x14ac:dyDescent="0.3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str">
        <f>IFERROR(VLOOKUP('Customer Info'!A1392,'Customer Info'!A1392:C1891,2,FALSE),"Not Found")</f>
        <v>Not Found</v>
      </c>
      <c r="H1400" s="6" t="str">
        <f>IFERROR(VLOOKUP('Customer Info'!A1392,'Customer Info'!A1392:C1891,3,FALSE),"Not Found")</f>
        <v>Not Found</v>
      </c>
      <c r="I1400" s="6" t="str">
        <f>IFERROR(VLOOKUP('Customer Info'!A1392,'Customer Info'!A1392:E1891,5,FALSE),"Not Found")</f>
        <v>Not Found</v>
      </c>
      <c r="J1400" s="2">
        <v>35350</v>
      </c>
      <c r="K1400" s="2">
        <v>33037</v>
      </c>
      <c r="L1400" s="2">
        <v>1</v>
      </c>
      <c r="M1400" s="7">
        <f t="shared" si="105"/>
        <v>33037</v>
      </c>
      <c r="N1400" s="7">
        <f t="shared" si="106"/>
        <v>35350</v>
      </c>
      <c r="O1400" s="2">
        <v>72</v>
      </c>
      <c r="P1400" s="8">
        <f t="shared" si="107"/>
        <v>35422</v>
      </c>
      <c r="Q1400" s="8">
        <f t="shared" si="108"/>
        <v>2313</v>
      </c>
      <c r="R1400" s="2" t="s">
        <v>26</v>
      </c>
      <c r="S1400" s="9">
        <f t="shared" si="109"/>
        <v>2479.5400000000004</v>
      </c>
    </row>
    <row r="1401" spans="1:19" x14ac:dyDescent="0.3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str">
        <f>IFERROR(VLOOKUP('Customer Info'!A1393,'Customer Info'!A1393:C1892,2,FALSE),"Not Found")</f>
        <v>Not Found</v>
      </c>
      <c r="H1401" s="6" t="str">
        <f>IFERROR(VLOOKUP('Customer Info'!A1393,'Customer Info'!A1393:C1892,3,FALSE),"Not Found")</f>
        <v>Not Found</v>
      </c>
      <c r="I1401" s="6" t="str">
        <f>IFERROR(VLOOKUP('Customer Info'!A1393,'Customer Info'!A1393:E1892,5,FALSE),"Not Found")</f>
        <v>Not Found</v>
      </c>
      <c r="J1401" s="2">
        <v>1574</v>
      </c>
      <c r="K1401" s="2">
        <v>1375</v>
      </c>
      <c r="L1401" s="2">
        <v>7</v>
      </c>
      <c r="M1401" s="7">
        <f t="shared" si="105"/>
        <v>9625</v>
      </c>
      <c r="N1401" s="7">
        <f t="shared" si="106"/>
        <v>11018</v>
      </c>
      <c r="O1401" s="2">
        <v>58</v>
      </c>
      <c r="P1401" s="8">
        <f t="shared" si="107"/>
        <v>11076</v>
      </c>
      <c r="Q1401" s="8">
        <f t="shared" si="108"/>
        <v>9643</v>
      </c>
      <c r="R1401" s="2" t="s">
        <v>28</v>
      </c>
      <c r="S1401" s="9">
        <f t="shared" si="109"/>
        <v>553.80000000000007</v>
      </c>
    </row>
    <row r="1402" spans="1:19" x14ac:dyDescent="0.3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str">
        <f>IFERROR(VLOOKUP('Customer Info'!A1394,'Customer Info'!A1394:C1893,2,FALSE),"Not Found")</f>
        <v>Not Found</v>
      </c>
      <c r="H1402" s="6" t="str">
        <f>IFERROR(VLOOKUP('Customer Info'!A1394,'Customer Info'!A1394:C1893,3,FALSE),"Not Found")</f>
        <v>Not Found</v>
      </c>
      <c r="I1402" s="6" t="str">
        <f>IFERROR(VLOOKUP('Customer Info'!A1394,'Customer Info'!A1394:E1893,5,FALSE),"Not Found")</f>
        <v>Not Found</v>
      </c>
      <c r="J1402" s="2">
        <v>1605</v>
      </c>
      <c r="K1402" s="2">
        <v>1487</v>
      </c>
      <c r="L1402" s="2">
        <v>1</v>
      </c>
      <c r="M1402" s="7">
        <f t="shared" si="105"/>
        <v>1487</v>
      </c>
      <c r="N1402" s="7">
        <f t="shared" si="106"/>
        <v>1605</v>
      </c>
      <c r="O1402" s="2">
        <v>74</v>
      </c>
      <c r="P1402" s="8">
        <f t="shared" si="107"/>
        <v>1679</v>
      </c>
      <c r="Q1402" s="8">
        <f t="shared" si="108"/>
        <v>118</v>
      </c>
      <c r="R1402" s="2" t="s">
        <v>28</v>
      </c>
      <c r="S1402" s="9">
        <f t="shared" si="109"/>
        <v>33.58</v>
      </c>
    </row>
    <row r="1403" spans="1:19" x14ac:dyDescent="0.3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str">
        <f>IFERROR(VLOOKUP('Customer Info'!A1395,'Customer Info'!A1395:C1894,2,FALSE),"Not Found")</f>
        <v>Not Found</v>
      </c>
      <c r="H1403" s="6" t="str">
        <f>IFERROR(VLOOKUP('Customer Info'!A1395,'Customer Info'!A1395:C1894,3,FALSE),"Not Found")</f>
        <v>Not Found</v>
      </c>
      <c r="I1403" s="6" t="str">
        <f>IFERROR(VLOOKUP('Customer Info'!A1395,'Customer Info'!A1395:E1894,5,FALSE),"Not Found")</f>
        <v>Not Found</v>
      </c>
      <c r="J1403" s="2">
        <v>37949</v>
      </c>
      <c r="K1403" s="2">
        <v>34816</v>
      </c>
      <c r="L1403" s="2">
        <v>5</v>
      </c>
      <c r="M1403" s="7">
        <f t="shared" si="105"/>
        <v>174080</v>
      </c>
      <c r="N1403" s="7">
        <f t="shared" si="106"/>
        <v>189745</v>
      </c>
      <c r="O1403" s="2">
        <v>82</v>
      </c>
      <c r="P1403" s="8">
        <f t="shared" si="107"/>
        <v>189827</v>
      </c>
      <c r="Q1403" s="8">
        <f t="shared" si="108"/>
        <v>154929</v>
      </c>
      <c r="R1403" s="2" t="s">
        <v>28</v>
      </c>
      <c r="S1403" s="9">
        <f t="shared" si="109"/>
        <v>22779.239999999998</v>
      </c>
    </row>
    <row r="1404" spans="1:19" x14ac:dyDescent="0.3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str">
        <f>IFERROR(VLOOKUP('Customer Info'!A1396,'Customer Info'!A1396:C1895,2,FALSE),"Not Found")</f>
        <v>Not Found</v>
      </c>
      <c r="H1404" s="6" t="str">
        <f>IFERROR(VLOOKUP('Customer Info'!A1396,'Customer Info'!A1396:C1895,3,FALSE),"Not Found")</f>
        <v>Not Found</v>
      </c>
      <c r="I1404" s="6" t="str">
        <f>IFERROR(VLOOKUP('Customer Info'!A1396,'Customer Info'!A1396:E1895,5,FALSE),"Not Found")</f>
        <v>Not Found</v>
      </c>
      <c r="J1404" s="2">
        <v>170</v>
      </c>
      <c r="K1404" s="2">
        <v>160</v>
      </c>
      <c r="L1404" s="2">
        <v>7</v>
      </c>
      <c r="M1404" s="7">
        <f t="shared" si="105"/>
        <v>1120</v>
      </c>
      <c r="N1404" s="7">
        <f t="shared" si="106"/>
        <v>1190</v>
      </c>
      <c r="O1404" s="2">
        <v>30</v>
      </c>
      <c r="P1404" s="8">
        <f t="shared" si="107"/>
        <v>1220</v>
      </c>
      <c r="Q1404" s="8">
        <f t="shared" si="108"/>
        <v>1030</v>
      </c>
      <c r="R1404" s="2" t="s">
        <v>26</v>
      </c>
      <c r="S1404" s="9">
        <f t="shared" si="109"/>
        <v>24.400000000000002</v>
      </c>
    </row>
    <row r="1405" spans="1:19" x14ac:dyDescent="0.3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str">
        <f>IFERROR(VLOOKUP('Customer Info'!A1397,'Customer Info'!A1397:C1896,2,FALSE),"Not Found")</f>
        <v>Not Found</v>
      </c>
      <c r="H1405" s="6" t="str">
        <f>IFERROR(VLOOKUP('Customer Info'!A1397,'Customer Info'!A1397:C1896,3,FALSE),"Not Found")</f>
        <v>Not Found</v>
      </c>
      <c r="I1405" s="6" t="str">
        <f>IFERROR(VLOOKUP('Customer Info'!A1397,'Customer Info'!A1397:E1896,5,FALSE),"Not Found")</f>
        <v>Not Found</v>
      </c>
      <c r="J1405" s="2">
        <v>28522</v>
      </c>
      <c r="K1405" s="2">
        <v>26384</v>
      </c>
      <c r="L1405" s="2">
        <v>1</v>
      </c>
      <c r="M1405" s="7">
        <f t="shared" si="105"/>
        <v>26384</v>
      </c>
      <c r="N1405" s="7">
        <f t="shared" si="106"/>
        <v>28522</v>
      </c>
      <c r="O1405" s="2">
        <v>62</v>
      </c>
      <c r="P1405" s="8">
        <f t="shared" si="107"/>
        <v>28584</v>
      </c>
      <c r="Q1405" s="8">
        <f t="shared" si="108"/>
        <v>2138</v>
      </c>
      <c r="R1405" s="2" t="s">
        <v>50</v>
      </c>
      <c r="S1405" s="9">
        <f t="shared" si="109"/>
        <v>2000.88</v>
      </c>
    </row>
    <row r="1406" spans="1:19" x14ac:dyDescent="0.3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str">
        <f>IFERROR(VLOOKUP('Customer Info'!A1398,'Customer Info'!A1398:C1897,2,FALSE),"Not Found")</f>
        <v>Not Found</v>
      </c>
      <c r="H1406" s="6" t="str">
        <f>IFERROR(VLOOKUP('Customer Info'!A1398,'Customer Info'!A1398:C1897,3,FALSE),"Not Found")</f>
        <v>Not Found</v>
      </c>
      <c r="I1406" s="6" t="str">
        <f>IFERROR(VLOOKUP('Customer Info'!A1398,'Customer Info'!A1398:E1897,5,FALSE),"Not Found")</f>
        <v>Not Found</v>
      </c>
      <c r="J1406" s="2">
        <v>1717</v>
      </c>
      <c r="K1406" s="2">
        <v>1652</v>
      </c>
      <c r="L1406" s="2">
        <v>6</v>
      </c>
      <c r="M1406" s="7">
        <f t="shared" si="105"/>
        <v>9912</v>
      </c>
      <c r="N1406" s="7">
        <f t="shared" si="106"/>
        <v>10302</v>
      </c>
      <c r="O1406" s="2">
        <v>68</v>
      </c>
      <c r="P1406" s="8">
        <f t="shared" si="107"/>
        <v>10370</v>
      </c>
      <c r="Q1406" s="8">
        <f t="shared" si="108"/>
        <v>8650</v>
      </c>
      <c r="R1406" s="2" t="s">
        <v>50</v>
      </c>
      <c r="S1406" s="9">
        <f t="shared" si="109"/>
        <v>518.5</v>
      </c>
    </row>
    <row r="1407" spans="1:19" x14ac:dyDescent="0.3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str">
        <f>IFERROR(VLOOKUP('Customer Info'!A1399,'Customer Info'!A1399:C1898,2,FALSE),"Not Found")</f>
        <v>Not Found</v>
      </c>
      <c r="H1407" s="6" t="str">
        <f>IFERROR(VLOOKUP('Customer Info'!A1399,'Customer Info'!A1399:C1898,3,FALSE),"Not Found")</f>
        <v>Not Found</v>
      </c>
      <c r="I1407" s="6" t="str">
        <f>IFERROR(VLOOKUP('Customer Info'!A1399,'Customer Info'!A1399:E1898,5,FALSE),"Not Found")</f>
        <v>Not Found</v>
      </c>
      <c r="J1407" s="2">
        <v>8773</v>
      </c>
      <c r="K1407" s="2">
        <v>8115</v>
      </c>
      <c r="L1407" s="2">
        <v>3</v>
      </c>
      <c r="M1407" s="7">
        <f t="shared" si="105"/>
        <v>24345</v>
      </c>
      <c r="N1407" s="7">
        <f t="shared" si="106"/>
        <v>26319</v>
      </c>
      <c r="O1407" s="2">
        <v>45</v>
      </c>
      <c r="P1407" s="8">
        <f t="shared" si="107"/>
        <v>26364</v>
      </c>
      <c r="Q1407" s="8">
        <f t="shared" si="108"/>
        <v>18204</v>
      </c>
      <c r="R1407" s="2" t="s">
        <v>28</v>
      </c>
      <c r="S1407" s="9">
        <f t="shared" si="109"/>
        <v>1845.4800000000002</v>
      </c>
    </row>
    <row r="1408" spans="1:19" x14ac:dyDescent="0.3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str">
        <f>IFERROR(VLOOKUP('Customer Info'!A1400,'Customer Info'!A1400:C1899,2,FALSE),"Not Found")</f>
        <v>Not Found</v>
      </c>
      <c r="H1408" s="6" t="str">
        <f>IFERROR(VLOOKUP('Customer Info'!A1400,'Customer Info'!A1400:C1899,3,FALSE),"Not Found")</f>
        <v>Not Found</v>
      </c>
      <c r="I1408" s="6" t="str">
        <f>IFERROR(VLOOKUP('Customer Info'!A1400,'Customer Info'!A1400:E1899,5,FALSE),"Not Found")</f>
        <v>Not Found</v>
      </c>
      <c r="J1408" s="2">
        <v>214</v>
      </c>
      <c r="K1408" s="2">
        <v>199</v>
      </c>
      <c r="L1408" s="2">
        <v>2</v>
      </c>
      <c r="M1408" s="7">
        <f t="shared" si="105"/>
        <v>398</v>
      </c>
      <c r="N1408" s="7">
        <f t="shared" si="106"/>
        <v>428</v>
      </c>
      <c r="O1408" s="2">
        <v>62</v>
      </c>
      <c r="P1408" s="8">
        <f t="shared" si="107"/>
        <v>490</v>
      </c>
      <c r="Q1408" s="8">
        <f t="shared" si="108"/>
        <v>229</v>
      </c>
      <c r="R1408" s="2" t="s">
        <v>28</v>
      </c>
      <c r="S1408" s="9">
        <f t="shared" si="109"/>
        <v>9.8000000000000007</v>
      </c>
    </row>
    <row r="1409" spans="1:19" x14ac:dyDescent="0.3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str">
        <f>IFERROR(VLOOKUP('Customer Info'!A1401,'Customer Info'!A1401:C1900,2,FALSE),"Not Found")</f>
        <v>Not Found</v>
      </c>
      <c r="H1409" s="6" t="str">
        <f>IFERROR(VLOOKUP('Customer Info'!A1401,'Customer Info'!A1401:C1900,3,FALSE),"Not Found")</f>
        <v>Not Found</v>
      </c>
      <c r="I1409" s="6" t="str">
        <f>IFERROR(VLOOKUP('Customer Info'!A1401,'Customer Info'!A1401:E1900,5,FALSE),"Not Found")</f>
        <v>Not Found</v>
      </c>
      <c r="J1409" s="2">
        <v>1585</v>
      </c>
      <c r="K1409" s="2">
        <v>1495</v>
      </c>
      <c r="L1409" s="2">
        <v>5</v>
      </c>
      <c r="M1409" s="7">
        <f t="shared" si="105"/>
        <v>7475</v>
      </c>
      <c r="N1409" s="7">
        <f t="shared" si="106"/>
        <v>7925</v>
      </c>
      <c r="O1409" s="2">
        <v>82</v>
      </c>
      <c r="P1409" s="8">
        <f t="shared" si="107"/>
        <v>8007</v>
      </c>
      <c r="Q1409" s="8">
        <f t="shared" si="108"/>
        <v>6430</v>
      </c>
      <c r="R1409" s="2" t="s">
        <v>28</v>
      </c>
      <c r="S1409" s="9">
        <f t="shared" si="109"/>
        <v>400.35</v>
      </c>
    </row>
    <row r="1410" spans="1:19" x14ac:dyDescent="0.3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str">
        <f>IFERROR(VLOOKUP('Customer Info'!A1402,'Customer Info'!A1402:C1901,2,FALSE),"Not Found")</f>
        <v>Not Found</v>
      </c>
      <c r="H1410" s="6" t="str">
        <f>IFERROR(VLOOKUP('Customer Info'!A1402,'Customer Info'!A1402:C1901,3,FALSE),"Not Found")</f>
        <v>Not Found</v>
      </c>
      <c r="I1410" s="6" t="str">
        <f>IFERROR(VLOOKUP('Customer Info'!A1402,'Customer Info'!A1402:E1901,5,FALSE),"Not Found")</f>
        <v>Not Found</v>
      </c>
      <c r="J1410" s="2">
        <v>2273</v>
      </c>
      <c r="K1410" s="2">
        <v>2229</v>
      </c>
      <c r="L1410" s="2">
        <v>3</v>
      </c>
      <c r="M1410" s="7">
        <f t="shared" si="105"/>
        <v>6687</v>
      </c>
      <c r="N1410" s="7">
        <f t="shared" si="106"/>
        <v>6819</v>
      </c>
      <c r="O1410" s="2">
        <v>61</v>
      </c>
      <c r="P1410" s="8">
        <f t="shared" si="107"/>
        <v>6880</v>
      </c>
      <c r="Q1410" s="8">
        <f t="shared" si="108"/>
        <v>4590</v>
      </c>
      <c r="R1410" s="2" t="s">
        <v>28</v>
      </c>
      <c r="S1410" s="9">
        <f t="shared" si="109"/>
        <v>344</v>
      </c>
    </row>
    <row r="1411" spans="1:19" x14ac:dyDescent="0.3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str">
        <f>IFERROR(VLOOKUP('Customer Info'!A1403,'Customer Info'!A1403:C1902,2,FALSE),"Not Found")</f>
        <v>Not Found</v>
      </c>
      <c r="H1411" s="6" t="str">
        <f>IFERROR(VLOOKUP('Customer Info'!A1403,'Customer Info'!A1403:C1902,3,FALSE),"Not Found")</f>
        <v>Not Found</v>
      </c>
      <c r="I1411" s="6" t="str">
        <f>IFERROR(VLOOKUP('Customer Info'!A1403,'Customer Info'!A1403:E1902,5,FALSE),"Not Found")</f>
        <v>Not Found</v>
      </c>
      <c r="J1411" s="2">
        <v>1703</v>
      </c>
      <c r="K1411" s="2">
        <v>1639</v>
      </c>
      <c r="L1411" s="2">
        <v>2</v>
      </c>
      <c r="M1411" s="7">
        <f t="shared" si="105"/>
        <v>3278</v>
      </c>
      <c r="N1411" s="7">
        <f t="shared" si="106"/>
        <v>3406</v>
      </c>
      <c r="O1411" s="2">
        <v>90</v>
      </c>
      <c r="P1411" s="8">
        <f t="shared" si="107"/>
        <v>3496</v>
      </c>
      <c r="Q1411" s="8">
        <f t="shared" si="108"/>
        <v>1767</v>
      </c>
      <c r="R1411" s="2" t="s">
        <v>50</v>
      </c>
      <c r="S1411" s="9">
        <f t="shared" si="109"/>
        <v>69.92</v>
      </c>
    </row>
    <row r="1412" spans="1:19" x14ac:dyDescent="0.3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str">
        <f>IFERROR(VLOOKUP('Customer Info'!A1404,'Customer Info'!A1404:C1903,2,FALSE),"Not Found")</f>
        <v>Not Found</v>
      </c>
      <c r="H1412" s="6" t="str">
        <f>IFERROR(VLOOKUP('Customer Info'!A1404,'Customer Info'!A1404:C1903,3,FALSE),"Not Found")</f>
        <v>Not Found</v>
      </c>
      <c r="I1412" s="6" t="str">
        <f>IFERROR(VLOOKUP('Customer Info'!A1404,'Customer Info'!A1404:E1903,5,FALSE),"Not Found")</f>
        <v>Not Found</v>
      </c>
      <c r="J1412" s="2">
        <v>7609</v>
      </c>
      <c r="K1412" s="2">
        <v>7248</v>
      </c>
      <c r="L1412" s="2">
        <v>3</v>
      </c>
      <c r="M1412" s="7">
        <f t="shared" si="105"/>
        <v>21744</v>
      </c>
      <c r="N1412" s="7">
        <f t="shared" si="106"/>
        <v>22827</v>
      </c>
      <c r="O1412" s="2">
        <v>70</v>
      </c>
      <c r="P1412" s="8">
        <f t="shared" si="107"/>
        <v>22897</v>
      </c>
      <c r="Q1412" s="8">
        <f t="shared" si="108"/>
        <v>15579</v>
      </c>
      <c r="R1412" s="2" t="s">
        <v>28</v>
      </c>
      <c r="S1412" s="9">
        <f t="shared" si="109"/>
        <v>1144.8500000000001</v>
      </c>
    </row>
    <row r="1413" spans="1:19" x14ac:dyDescent="0.3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str">
        <f>IFERROR(VLOOKUP('Customer Info'!A1405,'Customer Info'!A1405:C1904,2,FALSE),"Not Found")</f>
        <v>Not Found</v>
      </c>
      <c r="H1413" s="6" t="str">
        <f>IFERROR(VLOOKUP('Customer Info'!A1405,'Customer Info'!A1405:C1904,3,FALSE),"Not Found")</f>
        <v>Not Found</v>
      </c>
      <c r="I1413" s="6" t="str">
        <f>IFERROR(VLOOKUP('Customer Info'!A1405,'Customer Info'!A1405:E1904,5,FALSE),"Not Found")</f>
        <v>Not Found</v>
      </c>
      <c r="J1413" s="2">
        <v>8399</v>
      </c>
      <c r="K1413" s="2">
        <v>8001</v>
      </c>
      <c r="L1413" s="2">
        <v>2</v>
      </c>
      <c r="M1413" s="7">
        <f t="shared" si="105"/>
        <v>16002</v>
      </c>
      <c r="N1413" s="7">
        <f t="shared" si="106"/>
        <v>16798</v>
      </c>
      <c r="O1413" s="2">
        <v>40</v>
      </c>
      <c r="P1413" s="8">
        <f t="shared" si="107"/>
        <v>16838</v>
      </c>
      <c r="Q1413" s="8">
        <f t="shared" si="108"/>
        <v>8797</v>
      </c>
      <c r="R1413" s="2" t="s">
        <v>28</v>
      </c>
      <c r="S1413" s="9">
        <f t="shared" si="109"/>
        <v>841.90000000000009</v>
      </c>
    </row>
    <row r="1414" spans="1:19" x14ac:dyDescent="0.3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str">
        <f>IFERROR(VLOOKUP('Customer Info'!A1406,'Customer Info'!A1406:C1905,2,FALSE),"Not Found")</f>
        <v>Not Found</v>
      </c>
      <c r="H1414" s="6" t="str">
        <f>IFERROR(VLOOKUP('Customer Info'!A1406,'Customer Info'!A1406:C1905,3,FALSE),"Not Found")</f>
        <v>Not Found</v>
      </c>
      <c r="I1414" s="6" t="str">
        <f>IFERROR(VLOOKUP('Customer Info'!A1406,'Customer Info'!A1406:E1905,5,FALSE),"Not Found")</f>
        <v>Not Found</v>
      </c>
      <c r="J1414" s="2">
        <v>2644</v>
      </c>
      <c r="K1414" s="2">
        <v>2425</v>
      </c>
      <c r="L1414" s="2">
        <v>5</v>
      </c>
      <c r="M1414" s="7">
        <f t="shared" si="105"/>
        <v>12125</v>
      </c>
      <c r="N1414" s="7">
        <f t="shared" si="106"/>
        <v>13220</v>
      </c>
      <c r="O1414" s="2">
        <v>32</v>
      </c>
      <c r="P1414" s="8">
        <f t="shared" si="107"/>
        <v>13252</v>
      </c>
      <c r="Q1414" s="8">
        <f t="shared" si="108"/>
        <v>10795</v>
      </c>
      <c r="R1414" s="2" t="s">
        <v>28</v>
      </c>
      <c r="S1414" s="9">
        <f t="shared" si="109"/>
        <v>662.6</v>
      </c>
    </row>
    <row r="1415" spans="1:19" x14ac:dyDescent="0.3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str">
        <f>IFERROR(VLOOKUP('Customer Info'!A1407,'Customer Info'!A1407:C1906,2,FALSE),"Not Found")</f>
        <v>Not Found</v>
      </c>
      <c r="H1415" s="6" t="str">
        <f>IFERROR(VLOOKUP('Customer Info'!A1407,'Customer Info'!A1407:C1906,3,FALSE),"Not Found")</f>
        <v>Not Found</v>
      </c>
      <c r="I1415" s="6" t="str">
        <f>IFERROR(VLOOKUP('Customer Info'!A1407,'Customer Info'!A1407:E1906,5,FALSE),"Not Found")</f>
        <v>Not Found</v>
      </c>
      <c r="J1415" s="2">
        <v>28522</v>
      </c>
      <c r="K1415" s="2">
        <v>26384</v>
      </c>
      <c r="L1415" s="2">
        <v>8</v>
      </c>
      <c r="M1415" s="7">
        <f t="shared" si="105"/>
        <v>211072</v>
      </c>
      <c r="N1415" s="7">
        <f t="shared" si="106"/>
        <v>228176</v>
      </c>
      <c r="O1415" s="2">
        <v>43</v>
      </c>
      <c r="P1415" s="8">
        <f t="shared" si="107"/>
        <v>228219</v>
      </c>
      <c r="Q1415" s="8">
        <f t="shared" si="108"/>
        <v>201792</v>
      </c>
      <c r="R1415" s="2" t="s">
        <v>28</v>
      </c>
      <c r="S1415" s="9">
        <f t="shared" si="109"/>
        <v>27386.28</v>
      </c>
    </row>
    <row r="1416" spans="1:19" x14ac:dyDescent="0.3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str">
        <f>IFERROR(VLOOKUP('Customer Info'!A1408,'Customer Info'!A1408:C1907,2,FALSE),"Not Found")</f>
        <v>Not Found</v>
      </c>
      <c r="H1416" s="6" t="str">
        <f>IFERROR(VLOOKUP('Customer Info'!A1408,'Customer Info'!A1408:C1907,3,FALSE),"Not Found")</f>
        <v>Not Found</v>
      </c>
      <c r="I1416" s="6" t="str">
        <f>IFERROR(VLOOKUP('Customer Info'!A1408,'Customer Info'!A1408:E1907,5,FALSE),"Not Found")</f>
        <v>Not Found</v>
      </c>
      <c r="J1416" s="2">
        <v>2478</v>
      </c>
      <c r="K1416" s="2">
        <v>2406</v>
      </c>
      <c r="L1416" s="2">
        <v>4</v>
      </c>
      <c r="M1416" s="7">
        <f t="shared" si="105"/>
        <v>9624</v>
      </c>
      <c r="N1416" s="7">
        <f t="shared" si="106"/>
        <v>9912</v>
      </c>
      <c r="O1416" s="2">
        <v>27</v>
      </c>
      <c r="P1416" s="8">
        <f t="shared" si="107"/>
        <v>9939</v>
      </c>
      <c r="Q1416" s="8">
        <f t="shared" si="108"/>
        <v>7506</v>
      </c>
      <c r="R1416" s="2" t="s">
        <v>26</v>
      </c>
      <c r="S1416" s="9">
        <f t="shared" si="109"/>
        <v>496.95000000000005</v>
      </c>
    </row>
    <row r="1417" spans="1:19" x14ac:dyDescent="0.3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str">
        <f>IFERROR(VLOOKUP('Customer Info'!A1409,'Customer Info'!A1409:C1908,2,FALSE),"Not Found")</f>
        <v>Not Found</v>
      </c>
      <c r="H1417" s="6" t="str">
        <f>IFERROR(VLOOKUP('Customer Info'!A1409,'Customer Info'!A1409:C1908,3,FALSE),"Not Found")</f>
        <v>Not Found</v>
      </c>
      <c r="I1417" s="6" t="str">
        <f>IFERROR(VLOOKUP('Customer Info'!A1409,'Customer Info'!A1409:E1908,5,FALSE),"Not Found")</f>
        <v>Not Found</v>
      </c>
      <c r="J1417" s="2">
        <v>1700</v>
      </c>
      <c r="K1417" s="2">
        <v>1620</v>
      </c>
      <c r="L1417" s="2">
        <v>4</v>
      </c>
      <c r="M1417" s="7">
        <f t="shared" si="105"/>
        <v>6480</v>
      </c>
      <c r="N1417" s="7">
        <f t="shared" si="106"/>
        <v>6800</v>
      </c>
      <c r="O1417" s="2">
        <v>62</v>
      </c>
      <c r="P1417" s="8">
        <f t="shared" si="107"/>
        <v>6862</v>
      </c>
      <c r="Q1417" s="8">
        <f t="shared" si="108"/>
        <v>5180</v>
      </c>
      <c r="R1417" s="2" t="s">
        <v>56</v>
      </c>
      <c r="S1417" s="9">
        <f t="shared" si="109"/>
        <v>343.1</v>
      </c>
    </row>
    <row r="1418" spans="1:19" x14ac:dyDescent="0.3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str">
        <f>IFERROR(VLOOKUP('Customer Info'!A1410,'Customer Info'!A1410:C1909,2,FALSE),"Not Found")</f>
        <v>Not Found</v>
      </c>
      <c r="H1418" s="6" t="str">
        <f>IFERROR(VLOOKUP('Customer Info'!A1410,'Customer Info'!A1410:C1909,3,FALSE),"Not Found")</f>
        <v>Not Found</v>
      </c>
      <c r="I1418" s="6" t="str">
        <f>IFERROR(VLOOKUP('Customer Info'!A1410,'Customer Info'!A1410:E1909,5,FALSE),"Not Found")</f>
        <v>Not Found</v>
      </c>
      <c r="J1418" s="2">
        <v>900</v>
      </c>
      <c r="K1418" s="2">
        <v>834</v>
      </c>
      <c r="L1418" s="2">
        <v>3</v>
      </c>
      <c r="M1418" s="7">
        <f t="shared" si="105"/>
        <v>2502</v>
      </c>
      <c r="N1418" s="7">
        <f t="shared" si="106"/>
        <v>2700</v>
      </c>
      <c r="O1418" s="2">
        <v>67</v>
      </c>
      <c r="P1418" s="8">
        <f t="shared" si="107"/>
        <v>2767</v>
      </c>
      <c r="Q1418" s="8">
        <f t="shared" si="108"/>
        <v>1866</v>
      </c>
      <c r="R1418" s="2" t="s">
        <v>50</v>
      </c>
      <c r="S1418" s="9">
        <f t="shared" si="109"/>
        <v>55.34</v>
      </c>
    </row>
    <row r="1419" spans="1:19" x14ac:dyDescent="0.3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str">
        <f>IFERROR(VLOOKUP('Customer Info'!A1411,'Customer Info'!A1411:C1910,2,FALSE),"Not Found")</f>
        <v>Not Found</v>
      </c>
      <c r="H1419" s="6" t="str">
        <f>IFERROR(VLOOKUP('Customer Info'!A1411,'Customer Info'!A1411:C1910,3,FALSE),"Not Found")</f>
        <v>Not Found</v>
      </c>
      <c r="I1419" s="6" t="str">
        <f>IFERROR(VLOOKUP('Customer Info'!A1411,'Customer Info'!A1411:E1910,5,FALSE),"Not Found")</f>
        <v>Not Found</v>
      </c>
      <c r="J1419" s="2">
        <v>8889</v>
      </c>
      <c r="K1419" s="2">
        <v>8469</v>
      </c>
      <c r="L1419" s="2">
        <v>2</v>
      </c>
      <c r="M1419" s="7">
        <f t="shared" ref="M1419:M1482" si="110">$K1419*$L1419</f>
        <v>16938</v>
      </c>
      <c r="N1419" s="7">
        <f t="shared" ref="N1419:N1482" si="111">$J1419*$L1419</f>
        <v>17778</v>
      </c>
      <c r="O1419" s="2">
        <v>47</v>
      </c>
      <c r="P1419" s="8">
        <f t="shared" ref="P1419:P1482" si="112">$N1419+$O1419</f>
        <v>17825</v>
      </c>
      <c r="Q1419" s="8">
        <f t="shared" ref="Q1419:Q1482" si="113">$N1419-$K1419</f>
        <v>9309</v>
      </c>
      <c r="R1419" s="2" t="s">
        <v>28</v>
      </c>
      <c r="S1419" s="9">
        <f t="shared" ref="S1419:S1482" si="114" xml:space="preserve"> P1419 * VLOOKUP(P1419, $T$2:$U$6, 2, TRUE)</f>
        <v>891.25</v>
      </c>
    </row>
    <row r="1420" spans="1:19" x14ac:dyDescent="0.3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str">
        <f>IFERROR(VLOOKUP('Customer Info'!A1412,'Customer Info'!A1412:C1911,2,FALSE),"Not Found")</f>
        <v>Not Found</v>
      </c>
      <c r="H1420" s="6" t="str">
        <f>IFERROR(VLOOKUP('Customer Info'!A1412,'Customer Info'!A1412:C1911,3,FALSE),"Not Found")</f>
        <v>Not Found</v>
      </c>
      <c r="I1420" s="6" t="str">
        <f>IFERROR(VLOOKUP('Customer Info'!A1412,'Customer Info'!A1412:E1911,5,FALSE),"Not Found")</f>
        <v>Not Found</v>
      </c>
      <c r="J1420" s="2">
        <v>2249</v>
      </c>
      <c r="K1420" s="2">
        <v>2102</v>
      </c>
      <c r="L1420" s="2">
        <v>1</v>
      </c>
      <c r="M1420" s="7">
        <f t="shared" si="110"/>
        <v>2102</v>
      </c>
      <c r="N1420" s="7">
        <f t="shared" si="111"/>
        <v>2249</v>
      </c>
      <c r="O1420" s="2">
        <v>53</v>
      </c>
      <c r="P1420" s="8">
        <f t="shared" si="112"/>
        <v>2302</v>
      </c>
      <c r="Q1420" s="8">
        <f t="shared" si="113"/>
        <v>147</v>
      </c>
      <c r="R1420" s="2" t="s">
        <v>50</v>
      </c>
      <c r="S1420" s="9">
        <f t="shared" si="114"/>
        <v>46.04</v>
      </c>
    </row>
    <row r="1421" spans="1:19" x14ac:dyDescent="0.3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str">
        <f>IFERROR(VLOOKUP('Customer Info'!A1413,'Customer Info'!A1413:C1912,2,FALSE),"Not Found")</f>
        <v>Not Found</v>
      </c>
      <c r="H1421" s="6" t="str">
        <f>IFERROR(VLOOKUP('Customer Info'!A1413,'Customer Info'!A1413:C1912,3,FALSE),"Not Found")</f>
        <v>Not Found</v>
      </c>
      <c r="I1421" s="6" t="str">
        <f>IFERROR(VLOOKUP('Customer Info'!A1413,'Customer Info'!A1413:E1912,5,FALSE),"Not Found")</f>
        <v>Not Found</v>
      </c>
      <c r="J1421" s="2">
        <v>789</v>
      </c>
      <c r="K1421" s="2">
        <v>739</v>
      </c>
      <c r="L1421" s="2">
        <v>5</v>
      </c>
      <c r="M1421" s="7">
        <f t="shared" si="110"/>
        <v>3695</v>
      </c>
      <c r="N1421" s="7">
        <f t="shared" si="111"/>
        <v>3945</v>
      </c>
      <c r="O1421" s="2">
        <v>86</v>
      </c>
      <c r="P1421" s="8">
        <f t="shared" si="112"/>
        <v>4031</v>
      </c>
      <c r="Q1421" s="8">
        <f t="shared" si="113"/>
        <v>3206</v>
      </c>
      <c r="R1421" s="2" t="s">
        <v>50</v>
      </c>
      <c r="S1421" s="9">
        <f t="shared" si="114"/>
        <v>80.62</v>
      </c>
    </row>
    <row r="1422" spans="1:19" x14ac:dyDescent="0.3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str">
        <f>IFERROR(VLOOKUP('Customer Info'!A1414,'Customer Info'!A1414:C1913,2,FALSE),"Not Found")</f>
        <v>Not Found</v>
      </c>
      <c r="H1422" s="6" t="str">
        <f>IFERROR(VLOOKUP('Customer Info'!A1414,'Customer Info'!A1414:C1913,3,FALSE),"Not Found")</f>
        <v>Not Found</v>
      </c>
      <c r="I1422" s="6" t="str">
        <f>IFERROR(VLOOKUP('Customer Info'!A1414,'Customer Info'!A1414:E1913,5,FALSE),"Not Found")</f>
        <v>Not Found</v>
      </c>
      <c r="J1422" s="2">
        <v>7474</v>
      </c>
      <c r="K1422" s="2">
        <v>6858</v>
      </c>
      <c r="L1422" s="2">
        <v>2</v>
      </c>
      <c r="M1422" s="7">
        <f t="shared" si="110"/>
        <v>13716</v>
      </c>
      <c r="N1422" s="7">
        <f t="shared" si="111"/>
        <v>14948</v>
      </c>
      <c r="O1422" s="2">
        <v>83</v>
      </c>
      <c r="P1422" s="8">
        <f t="shared" si="112"/>
        <v>15031</v>
      </c>
      <c r="Q1422" s="8">
        <f t="shared" si="113"/>
        <v>8090</v>
      </c>
      <c r="R1422" s="2" t="s">
        <v>28</v>
      </c>
      <c r="S1422" s="9">
        <f t="shared" si="114"/>
        <v>751.55000000000007</v>
      </c>
    </row>
    <row r="1423" spans="1:19" x14ac:dyDescent="0.3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str">
        <f>IFERROR(VLOOKUP('Customer Info'!A1415,'Customer Info'!A1415:C1914,2,FALSE),"Not Found")</f>
        <v>Not Found</v>
      </c>
      <c r="H1423" s="6" t="str">
        <f>IFERROR(VLOOKUP('Customer Info'!A1415,'Customer Info'!A1415:C1914,3,FALSE),"Not Found")</f>
        <v>Not Found</v>
      </c>
      <c r="I1423" s="6" t="str">
        <f>IFERROR(VLOOKUP('Customer Info'!A1415,'Customer Info'!A1415:E1914,5,FALSE),"Not Found")</f>
        <v>Not Found</v>
      </c>
      <c r="J1423" s="2">
        <v>2243</v>
      </c>
      <c r="K1423" s="2">
        <v>2000</v>
      </c>
      <c r="L1423" s="2">
        <v>1</v>
      </c>
      <c r="M1423" s="7">
        <f t="shared" si="110"/>
        <v>2000</v>
      </c>
      <c r="N1423" s="7">
        <f t="shared" si="111"/>
        <v>2243</v>
      </c>
      <c r="O1423" s="2">
        <v>33</v>
      </c>
      <c r="P1423" s="8">
        <f t="shared" si="112"/>
        <v>2276</v>
      </c>
      <c r="Q1423" s="8">
        <f t="shared" si="113"/>
        <v>243</v>
      </c>
      <c r="R1423" s="2" t="s">
        <v>28</v>
      </c>
      <c r="S1423" s="9">
        <f t="shared" si="114"/>
        <v>45.52</v>
      </c>
    </row>
    <row r="1424" spans="1:19" x14ac:dyDescent="0.3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str">
        <f>IFERROR(VLOOKUP('Customer Info'!A1416,'Customer Info'!A1416:C1915,2,FALSE),"Not Found")</f>
        <v>Not Found</v>
      </c>
      <c r="H1424" s="6" t="str">
        <f>IFERROR(VLOOKUP('Customer Info'!A1416,'Customer Info'!A1416:C1915,3,FALSE),"Not Found")</f>
        <v>Not Found</v>
      </c>
      <c r="I1424" s="6" t="str">
        <f>IFERROR(VLOOKUP('Customer Info'!A1416,'Customer Info'!A1416:E1915,5,FALSE),"Not Found")</f>
        <v>Not Found</v>
      </c>
      <c r="J1424" s="2">
        <v>1816</v>
      </c>
      <c r="K1424" s="2">
        <v>1700</v>
      </c>
      <c r="L1424" s="2">
        <v>2</v>
      </c>
      <c r="M1424" s="7">
        <f t="shared" si="110"/>
        <v>3400</v>
      </c>
      <c r="N1424" s="7">
        <f t="shared" si="111"/>
        <v>3632</v>
      </c>
      <c r="O1424" s="2">
        <v>84</v>
      </c>
      <c r="P1424" s="8">
        <f t="shared" si="112"/>
        <v>3716</v>
      </c>
      <c r="Q1424" s="8">
        <f t="shared" si="113"/>
        <v>1932</v>
      </c>
      <c r="R1424" s="2" t="s">
        <v>50</v>
      </c>
      <c r="S1424" s="9">
        <f t="shared" si="114"/>
        <v>74.320000000000007</v>
      </c>
    </row>
    <row r="1425" spans="1:19" x14ac:dyDescent="0.3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str">
        <f>IFERROR(VLOOKUP('Customer Info'!A1417,'Customer Info'!A1417:C1916,2,FALSE),"Not Found")</f>
        <v>Not Found</v>
      </c>
      <c r="H1425" s="6" t="str">
        <f>IFERROR(VLOOKUP('Customer Info'!A1417,'Customer Info'!A1417:C1916,3,FALSE),"Not Found")</f>
        <v>Not Found</v>
      </c>
      <c r="I1425" s="6" t="str">
        <f>IFERROR(VLOOKUP('Customer Info'!A1417,'Customer Info'!A1417:E1916,5,FALSE),"Not Found")</f>
        <v>Not Found</v>
      </c>
      <c r="J1425" s="2">
        <v>1512</v>
      </c>
      <c r="K1425" s="2">
        <v>1497</v>
      </c>
      <c r="L1425" s="2">
        <v>6</v>
      </c>
      <c r="M1425" s="7">
        <f t="shared" si="110"/>
        <v>8982</v>
      </c>
      <c r="N1425" s="7">
        <f t="shared" si="111"/>
        <v>9072</v>
      </c>
      <c r="O1425" s="2">
        <v>87</v>
      </c>
      <c r="P1425" s="8">
        <f t="shared" si="112"/>
        <v>9159</v>
      </c>
      <c r="Q1425" s="8">
        <f t="shared" si="113"/>
        <v>7575</v>
      </c>
      <c r="R1425" s="2" t="s">
        <v>50</v>
      </c>
      <c r="S1425" s="9">
        <f t="shared" si="114"/>
        <v>457.95000000000005</v>
      </c>
    </row>
    <row r="1426" spans="1:19" x14ac:dyDescent="0.3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str">
        <f>IFERROR(VLOOKUP('Customer Info'!A1418,'Customer Info'!A1418:C1917,2,FALSE),"Not Found")</f>
        <v>Not Found</v>
      </c>
      <c r="H1426" s="6" t="str">
        <f>IFERROR(VLOOKUP('Customer Info'!A1418,'Customer Info'!A1418:C1917,3,FALSE),"Not Found")</f>
        <v>Not Found</v>
      </c>
      <c r="I1426" s="6" t="str">
        <f>IFERROR(VLOOKUP('Customer Info'!A1418,'Customer Info'!A1418:E1917,5,FALSE),"Not Found")</f>
        <v>Not Found</v>
      </c>
      <c r="J1426" s="2">
        <v>1790</v>
      </c>
      <c r="K1426" s="2">
        <v>1706</v>
      </c>
      <c r="L1426" s="2">
        <v>1</v>
      </c>
      <c r="M1426" s="7">
        <f t="shared" si="110"/>
        <v>1706</v>
      </c>
      <c r="N1426" s="7">
        <f t="shared" si="111"/>
        <v>1790</v>
      </c>
      <c r="O1426" s="2">
        <v>89</v>
      </c>
      <c r="P1426" s="8">
        <f t="shared" si="112"/>
        <v>1879</v>
      </c>
      <c r="Q1426" s="8">
        <f t="shared" si="113"/>
        <v>84</v>
      </c>
      <c r="R1426" s="2" t="s">
        <v>50</v>
      </c>
      <c r="S1426" s="9">
        <f t="shared" si="114"/>
        <v>37.58</v>
      </c>
    </row>
    <row r="1427" spans="1:19" x14ac:dyDescent="0.3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str">
        <f>IFERROR(VLOOKUP('Customer Info'!A1419,'Customer Info'!A1419:C1918,2,FALSE),"Not Found")</f>
        <v>Not Found</v>
      </c>
      <c r="H1427" s="6" t="str">
        <f>IFERROR(VLOOKUP('Customer Info'!A1419,'Customer Info'!A1419:C1918,3,FALSE),"Not Found")</f>
        <v>Not Found</v>
      </c>
      <c r="I1427" s="6" t="str">
        <f>IFERROR(VLOOKUP('Customer Info'!A1419,'Customer Info'!A1419:E1918,5,FALSE),"Not Found")</f>
        <v>Not Found</v>
      </c>
      <c r="J1427" s="2">
        <v>4443</v>
      </c>
      <c r="K1427" s="2">
        <v>4079</v>
      </c>
      <c r="L1427" s="2">
        <v>8</v>
      </c>
      <c r="M1427" s="7">
        <f t="shared" si="110"/>
        <v>32632</v>
      </c>
      <c r="N1427" s="7">
        <f t="shared" si="111"/>
        <v>35544</v>
      </c>
      <c r="O1427" s="2">
        <v>74</v>
      </c>
      <c r="P1427" s="8">
        <f t="shared" si="112"/>
        <v>35618</v>
      </c>
      <c r="Q1427" s="8">
        <f t="shared" si="113"/>
        <v>31465</v>
      </c>
      <c r="R1427" s="2" t="s">
        <v>28</v>
      </c>
      <c r="S1427" s="9">
        <f t="shared" si="114"/>
        <v>2493.2600000000002</v>
      </c>
    </row>
    <row r="1428" spans="1:19" x14ac:dyDescent="0.3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str">
        <f>IFERROR(VLOOKUP('Customer Info'!A1420,'Customer Info'!A1420:C1919,2,FALSE),"Not Found")</f>
        <v>Not Found</v>
      </c>
      <c r="H1428" s="6" t="str">
        <f>IFERROR(VLOOKUP('Customer Info'!A1420,'Customer Info'!A1420:C1919,3,FALSE),"Not Found")</f>
        <v>Not Found</v>
      </c>
      <c r="I1428" s="6" t="str">
        <f>IFERROR(VLOOKUP('Customer Info'!A1420,'Customer Info'!A1420:E1919,5,FALSE),"Not Found")</f>
        <v>Not Found</v>
      </c>
      <c r="J1428" s="2">
        <v>2907</v>
      </c>
      <c r="K1428" s="2">
        <v>2667</v>
      </c>
      <c r="L1428" s="2">
        <v>7</v>
      </c>
      <c r="M1428" s="7">
        <f t="shared" si="110"/>
        <v>18669</v>
      </c>
      <c r="N1428" s="7">
        <f t="shared" si="111"/>
        <v>20349</v>
      </c>
      <c r="O1428" s="2">
        <v>49</v>
      </c>
      <c r="P1428" s="8">
        <f t="shared" si="112"/>
        <v>20398</v>
      </c>
      <c r="Q1428" s="8">
        <f t="shared" si="113"/>
        <v>17682</v>
      </c>
      <c r="R1428" s="2" t="s">
        <v>50</v>
      </c>
      <c r="S1428" s="9">
        <f t="shared" si="114"/>
        <v>1019.9000000000001</v>
      </c>
    </row>
    <row r="1429" spans="1:19" x14ac:dyDescent="0.3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str">
        <f>IFERROR(VLOOKUP('Customer Info'!A1421,'Customer Info'!A1421:C1920,2,FALSE),"Not Found")</f>
        <v>Not Found</v>
      </c>
      <c r="H1429" s="6" t="str">
        <f>IFERROR(VLOOKUP('Customer Info'!A1421,'Customer Info'!A1421:C1920,3,FALSE),"Not Found")</f>
        <v>Not Found</v>
      </c>
      <c r="I1429" s="6" t="str">
        <f>IFERROR(VLOOKUP('Customer Info'!A1421,'Customer Info'!A1421:E1920,5,FALSE),"Not Found")</f>
        <v>Not Found</v>
      </c>
      <c r="J1429" s="2">
        <v>206</v>
      </c>
      <c r="K1429" s="2">
        <v>189</v>
      </c>
      <c r="L1429" s="2">
        <v>2</v>
      </c>
      <c r="M1429" s="7">
        <f t="shared" si="110"/>
        <v>378</v>
      </c>
      <c r="N1429" s="7">
        <f t="shared" si="111"/>
        <v>412</v>
      </c>
      <c r="O1429" s="2">
        <v>30</v>
      </c>
      <c r="P1429" s="8">
        <f t="shared" si="112"/>
        <v>442</v>
      </c>
      <c r="Q1429" s="8">
        <f t="shared" si="113"/>
        <v>223</v>
      </c>
      <c r="R1429" s="2" t="s">
        <v>50</v>
      </c>
      <c r="S1429" s="9">
        <f t="shared" si="114"/>
        <v>8.84</v>
      </c>
    </row>
    <row r="1430" spans="1:19" x14ac:dyDescent="0.3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str">
        <f>IFERROR(VLOOKUP('Customer Info'!A1422,'Customer Info'!A1422:C1921,2,FALSE),"Not Found")</f>
        <v>Not Found</v>
      </c>
      <c r="H1430" s="6" t="str">
        <f>IFERROR(VLOOKUP('Customer Info'!A1422,'Customer Info'!A1422:C1921,3,FALSE),"Not Found")</f>
        <v>Not Found</v>
      </c>
      <c r="I1430" s="6" t="str">
        <f>IFERROR(VLOOKUP('Customer Info'!A1422,'Customer Info'!A1422:E1921,5,FALSE),"Not Found")</f>
        <v>Not Found</v>
      </c>
      <c r="J1430" s="2">
        <v>138</v>
      </c>
      <c r="K1430" s="2">
        <v>128</v>
      </c>
      <c r="L1430" s="2">
        <v>8</v>
      </c>
      <c r="M1430" s="7">
        <f t="shared" si="110"/>
        <v>1024</v>
      </c>
      <c r="N1430" s="7">
        <f t="shared" si="111"/>
        <v>1104</v>
      </c>
      <c r="O1430" s="2">
        <v>30</v>
      </c>
      <c r="P1430" s="8">
        <f t="shared" si="112"/>
        <v>1134</v>
      </c>
      <c r="Q1430" s="8">
        <f t="shared" si="113"/>
        <v>976</v>
      </c>
      <c r="R1430" s="2" t="s">
        <v>28</v>
      </c>
      <c r="S1430" s="9">
        <f t="shared" si="114"/>
        <v>22.68</v>
      </c>
    </row>
    <row r="1431" spans="1:19" x14ac:dyDescent="0.3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str">
        <f>IFERROR(VLOOKUP('Customer Info'!A1423,'Customer Info'!A1423:C1922,2,FALSE),"Not Found")</f>
        <v>Not Found</v>
      </c>
      <c r="H1431" s="6" t="str">
        <f>IFERROR(VLOOKUP('Customer Info'!A1423,'Customer Info'!A1423:C1922,3,FALSE),"Not Found")</f>
        <v>Not Found</v>
      </c>
      <c r="I1431" s="6" t="str">
        <f>IFERROR(VLOOKUP('Customer Info'!A1423,'Customer Info'!A1423:E1922,5,FALSE),"Not Found")</f>
        <v>Not Found</v>
      </c>
      <c r="J1431" s="2">
        <v>1205</v>
      </c>
      <c r="K1431" s="2">
        <v>1159</v>
      </c>
      <c r="L1431" s="2">
        <v>4</v>
      </c>
      <c r="M1431" s="7">
        <f t="shared" si="110"/>
        <v>4636</v>
      </c>
      <c r="N1431" s="7">
        <f t="shared" si="111"/>
        <v>4820</v>
      </c>
      <c r="O1431" s="2">
        <v>73</v>
      </c>
      <c r="P1431" s="8">
        <f t="shared" si="112"/>
        <v>4893</v>
      </c>
      <c r="Q1431" s="8">
        <f t="shared" si="113"/>
        <v>3661</v>
      </c>
      <c r="R1431" s="2" t="s">
        <v>28</v>
      </c>
      <c r="S1431" s="9">
        <f t="shared" si="114"/>
        <v>97.86</v>
      </c>
    </row>
    <row r="1432" spans="1:19" x14ac:dyDescent="0.3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str">
        <f>IFERROR(VLOOKUP('Customer Info'!A1424,'Customer Info'!A1424:C1923,2,FALSE),"Not Found")</f>
        <v>Not Found</v>
      </c>
      <c r="H1432" s="6" t="str">
        <f>IFERROR(VLOOKUP('Customer Info'!A1424,'Customer Info'!A1424:C1923,3,FALSE),"Not Found")</f>
        <v>Not Found</v>
      </c>
      <c r="I1432" s="6" t="str">
        <f>IFERROR(VLOOKUP('Customer Info'!A1424,'Customer Info'!A1424:E1923,5,FALSE),"Not Found")</f>
        <v>Not Found</v>
      </c>
      <c r="J1432" s="2">
        <v>809</v>
      </c>
      <c r="K1432" s="2">
        <v>770</v>
      </c>
      <c r="L1432" s="2">
        <v>1</v>
      </c>
      <c r="M1432" s="7">
        <f t="shared" si="110"/>
        <v>770</v>
      </c>
      <c r="N1432" s="7">
        <f t="shared" si="111"/>
        <v>809</v>
      </c>
      <c r="O1432" s="2">
        <v>90</v>
      </c>
      <c r="P1432" s="8">
        <f t="shared" si="112"/>
        <v>899</v>
      </c>
      <c r="Q1432" s="8">
        <f t="shared" si="113"/>
        <v>39</v>
      </c>
      <c r="R1432" s="2" t="s">
        <v>28</v>
      </c>
      <c r="S1432" s="9">
        <f t="shared" si="114"/>
        <v>17.98</v>
      </c>
    </row>
    <row r="1433" spans="1:19" x14ac:dyDescent="0.3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str">
        <f>IFERROR(VLOOKUP('Customer Info'!A1425,'Customer Info'!A1425:C1924,2,FALSE),"Not Found")</f>
        <v>Not Found</v>
      </c>
      <c r="H1433" s="6" t="str">
        <f>IFERROR(VLOOKUP('Customer Info'!A1425,'Customer Info'!A1425:C1924,3,FALSE),"Not Found")</f>
        <v>Not Found</v>
      </c>
      <c r="I1433" s="6" t="str">
        <f>IFERROR(VLOOKUP('Customer Info'!A1425,'Customer Info'!A1425:E1924,5,FALSE),"Not Found")</f>
        <v>Not Found</v>
      </c>
      <c r="J1433" s="2">
        <v>101</v>
      </c>
      <c r="K1433" s="2">
        <v>98</v>
      </c>
      <c r="L1433" s="2">
        <v>13</v>
      </c>
      <c r="M1433" s="7">
        <f t="shared" si="110"/>
        <v>1274</v>
      </c>
      <c r="N1433" s="7">
        <f t="shared" si="111"/>
        <v>1313</v>
      </c>
      <c r="O1433" s="2">
        <v>10</v>
      </c>
      <c r="P1433" s="8">
        <f t="shared" si="112"/>
        <v>1323</v>
      </c>
      <c r="Q1433" s="8">
        <f t="shared" si="113"/>
        <v>1215</v>
      </c>
      <c r="R1433" s="2" t="s">
        <v>26</v>
      </c>
      <c r="S1433" s="9">
        <f t="shared" si="114"/>
        <v>26.46</v>
      </c>
    </row>
    <row r="1434" spans="1:19" x14ac:dyDescent="0.3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str">
        <f>IFERROR(VLOOKUP('Customer Info'!A1426,'Customer Info'!A1426:C1925,2,FALSE),"Not Found")</f>
        <v>Not Found</v>
      </c>
      <c r="H1434" s="6" t="str">
        <f>IFERROR(VLOOKUP('Customer Info'!A1426,'Customer Info'!A1426:C1925,3,FALSE),"Not Found")</f>
        <v>Not Found</v>
      </c>
      <c r="I1434" s="6" t="str">
        <f>IFERROR(VLOOKUP('Customer Info'!A1426,'Customer Info'!A1426:E1925,5,FALSE),"Not Found")</f>
        <v>Not Found</v>
      </c>
      <c r="J1434" s="2">
        <v>8281</v>
      </c>
      <c r="K1434" s="2">
        <v>7673</v>
      </c>
      <c r="L1434" s="2">
        <v>5</v>
      </c>
      <c r="M1434" s="7">
        <f t="shared" si="110"/>
        <v>38365</v>
      </c>
      <c r="N1434" s="7">
        <f t="shared" si="111"/>
        <v>41405</v>
      </c>
      <c r="O1434" s="2">
        <v>26</v>
      </c>
      <c r="P1434" s="8">
        <f t="shared" si="112"/>
        <v>41431</v>
      </c>
      <c r="Q1434" s="8">
        <f t="shared" si="113"/>
        <v>33732</v>
      </c>
      <c r="R1434" s="2" t="s">
        <v>26</v>
      </c>
      <c r="S1434" s="9">
        <f t="shared" si="114"/>
        <v>2900.17</v>
      </c>
    </row>
    <row r="1435" spans="1:19" x14ac:dyDescent="0.3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str">
        <f>IFERROR(VLOOKUP('Customer Info'!A1427,'Customer Info'!A1427:C1926,2,FALSE),"Not Found")</f>
        <v>Not Found</v>
      </c>
      <c r="H1435" s="6" t="str">
        <f>IFERROR(VLOOKUP('Customer Info'!A1427,'Customer Info'!A1427:C1926,3,FALSE),"Not Found")</f>
        <v>Not Found</v>
      </c>
      <c r="I1435" s="6" t="str">
        <f>IFERROR(VLOOKUP('Customer Info'!A1427,'Customer Info'!A1427:E1926,5,FALSE),"Not Found")</f>
        <v>Not Found</v>
      </c>
      <c r="J1435" s="2">
        <v>1718</v>
      </c>
      <c r="K1435" s="2">
        <v>1545</v>
      </c>
      <c r="L1435" s="2">
        <v>3</v>
      </c>
      <c r="M1435" s="7">
        <f t="shared" si="110"/>
        <v>4635</v>
      </c>
      <c r="N1435" s="7">
        <f t="shared" si="111"/>
        <v>5154</v>
      </c>
      <c r="O1435" s="2">
        <v>87</v>
      </c>
      <c r="P1435" s="8">
        <f t="shared" si="112"/>
        <v>5241</v>
      </c>
      <c r="Q1435" s="8">
        <f t="shared" si="113"/>
        <v>3609</v>
      </c>
      <c r="R1435" s="2" t="s">
        <v>56</v>
      </c>
      <c r="S1435" s="9">
        <f t="shared" si="114"/>
        <v>262.05</v>
      </c>
    </row>
    <row r="1436" spans="1:19" x14ac:dyDescent="0.3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str">
        <f>IFERROR(VLOOKUP('Customer Info'!A1428,'Customer Info'!A1428:C1927,2,FALSE),"Not Found")</f>
        <v>Not Found</v>
      </c>
      <c r="H1436" s="6" t="str">
        <f>IFERROR(VLOOKUP('Customer Info'!A1428,'Customer Info'!A1428:C1927,3,FALSE),"Not Found")</f>
        <v>Not Found</v>
      </c>
      <c r="I1436" s="6" t="str">
        <f>IFERROR(VLOOKUP('Customer Info'!A1428,'Customer Info'!A1428:E1927,5,FALSE),"Not Found")</f>
        <v>Not Found</v>
      </c>
      <c r="J1436" s="2">
        <v>1405</v>
      </c>
      <c r="K1436" s="2">
        <v>1287</v>
      </c>
      <c r="L1436" s="2">
        <v>3</v>
      </c>
      <c r="M1436" s="7">
        <f t="shared" si="110"/>
        <v>3861</v>
      </c>
      <c r="N1436" s="7">
        <f t="shared" si="111"/>
        <v>4215</v>
      </c>
      <c r="O1436" s="2">
        <v>45</v>
      </c>
      <c r="P1436" s="8">
        <f t="shared" si="112"/>
        <v>4260</v>
      </c>
      <c r="Q1436" s="8">
        <f t="shared" si="113"/>
        <v>2928</v>
      </c>
      <c r="R1436" s="2" t="s">
        <v>28</v>
      </c>
      <c r="S1436" s="9">
        <f t="shared" si="114"/>
        <v>85.2</v>
      </c>
    </row>
    <row r="1437" spans="1:19" x14ac:dyDescent="0.3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str">
        <f>IFERROR(VLOOKUP('Customer Info'!A1429,'Customer Info'!A1429:C1928,2,FALSE),"Not Found")</f>
        <v>Not Found</v>
      </c>
      <c r="H1437" s="6" t="str">
        <f>IFERROR(VLOOKUP('Customer Info'!A1429,'Customer Info'!A1429:C1928,3,FALSE),"Not Found")</f>
        <v>Not Found</v>
      </c>
      <c r="I1437" s="6" t="str">
        <f>IFERROR(VLOOKUP('Customer Info'!A1429,'Customer Info'!A1429:E1928,5,FALSE),"Not Found")</f>
        <v>Not Found</v>
      </c>
      <c r="J1437" s="2">
        <v>1906</v>
      </c>
      <c r="K1437" s="2">
        <v>1798</v>
      </c>
      <c r="L1437" s="2">
        <v>3</v>
      </c>
      <c r="M1437" s="7">
        <f t="shared" si="110"/>
        <v>5394</v>
      </c>
      <c r="N1437" s="7">
        <f t="shared" si="111"/>
        <v>5718</v>
      </c>
      <c r="O1437" s="2">
        <v>24</v>
      </c>
      <c r="P1437" s="8">
        <f t="shared" si="112"/>
        <v>5742</v>
      </c>
      <c r="Q1437" s="8">
        <f t="shared" si="113"/>
        <v>3920</v>
      </c>
      <c r="R1437" s="2" t="s">
        <v>50</v>
      </c>
      <c r="S1437" s="9">
        <f t="shared" si="114"/>
        <v>287.10000000000002</v>
      </c>
    </row>
    <row r="1438" spans="1:19" x14ac:dyDescent="0.3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str">
        <f>IFERROR(VLOOKUP('Customer Info'!A1430,'Customer Info'!A1430:C1929,2,FALSE),"Not Found")</f>
        <v>Not Found</v>
      </c>
      <c r="H1438" s="6" t="str">
        <f>IFERROR(VLOOKUP('Customer Info'!A1430,'Customer Info'!A1430:C1929,3,FALSE),"Not Found")</f>
        <v>Not Found</v>
      </c>
      <c r="I1438" s="6" t="str">
        <f>IFERROR(VLOOKUP('Customer Info'!A1430,'Customer Info'!A1430:E1929,5,FALSE),"Not Found")</f>
        <v>Not Found</v>
      </c>
      <c r="J1438" s="2">
        <v>2526</v>
      </c>
      <c r="K1438" s="2">
        <v>2408</v>
      </c>
      <c r="L1438" s="2">
        <v>1</v>
      </c>
      <c r="M1438" s="7">
        <f t="shared" si="110"/>
        <v>2408</v>
      </c>
      <c r="N1438" s="7">
        <f t="shared" si="111"/>
        <v>2526</v>
      </c>
      <c r="O1438" s="2">
        <v>99</v>
      </c>
      <c r="P1438" s="8">
        <f t="shared" si="112"/>
        <v>2625</v>
      </c>
      <c r="Q1438" s="8">
        <f t="shared" si="113"/>
        <v>118</v>
      </c>
      <c r="R1438" s="2" t="s">
        <v>50</v>
      </c>
      <c r="S1438" s="9">
        <f t="shared" si="114"/>
        <v>52.5</v>
      </c>
    </row>
    <row r="1439" spans="1:19" x14ac:dyDescent="0.3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str">
        <f>IFERROR(VLOOKUP('Customer Info'!A1431,'Customer Info'!A1431:C1930,2,FALSE),"Not Found")</f>
        <v>Not Found</v>
      </c>
      <c r="H1439" s="6" t="str">
        <f>IFERROR(VLOOKUP('Customer Info'!A1431,'Customer Info'!A1431:C1930,3,FALSE),"Not Found")</f>
        <v>Not Found</v>
      </c>
      <c r="I1439" s="6" t="str">
        <f>IFERROR(VLOOKUP('Customer Info'!A1431,'Customer Info'!A1431:E1930,5,FALSE),"Not Found")</f>
        <v>Not Found</v>
      </c>
      <c r="J1439" s="2">
        <v>7864</v>
      </c>
      <c r="K1439" s="2">
        <v>7563</v>
      </c>
      <c r="L1439" s="2">
        <v>3</v>
      </c>
      <c r="M1439" s="7">
        <f t="shared" si="110"/>
        <v>22689</v>
      </c>
      <c r="N1439" s="7">
        <f t="shared" si="111"/>
        <v>23592</v>
      </c>
      <c r="O1439" s="2">
        <v>81</v>
      </c>
      <c r="P1439" s="8">
        <f t="shared" si="112"/>
        <v>23673</v>
      </c>
      <c r="Q1439" s="8">
        <f t="shared" si="113"/>
        <v>16029</v>
      </c>
      <c r="R1439" s="2" t="s">
        <v>56</v>
      </c>
      <c r="S1439" s="9">
        <f t="shared" si="114"/>
        <v>1183.6500000000001</v>
      </c>
    </row>
    <row r="1440" spans="1:19" x14ac:dyDescent="0.3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str">
        <f>IFERROR(VLOOKUP('Customer Info'!A1432,'Customer Info'!A1432:C1931,2,FALSE),"Not Found")</f>
        <v>Not Found</v>
      </c>
      <c r="H1440" s="6" t="str">
        <f>IFERROR(VLOOKUP('Customer Info'!A1432,'Customer Info'!A1432:C1931,3,FALSE),"Not Found")</f>
        <v>Not Found</v>
      </c>
      <c r="I1440" s="6" t="str">
        <f>IFERROR(VLOOKUP('Customer Info'!A1432,'Customer Info'!A1432:E1931,5,FALSE),"Not Found")</f>
        <v>Not Found</v>
      </c>
      <c r="J1440" s="2">
        <v>60</v>
      </c>
      <c r="K1440" s="2">
        <v>56</v>
      </c>
      <c r="L1440" s="2">
        <v>3</v>
      </c>
      <c r="M1440" s="7">
        <f t="shared" si="110"/>
        <v>168</v>
      </c>
      <c r="N1440" s="7">
        <f t="shared" si="111"/>
        <v>180</v>
      </c>
      <c r="O1440" s="2">
        <v>10</v>
      </c>
      <c r="P1440" s="8">
        <f t="shared" si="112"/>
        <v>190</v>
      </c>
      <c r="Q1440" s="8">
        <f t="shared" si="113"/>
        <v>124</v>
      </c>
      <c r="R1440" s="2" t="s">
        <v>50</v>
      </c>
      <c r="S1440" s="9">
        <f t="shared" si="114"/>
        <v>3.8000000000000003</v>
      </c>
    </row>
    <row r="1441" spans="1:19" x14ac:dyDescent="0.3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str">
        <f>IFERROR(VLOOKUP('Customer Info'!A1433,'Customer Info'!A1433:C1932,2,FALSE),"Not Found")</f>
        <v>Not Found</v>
      </c>
      <c r="H1441" s="6" t="str">
        <f>IFERROR(VLOOKUP('Customer Info'!A1433,'Customer Info'!A1433:C1932,3,FALSE),"Not Found")</f>
        <v>Not Found</v>
      </c>
      <c r="I1441" s="6" t="str">
        <f>IFERROR(VLOOKUP('Customer Info'!A1433,'Customer Info'!A1433:E1932,5,FALSE),"Not Found")</f>
        <v>Not Found</v>
      </c>
      <c r="J1441" s="2">
        <v>923</v>
      </c>
      <c r="K1441" s="2">
        <v>879</v>
      </c>
      <c r="L1441" s="2">
        <v>2</v>
      </c>
      <c r="M1441" s="7">
        <f t="shared" si="110"/>
        <v>1758</v>
      </c>
      <c r="N1441" s="7">
        <f t="shared" si="111"/>
        <v>1846</v>
      </c>
      <c r="O1441" s="2">
        <v>54</v>
      </c>
      <c r="P1441" s="8">
        <f t="shared" si="112"/>
        <v>1900</v>
      </c>
      <c r="Q1441" s="8">
        <f t="shared" si="113"/>
        <v>967</v>
      </c>
      <c r="R1441" s="2" t="s">
        <v>50</v>
      </c>
      <c r="S1441" s="9">
        <f t="shared" si="114"/>
        <v>38</v>
      </c>
    </row>
    <row r="1442" spans="1:19" x14ac:dyDescent="0.3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str">
        <f>IFERROR(VLOOKUP('Customer Info'!A1434,'Customer Info'!A1434:C1933,2,FALSE),"Not Found")</f>
        <v>Not Found</v>
      </c>
      <c r="H1442" s="6" t="str">
        <f>IFERROR(VLOOKUP('Customer Info'!A1434,'Customer Info'!A1434:C1933,3,FALSE),"Not Found")</f>
        <v>Not Found</v>
      </c>
      <c r="I1442" s="6" t="str">
        <f>IFERROR(VLOOKUP('Customer Info'!A1434,'Customer Info'!A1434:E1933,5,FALSE),"Not Found")</f>
        <v>Not Found</v>
      </c>
      <c r="J1442" s="2">
        <v>1482</v>
      </c>
      <c r="K1442" s="2">
        <v>1453</v>
      </c>
      <c r="L1442" s="2">
        <v>1</v>
      </c>
      <c r="M1442" s="7">
        <f t="shared" si="110"/>
        <v>1453</v>
      </c>
      <c r="N1442" s="7">
        <f t="shared" si="111"/>
        <v>1482</v>
      </c>
      <c r="O1442" s="2">
        <v>67</v>
      </c>
      <c r="P1442" s="8">
        <f t="shared" si="112"/>
        <v>1549</v>
      </c>
      <c r="Q1442" s="8">
        <f t="shared" si="113"/>
        <v>29</v>
      </c>
      <c r="R1442" s="2" t="s">
        <v>56</v>
      </c>
      <c r="S1442" s="9">
        <f t="shared" si="114"/>
        <v>30.98</v>
      </c>
    </row>
    <row r="1443" spans="1:19" x14ac:dyDescent="0.3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str">
        <f>IFERROR(VLOOKUP('Customer Info'!A1435,'Customer Info'!A1435:C1934,2,FALSE),"Not Found")</f>
        <v>Not Found</v>
      </c>
      <c r="H1443" s="6" t="str">
        <f>IFERROR(VLOOKUP('Customer Info'!A1435,'Customer Info'!A1435:C1934,3,FALSE),"Not Found")</f>
        <v>Not Found</v>
      </c>
      <c r="I1443" s="6" t="str">
        <f>IFERROR(VLOOKUP('Customer Info'!A1435,'Customer Info'!A1435:E1934,5,FALSE),"Not Found")</f>
        <v>Not Found</v>
      </c>
      <c r="J1443" s="2">
        <v>8448</v>
      </c>
      <c r="K1443" s="2">
        <v>7822</v>
      </c>
      <c r="L1443" s="2">
        <v>5</v>
      </c>
      <c r="M1443" s="7">
        <f t="shared" si="110"/>
        <v>39110</v>
      </c>
      <c r="N1443" s="7">
        <f t="shared" si="111"/>
        <v>42240</v>
      </c>
      <c r="O1443" s="2">
        <v>24</v>
      </c>
      <c r="P1443" s="8">
        <f t="shared" si="112"/>
        <v>42264</v>
      </c>
      <c r="Q1443" s="8">
        <f t="shared" si="113"/>
        <v>34418</v>
      </c>
      <c r="R1443" s="2" t="s">
        <v>28</v>
      </c>
      <c r="S1443" s="9">
        <f t="shared" si="114"/>
        <v>2958.4800000000005</v>
      </c>
    </row>
    <row r="1444" spans="1:19" x14ac:dyDescent="0.3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str">
        <f>IFERROR(VLOOKUP('Customer Info'!A1436,'Customer Info'!A1436:C1935,2,FALSE),"Not Found")</f>
        <v>Not Found</v>
      </c>
      <c r="H1444" s="6" t="str">
        <f>IFERROR(VLOOKUP('Customer Info'!A1436,'Customer Info'!A1436:C1935,3,FALSE),"Not Found")</f>
        <v>Not Found</v>
      </c>
      <c r="I1444" s="6" t="str">
        <f>IFERROR(VLOOKUP('Customer Info'!A1436,'Customer Info'!A1436:E1935,5,FALSE),"Not Found")</f>
        <v>Not Found</v>
      </c>
      <c r="J1444" s="2">
        <v>1925</v>
      </c>
      <c r="K1444" s="2">
        <v>1834</v>
      </c>
      <c r="L1444" s="2">
        <v>4</v>
      </c>
      <c r="M1444" s="7">
        <f t="shared" si="110"/>
        <v>7336</v>
      </c>
      <c r="N1444" s="7">
        <f t="shared" si="111"/>
        <v>7700</v>
      </c>
      <c r="O1444" s="2">
        <v>87</v>
      </c>
      <c r="P1444" s="8">
        <f t="shared" si="112"/>
        <v>7787</v>
      </c>
      <c r="Q1444" s="8">
        <f t="shared" si="113"/>
        <v>5866</v>
      </c>
      <c r="R1444" s="2" t="s">
        <v>28</v>
      </c>
      <c r="S1444" s="9">
        <f t="shared" si="114"/>
        <v>389.35</v>
      </c>
    </row>
    <row r="1445" spans="1:19" x14ac:dyDescent="0.3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str">
        <f>IFERROR(VLOOKUP('Customer Info'!A1437,'Customer Info'!A1437:C1936,2,FALSE),"Not Found")</f>
        <v>Not Found</v>
      </c>
      <c r="H1445" s="6" t="str">
        <f>IFERROR(VLOOKUP('Customer Info'!A1437,'Customer Info'!A1437:C1936,3,FALSE),"Not Found")</f>
        <v>Not Found</v>
      </c>
      <c r="I1445" s="6" t="str">
        <f>IFERROR(VLOOKUP('Customer Info'!A1437,'Customer Info'!A1437:E1936,5,FALSE),"Not Found")</f>
        <v>Not Found</v>
      </c>
      <c r="J1445" s="2">
        <v>2088</v>
      </c>
      <c r="K1445" s="2">
        <v>1970</v>
      </c>
      <c r="L1445" s="2">
        <v>1</v>
      </c>
      <c r="M1445" s="7">
        <f t="shared" si="110"/>
        <v>1970</v>
      </c>
      <c r="N1445" s="7">
        <f t="shared" si="111"/>
        <v>2088</v>
      </c>
      <c r="O1445" s="2">
        <v>39</v>
      </c>
      <c r="P1445" s="8">
        <f t="shared" si="112"/>
        <v>2127</v>
      </c>
      <c r="Q1445" s="8">
        <f t="shared" si="113"/>
        <v>118</v>
      </c>
      <c r="R1445" s="2" t="s">
        <v>50</v>
      </c>
      <c r="S1445" s="9">
        <f t="shared" si="114"/>
        <v>42.54</v>
      </c>
    </row>
    <row r="1446" spans="1:19" x14ac:dyDescent="0.3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str">
        <f>IFERROR(VLOOKUP('Customer Info'!A1438,'Customer Info'!A1438:C1937,2,FALSE),"Not Found")</f>
        <v>Not Found</v>
      </c>
      <c r="H1446" s="6" t="str">
        <f>IFERROR(VLOOKUP('Customer Info'!A1438,'Customer Info'!A1438:C1937,3,FALSE),"Not Found")</f>
        <v>Not Found</v>
      </c>
      <c r="I1446" s="6" t="str">
        <f>IFERROR(VLOOKUP('Customer Info'!A1438,'Customer Info'!A1438:E1937,5,FALSE),"Not Found")</f>
        <v>Not Found</v>
      </c>
      <c r="J1446" s="2">
        <v>169</v>
      </c>
      <c r="K1446" s="2">
        <v>160</v>
      </c>
      <c r="L1446" s="2">
        <v>3</v>
      </c>
      <c r="M1446" s="7">
        <f t="shared" si="110"/>
        <v>480</v>
      </c>
      <c r="N1446" s="7">
        <f t="shared" si="111"/>
        <v>507</v>
      </c>
      <c r="O1446" s="2">
        <v>30</v>
      </c>
      <c r="P1446" s="8">
        <f t="shared" si="112"/>
        <v>537</v>
      </c>
      <c r="Q1446" s="8">
        <f t="shared" si="113"/>
        <v>347</v>
      </c>
      <c r="R1446" s="2" t="s">
        <v>28</v>
      </c>
      <c r="S1446" s="9">
        <f t="shared" si="114"/>
        <v>10.74</v>
      </c>
    </row>
    <row r="1447" spans="1:19" x14ac:dyDescent="0.3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str">
        <f>IFERROR(VLOOKUP('Customer Info'!A1439,'Customer Info'!A1439:C1938,2,FALSE),"Not Found")</f>
        <v>Not Found</v>
      </c>
      <c r="H1447" s="6" t="str">
        <f>IFERROR(VLOOKUP('Customer Info'!A1439,'Customer Info'!A1439:C1938,3,FALSE),"Not Found")</f>
        <v>Not Found</v>
      </c>
      <c r="I1447" s="6" t="str">
        <f>IFERROR(VLOOKUP('Customer Info'!A1439,'Customer Info'!A1439:E1938,5,FALSE),"Not Found")</f>
        <v>Not Found</v>
      </c>
      <c r="J1447" s="2">
        <v>222</v>
      </c>
      <c r="K1447" s="2">
        <v>204</v>
      </c>
      <c r="L1447" s="2">
        <v>3</v>
      </c>
      <c r="M1447" s="7">
        <f t="shared" si="110"/>
        <v>612</v>
      </c>
      <c r="N1447" s="7">
        <f t="shared" si="111"/>
        <v>666</v>
      </c>
      <c r="O1447" s="2">
        <v>27</v>
      </c>
      <c r="P1447" s="8">
        <f t="shared" si="112"/>
        <v>693</v>
      </c>
      <c r="Q1447" s="8">
        <f t="shared" si="113"/>
        <v>462</v>
      </c>
      <c r="R1447" s="2" t="s">
        <v>28</v>
      </c>
      <c r="S1447" s="9">
        <f t="shared" si="114"/>
        <v>13.86</v>
      </c>
    </row>
    <row r="1448" spans="1:19" x14ac:dyDescent="0.3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str">
        <f>IFERROR(VLOOKUP('Customer Info'!A1440,'Customer Info'!A1440:C1939,2,FALSE),"Not Found")</f>
        <v>Not Found</v>
      </c>
      <c r="H1448" s="6" t="str">
        <f>IFERROR(VLOOKUP('Customer Info'!A1440,'Customer Info'!A1440:C1939,3,FALSE),"Not Found")</f>
        <v>Not Found</v>
      </c>
      <c r="I1448" s="6" t="str">
        <f>IFERROR(VLOOKUP('Customer Info'!A1440,'Customer Info'!A1440:E1939,5,FALSE),"Not Found")</f>
        <v>Not Found</v>
      </c>
      <c r="J1448" s="2">
        <v>4904</v>
      </c>
      <c r="K1448" s="2">
        <v>4499</v>
      </c>
      <c r="L1448" s="2">
        <v>5</v>
      </c>
      <c r="M1448" s="7">
        <f t="shared" si="110"/>
        <v>22495</v>
      </c>
      <c r="N1448" s="7">
        <f t="shared" si="111"/>
        <v>24520</v>
      </c>
      <c r="O1448" s="2">
        <v>74</v>
      </c>
      <c r="P1448" s="8">
        <f t="shared" si="112"/>
        <v>24594</v>
      </c>
      <c r="Q1448" s="8">
        <f t="shared" si="113"/>
        <v>20021</v>
      </c>
      <c r="R1448" s="2" t="s">
        <v>28</v>
      </c>
      <c r="S1448" s="9">
        <f t="shared" si="114"/>
        <v>1229.7</v>
      </c>
    </row>
    <row r="1449" spans="1:19" x14ac:dyDescent="0.3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str">
        <f>IFERROR(VLOOKUP('Customer Info'!A1441,'Customer Info'!A1441:C1940,2,FALSE),"Not Found")</f>
        <v>Not Found</v>
      </c>
      <c r="H1449" s="6" t="str">
        <f>IFERROR(VLOOKUP('Customer Info'!A1441,'Customer Info'!A1441:C1940,3,FALSE),"Not Found")</f>
        <v>Not Found</v>
      </c>
      <c r="I1449" s="6" t="str">
        <f>IFERROR(VLOOKUP('Customer Info'!A1441,'Customer Info'!A1441:E1940,5,FALSE),"Not Found")</f>
        <v>Not Found</v>
      </c>
      <c r="J1449" s="2">
        <v>2540</v>
      </c>
      <c r="K1449" s="2">
        <v>2397</v>
      </c>
      <c r="L1449" s="2">
        <v>6</v>
      </c>
      <c r="M1449" s="7">
        <f t="shared" si="110"/>
        <v>14382</v>
      </c>
      <c r="N1449" s="7">
        <f t="shared" si="111"/>
        <v>15240</v>
      </c>
      <c r="O1449" s="2">
        <v>29</v>
      </c>
      <c r="P1449" s="8">
        <f t="shared" si="112"/>
        <v>15269</v>
      </c>
      <c r="Q1449" s="8">
        <f t="shared" si="113"/>
        <v>12843</v>
      </c>
      <c r="R1449" s="2" t="s">
        <v>50</v>
      </c>
      <c r="S1449" s="9">
        <f t="shared" si="114"/>
        <v>763.45</v>
      </c>
    </row>
    <row r="1450" spans="1:19" x14ac:dyDescent="0.3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str">
        <f>IFERROR(VLOOKUP('Customer Info'!A1442,'Customer Info'!A1442:C1941,2,FALSE),"Not Found")</f>
        <v>Not Found</v>
      </c>
      <c r="H1450" s="6" t="str">
        <f>IFERROR(VLOOKUP('Customer Info'!A1442,'Customer Info'!A1442:C1941,3,FALSE),"Not Found")</f>
        <v>Not Found</v>
      </c>
      <c r="I1450" s="6" t="str">
        <f>IFERROR(VLOOKUP('Customer Info'!A1442,'Customer Info'!A1442:E1941,5,FALSE),"Not Found")</f>
        <v>Not Found</v>
      </c>
      <c r="J1450" s="2">
        <v>1125</v>
      </c>
      <c r="K1450" s="2">
        <v>1040</v>
      </c>
      <c r="L1450" s="2">
        <v>2</v>
      </c>
      <c r="M1450" s="7">
        <f t="shared" si="110"/>
        <v>2080</v>
      </c>
      <c r="N1450" s="7">
        <f t="shared" si="111"/>
        <v>2250</v>
      </c>
      <c r="O1450" s="2">
        <v>62</v>
      </c>
      <c r="P1450" s="8">
        <f t="shared" si="112"/>
        <v>2312</v>
      </c>
      <c r="Q1450" s="8">
        <f t="shared" si="113"/>
        <v>1210</v>
      </c>
      <c r="R1450" s="2" t="s">
        <v>56</v>
      </c>
      <c r="S1450" s="9">
        <f t="shared" si="114"/>
        <v>46.24</v>
      </c>
    </row>
    <row r="1451" spans="1:19" x14ac:dyDescent="0.3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str">
        <f>IFERROR(VLOOKUP('Customer Info'!A1443,'Customer Info'!A1443:C1942,2,FALSE),"Not Found")</f>
        <v>Not Found</v>
      </c>
      <c r="H1451" s="6" t="str">
        <f>IFERROR(VLOOKUP('Customer Info'!A1443,'Customer Info'!A1443:C1942,3,FALSE),"Not Found")</f>
        <v>Not Found</v>
      </c>
      <c r="I1451" s="6" t="str">
        <f>IFERROR(VLOOKUP('Customer Info'!A1443,'Customer Info'!A1443:E1942,5,FALSE),"Not Found")</f>
        <v>Not Found</v>
      </c>
      <c r="J1451" s="2">
        <v>3321</v>
      </c>
      <c r="K1451" s="2">
        <v>2989</v>
      </c>
      <c r="L1451" s="2">
        <v>3</v>
      </c>
      <c r="M1451" s="7">
        <f t="shared" si="110"/>
        <v>8967</v>
      </c>
      <c r="N1451" s="7">
        <f t="shared" si="111"/>
        <v>9963</v>
      </c>
      <c r="O1451" s="2">
        <v>81</v>
      </c>
      <c r="P1451" s="8">
        <f t="shared" si="112"/>
        <v>10044</v>
      </c>
      <c r="Q1451" s="8">
        <f t="shared" si="113"/>
        <v>6974</v>
      </c>
      <c r="R1451" s="2" t="s">
        <v>28</v>
      </c>
      <c r="S1451" s="9">
        <f t="shared" si="114"/>
        <v>502.20000000000005</v>
      </c>
    </row>
    <row r="1452" spans="1:19" x14ac:dyDescent="0.3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str">
        <f>IFERROR(VLOOKUP('Customer Info'!A1444,'Customer Info'!A1444:C1943,2,FALSE),"Not Found")</f>
        <v>Not Found</v>
      </c>
      <c r="H1452" s="6" t="str">
        <f>IFERROR(VLOOKUP('Customer Info'!A1444,'Customer Info'!A1444:C1943,3,FALSE),"Not Found")</f>
        <v>Not Found</v>
      </c>
      <c r="I1452" s="6" t="str">
        <f>IFERROR(VLOOKUP('Customer Info'!A1444,'Customer Info'!A1444:E1943,5,FALSE),"Not Found")</f>
        <v>Not Found</v>
      </c>
      <c r="J1452" s="2">
        <v>1528</v>
      </c>
      <c r="K1452" s="2">
        <v>1348</v>
      </c>
      <c r="L1452" s="2">
        <v>2</v>
      </c>
      <c r="M1452" s="7">
        <f t="shared" si="110"/>
        <v>2696</v>
      </c>
      <c r="N1452" s="7">
        <f t="shared" si="111"/>
        <v>3056</v>
      </c>
      <c r="O1452" s="2">
        <v>64</v>
      </c>
      <c r="P1452" s="8">
        <f t="shared" si="112"/>
        <v>3120</v>
      </c>
      <c r="Q1452" s="8">
        <f t="shared" si="113"/>
        <v>1708</v>
      </c>
      <c r="R1452" s="2" t="s">
        <v>28</v>
      </c>
      <c r="S1452" s="9">
        <f t="shared" si="114"/>
        <v>62.4</v>
      </c>
    </row>
    <row r="1453" spans="1:19" x14ac:dyDescent="0.3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str">
        <f>IFERROR(VLOOKUP('Customer Info'!A1445,'Customer Info'!A1445:C1944,2,FALSE),"Not Found")</f>
        <v>Not Found</v>
      </c>
      <c r="H1453" s="6" t="str">
        <f>IFERROR(VLOOKUP('Customer Info'!A1445,'Customer Info'!A1445:C1944,3,FALSE),"Not Found")</f>
        <v>Not Found</v>
      </c>
      <c r="I1453" s="6" t="str">
        <f>IFERROR(VLOOKUP('Customer Info'!A1445,'Customer Info'!A1445:E1944,5,FALSE),"Not Found")</f>
        <v>Not Found</v>
      </c>
      <c r="J1453" s="2">
        <v>8752</v>
      </c>
      <c r="K1453" s="2">
        <v>7877</v>
      </c>
      <c r="L1453" s="2">
        <v>2</v>
      </c>
      <c r="M1453" s="7">
        <f t="shared" si="110"/>
        <v>15754</v>
      </c>
      <c r="N1453" s="7">
        <f t="shared" si="111"/>
        <v>17504</v>
      </c>
      <c r="O1453" s="2">
        <v>27</v>
      </c>
      <c r="P1453" s="8">
        <f t="shared" si="112"/>
        <v>17531</v>
      </c>
      <c r="Q1453" s="8">
        <f t="shared" si="113"/>
        <v>9627</v>
      </c>
      <c r="R1453" s="2" t="s">
        <v>28</v>
      </c>
      <c r="S1453" s="9">
        <f t="shared" si="114"/>
        <v>876.55000000000007</v>
      </c>
    </row>
    <row r="1454" spans="1:19" x14ac:dyDescent="0.3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str">
        <f>IFERROR(VLOOKUP('Customer Info'!A1446,'Customer Info'!A1446:C1945,2,FALSE),"Not Found")</f>
        <v>Not Found</v>
      </c>
      <c r="H1454" s="6" t="str">
        <f>IFERROR(VLOOKUP('Customer Info'!A1446,'Customer Info'!A1446:C1945,3,FALSE),"Not Found")</f>
        <v>Not Found</v>
      </c>
      <c r="I1454" s="6" t="str">
        <f>IFERROR(VLOOKUP('Customer Info'!A1446,'Customer Info'!A1446:E1945,5,FALSE),"Not Found")</f>
        <v>Not Found</v>
      </c>
      <c r="J1454" s="2">
        <v>1816</v>
      </c>
      <c r="K1454" s="2">
        <v>1699</v>
      </c>
      <c r="L1454" s="2">
        <v>5</v>
      </c>
      <c r="M1454" s="7">
        <f t="shared" si="110"/>
        <v>8495</v>
      </c>
      <c r="N1454" s="7">
        <f t="shared" si="111"/>
        <v>9080</v>
      </c>
      <c r="O1454" s="2">
        <v>65</v>
      </c>
      <c r="P1454" s="8">
        <f t="shared" si="112"/>
        <v>9145</v>
      </c>
      <c r="Q1454" s="8">
        <f t="shared" si="113"/>
        <v>7381</v>
      </c>
      <c r="R1454" s="2" t="s">
        <v>28</v>
      </c>
      <c r="S1454" s="9">
        <f t="shared" si="114"/>
        <v>457.25</v>
      </c>
    </row>
    <row r="1455" spans="1:19" x14ac:dyDescent="0.3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str">
        <f>IFERROR(VLOOKUP('Customer Info'!A1447,'Customer Info'!A1447:C1946,2,FALSE),"Not Found")</f>
        <v>Not Found</v>
      </c>
      <c r="H1455" s="6" t="str">
        <f>IFERROR(VLOOKUP('Customer Info'!A1447,'Customer Info'!A1447:C1946,3,FALSE),"Not Found")</f>
        <v>Not Found</v>
      </c>
      <c r="I1455" s="6" t="str">
        <f>IFERROR(VLOOKUP('Customer Info'!A1447,'Customer Info'!A1447:E1946,5,FALSE),"Not Found")</f>
        <v>Not Found</v>
      </c>
      <c r="J1455" s="2">
        <v>6087</v>
      </c>
      <c r="K1455" s="2">
        <v>5808</v>
      </c>
      <c r="L1455" s="2">
        <v>6</v>
      </c>
      <c r="M1455" s="7">
        <f t="shared" si="110"/>
        <v>34848</v>
      </c>
      <c r="N1455" s="7">
        <f t="shared" si="111"/>
        <v>36522</v>
      </c>
      <c r="O1455" s="2">
        <v>45</v>
      </c>
      <c r="P1455" s="8">
        <f t="shared" si="112"/>
        <v>36567</v>
      </c>
      <c r="Q1455" s="8">
        <f t="shared" si="113"/>
        <v>30714</v>
      </c>
      <c r="R1455" s="2" t="s">
        <v>50</v>
      </c>
      <c r="S1455" s="9">
        <f t="shared" si="114"/>
        <v>2559.69</v>
      </c>
    </row>
    <row r="1456" spans="1:19" x14ac:dyDescent="0.3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str">
        <f>IFERROR(VLOOKUP('Customer Info'!A1448,'Customer Info'!A1448:C1947,2,FALSE),"Not Found")</f>
        <v>Not Found</v>
      </c>
      <c r="H1456" s="6" t="str">
        <f>IFERROR(VLOOKUP('Customer Info'!A1448,'Customer Info'!A1448:C1947,3,FALSE),"Not Found")</f>
        <v>Not Found</v>
      </c>
      <c r="I1456" s="6" t="str">
        <f>IFERROR(VLOOKUP('Customer Info'!A1448,'Customer Info'!A1448:E1947,5,FALSE),"Not Found")</f>
        <v>Not Found</v>
      </c>
      <c r="J1456" s="2">
        <v>679</v>
      </c>
      <c r="K1456" s="2">
        <v>654</v>
      </c>
      <c r="L1456" s="2">
        <v>1</v>
      </c>
      <c r="M1456" s="7">
        <f t="shared" si="110"/>
        <v>654</v>
      </c>
      <c r="N1456" s="7">
        <f t="shared" si="111"/>
        <v>679</v>
      </c>
      <c r="O1456" s="2">
        <v>87</v>
      </c>
      <c r="P1456" s="8">
        <f t="shared" si="112"/>
        <v>766</v>
      </c>
      <c r="Q1456" s="8">
        <f t="shared" si="113"/>
        <v>25</v>
      </c>
      <c r="R1456" s="2" t="s">
        <v>28</v>
      </c>
      <c r="S1456" s="9">
        <f t="shared" si="114"/>
        <v>15.32</v>
      </c>
    </row>
    <row r="1457" spans="1:19" x14ac:dyDescent="0.3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str">
        <f>IFERROR(VLOOKUP('Customer Info'!A1449,'Customer Info'!A1449:C1948,2,FALSE),"Not Found")</f>
        <v>Not Found</v>
      </c>
      <c r="H1457" s="6" t="str">
        <f>IFERROR(VLOOKUP('Customer Info'!A1449,'Customer Info'!A1449:C1948,3,FALSE),"Not Found")</f>
        <v>Not Found</v>
      </c>
      <c r="I1457" s="6" t="str">
        <f>IFERROR(VLOOKUP('Customer Info'!A1449,'Customer Info'!A1449:E1948,5,FALSE),"Not Found")</f>
        <v>Not Found</v>
      </c>
      <c r="J1457" s="2">
        <v>1717</v>
      </c>
      <c r="K1457" s="2">
        <v>1652</v>
      </c>
      <c r="L1457" s="2">
        <v>4</v>
      </c>
      <c r="M1457" s="7">
        <f t="shared" si="110"/>
        <v>6608</v>
      </c>
      <c r="N1457" s="7">
        <f t="shared" si="111"/>
        <v>6868</v>
      </c>
      <c r="O1457" s="2">
        <v>34</v>
      </c>
      <c r="P1457" s="8">
        <f t="shared" si="112"/>
        <v>6902</v>
      </c>
      <c r="Q1457" s="8">
        <f t="shared" si="113"/>
        <v>5216</v>
      </c>
      <c r="R1457" s="2" t="s">
        <v>28</v>
      </c>
      <c r="S1457" s="9">
        <f t="shared" si="114"/>
        <v>345.1</v>
      </c>
    </row>
    <row r="1458" spans="1:19" x14ac:dyDescent="0.3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str">
        <f>IFERROR(VLOOKUP('Customer Info'!A1450,'Customer Info'!A1450:C1949,2,FALSE),"Not Found")</f>
        <v>Not Found</v>
      </c>
      <c r="H1458" s="6" t="str">
        <f>IFERROR(VLOOKUP('Customer Info'!A1450,'Customer Info'!A1450:C1949,3,FALSE),"Not Found")</f>
        <v>Not Found</v>
      </c>
      <c r="I1458" s="6" t="str">
        <f>IFERROR(VLOOKUP('Customer Info'!A1450,'Customer Info'!A1450:E1949,5,FALSE),"Not Found")</f>
        <v>Not Found</v>
      </c>
      <c r="J1458" s="2">
        <v>1399</v>
      </c>
      <c r="K1458" s="2">
        <v>1333</v>
      </c>
      <c r="L1458" s="2">
        <v>1</v>
      </c>
      <c r="M1458" s="7">
        <f t="shared" si="110"/>
        <v>1333</v>
      </c>
      <c r="N1458" s="7">
        <f t="shared" si="111"/>
        <v>1399</v>
      </c>
      <c r="O1458" s="2">
        <v>91</v>
      </c>
      <c r="P1458" s="8">
        <f t="shared" si="112"/>
        <v>1490</v>
      </c>
      <c r="Q1458" s="8">
        <f t="shared" si="113"/>
        <v>66</v>
      </c>
      <c r="R1458" s="2" t="s">
        <v>28</v>
      </c>
      <c r="S1458" s="9">
        <f t="shared" si="114"/>
        <v>29.8</v>
      </c>
    </row>
    <row r="1459" spans="1:19" x14ac:dyDescent="0.3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str">
        <f>IFERROR(VLOOKUP('Customer Info'!A1451,'Customer Info'!A1451:C1950,2,FALSE),"Not Found")</f>
        <v>Not Found</v>
      </c>
      <c r="H1459" s="6" t="str">
        <f>IFERROR(VLOOKUP('Customer Info'!A1451,'Customer Info'!A1451:C1950,3,FALSE),"Not Found")</f>
        <v>Not Found</v>
      </c>
      <c r="I1459" s="6" t="str">
        <f>IFERROR(VLOOKUP('Customer Info'!A1451,'Customer Info'!A1451:E1950,5,FALSE),"Not Found")</f>
        <v>Not Found</v>
      </c>
      <c r="J1459" s="2">
        <v>63</v>
      </c>
      <c r="K1459" s="2">
        <v>58</v>
      </c>
      <c r="L1459" s="2">
        <v>9</v>
      </c>
      <c r="M1459" s="7">
        <f t="shared" si="110"/>
        <v>522</v>
      </c>
      <c r="N1459" s="7">
        <f t="shared" si="111"/>
        <v>567</v>
      </c>
      <c r="O1459" s="2">
        <v>10</v>
      </c>
      <c r="P1459" s="8">
        <f t="shared" si="112"/>
        <v>577</v>
      </c>
      <c r="Q1459" s="8">
        <f t="shared" si="113"/>
        <v>509</v>
      </c>
      <c r="R1459" s="2" t="s">
        <v>28</v>
      </c>
      <c r="S1459" s="9">
        <f t="shared" si="114"/>
        <v>11.540000000000001</v>
      </c>
    </row>
    <row r="1460" spans="1:19" x14ac:dyDescent="0.3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str">
        <f>IFERROR(VLOOKUP('Customer Info'!A1452,'Customer Info'!A1452:C1951,2,FALSE),"Not Found")</f>
        <v>Not Found</v>
      </c>
      <c r="H1460" s="6" t="str">
        <f>IFERROR(VLOOKUP('Customer Info'!A1452,'Customer Info'!A1452:C1951,3,FALSE),"Not Found")</f>
        <v>Not Found</v>
      </c>
      <c r="I1460" s="6" t="str">
        <f>IFERROR(VLOOKUP('Customer Info'!A1452,'Customer Info'!A1452:E1951,5,FALSE),"Not Found")</f>
        <v>Not Found</v>
      </c>
      <c r="J1460" s="2">
        <v>3017</v>
      </c>
      <c r="K1460" s="2">
        <v>2825</v>
      </c>
      <c r="L1460" s="2">
        <v>8</v>
      </c>
      <c r="M1460" s="7">
        <f t="shared" si="110"/>
        <v>22600</v>
      </c>
      <c r="N1460" s="7">
        <f t="shared" si="111"/>
        <v>24136</v>
      </c>
      <c r="O1460" s="2">
        <v>54</v>
      </c>
      <c r="P1460" s="8">
        <f t="shared" si="112"/>
        <v>24190</v>
      </c>
      <c r="Q1460" s="8">
        <f t="shared" si="113"/>
        <v>21311</v>
      </c>
      <c r="R1460" s="2" t="s">
        <v>28</v>
      </c>
      <c r="S1460" s="9">
        <f t="shared" si="114"/>
        <v>1209.5</v>
      </c>
    </row>
    <row r="1461" spans="1:19" x14ac:dyDescent="0.3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str">
        <f>IFERROR(VLOOKUP('Customer Info'!A1453,'Customer Info'!A1453:C1952,2,FALSE),"Not Found")</f>
        <v>Not Found</v>
      </c>
      <c r="H1461" s="6" t="str">
        <f>IFERROR(VLOOKUP('Customer Info'!A1453,'Customer Info'!A1453:C1952,3,FALSE),"Not Found")</f>
        <v>Not Found</v>
      </c>
      <c r="I1461" s="6" t="str">
        <f>IFERROR(VLOOKUP('Customer Info'!A1453,'Customer Info'!A1453:E1952,5,FALSE),"Not Found")</f>
        <v>Not Found</v>
      </c>
      <c r="J1461" s="2">
        <v>130</v>
      </c>
      <c r="K1461" s="2">
        <v>122</v>
      </c>
      <c r="L1461" s="2">
        <v>2</v>
      </c>
      <c r="M1461" s="7">
        <f t="shared" si="110"/>
        <v>244</v>
      </c>
      <c r="N1461" s="7">
        <f t="shared" si="111"/>
        <v>260</v>
      </c>
      <c r="O1461" s="2">
        <v>30</v>
      </c>
      <c r="P1461" s="8">
        <f t="shared" si="112"/>
        <v>290</v>
      </c>
      <c r="Q1461" s="8">
        <f t="shared" si="113"/>
        <v>138</v>
      </c>
      <c r="R1461" s="2" t="s">
        <v>26</v>
      </c>
      <c r="S1461" s="9">
        <f t="shared" si="114"/>
        <v>5.8</v>
      </c>
    </row>
    <row r="1462" spans="1:19" x14ac:dyDescent="0.3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str">
        <f>IFERROR(VLOOKUP('Customer Info'!A1454,'Customer Info'!A1454:C1953,2,FALSE),"Not Found")</f>
        <v>Not Found</v>
      </c>
      <c r="H1462" s="6" t="str">
        <f>IFERROR(VLOOKUP('Customer Info'!A1454,'Customer Info'!A1454:C1953,3,FALSE),"Not Found")</f>
        <v>Not Found</v>
      </c>
      <c r="I1462" s="6" t="str">
        <f>IFERROR(VLOOKUP('Customer Info'!A1454,'Customer Info'!A1454:E1953,5,FALSE),"Not Found")</f>
        <v>Not Found</v>
      </c>
      <c r="J1462" s="2">
        <v>188</v>
      </c>
      <c r="K1462" s="2">
        <v>173</v>
      </c>
      <c r="L1462" s="2">
        <v>12</v>
      </c>
      <c r="M1462" s="7">
        <f t="shared" si="110"/>
        <v>2076</v>
      </c>
      <c r="N1462" s="7">
        <f t="shared" si="111"/>
        <v>2256</v>
      </c>
      <c r="O1462" s="2">
        <v>30</v>
      </c>
      <c r="P1462" s="8">
        <f t="shared" si="112"/>
        <v>2286</v>
      </c>
      <c r="Q1462" s="8">
        <f t="shared" si="113"/>
        <v>2083</v>
      </c>
      <c r="R1462" s="2" t="s">
        <v>26</v>
      </c>
      <c r="S1462" s="9">
        <f t="shared" si="114"/>
        <v>45.72</v>
      </c>
    </row>
    <row r="1463" spans="1:19" x14ac:dyDescent="0.3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str">
        <f>IFERROR(VLOOKUP('Customer Info'!A1455,'Customer Info'!A1455:C1954,2,FALSE),"Not Found")</f>
        <v>Not Found</v>
      </c>
      <c r="H1463" s="6" t="str">
        <f>IFERROR(VLOOKUP('Customer Info'!A1455,'Customer Info'!A1455:C1954,3,FALSE),"Not Found")</f>
        <v>Not Found</v>
      </c>
      <c r="I1463" s="6" t="str">
        <f>IFERROR(VLOOKUP('Customer Info'!A1455,'Customer Info'!A1455:E1954,5,FALSE),"Not Found")</f>
        <v>Not Found</v>
      </c>
      <c r="J1463" s="2">
        <v>1332</v>
      </c>
      <c r="K1463" s="2">
        <v>1209</v>
      </c>
      <c r="L1463" s="2">
        <v>1</v>
      </c>
      <c r="M1463" s="7">
        <f t="shared" si="110"/>
        <v>1209</v>
      </c>
      <c r="N1463" s="7">
        <f t="shared" si="111"/>
        <v>1332</v>
      </c>
      <c r="O1463" s="2">
        <v>72</v>
      </c>
      <c r="P1463" s="8">
        <f t="shared" si="112"/>
        <v>1404</v>
      </c>
      <c r="Q1463" s="8">
        <f t="shared" si="113"/>
        <v>123</v>
      </c>
      <c r="R1463" s="2" t="s">
        <v>28</v>
      </c>
      <c r="S1463" s="9">
        <f t="shared" si="114"/>
        <v>28.080000000000002</v>
      </c>
    </row>
    <row r="1464" spans="1:19" x14ac:dyDescent="0.3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str">
        <f>IFERROR(VLOOKUP('Customer Info'!A1456,'Customer Info'!A1456:C1955,2,FALSE),"Not Found")</f>
        <v>Not Found</v>
      </c>
      <c r="H1464" s="6" t="str">
        <f>IFERROR(VLOOKUP('Customer Info'!A1456,'Customer Info'!A1456:C1955,3,FALSE),"Not Found")</f>
        <v>Not Found</v>
      </c>
      <c r="I1464" s="6" t="str">
        <f>IFERROR(VLOOKUP('Customer Info'!A1456,'Customer Info'!A1456:E1955,5,FALSE),"Not Found")</f>
        <v>Not Found</v>
      </c>
      <c r="J1464" s="2">
        <v>851</v>
      </c>
      <c r="K1464" s="2">
        <v>773</v>
      </c>
      <c r="L1464" s="2">
        <v>2</v>
      </c>
      <c r="M1464" s="7">
        <f t="shared" si="110"/>
        <v>1546</v>
      </c>
      <c r="N1464" s="7">
        <f t="shared" si="111"/>
        <v>1702</v>
      </c>
      <c r="O1464" s="2">
        <v>55</v>
      </c>
      <c r="P1464" s="8">
        <f t="shared" si="112"/>
        <v>1757</v>
      </c>
      <c r="Q1464" s="8">
        <f t="shared" si="113"/>
        <v>929</v>
      </c>
      <c r="R1464" s="2" t="s">
        <v>28</v>
      </c>
      <c r="S1464" s="9">
        <f t="shared" si="114"/>
        <v>35.14</v>
      </c>
    </row>
    <row r="1465" spans="1:19" x14ac:dyDescent="0.3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str">
        <f>IFERROR(VLOOKUP('Customer Info'!A1457,'Customer Info'!A1457:C1956,2,FALSE),"Not Found")</f>
        <v>Not Found</v>
      </c>
      <c r="H1465" s="6" t="str">
        <f>IFERROR(VLOOKUP('Customer Info'!A1457,'Customer Info'!A1457:C1956,3,FALSE),"Not Found")</f>
        <v>Not Found</v>
      </c>
      <c r="I1465" s="6" t="str">
        <f>IFERROR(VLOOKUP('Customer Info'!A1457,'Customer Info'!A1457:E1956,5,FALSE),"Not Found")</f>
        <v>Not Found</v>
      </c>
      <c r="J1465" s="2">
        <v>445</v>
      </c>
      <c r="K1465" s="2">
        <v>415</v>
      </c>
      <c r="L1465" s="2">
        <v>4</v>
      </c>
      <c r="M1465" s="7">
        <f t="shared" si="110"/>
        <v>1660</v>
      </c>
      <c r="N1465" s="7">
        <f t="shared" si="111"/>
        <v>1780</v>
      </c>
      <c r="O1465" s="2">
        <v>70</v>
      </c>
      <c r="P1465" s="8">
        <f t="shared" si="112"/>
        <v>1850</v>
      </c>
      <c r="Q1465" s="8">
        <f t="shared" si="113"/>
        <v>1365</v>
      </c>
      <c r="R1465" s="2" t="s">
        <v>28</v>
      </c>
      <c r="S1465" s="9">
        <f t="shared" si="114"/>
        <v>37</v>
      </c>
    </row>
    <row r="1466" spans="1:19" x14ac:dyDescent="0.3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str">
        <f>IFERROR(VLOOKUP('Customer Info'!A1458,'Customer Info'!A1458:C1957,2,FALSE),"Not Found")</f>
        <v>Not Found</v>
      </c>
      <c r="H1466" s="6" t="str">
        <f>IFERROR(VLOOKUP('Customer Info'!A1458,'Customer Info'!A1458:C1957,3,FALSE),"Not Found")</f>
        <v>Not Found</v>
      </c>
      <c r="I1466" s="6" t="str">
        <f>IFERROR(VLOOKUP('Customer Info'!A1458,'Customer Info'!A1458:E1957,5,FALSE),"Not Found")</f>
        <v>Not Found</v>
      </c>
      <c r="J1466" s="2">
        <v>2273</v>
      </c>
      <c r="K1466" s="2">
        <v>2229</v>
      </c>
      <c r="L1466" s="2">
        <v>5</v>
      </c>
      <c r="M1466" s="7">
        <f t="shared" si="110"/>
        <v>11145</v>
      </c>
      <c r="N1466" s="7">
        <f t="shared" si="111"/>
        <v>11365</v>
      </c>
      <c r="O1466" s="2">
        <v>55</v>
      </c>
      <c r="P1466" s="8">
        <f t="shared" si="112"/>
        <v>11420</v>
      </c>
      <c r="Q1466" s="8">
        <f t="shared" si="113"/>
        <v>9136</v>
      </c>
      <c r="R1466" s="2" t="s">
        <v>26</v>
      </c>
      <c r="S1466" s="9">
        <f t="shared" si="114"/>
        <v>571</v>
      </c>
    </row>
    <row r="1467" spans="1:19" x14ac:dyDescent="0.3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str">
        <f>IFERROR(VLOOKUP('Customer Info'!A1459,'Customer Info'!A1459:C1958,2,FALSE),"Not Found")</f>
        <v>Not Found</v>
      </c>
      <c r="H1467" s="6" t="str">
        <f>IFERROR(VLOOKUP('Customer Info'!A1459,'Customer Info'!A1459:C1958,3,FALSE),"Not Found")</f>
        <v>Not Found</v>
      </c>
      <c r="I1467" s="6" t="str">
        <f>IFERROR(VLOOKUP('Customer Info'!A1459,'Customer Info'!A1459:E1958,5,FALSE),"Not Found")</f>
        <v>Not Found</v>
      </c>
      <c r="J1467" s="2">
        <v>2706</v>
      </c>
      <c r="K1467" s="2">
        <v>2553</v>
      </c>
      <c r="L1467" s="2">
        <v>5</v>
      </c>
      <c r="M1467" s="7">
        <f t="shared" si="110"/>
        <v>12765</v>
      </c>
      <c r="N1467" s="7">
        <f t="shared" si="111"/>
        <v>13530</v>
      </c>
      <c r="O1467" s="2">
        <v>90</v>
      </c>
      <c r="P1467" s="8">
        <f t="shared" si="112"/>
        <v>13620</v>
      </c>
      <c r="Q1467" s="8">
        <f t="shared" si="113"/>
        <v>10977</v>
      </c>
      <c r="R1467" s="2" t="s">
        <v>28</v>
      </c>
      <c r="S1467" s="9">
        <f t="shared" si="114"/>
        <v>681</v>
      </c>
    </row>
    <row r="1468" spans="1:19" x14ac:dyDescent="0.3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str">
        <f>IFERROR(VLOOKUP('Customer Info'!A1460,'Customer Info'!A1460:C1959,2,FALSE),"Not Found")</f>
        <v>Not Found</v>
      </c>
      <c r="H1468" s="6" t="str">
        <f>IFERROR(VLOOKUP('Customer Info'!A1460,'Customer Info'!A1460:C1959,3,FALSE),"Not Found")</f>
        <v>Not Found</v>
      </c>
      <c r="I1468" s="6" t="str">
        <f>IFERROR(VLOOKUP('Customer Info'!A1460,'Customer Info'!A1460:E1959,5,FALSE),"Not Found")</f>
        <v>Not Found</v>
      </c>
      <c r="J1468" s="2">
        <v>2681</v>
      </c>
      <c r="K1468" s="2">
        <v>2458</v>
      </c>
      <c r="L1468" s="2">
        <v>3</v>
      </c>
      <c r="M1468" s="7">
        <f t="shared" si="110"/>
        <v>7374</v>
      </c>
      <c r="N1468" s="7">
        <f t="shared" si="111"/>
        <v>8043</v>
      </c>
      <c r="O1468" s="2">
        <v>28</v>
      </c>
      <c r="P1468" s="8">
        <f t="shared" si="112"/>
        <v>8071</v>
      </c>
      <c r="Q1468" s="8">
        <f t="shared" si="113"/>
        <v>5585</v>
      </c>
      <c r="R1468" s="2" t="s">
        <v>50</v>
      </c>
      <c r="S1468" s="9">
        <f t="shared" si="114"/>
        <v>403.55</v>
      </c>
    </row>
    <row r="1469" spans="1:19" x14ac:dyDescent="0.3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str">
        <f>IFERROR(VLOOKUP('Customer Info'!A1461,'Customer Info'!A1461:C1960,2,FALSE),"Not Found")</f>
        <v>Not Found</v>
      </c>
      <c r="H1469" s="6" t="str">
        <f>IFERROR(VLOOKUP('Customer Info'!A1461,'Customer Info'!A1461:C1960,3,FALSE),"Not Found")</f>
        <v>Not Found</v>
      </c>
      <c r="I1469" s="6" t="str">
        <f>IFERROR(VLOOKUP('Customer Info'!A1461,'Customer Info'!A1461:E1960,5,FALSE),"Not Found")</f>
        <v>Not Found</v>
      </c>
      <c r="J1469" s="2">
        <v>2778</v>
      </c>
      <c r="K1469" s="2">
        <v>2573</v>
      </c>
      <c r="L1469" s="2">
        <v>7</v>
      </c>
      <c r="M1469" s="7">
        <f t="shared" si="110"/>
        <v>18011</v>
      </c>
      <c r="N1469" s="7">
        <f t="shared" si="111"/>
        <v>19446</v>
      </c>
      <c r="O1469" s="2">
        <v>90</v>
      </c>
      <c r="P1469" s="8">
        <f t="shared" si="112"/>
        <v>19536</v>
      </c>
      <c r="Q1469" s="8">
        <f t="shared" si="113"/>
        <v>16873</v>
      </c>
      <c r="R1469" s="2" t="s">
        <v>28</v>
      </c>
      <c r="S1469" s="9">
        <f t="shared" si="114"/>
        <v>976.80000000000007</v>
      </c>
    </row>
    <row r="1470" spans="1:19" x14ac:dyDescent="0.3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str">
        <f>IFERROR(VLOOKUP('Customer Info'!A1462,'Customer Info'!A1462:C1961,2,FALSE),"Not Found")</f>
        <v>Not Found</v>
      </c>
      <c r="H1470" s="6" t="str">
        <f>IFERROR(VLOOKUP('Customer Info'!A1462,'Customer Info'!A1462:C1961,3,FALSE),"Not Found")</f>
        <v>Not Found</v>
      </c>
      <c r="I1470" s="6" t="str">
        <f>IFERROR(VLOOKUP('Customer Info'!A1462,'Customer Info'!A1462:E1961,5,FALSE),"Not Found")</f>
        <v>Not Found</v>
      </c>
      <c r="J1470" s="2">
        <v>60</v>
      </c>
      <c r="K1470" s="2">
        <v>56</v>
      </c>
      <c r="L1470" s="2">
        <v>4</v>
      </c>
      <c r="M1470" s="7">
        <f t="shared" si="110"/>
        <v>224</v>
      </c>
      <c r="N1470" s="7">
        <f t="shared" si="111"/>
        <v>240</v>
      </c>
      <c r="O1470" s="2">
        <v>10</v>
      </c>
      <c r="P1470" s="8">
        <f t="shared" si="112"/>
        <v>250</v>
      </c>
      <c r="Q1470" s="8">
        <f t="shared" si="113"/>
        <v>184</v>
      </c>
      <c r="R1470" s="2" t="s">
        <v>50</v>
      </c>
      <c r="S1470" s="9">
        <f t="shared" si="114"/>
        <v>5</v>
      </c>
    </row>
    <row r="1471" spans="1:19" x14ac:dyDescent="0.3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str">
        <f>IFERROR(VLOOKUP('Customer Info'!A1463,'Customer Info'!A1463:C1962,2,FALSE),"Not Found")</f>
        <v>Not Found</v>
      </c>
      <c r="H1471" s="6" t="str">
        <f>IFERROR(VLOOKUP('Customer Info'!A1463,'Customer Info'!A1463:C1962,3,FALSE),"Not Found")</f>
        <v>Not Found</v>
      </c>
      <c r="I1471" s="6" t="str">
        <f>IFERROR(VLOOKUP('Customer Info'!A1463,'Customer Info'!A1463:E1962,5,FALSE),"Not Found")</f>
        <v>Not Found</v>
      </c>
      <c r="J1471" s="2">
        <v>3145</v>
      </c>
      <c r="K1471" s="2">
        <v>3025</v>
      </c>
      <c r="L1471" s="2">
        <v>3</v>
      </c>
      <c r="M1471" s="7">
        <f t="shared" si="110"/>
        <v>9075</v>
      </c>
      <c r="N1471" s="7">
        <f t="shared" si="111"/>
        <v>9435</v>
      </c>
      <c r="O1471" s="2">
        <v>52</v>
      </c>
      <c r="P1471" s="8">
        <f t="shared" si="112"/>
        <v>9487</v>
      </c>
      <c r="Q1471" s="8">
        <f t="shared" si="113"/>
        <v>6410</v>
      </c>
      <c r="R1471" s="2" t="s">
        <v>28</v>
      </c>
      <c r="S1471" s="9">
        <f t="shared" si="114"/>
        <v>474.35</v>
      </c>
    </row>
    <row r="1472" spans="1:19" x14ac:dyDescent="0.3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str">
        <f>IFERROR(VLOOKUP('Customer Info'!A1464,'Customer Info'!A1464:C1963,2,FALSE),"Not Found")</f>
        <v>Not Found</v>
      </c>
      <c r="H1472" s="6" t="str">
        <f>IFERROR(VLOOKUP('Customer Info'!A1464,'Customer Info'!A1464:C1963,3,FALSE),"Not Found")</f>
        <v>Not Found</v>
      </c>
      <c r="I1472" s="6" t="str">
        <f>IFERROR(VLOOKUP('Customer Info'!A1464,'Customer Info'!A1464:E1963,5,FALSE),"Not Found")</f>
        <v>Not Found</v>
      </c>
      <c r="J1472" s="2">
        <v>417</v>
      </c>
      <c r="K1472" s="2">
        <v>392</v>
      </c>
      <c r="L1472" s="2">
        <v>5</v>
      </c>
      <c r="M1472" s="7">
        <f t="shared" si="110"/>
        <v>1960</v>
      </c>
      <c r="N1472" s="7">
        <f t="shared" si="111"/>
        <v>2085</v>
      </c>
      <c r="O1472" s="2">
        <v>49</v>
      </c>
      <c r="P1472" s="8">
        <f t="shared" si="112"/>
        <v>2134</v>
      </c>
      <c r="Q1472" s="8">
        <f t="shared" si="113"/>
        <v>1693</v>
      </c>
      <c r="R1472" s="2" t="s">
        <v>28</v>
      </c>
      <c r="S1472" s="9">
        <f t="shared" si="114"/>
        <v>42.68</v>
      </c>
    </row>
    <row r="1473" spans="1:19" x14ac:dyDescent="0.3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str">
        <f>IFERROR(VLOOKUP('Customer Info'!A1465,'Customer Info'!A1465:C1964,2,FALSE),"Not Found")</f>
        <v>Not Found</v>
      </c>
      <c r="H1473" s="6" t="str">
        <f>IFERROR(VLOOKUP('Customer Info'!A1465,'Customer Info'!A1465:C1964,3,FALSE),"Not Found")</f>
        <v>Not Found</v>
      </c>
      <c r="I1473" s="6" t="str">
        <f>IFERROR(VLOOKUP('Customer Info'!A1465,'Customer Info'!A1465:E1964,5,FALSE),"Not Found")</f>
        <v>Not Found</v>
      </c>
      <c r="J1473" s="2">
        <v>6274</v>
      </c>
      <c r="K1473" s="2">
        <v>6093</v>
      </c>
      <c r="L1473" s="2">
        <v>2</v>
      </c>
      <c r="M1473" s="7">
        <f t="shared" si="110"/>
        <v>12186</v>
      </c>
      <c r="N1473" s="7">
        <f t="shared" si="111"/>
        <v>12548</v>
      </c>
      <c r="O1473" s="2">
        <v>80</v>
      </c>
      <c r="P1473" s="8">
        <f t="shared" si="112"/>
        <v>12628</v>
      </c>
      <c r="Q1473" s="8">
        <f t="shared" si="113"/>
        <v>6455</v>
      </c>
      <c r="R1473" s="2" t="s">
        <v>28</v>
      </c>
      <c r="S1473" s="9">
        <f t="shared" si="114"/>
        <v>631.40000000000009</v>
      </c>
    </row>
    <row r="1474" spans="1:19" x14ac:dyDescent="0.3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str">
        <f>IFERROR(VLOOKUP('Customer Info'!A1466,'Customer Info'!A1466:C1965,2,FALSE),"Not Found")</f>
        <v>Not Found</v>
      </c>
      <c r="H1474" s="6" t="str">
        <f>IFERROR(VLOOKUP('Customer Info'!A1466,'Customer Info'!A1466:C1965,3,FALSE),"Not Found")</f>
        <v>Not Found</v>
      </c>
      <c r="I1474" s="6" t="str">
        <f>IFERROR(VLOOKUP('Customer Info'!A1466,'Customer Info'!A1466:E1965,5,FALSE),"Not Found")</f>
        <v>Not Found</v>
      </c>
      <c r="J1474" s="2">
        <v>1816</v>
      </c>
      <c r="K1474" s="2">
        <v>1700</v>
      </c>
      <c r="L1474" s="2">
        <v>6</v>
      </c>
      <c r="M1474" s="7">
        <f t="shared" si="110"/>
        <v>10200</v>
      </c>
      <c r="N1474" s="7">
        <f t="shared" si="111"/>
        <v>10896</v>
      </c>
      <c r="O1474" s="2">
        <v>62</v>
      </c>
      <c r="P1474" s="8">
        <f t="shared" si="112"/>
        <v>10958</v>
      </c>
      <c r="Q1474" s="8">
        <f t="shared" si="113"/>
        <v>9196</v>
      </c>
      <c r="R1474" s="2" t="s">
        <v>50</v>
      </c>
      <c r="S1474" s="9">
        <f t="shared" si="114"/>
        <v>547.9</v>
      </c>
    </row>
    <row r="1475" spans="1:19" x14ac:dyDescent="0.3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str">
        <f>IFERROR(VLOOKUP('Customer Info'!A1467,'Customer Info'!A1467:C1966,2,FALSE),"Not Found")</f>
        <v>Not Found</v>
      </c>
      <c r="H1475" s="6" t="str">
        <f>IFERROR(VLOOKUP('Customer Info'!A1467,'Customer Info'!A1467:C1966,3,FALSE),"Not Found")</f>
        <v>Not Found</v>
      </c>
      <c r="I1475" s="6" t="str">
        <f>IFERROR(VLOOKUP('Customer Info'!A1467,'Customer Info'!A1467:E1966,5,FALSE),"Not Found")</f>
        <v>Not Found</v>
      </c>
      <c r="J1475" s="2">
        <v>3275</v>
      </c>
      <c r="K1475" s="2">
        <v>3090</v>
      </c>
      <c r="L1475" s="2">
        <v>2</v>
      </c>
      <c r="M1475" s="7">
        <f t="shared" si="110"/>
        <v>6180</v>
      </c>
      <c r="N1475" s="7">
        <f t="shared" si="111"/>
        <v>6550</v>
      </c>
      <c r="O1475" s="2">
        <v>81</v>
      </c>
      <c r="P1475" s="8">
        <f t="shared" si="112"/>
        <v>6631</v>
      </c>
      <c r="Q1475" s="8">
        <f t="shared" si="113"/>
        <v>3460</v>
      </c>
      <c r="R1475" s="2" t="s">
        <v>28</v>
      </c>
      <c r="S1475" s="9">
        <f t="shared" si="114"/>
        <v>331.55</v>
      </c>
    </row>
    <row r="1476" spans="1:19" x14ac:dyDescent="0.3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str">
        <f>IFERROR(VLOOKUP('Customer Info'!A1468,'Customer Info'!A1468:C1967,2,FALSE),"Not Found")</f>
        <v>Not Found</v>
      </c>
      <c r="H1476" s="6" t="str">
        <f>IFERROR(VLOOKUP('Customer Info'!A1468,'Customer Info'!A1468:C1967,3,FALSE),"Not Found")</f>
        <v>Not Found</v>
      </c>
      <c r="I1476" s="6" t="str">
        <f>IFERROR(VLOOKUP('Customer Info'!A1468,'Customer Info'!A1468:E1967,5,FALSE),"Not Found")</f>
        <v>Not Found</v>
      </c>
      <c r="J1476" s="2">
        <v>2365</v>
      </c>
      <c r="K1476" s="2">
        <v>2232</v>
      </c>
      <c r="L1476" s="2">
        <v>5</v>
      </c>
      <c r="M1476" s="7">
        <f t="shared" si="110"/>
        <v>11160</v>
      </c>
      <c r="N1476" s="7">
        <f t="shared" si="111"/>
        <v>11825</v>
      </c>
      <c r="O1476" s="2">
        <v>51</v>
      </c>
      <c r="P1476" s="8">
        <f t="shared" si="112"/>
        <v>11876</v>
      </c>
      <c r="Q1476" s="8">
        <f t="shared" si="113"/>
        <v>9593</v>
      </c>
      <c r="R1476" s="2" t="s">
        <v>28</v>
      </c>
      <c r="S1476" s="9">
        <f t="shared" si="114"/>
        <v>593.80000000000007</v>
      </c>
    </row>
    <row r="1477" spans="1:19" x14ac:dyDescent="0.3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str">
        <f>IFERROR(VLOOKUP('Customer Info'!A1469,'Customer Info'!A1469:C1968,2,FALSE),"Not Found")</f>
        <v>Not Found</v>
      </c>
      <c r="H1477" s="6" t="str">
        <f>IFERROR(VLOOKUP('Customer Info'!A1469,'Customer Info'!A1469:C1968,3,FALSE),"Not Found")</f>
        <v>Not Found</v>
      </c>
      <c r="I1477" s="6" t="str">
        <f>IFERROR(VLOOKUP('Customer Info'!A1469,'Customer Info'!A1469:E1968,5,FALSE),"Not Found")</f>
        <v>Not Found</v>
      </c>
      <c r="J1477" s="2">
        <v>1358</v>
      </c>
      <c r="K1477" s="2">
        <v>1294</v>
      </c>
      <c r="L1477" s="2">
        <v>2</v>
      </c>
      <c r="M1477" s="7">
        <f t="shared" si="110"/>
        <v>2588</v>
      </c>
      <c r="N1477" s="7">
        <f t="shared" si="111"/>
        <v>2716</v>
      </c>
      <c r="O1477" s="2">
        <v>29</v>
      </c>
      <c r="P1477" s="8">
        <f t="shared" si="112"/>
        <v>2745</v>
      </c>
      <c r="Q1477" s="8">
        <f t="shared" si="113"/>
        <v>1422</v>
      </c>
      <c r="R1477" s="2" t="s">
        <v>28</v>
      </c>
      <c r="S1477" s="9">
        <f t="shared" si="114"/>
        <v>54.9</v>
      </c>
    </row>
    <row r="1478" spans="1:19" x14ac:dyDescent="0.3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str">
        <f>IFERROR(VLOOKUP('Customer Info'!A1470,'Customer Info'!A1470:C1969,2,FALSE),"Not Found")</f>
        <v>Not Found</v>
      </c>
      <c r="H1478" s="6" t="str">
        <f>IFERROR(VLOOKUP('Customer Info'!A1470,'Customer Info'!A1470:C1969,3,FALSE),"Not Found")</f>
        <v>Not Found</v>
      </c>
      <c r="I1478" s="6" t="str">
        <f>IFERROR(VLOOKUP('Customer Info'!A1470,'Customer Info'!A1470:E1969,5,FALSE),"Not Found")</f>
        <v>Not Found</v>
      </c>
      <c r="J1478" s="2">
        <v>149</v>
      </c>
      <c r="K1478" s="2">
        <v>131</v>
      </c>
      <c r="L1478" s="2">
        <v>8</v>
      </c>
      <c r="M1478" s="7">
        <f t="shared" si="110"/>
        <v>1048</v>
      </c>
      <c r="N1478" s="7">
        <f t="shared" si="111"/>
        <v>1192</v>
      </c>
      <c r="O1478" s="2">
        <v>30</v>
      </c>
      <c r="P1478" s="8">
        <f t="shared" si="112"/>
        <v>1222</v>
      </c>
      <c r="Q1478" s="8">
        <f t="shared" si="113"/>
        <v>1061</v>
      </c>
      <c r="R1478" s="2" t="s">
        <v>28</v>
      </c>
      <c r="S1478" s="9">
        <f t="shared" si="114"/>
        <v>24.44</v>
      </c>
    </row>
    <row r="1479" spans="1:19" x14ac:dyDescent="0.3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str">
        <f>IFERROR(VLOOKUP('Customer Info'!A1471,'Customer Info'!A1471:C1970,2,FALSE),"Not Found")</f>
        <v>Not Found</v>
      </c>
      <c r="H1479" s="6" t="str">
        <f>IFERROR(VLOOKUP('Customer Info'!A1471,'Customer Info'!A1471:C1970,3,FALSE),"Not Found")</f>
        <v>Not Found</v>
      </c>
      <c r="I1479" s="6" t="str">
        <f>IFERROR(VLOOKUP('Customer Info'!A1471,'Customer Info'!A1471:E1970,5,FALSE),"Not Found")</f>
        <v>Not Found</v>
      </c>
      <c r="J1479" s="2">
        <v>175</v>
      </c>
      <c r="K1479" s="2">
        <v>158</v>
      </c>
      <c r="L1479" s="2">
        <v>2</v>
      </c>
      <c r="M1479" s="7">
        <f t="shared" si="110"/>
        <v>316</v>
      </c>
      <c r="N1479" s="7">
        <f t="shared" si="111"/>
        <v>350</v>
      </c>
      <c r="O1479" s="2">
        <v>30</v>
      </c>
      <c r="P1479" s="8">
        <f t="shared" si="112"/>
        <v>380</v>
      </c>
      <c r="Q1479" s="8">
        <f t="shared" si="113"/>
        <v>192</v>
      </c>
      <c r="R1479" s="2" t="s">
        <v>50</v>
      </c>
      <c r="S1479" s="9">
        <f t="shared" si="114"/>
        <v>7.6000000000000005</v>
      </c>
    </row>
    <row r="1480" spans="1:19" x14ac:dyDescent="0.3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str">
        <f>IFERROR(VLOOKUP('Customer Info'!A1472,'Customer Info'!A1472:C1971,2,FALSE),"Not Found")</f>
        <v>Not Found</v>
      </c>
      <c r="H1480" s="6" t="str">
        <f>IFERROR(VLOOKUP('Customer Info'!A1472,'Customer Info'!A1472:C1971,3,FALSE),"Not Found")</f>
        <v>Not Found</v>
      </c>
      <c r="I1480" s="6" t="str">
        <f>IFERROR(VLOOKUP('Customer Info'!A1472,'Customer Info'!A1472:E1971,5,FALSE),"Not Found")</f>
        <v>Not Found</v>
      </c>
      <c r="J1480" s="2">
        <v>2310</v>
      </c>
      <c r="K1480" s="2">
        <v>2040</v>
      </c>
      <c r="L1480" s="2">
        <v>1</v>
      </c>
      <c r="M1480" s="7">
        <f t="shared" si="110"/>
        <v>2040</v>
      </c>
      <c r="N1480" s="7">
        <f t="shared" si="111"/>
        <v>2310</v>
      </c>
      <c r="O1480" s="2">
        <v>92</v>
      </c>
      <c r="P1480" s="8">
        <f t="shared" si="112"/>
        <v>2402</v>
      </c>
      <c r="Q1480" s="8">
        <f t="shared" si="113"/>
        <v>270</v>
      </c>
      <c r="R1480" s="2" t="s">
        <v>28</v>
      </c>
      <c r="S1480" s="9">
        <f t="shared" si="114"/>
        <v>48.04</v>
      </c>
    </row>
    <row r="1481" spans="1:19" x14ac:dyDescent="0.3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str">
        <f>IFERROR(VLOOKUP('Customer Info'!A1473,'Customer Info'!A1473:C1972,2,FALSE),"Not Found")</f>
        <v>Not Found</v>
      </c>
      <c r="H1481" s="6" t="str">
        <f>IFERROR(VLOOKUP('Customer Info'!A1473,'Customer Info'!A1473:C1972,3,FALSE),"Not Found")</f>
        <v>Not Found</v>
      </c>
      <c r="I1481" s="6" t="str">
        <f>IFERROR(VLOOKUP('Customer Info'!A1473,'Customer Info'!A1473:E1972,5,FALSE),"Not Found")</f>
        <v>Not Found</v>
      </c>
      <c r="J1481" s="2">
        <v>37949</v>
      </c>
      <c r="K1481" s="2">
        <v>34816</v>
      </c>
      <c r="L1481" s="2">
        <v>3</v>
      </c>
      <c r="M1481" s="7">
        <f t="shared" si="110"/>
        <v>104448</v>
      </c>
      <c r="N1481" s="7">
        <f t="shared" si="111"/>
        <v>113847</v>
      </c>
      <c r="O1481" s="2">
        <v>71</v>
      </c>
      <c r="P1481" s="8">
        <f t="shared" si="112"/>
        <v>113918</v>
      </c>
      <c r="Q1481" s="8">
        <f t="shared" si="113"/>
        <v>79031</v>
      </c>
      <c r="R1481" s="2" t="s">
        <v>28</v>
      </c>
      <c r="S1481" s="9">
        <f t="shared" si="114"/>
        <v>13670.16</v>
      </c>
    </row>
    <row r="1482" spans="1:19" x14ac:dyDescent="0.3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str">
        <f>IFERROR(VLOOKUP('Customer Info'!A1474,'Customer Info'!A1474:C1973,2,FALSE),"Not Found")</f>
        <v>Not Found</v>
      </c>
      <c r="H1482" s="6" t="str">
        <f>IFERROR(VLOOKUP('Customer Info'!A1474,'Customer Info'!A1474:C1973,3,FALSE),"Not Found")</f>
        <v>Not Found</v>
      </c>
      <c r="I1482" s="6" t="str">
        <f>IFERROR(VLOOKUP('Customer Info'!A1474,'Customer Info'!A1474:E1973,5,FALSE),"Not Found")</f>
        <v>Not Found</v>
      </c>
      <c r="J1482" s="2">
        <v>2418</v>
      </c>
      <c r="K1482" s="2">
        <v>2282</v>
      </c>
      <c r="L1482" s="2">
        <v>10</v>
      </c>
      <c r="M1482" s="7">
        <f t="shared" si="110"/>
        <v>22820</v>
      </c>
      <c r="N1482" s="7">
        <f t="shared" si="111"/>
        <v>24180</v>
      </c>
      <c r="O1482" s="2">
        <v>33</v>
      </c>
      <c r="P1482" s="8">
        <f t="shared" si="112"/>
        <v>24213</v>
      </c>
      <c r="Q1482" s="8">
        <f t="shared" si="113"/>
        <v>21898</v>
      </c>
      <c r="R1482" s="2" t="s">
        <v>28</v>
      </c>
      <c r="S1482" s="9">
        <f t="shared" si="114"/>
        <v>1210.6500000000001</v>
      </c>
    </row>
    <row r="1483" spans="1:19" x14ac:dyDescent="0.3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str">
        <f>IFERROR(VLOOKUP('Customer Info'!A1475,'Customer Info'!A1475:C1974,2,FALSE),"Not Found")</f>
        <v>Not Found</v>
      </c>
      <c r="H1483" s="6" t="str">
        <f>IFERROR(VLOOKUP('Customer Info'!A1475,'Customer Info'!A1475:C1974,3,FALSE),"Not Found")</f>
        <v>Not Found</v>
      </c>
      <c r="I1483" s="6" t="str">
        <f>IFERROR(VLOOKUP('Customer Info'!A1475,'Customer Info'!A1475:E1974,5,FALSE),"Not Found")</f>
        <v>Not Found</v>
      </c>
      <c r="J1483" s="2">
        <v>139</v>
      </c>
      <c r="K1483" s="2">
        <v>130</v>
      </c>
      <c r="L1483" s="2">
        <v>5</v>
      </c>
      <c r="M1483" s="7">
        <f t="shared" ref="M1483:M1546" si="115">$K1483*$L1483</f>
        <v>650</v>
      </c>
      <c r="N1483" s="7">
        <f t="shared" ref="N1483:N1546" si="116">$J1483*$L1483</f>
        <v>695</v>
      </c>
      <c r="O1483" s="2">
        <v>30</v>
      </c>
      <c r="P1483" s="8">
        <f t="shared" ref="P1483:P1546" si="117">$N1483+$O1483</f>
        <v>725</v>
      </c>
      <c r="Q1483" s="8">
        <f t="shared" ref="Q1483:Q1546" si="118">$N1483-$K1483</f>
        <v>565</v>
      </c>
      <c r="R1483" s="2" t="s">
        <v>28</v>
      </c>
      <c r="S1483" s="9">
        <f t="shared" ref="S1483:S1546" si="119" xml:space="preserve"> P1483 * VLOOKUP(P1483, $T$2:$U$6, 2, TRUE)</f>
        <v>14.5</v>
      </c>
    </row>
    <row r="1484" spans="1:19" x14ac:dyDescent="0.3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str">
        <f>IFERROR(VLOOKUP('Customer Info'!A1476,'Customer Info'!A1476:C1975,2,FALSE),"Not Found")</f>
        <v>Not Found</v>
      </c>
      <c r="H1484" s="6" t="str">
        <f>IFERROR(VLOOKUP('Customer Info'!A1476,'Customer Info'!A1476:C1975,3,FALSE),"Not Found")</f>
        <v>Not Found</v>
      </c>
      <c r="I1484" s="6" t="str">
        <f>IFERROR(VLOOKUP('Customer Info'!A1476,'Customer Info'!A1476:E1975,5,FALSE),"Not Found")</f>
        <v>Not Found</v>
      </c>
      <c r="J1484" s="2">
        <v>5906</v>
      </c>
      <c r="K1484" s="2">
        <v>5266</v>
      </c>
      <c r="L1484" s="2">
        <v>2</v>
      </c>
      <c r="M1484" s="7">
        <f t="shared" si="115"/>
        <v>10532</v>
      </c>
      <c r="N1484" s="7">
        <f t="shared" si="116"/>
        <v>11812</v>
      </c>
      <c r="O1484" s="2">
        <v>80</v>
      </c>
      <c r="P1484" s="8">
        <f t="shared" si="117"/>
        <v>11892</v>
      </c>
      <c r="Q1484" s="8">
        <f t="shared" si="118"/>
        <v>6546</v>
      </c>
      <c r="R1484" s="2" t="s">
        <v>26</v>
      </c>
      <c r="S1484" s="9">
        <f t="shared" si="119"/>
        <v>594.6</v>
      </c>
    </row>
    <row r="1485" spans="1:19" x14ac:dyDescent="0.3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str">
        <f>IFERROR(VLOOKUP('Customer Info'!A1477,'Customer Info'!A1477:C1976,2,FALSE),"Not Found")</f>
        <v>Not Found</v>
      </c>
      <c r="H1485" s="6" t="str">
        <f>IFERROR(VLOOKUP('Customer Info'!A1477,'Customer Info'!A1477:C1976,3,FALSE),"Not Found")</f>
        <v>Not Found</v>
      </c>
      <c r="I1485" s="6" t="str">
        <f>IFERROR(VLOOKUP('Customer Info'!A1477,'Customer Info'!A1477:E1976,5,FALSE),"Not Found")</f>
        <v>Not Found</v>
      </c>
      <c r="J1485" s="2">
        <v>900</v>
      </c>
      <c r="K1485" s="2">
        <v>834</v>
      </c>
      <c r="L1485" s="2">
        <v>4</v>
      </c>
      <c r="M1485" s="7">
        <f t="shared" si="115"/>
        <v>3336</v>
      </c>
      <c r="N1485" s="7">
        <f t="shared" si="116"/>
        <v>3600</v>
      </c>
      <c r="O1485" s="2">
        <v>49</v>
      </c>
      <c r="P1485" s="8">
        <f t="shared" si="117"/>
        <v>3649</v>
      </c>
      <c r="Q1485" s="8">
        <f t="shared" si="118"/>
        <v>2766</v>
      </c>
      <c r="R1485" s="2" t="s">
        <v>50</v>
      </c>
      <c r="S1485" s="9">
        <f t="shared" si="119"/>
        <v>72.98</v>
      </c>
    </row>
    <row r="1486" spans="1:19" x14ac:dyDescent="0.3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str">
        <f>IFERROR(VLOOKUP('Customer Info'!A1478,'Customer Info'!A1478:C1977,2,FALSE),"Not Found")</f>
        <v>Not Found</v>
      </c>
      <c r="H1486" s="6" t="str">
        <f>IFERROR(VLOOKUP('Customer Info'!A1478,'Customer Info'!A1478:C1977,3,FALSE),"Not Found")</f>
        <v>Not Found</v>
      </c>
      <c r="I1486" s="6" t="str">
        <f>IFERROR(VLOOKUP('Customer Info'!A1478,'Customer Info'!A1478:E1977,5,FALSE),"Not Found")</f>
        <v>Not Found</v>
      </c>
      <c r="J1486" s="2">
        <v>1103</v>
      </c>
      <c r="K1486" s="2">
        <v>1030</v>
      </c>
      <c r="L1486" s="2">
        <v>2</v>
      </c>
      <c r="M1486" s="7">
        <f t="shared" si="115"/>
        <v>2060</v>
      </c>
      <c r="N1486" s="7">
        <f t="shared" si="116"/>
        <v>2206</v>
      </c>
      <c r="O1486" s="2">
        <v>95</v>
      </c>
      <c r="P1486" s="8">
        <f t="shared" si="117"/>
        <v>2301</v>
      </c>
      <c r="Q1486" s="8">
        <f t="shared" si="118"/>
        <v>1176</v>
      </c>
      <c r="R1486" s="2" t="s">
        <v>50</v>
      </c>
      <c r="S1486" s="9">
        <f t="shared" si="119"/>
        <v>46.02</v>
      </c>
    </row>
    <row r="1487" spans="1:19" x14ac:dyDescent="0.3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str">
        <f>IFERROR(VLOOKUP('Customer Info'!A1479,'Customer Info'!A1479:C1978,2,FALSE),"Not Found")</f>
        <v>Not Found</v>
      </c>
      <c r="H1487" s="6" t="str">
        <f>IFERROR(VLOOKUP('Customer Info'!A1479,'Customer Info'!A1479:C1978,3,FALSE),"Not Found")</f>
        <v>Not Found</v>
      </c>
      <c r="I1487" s="6" t="str">
        <f>IFERROR(VLOOKUP('Customer Info'!A1479,'Customer Info'!A1479:E1978,5,FALSE),"Not Found")</f>
        <v>Not Found</v>
      </c>
      <c r="J1487" s="2">
        <v>645</v>
      </c>
      <c r="K1487" s="2">
        <v>565</v>
      </c>
      <c r="L1487" s="2">
        <v>3</v>
      </c>
      <c r="M1487" s="7">
        <f t="shared" si="115"/>
        <v>1695</v>
      </c>
      <c r="N1487" s="7">
        <f t="shared" si="116"/>
        <v>1935</v>
      </c>
      <c r="O1487" s="2">
        <v>63</v>
      </c>
      <c r="P1487" s="8">
        <f t="shared" si="117"/>
        <v>1998</v>
      </c>
      <c r="Q1487" s="8">
        <f t="shared" si="118"/>
        <v>1370</v>
      </c>
      <c r="R1487" s="2" t="s">
        <v>56</v>
      </c>
      <c r="S1487" s="9">
        <f t="shared" si="119"/>
        <v>39.96</v>
      </c>
    </row>
    <row r="1488" spans="1:19" x14ac:dyDescent="0.3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str">
        <f>IFERROR(VLOOKUP('Customer Info'!A1480,'Customer Info'!A1480:C1979,2,FALSE),"Not Found")</f>
        <v>Not Found</v>
      </c>
      <c r="H1488" s="6" t="str">
        <f>IFERROR(VLOOKUP('Customer Info'!A1480,'Customer Info'!A1480:C1979,3,FALSE),"Not Found")</f>
        <v>Not Found</v>
      </c>
      <c r="I1488" s="6" t="str">
        <f>IFERROR(VLOOKUP('Customer Info'!A1480,'Customer Info'!A1480:E1979,5,FALSE),"Not Found")</f>
        <v>Not Found</v>
      </c>
      <c r="J1488" s="2">
        <v>8686</v>
      </c>
      <c r="K1488" s="2">
        <v>8035</v>
      </c>
      <c r="L1488" s="2">
        <v>2</v>
      </c>
      <c r="M1488" s="7">
        <f t="shared" si="115"/>
        <v>16070</v>
      </c>
      <c r="N1488" s="7">
        <f t="shared" si="116"/>
        <v>17372</v>
      </c>
      <c r="O1488" s="2">
        <v>30</v>
      </c>
      <c r="P1488" s="8">
        <f t="shared" si="117"/>
        <v>17402</v>
      </c>
      <c r="Q1488" s="8">
        <f t="shared" si="118"/>
        <v>9337</v>
      </c>
      <c r="R1488" s="2" t="s">
        <v>26</v>
      </c>
      <c r="S1488" s="9">
        <f t="shared" si="119"/>
        <v>870.1</v>
      </c>
    </row>
    <row r="1489" spans="1:19" x14ac:dyDescent="0.3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str">
        <f>IFERROR(VLOOKUP('Customer Info'!A1481,'Customer Info'!A1481:C1980,2,FALSE),"Not Found")</f>
        <v>Not Found</v>
      </c>
      <c r="H1489" s="6" t="str">
        <f>IFERROR(VLOOKUP('Customer Info'!A1481,'Customer Info'!A1481:C1980,3,FALSE),"Not Found")</f>
        <v>Not Found</v>
      </c>
      <c r="I1489" s="6" t="str">
        <f>IFERROR(VLOOKUP('Customer Info'!A1481,'Customer Info'!A1481:E1980,5,FALSE),"Not Found")</f>
        <v>Not Found</v>
      </c>
      <c r="J1489" s="2">
        <v>6012</v>
      </c>
      <c r="K1489" s="2">
        <v>5677</v>
      </c>
      <c r="L1489" s="2">
        <v>2</v>
      </c>
      <c r="M1489" s="7">
        <f t="shared" si="115"/>
        <v>11354</v>
      </c>
      <c r="N1489" s="7">
        <f t="shared" si="116"/>
        <v>12024</v>
      </c>
      <c r="O1489" s="2">
        <v>58</v>
      </c>
      <c r="P1489" s="8">
        <f t="shared" si="117"/>
        <v>12082</v>
      </c>
      <c r="Q1489" s="8">
        <f t="shared" si="118"/>
        <v>6347</v>
      </c>
      <c r="R1489" s="2" t="s">
        <v>26</v>
      </c>
      <c r="S1489" s="9">
        <f t="shared" si="119"/>
        <v>604.1</v>
      </c>
    </row>
    <row r="1490" spans="1:19" x14ac:dyDescent="0.3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str">
        <f>IFERROR(VLOOKUP('Customer Info'!A1482,'Customer Info'!A1482:C1981,2,FALSE),"Not Found")</f>
        <v>Not Found</v>
      </c>
      <c r="H1490" s="6" t="str">
        <f>IFERROR(VLOOKUP('Customer Info'!A1482,'Customer Info'!A1482:C1981,3,FALSE),"Not Found")</f>
        <v>Not Found</v>
      </c>
      <c r="I1490" s="6" t="str">
        <f>IFERROR(VLOOKUP('Customer Info'!A1482,'Customer Info'!A1482:E1981,5,FALSE),"Not Found")</f>
        <v>Not Found</v>
      </c>
      <c r="J1490" s="2">
        <v>61</v>
      </c>
      <c r="K1490" s="2">
        <v>56</v>
      </c>
      <c r="L1490" s="2">
        <v>5</v>
      </c>
      <c r="M1490" s="7">
        <f t="shared" si="115"/>
        <v>280</v>
      </c>
      <c r="N1490" s="7">
        <f t="shared" si="116"/>
        <v>305</v>
      </c>
      <c r="O1490" s="2">
        <v>10</v>
      </c>
      <c r="P1490" s="8">
        <f t="shared" si="117"/>
        <v>315</v>
      </c>
      <c r="Q1490" s="8">
        <f t="shared" si="118"/>
        <v>249</v>
      </c>
      <c r="R1490" s="2" t="s">
        <v>28</v>
      </c>
      <c r="S1490" s="9">
        <f t="shared" si="119"/>
        <v>6.3</v>
      </c>
    </row>
    <row r="1491" spans="1:19" x14ac:dyDescent="0.3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str">
        <f>IFERROR(VLOOKUP('Customer Info'!A1483,'Customer Info'!A1483:C1982,2,FALSE),"Not Found")</f>
        <v>Not Found</v>
      </c>
      <c r="H1491" s="6" t="str">
        <f>IFERROR(VLOOKUP('Customer Info'!A1483,'Customer Info'!A1483:C1982,3,FALSE),"Not Found")</f>
        <v>Not Found</v>
      </c>
      <c r="I1491" s="6" t="str">
        <f>IFERROR(VLOOKUP('Customer Info'!A1483,'Customer Info'!A1483:E1982,5,FALSE),"Not Found")</f>
        <v>Not Found</v>
      </c>
      <c r="J1491" s="2">
        <v>142</v>
      </c>
      <c r="K1491" s="2">
        <v>134</v>
      </c>
      <c r="L1491" s="2">
        <v>1</v>
      </c>
      <c r="M1491" s="7">
        <f t="shared" si="115"/>
        <v>134</v>
      </c>
      <c r="N1491" s="7">
        <f t="shared" si="116"/>
        <v>142</v>
      </c>
      <c r="O1491" s="2">
        <v>30</v>
      </c>
      <c r="P1491" s="8">
        <f t="shared" si="117"/>
        <v>172</v>
      </c>
      <c r="Q1491" s="8">
        <f t="shared" si="118"/>
        <v>8</v>
      </c>
      <c r="R1491" s="2" t="s">
        <v>28</v>
      </c>
      <c r="S1491" s="9">
        <f t="shared" si="119"/>
        <v>3.44</v>
      </c>
    </row>
    <row r="1492" spans="1:19" x14ac:dyDescent="0.3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str">
        <f>IFERROR(VLOOKUP('Customer Info'!A1484,'Customer Info'!A1484:C1983,2,FALSE),"Not Found")</f>
        <v>Not Found</v>
      </c>
      <c r="H1492" s="6" t="str">
        <f>IFERROR(VLOOKUP('Customer Info'!A1484,'Customer Info'!A1484:C1983,3,FALSE),"Not Found")</f>
        <v>Not Found</v>
      </c>
      <c r="I1492" s="6" t="str">
        <f>IFERROR(VLOOKUP('Customer Info'!A1484,'Customer Info'!A1484:E1983,5,FALSE),"Not Found")</f>
        <v>Not Found</v>
      </c>
      <c r="J1492" s="2">
        <v>8199</v>
      </c>
      <c r="K1492" s="2">
        <v>7523</v>
      </c>
      <c r="L1492" s="2">
        <v>1</v>
      </c>
      <c r="M1492" s="7">
        <f t="shared" si="115"/>
        <v>7523</v>
      </c>
      <c r="N1492" s="7">
        <f t="shared" si="116"/>
        <v>8199</v>
      </c>
      <c r="O1492" s="2">
        <v>34</v>
      </c>
      <c r="P1492" s="8">
        <f t="shared" si="117"/>
        <v>8233</v>
      </c>
      <c r="Q1492" s="8">
        <f t="shared" si="118"/>
        <v>676</v>
      </c>
      <c r="R1492" s="2" t="s">
        <v>50</v>
      </c>
      <c r="S1492" s="9">
        <f t="shared" si="119"/>
        <v>411.65000000000003</v>
      </c>
    </row>
    <row r="1493" spans="1:19" x14ac:dyDescent="0.3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str">
        <f>IFERROR(VLOOKUP('Customer Info'!A1485,'Customer Info'!A1485:C1984,2,FALSE),"Not Found")</f>
        <v>Not Found</v>
      </c>
      <c r="H1493" s="6" t="str">
        <f>IFERROR(VLOOKUP('Customer Info'!A1485,'Customer Info'!A1485:C1984,3,FALSE),"Not Found")</f>
        <v>Not Found</v>
      </c>
      <c r="I1493" s="6" t="str">
        <f>IFERROR(VLOOKUP('Customer Info'!A1485,'Customer Info'!A1485:E1984,5,FALSE),"Not Found")</f>
        <v>Not Found</v>
      </c>
      <c r="J1493" s="2">
        <v>7623</v>
      </c>
      <c r="K1493" s="2">
        <v>7064</v>
      </c>
      <c r="L1493" s="2">
        <v>3</v>
      </c>
      <c r="M1493" s="7">
        <f t="shared" si="115"/>
        <v>21192</v>
      </c>
      <c r="N1493" s="7">
        <f t="shared" si="116"/>
        <v>22869</v>
      </c>
      <c r="O1493" s="2">
        <v>84</v>
      </c>
      <c r="P1493" s="8">
        <f t="shared" si="117"/>
        <v>22953</v>
      </c>
      <c r="Q1493" s="8">
        <f t="shared" si="118"/>
        <v>15805</v>
      </c>
      <c r="R1493" s="2" t="s">
        <v>28</v>
      </c>
      <c r="S1493" s="9">
        <f t="shared" si="119"/>
        <v>1147.6500000000001</v>
      </c>
    </row>
    <row r="1494" spans="1:19" x14ac:dyDescent="0.3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str">
        <f>IFERROR(VLOOKUP('Customer Info'!A1486,'Customer Info'!A1486:C1985,2,FALSE),"Not Found")</f>
        <v>Not Found</v>
      </c>
      <c r="H1494" s="6" t="str">
        <f>IFERROR(VLOOKUP('Customer Info'!A1486,'Customer Info'!A1486:C1985,3,FALSE),"Not Found")</f>
        <v>Not Found</v>
      </c>
      <c r="I1494" s="6" t="str">
        <f>IFERROR(VLOOKUP('Customer Info'!A1486,'Customer Info'!A1486:E1985,5,FALSE),"Not Found")</f>
        <v>Not Found</v>
      </c>
      <c r="J1494" s="2">
        <v>142</v>
      </c>
      <c r="K1494" s="2">
        <v>129</v>
      </c>
      <c r="L1494" s="2">
        <v>5</v>
      </c>
      <c r="M1494" s="7">
        <f t="shared" si="115"/>
        <v>645</v>
      </c>
      <c r="N1494" s="7">
        <f t="shared" si="116"/>
        <v>710</v>
      </c>
      <c r="O1494" s="2">
        <v>30</v>
      </c>
      <c r="P1494" s="8">
        <f t="shared" si="117"/>
        <v>740</v>
      </c>
      <c r="Q1494" s="8">
        <f t="shared" si="118"/>
        <v>581</v>
      </c>
      <c r="R1494" s="2" t="s">
        <v>50</v>
      </c>
      <c r="S1494" s="9">
        <f t="shared" si="119"/>
        <v>14.8</v>
      </c>
    </row>
    <row r="1495" spans="1:19" x14ac:dyDescent="0.3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str">
        <f>IFERROR(VLOOKUP('Customer Info'!A1487,'Customer Info'!A1487:C1986,2,FALSE),"Not Found")</f>
        <v>Not Found</v>
      </c>
      <c r="H1495" s="6" t="str">
        <f>IFERROR(VLOOKUP('Customer Info'!A1487,'Customer Info'!A1487:C1986,3,FALSE),"Not Found")</f>
        <v>Not Found</v>
      </c>
      <c r="I1495" s="6" t="str">
        <f>IFERROR(VLOOKUP('Customer Info'!A1487,'Customer Info'!A1487:E1986,5,FALSE),"Not Found")</f>
        <v>Not Found</v>
      </c>
      <c r="J1495" s="2">
        <v>162</v>
      </c>
      <c r="K1495" s="2">
        <v>148</v>
      </c>
      <c r="L1495" s="2">
        <v>3</v>
      </c>
      <c r="M1495" s="7">
        <f t="shared" si="115"/>
        <v>444</v>
      </c>
      <c r="N1495" s="7">
        <f t="shared" si="116"/>
        <v>486</v>
      </c>
      <c r="O1495" s="2">
        <v>30</v>
      </c>
      <c r="P1495" s="8">
        <f t="shared" si="117"/>
        <v>516</v>
      </c>
      <c r="Q1495" s="8">
        <f t="shared" si="118"/>
        <v>338</v>
      </c>
      <c r="R1495" s="2" t="s">
        <v>28</v>
      </c>
      <c r="S1495" s="9">
        <f t="shared" si="119"/>
        <v>10.32</v>
      </c>
    </row>
    <row r="1496" spans="1:19" x14ac:dyDescent="0.3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str">
        <f>IFERROR(VLOOKUP('Customer Info'!A1488,'Customer Info'!A1488:C1987,2,FALSE),"Not Found")</f>
        <v>Not Found</v>
      </c>
      <c r="H1496" s="6" t="str">
        <f>IFERROR(VLOOKUP('Customer Info'!A1488,'Customer Info'!A1488:C1987,3,FALSE),"Not Found")</f>
        <v>Not Found</v>
      </c>
      <c r="I1496" s="6" t="str">
        <f>IFERROR(VLOOKUP('Customer Info'!A1488,'Customer Info'!A1488:E1987,5,FALSE),"Not Found")</f>
        <v>Not Found</v>
      </c>
      <c r="J1496" s="2">
        <v>147</v>
      </c>
      <c r="K1496" s="2">
        <v>138</v>
      </c>
      <c r="L1496" s="2">
        <v>2</v>
      </c>
      <c r="M1496" s="7">
        <f t="shared" si="115"/>
        <v>276</v>
      </c>
      <c r="N1496" s="7">
        <f t="shared" si="116"/>
        <v>294</v>
      </c>
      <c r="O1496" s="2">
        <v>30</v>
      </c>
      <c r="P1496" s="8">
        <f t="shared" si="117"/>
        <v>324</v>
      </c>
      <c r="Q1496" s="8">
        <f t="shared" si="118"/>
        <v>156</v>
      </c>
      <c r="R1496" s="2" t="s">
        <v>50</v>
      </c>
      <c r="S1496" s="9">
        <f t="shared" si="119"/>
        <v>6.48</v>
      </c>
    </row>
    <row r="1497" spans="1:19" x14ac:dyDescent="0.3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str">
        <f>IFERROR(VLOOKUP('Customer Info'!A1489,'Customer Info'!A1489:C1988,2,FALSE),"Not Found")</f>
        <v>Not Found</v>
      </c>
      <c r="H1497" s="6" t="str">
        <f>IFERROR(VLOOKUP('Customer Info'!A1489,'Customer Info'!A1489:C1988,3,FALSE),"Not Found")</f>
        <v>Not Found</v>
      </c>
      <c r="I1497" s="6" t="str">
        <f>IFERROR(VLOOKUP('Customer Info'!A1489,'Customer Info'!A1489:E1988,5,FALSE),"Not Found")</f>
        <v>Not Found</v>
      </c>
      <c r="J1497" s="2">
        <v>2874</v>
      </c>
      <c r="K1497" s="2">
        <v>2583</v>
      </c>
      <c r="L1497" s="2">
        <v>1</v>
      </c>
      <c r="M1497" s="7">
        <f t="shared" si="115"/>
        <v>2583</v>
      </c>
      <c r="N1497" s="7">
        <f t="shared" si="116"/>
        <v>2874</v>
      </c>
      <c r="O1497" s="2">
        <v>44</v>
      </c>
      <c r="P1497" s="8">
        <f t="shared" si="117"/>
        <v>2918</v>
      </c>
      <c r="Q1497" s="8">
        <f t="shared" si="118"/>
        <v>291</v>
      </c>
      <c r="R1497" s="2" t="s">
        <v>50</v>
      </c>
      <c r="S1497" s="9">
        <f t="shared" si="119"/>
        <v>58.36</v>
      </c>
    </row>
    <row r="1498" spans="1:19" x14ac:dyDescent="0.3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str">
        <f>IFERROR(VLOOKUP('Customer Info'!A1490,'Customer Info'!A1490:C1989,2,FALSE),"Not Found")</f>
        <v>Not Found</v>
      </c>
      <c r="H1498" s="6" t="str">
        <f>IFERROR(VLOOKUP('Customer Info'!A1490,'Customer Info'!A1490:C1989,3,FALSE),"Not Found")</f>
        <v>Not Found</v>
      </c>
      <c r="I1498" s="6" t="str">
        <f>IFERROR(VLOOKUP('Customer Info'!A1490,'Customer Info'!A1490:E1989,5,FALSE),"Not Found")</f>
        <v>Not Found</v>
      </c>
      <c r="J1498" s="2">
        <v>1637</v>
      </c>
      <c r="K1498" s="2">
        <v>1591</v>
      </c>
      <c r="L1498" s="2">
        <v>1</v>
      </c>
      <c r="M1498" s="7">
        <f t="shared" si="115"/>
        <v>1591</v>
      </c>
      <c r="N1498" s="7">
        <f t="shared" si="116"/>
        <v>1637</v>
      </c>
      <c r="O1498" s="2">
        <v>50</v>
      </c>
      <c r="P1498" s="8">
        <f t="shared" si="117"/>
        <v>1687</v>
      </c>
      <c r="Q1498" s="8">
        <f t="shared" si="118"/>
        <v>46</v>
      </c>
      <c r="R1498" s="2" t="s">
        <v>56</v>
      </c>
      <c r="S1498" s="9">
        <f t="shared" si="119"/>
        <v>33.74</v>
      </c>
    </row>
    <row r="1499" spans="1:19" x14ac:dyDescent="0.3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str">
        <f>IFERROR(VLOOKUP('Customer Info'!A1491,'Customer Info'!A1491:C1990,2,FALSE),"Not Found")</f>
        <v>Not Found</v>
      </c>
      <c r="H1499" s="6" t="str">
        <f>IFERROR(VLOOKUP('Customer Info'!A1491,'Customer Info'!A1491:C1990,3,FALSE),"Not Found")</f>
        <v>Not Found</v>
      </c>
      <c r="I1499" s="6" t="str">
        <f>IFERROR(VLOOKUP('Customer Info'!A1491,'Customer Info'!A1491:E1990,5,FALSE),"Not Found")</f>
        <v>Not Found</v>
      </c>
      <c r="J1499" s="2">
        <v>1816</v>
      </c>
      <c r="K1499" s="2">
        <v>1699</v>
      </c>
      <c r="L1499" s="2">
        <v>3</v>
      </c>
      <c r="M1499" s="7">
        <f t="shared" si="115"/>
        <v>5097</v>
      </c>
      <c r="N1499" s="7">
        <f t="shared" si="116"/>
        <v>5448</v>
      </c>
      <c r="O1499" s="2">
        <v>95</v>
      </c>
      <c r="P1499" s="8">
        <f t="shared" si="117"/>
        <v>5543</v>
      </c>
      <c r="Q1499" s="8">
        <f t="shared" si="118"/>
        <v>3749</v>
      </c>
      <c r="R1499" s="2" t="s">
        <v>28</v>
      </c>
      <c r="S1499" s="9">
        <f t="shared" si="119"/>
        <v>277.15000000000003</v>
      </c>
    </row>
    <row r="1500" spans="1:19" x14ac:dyDescent="0.3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str">
        <f>IFERROR(VLOOKUP('Customer Info'!A1492,'Customer Info'!A1492:C1991,2,FALSE),"Not Found")</f>
        <v>Not Found</v>
      </c>
      <c r="H1500" s="6" t="str">
        <f>IFERROR(VLOOKUP('Customer Info'!A1492,'Customer Info'!A1492:C1991,3,FALSE),"Not Found")</f>
        <v>Not Found</v>
      </c>
      <c r="I1500" s="6" t="str">
        <f>IFERROR(VLOOKUP('Customer Info'!A1492,'Customer Info'!A1492:E1991,5,FALSE),"Not Found")</f>
        <v>Not Found</v>
      </c>
      <c r="J1500" s="2">
        <v>4577</v>
      </c>
      <c r="K1500" s="2">
        <v>4285</v>
      </c>
      <c r="L1500" s="2">
        <v>4</v>
      </c>
      <c r="M1500" s="7">
        <f t="shared" si="115"/>
        <v>17140</v>
      </c>
      <c r="N1500" s="7">
        <f t="shared" si="116"/>
        <v>18308</v>
      </c>
      <c r="O1500" s="2">
        <v>42</v>
      </c>
      <c r="P1500" s="8">
        <f t="shared" si="117"/>
        <v>18350</v>
      </c>
      <c r="Q1500" s="8">
        <f t="shared" si="118"/>
        <v>14023</v>
      </c>
      <c r="R1500" s="2" t="s">
        <v>56</v>
      </c>
      <c r="S1500" s="9">
        <f t="shared" si="119"/>
        <v>917.5</v>
      </c>
    </row>
    <row r="1501" spans="1:19" x14ac:dyDescent="0.3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str">
        <f>IFERROR(VLOOKUP('Customer Info'!A1493,'Customer Info'!A1493:C1992,2,FALSE),"Not Found")</f>
        <v>Not Found</v>
      </c>
      <c r="H1501" s="6" t="str">
        <f>IFERROR(VLOOKUP('Customer Info'!A1493,'Customer Info'!A1493:C1992,3,FALSE),"Not Found")</f>
        <v>Not Found</v>
      </c>
      <c r="I1501" s="6" t="str">
        <f>IFERROR(VLOOKUP('Customer Info'!A1493,'Customer Info'!A1493:E1992,5,FALSE),"Not Found")</f>
        <v>Not Found</v>
      </c>
      <c r="J1501" s="2">
        <v>6717</v>
      </c>
      <c r="K1501" s="2">
        <v>6288</v>
      </c>
      <c r="L1501" s="2">
        <v>3</v>
      </c>
      <c r="M1501" s="7">
        <f t="shared" si="115"/>
        <v>18864</v>
      </c>
      <c r="N1501" s="7">
        <f t="shared" si="116"/>
        <v>20151</v>
      </c>
      <c r="O1501" s="2">
        <v>38</v>
      </c>
      <c r="P1501" s="8">
        <f t="shared" si="117"/>
        <v>20189</v>
      </c>
      <c r="Q1501" s="8">
        <f t="shared" si="118"/>
        <v>13863</v>
      </c>
      <c r="R1501" s="2" t="s">
        <v>28</v>
      </c>
      <c r="S1501" s="9">
        <f t="shared" si="119"/>
        <v>1009.45</v>
      </c>
    </row>
    <row r="1502" spans="1:19" x14ac:dyDescent="0.3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str">
        <f>IFERROR(VLOOKUP('Customer Info'!A1494,'Customer Info'!A1494:C1993,2,FALSE),"Not Found")</f>
        <v>Not Found</v>
      </c>
      <c r="H1502" s="6" t="str">
        <f>IFERROR(VLOOKUP('Customer Info'!A1494,'Customer Info'!A1494:C1993,3,FALSE),"Not Found")</f>
        <v>Not Found</v>
      </c>
      <c r="I1502" s="6" t="str">
        <f>IFERROR(VLOOKUP('Customer Info'!A1494,'Customer Info'!A1494:E1993,5,FALSE),"Not Found")</f>
        <v>Not Found</v>
      </c>
      <c r="J1502" s="2">
        <v>2960</v>
      </c>
      <c r="K1502" s="2">
        <v>2635</v>
      </c>
      <c r="L1502" s="2">
        <v>1</v>
      </c>
      <c r="M1502" s="7">
        <f t="shared" si="115"/>
        <v>2635</v>
      </c>
      <c r="N1502" s="7">
        <f t="shared" si="116"/>
        <v>2960</v>
      </c>
      <c r="O1502" s="2">
        <v>85</v>
      </c>
      <c r="P1502" s="8">
        <f t="shared" si="117"/>
        <v>3045</v>
      </c>
      <c r="Q1502" s="8">
        <f t="shared" si="118"/>
        <v>325</v>
      </c>
      <c r="R1502" s="2" t="s">
        <v>50</v>
      </c>
      <c r="S1502" s="9">
        <f t="shared" si="119"/>
        <v>60.9</v>
      </c>
    </row>
    <row r="1503" spans="1:19" x14ac:dyDescent="0.3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str">
        <f>IFERROR(VLOOKUP('Customer Info'!A1495,'Customer Info'!A1495:C1994,2,FALSE),"Not Found")</f>
        <v>Not Found</v>
      </c>
      <c r="H1503" s="6" t="str">
        <f>IFERROR(VLOOKUP('Customer Info'!A1495,'Customer Info'!A1495:C1994,3,FALSE),"Not Found")</f>
        <v>Not Found</v>
      </c>
      <c r="I1503" s="6" t="str">
        <f>IFERROR(VLOOKUP('Customer Info'!A1495,'Customer Info'!A1495:E1994,5,FALSE),"Not Found")</f>
        <v>Not Found</v>
      </c>
      <c r="J1503" s="2">
        <v>6354</v>
      </c>
      <c r="K1503" s="2">
        <v>5769</v>
      </c>
      <c r="L1503" s="2">
        <v>3</v>
      </c>
      <c r="M1503" s="7">
        <f t="shared" si="115"/>
        <v>17307</v>
      </c>
      <c r="N1503" s="7">
        <f t="shared" si="116"/>
        <v>19062</v>
      </c>
      <c r="O1503" s="2">
        <v>91</v>
      </c>
      <c r="P1503" s="8">
        <f t="shared" si="117"/>
        <v>19153</v>
      </c>
      <c r="Q1503" s="8">
        <f t="shared" si="118"/>
        <v>13293</v>
      </c>
      <c r="R1503" s="2" t="s">
        <v>28</v>
      </c>
      <c r="S1503" s="9">
        <f t="shared" si="119"/>
        <v>957.65000000000009</v>
      </c>
    </row>
    <row r="1504" spans="1:19" x14ac:dyDescent="0.3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str">
        <f>IFERROR(VLOOKUP('Customer Info'!A1496,'Customer Info'!A1496:C1995,2,FALSE),"Not Found")</f>
        <v>Not Found</v>
      </c>
      <c r="H1504" s="6" t="str">
        <f>IFERROR(VLOOKUP('Customer Info'!A1496,'Customer Info'!A1496:C1995,3,FALSE),"Not Found")</f>
        <v>Not Found</v>
      </c>
      <c r="I1504" s="6" t="str">
        <f>IFERROR(VLOOKUP('Customer Info'!A1496,'Customer Info'!A1496:E1995,5,FALSE),"Not Found")</f>
        <v>Not Found</v>
      </c>
      <c r="J1504" s="2">
        <v>60</v>
      </c>
      <c r="K1504" s="2">
        <v>58</v>
      </c>
      <c r="L1504" s="2">
        <v>2</v>
      </c>
      <c r="M1504" s="7">
        <f t="shared" si="115"/>
        <v>116</v>
      </c>
      <c r="N1504" s="7">
        <f t="shared" si="116"/>
        <v>120</v>
      </c>
      <c r="O1504" s="2">
        <v>10</v>
      </c>
      <c r="P1504" s="8">
        <f t="shared" si="117"/>
        <v>130</v>
      </c>
      <c r="Q1504" s="8">
        <f t="shared" si="118"/>
        <v>62</v>
      </c>
      <c r="R1504" s="2" t="s">
        <v>50</v>
      </c>
      <c r="S1504" s="9">
        <f t="shared" si="119"/>
        <v>2.6</v>
      </c>
    </row>
    <row r="1505" spans="1:19" x14ac:dyDescent="0.3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str">
        <f>IFERROR(VLOOKUP('Customer Info'!A1497,'Customer Info'!A1497:C1996,2,FALSE),"Not Found")</f>
        <v>Not Found</v>
      </c>
      <c r="H1505" s="6" t="str">
        <f>IFERROR(VLOOKUP('Customer Info'!A1497,'Customer Info'!A1497:C1996,3,FALSE),"Not Found")</f>
        <v>Not Found</v>
      </c>
      <c r="I1505" s="6" t="str">
        <f>IFERROR(VLOOKUP('Customer Info'!A1497,'Customer Info'!A1497:E1996,5,FALSE),"Not Found")</f>
        <v>Not Found</v>
      </c>
      <c r="J1505" s="2">
        <v>92</v>
      </c>
      <c r="K1505" s="2">
        <v>82</v>
      </c>
      <c r="L1505" s="2">
        <v>4</v>
      </c>
      <c r="M1505" s="7">
        <f t="shared" si="115"/>
        <v>328</v>
      </c>
      <c r="N1505" s="7">
        <f t="shared" si="116"/>
        <v>368</v>
      </c>
      <c r="O1505" s="2">
        <v>10</v>
      </c>
      <c r="P1505" s="8">
        <f t="shared" si="117"/>
        <v>378</v>
      </c>
      <c r="Q1505" s="8">
        <f t="shared" si="118"/>
        <v>286</v>
      </c>
      <c r="R1505" s="2" t="s">
        <v>28</v>
      </c>
      <c r="S1505" s="9">
        <f t="shared" si="119"/>
        <v>7.5600000000000005</v>
      </c>
    </row>
    <row r="1506" spans="1:19" x14ac:dyDescent="0.3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str">
        <f>IFERROR(VLOOKUP('Customer Info'!A1498,'Customer Info'!A1498:C1997,2,FALSE),"Not Found")</f>
        <v>Not Found</v>
      </c>
      <c r="H1506" s="6" t="str">
        <f>IFERROR(VLOOKUP('Customer Info'!A1498,'Customer Info'!A1498:C1997,3,FALSE),"Not Found")</f>
        <v>Not Found</v>
      </c>
      <c r="I1506" s="6" t="str">
        <f>IFERROR(VLOOKUP('Customer Info'!A1498,'Customer Info'!A1498:E1997,5,FALSE),"Not Found")</f>
        <v>Not Found</v>
      </c>
      <c r="J1506" s="2">
        <v>224</v>
      </c>
      <c r="K1506" s="2">
        <v>210</v>
      </c>
      <c r="L1506" s="2">
        <v>1</v>
      </c>
      <c r="M1506" s="7">
        <f t="shared" si="115"/>
        <v>210</v>
      </c>
      <c r="N1506" s="7">
        <f t="shared" si="116"/>
        <v>224</v>
      </c>
      <c r="O1506" s="2">
        <v>87</v>
      </c>
      <c r="P1506" s="8">
        <f t="shared" si="117"/>
        <v>311</v>
      </c>
      <c r="Q1506" s="8">
        <f t="shared" si="118"/>
        <v>14</v>
      </c>
      <c r="R1506" s="2" t="s">
        <v>50</v>
      </c>
      <c r="S1506" s="9">
        <f t="shared" si="119"/>
        <v>6.22</v>
      </c>
    </row>
    <row r="1507" spans="1:19" x14ac:dyDescent="0.3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str">
        <f>IFERROR(VLOOKUP('Customer Info'!A1499,'Customer Info'!A1499:C1998,2,FALSE),"Not Found")</f>
        <v>Not Found</v>
      </c>
      <c r="H1507" s="6" t="str">
        <f>IFERROR(VLOOKUP('Customer Info'!A1499,'Customer Info'!A1499:C1998,3,FALSE),"Not Found")</f>
        <v>Not Found</v>
      </c>
      <c r="I1507" s="6" t="str">
        <f>IFERROR(VLOOKUP('Customer Info'!A1499,'Customer Info'!A1499:E1998,5,FALSE),"Not Found")</f>
        <v>Not Found</v>
      </c>
      <c r="J1507" s="2">
        <v>38328</v>
      </c>
      <c r="K1507" s="2">
        <v>35164</v>
      </c>
      <c r="L1507" s="2">
        <v>1</v>
      </c>
      <c r="M1507" s="7">
        <f t="shared" si="115"/>
        <v>35164</v>
      </c>
      <c r="N1507" s="7">
        <f t="shared" si="116"/>
        <v>38328</v>
      </c>
      <c r="O1507" s="2">
        <v>98</v>
      </c>
      <c r="P1507" s="8">
        <f t="shared" si="117"/>
        <v>38426</v>
      </c>
      <c r="Q1507" s="8">
        <f t="shared" si="118"/>
        <v>3164</v>
      </c>
      <c r="R1507" s="2" t="s">
        <v>50</v>
      </c>
      <c r="S1507" s="9">
        <f t="shared" si="119"/>
        <v>2689.82</v>
      </c>
    </row>
    <row r="1508" spans="1:19" x14ac:dyDescent="0.3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str">
        <f>IFERROR(VLOOKUP('Customer Info'!A1500,'Customer Info'!A1500:C1999,2,FALSE),"Not Found")</f>
        <v>Not Found</v>
      </c>
      <c r="H1508" s="6" t="str">
        <f>IFERROR(VLOOKUP('Customer Info'!A1500,'Customer Info'!A1500:C1999,3,FALSE),"Not Found")</f>
        <v>Not Found</v>
      </c>
      <c r="I1508" s="6" t="str">
        <f>IFERROR(VLOOKUP('Customer Info'!A1500,'Customer Info'!A1500:E1999,5,FALSE),"Not Found")</f>
        <v>Not Found</v>
      </c>
      <c r="J1508" s="2">
        <v>2958</v>
      </c>
      <c r="K1508" s="2">
        <v>2743</v>
      </c>
      <c r="L1508" s="2">
        <v>2</v>
      </c>
      <c r="M1508" s="7">
        <f t="shared" si="115"/>
        <v>5486</v>
      </c>
      <c r="N1508" s="7">
        <f t="shared" si="116"/>
        <v>5916</v>
      </c>
      <c r="O1508" s="2">
        <v>44</v>
      </c>
      <c r="P1508" s="8">
        <f t="shared" si="117"/>
        <v>5960</v>
      </c>
      <c r="Q1508" s="8">
        <f t="shared" si="118"/>
        <v>3173</v>
      </c>
      <c r="R1508" s="2" t="s">
        <v>50</v>
      </c>
      <c r="S1508" s="9">
        <f t="shared" si="119"/>
        <v>298</v>
      </c>
    </row>
    <row r="1509" spans="1:19" x14ac:dyDescent="0.3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str">
        <f>IFERROR(VLOOKUP('Customer Info'!A1501,'Customer Info'!A1501:C2000,2,FALSE),"Not Found")</f>
        <v>Not Found</v>
      </c>
      <c r="H1509" s="6" t="str">
        <f>IFERROR(VLOOKUP('Customer Info'!A1501,'Customer Info'!A1501:C2000,3,FALSE),"Not Found")</f>
        <v>Not Found</v>
      </c>
      <c r="I1509" s="6" t="str">
        <f>IFERROR(VLOOKUP('Customer Info'!A1501,'Customer Info'!A1501:E2000,5,FALSE),"Not Found")</f>
        <v>Not Found</v>
      </c>
      <c r="J1509" s="2">
        <v>542</v>
      </c>
      <c r="K1509" s="2">
        <v>492</v>
      </c>
      <c r="L1509" s="2">
        <v>3</v>
      </c>
      <c r="M1509" s="7">
        <f t="shared" si="115"/>
        <v>1476</v>
      </c>
      <c r="N1509" s="7">
        <f t="shared" si="116"/>
        <v>1626</v>
      </c>
      <c r="O1509" s="2">
        <v>68</v>
      </c>
      <c r="P1509" s="8">
        <f t="shared" si="117"/>
        <v>1694</v>
      </c>
      <c r="Q1509" s="8">
        <f t="shared" si="118"/>
        <v>1134</v>
      </c>
      <c r="R1509" s="2" t="s">
        <v>28</v>
      </c>
      <c r="S1509" s="9">
        <f t="shared" si="119"/>
        <v>33.880000000000003</v>
      </c>
    </row>
    <row r="1510" spans="1:19" x14ac:dyDescent="0.3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str">
        <f>IFERROR(VLOOKUP('Customer Info'!A1502,'Customer Info'!A1502:C2001,2,FALSE),"Not Found")</f>
        <v>Not Found</v>
      </c>
      <c r="H1510" s="6" t="str">
        <f>IFERROR(VLOOKUP('Customer Info'!A1502,'Customer Info'!A1502:C2001,3,FALSE),"Not Found")</f>
        <v>Not Found</v>
      </c>
      <c r="I1510" s="6" t="str">
        <f>IFERROR(VLOOKUP('Customer Info'!A1502,'Customer Info'!A1502:E2001,5,FALSE),"Not Found")</f>
        <v>Not Found</v>
      </c>
      <c r="J1510" s="2">
        <v>882</v>
      </c>
      <c r="K1510" s="2">
        <v>818</v>
      </c>
      <c r="L1510" s="2">
        <v>3</v>
      </c>
      <c r="M1510" s="7">
        <f t="shared" si="115"/>
        <v>2454</v>
      </c>
      <c r="N1510" s="7">
        <f t="shared" si="116"/>
        <v>2646</v>
      </c>
      <c r="O1510" s="2">
        <v>62</v>
      </c>
      <c r="P1510" s="8">
        <f t="shared" si="117"/>
        <v>2708</v>
      </c>
      <c r="Q1510" s="8">
        <f t="shared" si="118"/>
        <v>1828</v>
      </c>
      <c r="R1510" s="2" t="s">
        <v>50</v>
      </c>
      <c r="S1510" s="9">
        <f t="shared" si="119"/>
        <v>54.160000000000004</v>
      </c>
    </row>
    <row r="1511" spans="1:19" x14ac:dyDescent="0.3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str">
        <f>IFERROR(VLOOKUP('Customer Info'!A1503,'Customer Info'!A1503:C2002,2,FALSE),"Not Found")</f>
        <v>Not Found</v>
      </c>
      <c r="H1511" s="6" t="str">
        <f>IFERROR(VLOOKUP('Customer Info'!A1503,'Customer Info'!A1503:C2002,3,FALSE),"Not Found")</f>
        <v>Not Found</v>
      </c>
      <c r="I1511" s="6" t="str">
        <f>IFERROR(VLOOKUP('Customer Info'!A1503,'Customer Info'!A1503:E2002,5,FALSE),"Not Found")</f>
        <v>Not Found</v>
      </c>
      <c r="J1511" s="2">
        <v>729</v>
      </c>
      <c r="K1511" s="2">
        <v>689</v>
      </c>
      <c r="L1511" s="2">
        <v>4</v>
      </c>
      <c r="M1511" s="7">
        <f t="shared" si="115"/>
        <v>2756</v>
      </c>
      <c r="N1511" s="7">
        <f t="shared" si="116"/>
        <v>2916</v>
      </c>
      <c r="O1511" s="2">
        <v>22</v>
      </c>
      <c r="P1511" s="8">
        <f t="shared" si="117"/>
        <v>2938</v>
      </c>
      <c r="Q1511" s="8">
        <f t="shared" si="118"/>
        <v>2227</v>
      </c>
      <c r="R1511" s="2" t="s">
        <v>50</v>
      </c>
      <c r="S1511" s="9">
        <f t="shared" si="119"/>
        <v>58.76</v>
      </c>
    </row>
    <row r="1512" spans="1:19" x14ac:dyDescent="0.3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str">
        <f>IFERROR(VLOOKUP('Customer Info'!A1504,'Customer Info'!A1504:C2003,2,FALSE),"Not Found")</f>
        <v>Not Found</v>
      </c>
      <c r="H1512" s="6" t="str">
        <f>IFERROR(VLOOKUP('Customer Info'!A1504,'Customer Info'!A1504:C2003,3,FALSE),"Not Found")</f>
        <v>Not Found</v>
      </c>
      <c r="I1512" s="6" t="str">
        <f>IFERROR(VLOOKUP('Customer Info'!A1504,'Customer Info'!A1504:E2003,5,FALSE),"Not Found")</f>
        <v>Not Found</v>
      </c>
      <c r="J1512" s="2">
        <v>145</v>
      </c>
      <c r="K1512" s="2">
        <v>130</v>
      </c>
      <c r="L1512" s="2">
        <v>5</v>
      </c>
      <c r="M1512" s="7">
        <f t="shared" si="115"/>
        <v>650</v>
      </c>
      <c r="N1512" s="7">
        <f t="shared" si="116"/>
        <v>725</v>
      </c>
      <c r="O1512" s="2">
        <v>30</v>
      </c>
      <c r="P1512" s="8">
        <f t="shared" si="117"/>
        <v>755</v>
      </c>
      <c r="Q1512" s="8">
        <f t="shared" si="118"/>
        <v>595</v>
      </c>
      <c r="R1512" s="2" t="s">
        <v>28</v>
      </c>
      <c r="S1512" s="9">
        <f t="shared" si="119"/>
        <v>15.1</v>
      </c>
    </row>
    <row r="1513" spans="1:19" x14ac:dyDescent="0.3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str">
        <f>IFERROR(VLOOKUP('Customer Info'!A1505,'Customer Info'!A1505:C2004,2,FALSE),"Not Found")</f>
        <v>Not Found</v>
      </c>
      <c r="H1513" s="6" t="str">
        <f>IFERROR(VLOOKUP('Customer Info'!A1505,'Customer Info'!A1505:C2004,3,FALSE),"Not Found")</f>
        <v>Not Found</v>
      </c>
      <c r="I1513" s="6" t="str">
        <f>IFERROR(VLOOKUP('Customer Info'!A1505,'Customer Info'!A1505:E2004,5,FALSE),"Not Found")</f>
        <v>Not Found</v>
      </c>
      <c r="J1513" s="2">
        <v>759</v>
      </c>
      <c r="K1513" s="2">
        <v>703</v>
      </c>
      <c r="L1513" s="2">
        <v>1</v>
      </c>
      <c r="M1513" s="7">
        <f t="shared" si="115"/>
        <v>703</v>
      </c>
      <c r="N1513" s="7">
        <f t="shared" si="116"/>
        <v>759</v>
      </c>
      <c r="O1513" s="2">
        <v>98</v>
      </c>
      <c r="P1513" s="8">
        <f t="shared" si="117"/>
        <v>857</v>
      </c>
      <c r="Q1513" s="8">
        <f t="shared" si="118"/>
        <v>56</v>
      </c>
      <c r="R1513" s="2" t="s">
        <v>50</v>
      </c>
      <c r="S1513" s="9">
        <f t="shared" si="119"/>
        <v>17.14</v>
      </c>
    </row>
    <row r="1514" spans="1:19" x14ac:dyDescent="0.3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str">
        <f>IFERROR(VLOOKUP('Customer Info'!A1506,'Customer Info'!A1506:C2005,2,FALSE),"Not Found")</f>
        <v>Not Found</v>
      </c>
      <c r="H1514" s="6" t="str">
        <f>IFERROR(VLOOKUP('Customer Info'!A1506,'Customer Info'!A1506:C2005,3,FALSE),"Not Found")</f>
        <v>Not Found</v>
      </c>
      <c r="I1514" s="6" t="str">
        <f>IFERROR(VLOOKUP('Customer Info'!A1506,'Customer Info'!A1506:E2005,5,FALSE),"Not Found")</f>
        <v>Not Found</v>
      </c>
      <c r="J1514" s="2">
        <v>170</v>
      </c>
      <c r="K1514" s="2">
        <v>153</v>
      </c>
      <c r="L1514" s="2">
        <v>3</v>
      </c>
      <c r="M1514" s="7">
        <f t="shared" si="115"/>
        <v>459</v>
      </c>
      <c r="N1514" s="7">
        <f t="shared" si="116"/>
        <v>510</v>
      </c>
      <c r="O1514" s="2">
        <v>30</v>
      </c>
      <c r="P1514" s="8">
        <f t="shared" si="117"/>
        <v>540</v>
      </c>
      <c r="Q1514" s="8">
        <f t="shared" si="118"/>
        <v>357</v>
      </c>
      <c r="R1514" s="2" t="s">
        <v>26</v>
      </c>
      <c r="S1514" s="9">
        <f t="shared" si="119"/>
        <v>10.8</v>
      </c>
    </row>
    <row r="1515" spans="1:19" x14ac:dyDescent="0.3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str">
        <f>IFERROR(VLOOKUP('Customer Info'!A1507,'Customer Info'!A1507:C2006,2,FALSE),"Not Found")</f>
        <v>Not Found</v>
      </c>
      <c r="H1515" s="6" t="str">
        <f>IFERROR(VLOOKUP('Customer Info'!A1507,'Customer Info'!A1507:C2006,3,FALSE),"Not Found")</f>
        <v>Not Found</v>
      </c>
      <c r="I1515" s="6" t="str">
        <f>IFERROR(VLOOKUP('Customer Info'!A1507,'Customer Info'!A1507:E2006,5,FALSE),"Not Found")</f>
        <v>Not Found</v>
      </c>
      <c r="J1515" s="2">
        <v>2228</v>
      </c>
      <c r="K1515" s="2">
        <v>2143</v>
      </c>
      <c r="L1515" s="2">
        <v>1</v>
      </c>
      <c r="M1515" s="7">
        <f t="shared" si="115"/>
        <v>2143</v>
      </c>
      <c r="N1515" s="7">
        <f t="shared" si="116"/>
        <v>2228</v>
      </c>
      <c r="O1515" s="2">
        <v>79</v>
      </c>
      <c r="P1515" s="8">
        <f t="shared" si="117"/>
        <v>2307</v>
      </c>
      <c r="Q1515" s="8">
        <f t="shared" si="118"/>
        <v>85</v>
      </c>
      <c r="R1515" s="2" t="s">
        <v>28</v>
      </c>
      <c r="S1515" s="9">
        <f t="shared" si="119"/>
        <v>46.14</v>
      </c>
    </row>
    <row r="1516" spans="1:19" x14ac:dyDescent="0.3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str">
        <f>IFERROR(VLOOKUP('Customer Info'!A1508,'Customer Info'!A1508:C2007,2,FALSE),"Not Found")</f>
        <v>Not Found</v>
      </c>
      <c r="H1516" s="6" t="str">
        <f>IFERROR(VLOOKUP('Customer Info'!A1508,'Customer Info'!A1508:C2007,3,FALSE),"Not Found")</f>
        <v>Not Found</v>
      </c>
      <c r="I1516" s="6" t="str">
        <f>IFERROR(VLOOKUP('Customer Info'!A1508,'Customer Info'!A1508:E2007,5,FALSE),"Not Found")</f>
        <v>Not Found</v>
      </c>
      <c r="J1516" s="2">
        <v>2017</v>
      </c>
      <c r="K1516" s="2">
        <v>1834</v>
      </c>
      <c r="L1516" s="2">
        <v>5</v>
      </c>
      <c r="M1516" s="7">
        <f t="shared" si="115"/>
        <v>9170</v>
      </c>
      <c r="N1516" s="7">
        <f t="shared" si="116"/>
        <v>10085</v>
      </c>
      <c r="O1516" s="2">
        <v>21</v>
      </c>
      <c r="P1516" s="8">
        <f t="shared" si="117"/>
        <v>10106</v>
      </c>
      <c r="Q1516" s="8">
        <f t="shared" si="118"/>
        <v>8251</v>
      </c>
      <c r="R1516" s="2" t="s">
        <v>28</v>
      </c>
      <c r="S1516" s="9">
        <f t="shared" si="119"/>
        <v>505.3</v>
      </c>
    </row>
    <row r="1517" spans="1:19" x14ac:dyDescent="0.3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str">
        <f>IFERROR(VLOOKUP('Customer Info'!A1509,'Customer Info'!A1509:C2008,2,FALSE),"Not Found")</f>
        <v>Not Found</v>
      </c>
      <c r="H1517" s="6" t="str">
        <f>IFERROR(VLOOKUP('Customer Info'!A1509,'Customer Info'!A1509:C2008,3,FALSE),"Not Found")</f>
        <v>Not Found</v>
      </c>
      <c r="I1517" s="6" t="str">
        <f>IFERROR(VLOOKUP('Customer Info'!A1509,'Customer Info'!A1509:E2008,5,FALSE),"Not Found")</f>
        <v>Not Found</v>
      </c>
      <c r="J1517" s="2">
        <v>1637</v>
      </c>
      <c r="K1517" s="2">
        <v>1591</v>
      </c>
      <c r="L1517" s="2">
        <v>2</v>
      </c>
      <c r="M1517" s="7">
        <f t="shared" si="115"/>
        <v>3182</v>
      </c>
      <c r="N1517" s="7">
        <f t="shared" si="116"/>
        <v>3274</v>
      </c>
      <c r="O1517" s="2">
        <v>84</v>
      </c>
      <c r="P1517" s="8">
        <f t="shared" si="117"/>
        <v>3358</v>
      </c>
      <c r="Q1517" s="8">
        <f t="shared" si="118"/>
        <v>1683</v>
      </c>
      <c r="R1517" s="2" t="s">
        <v>50</v>
      </c>
      <c r="S1517" s="9">
        <f t="shared" si="119"/>
        <v>67.16</v>
      </c>
    </row>
    <row r="1518" spans="1:19" x14ac:dyDescent="0.3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str">
        <f>IFERROR(VLOOKUP('Customer Info'!A1510,'Customer Info'!A1510:C2009,2,FALSE),"Not Found")</f>
        <v>Not Found</v>
      </c>
      <c r="H1518" s="6" t="str">
        <f>IFERROR(VLOOKUP('Customer Info'!A1510,'Customer Info'!A1510:C2009,3,FALSE),"Not Found")</f>
        <v>Not Found</v>
      </c>
      <c r="I1518" s="6" t="str">
        <f>IFERROR(VLOOKUP('Customer Info'!A1510,'Customer Info'!A1510:E2009,5,FALSE),"Not Found")</f>
        <v>Not Found</v>
      </c>
      <c r="J1518" s="2">
        <v>1623</v>
      </c>
      <c r="K1518" s="2">
        <v>1546</v>
      </c>
      <c r="L1518" s="2">
        <v>1</v>
      </c>
      <c r="M1518" s="7">
        <f t="shared" si="115"/>
        <v>1546</v>
      </c>
      <c r="N1518" s="7">
        <f t="shared" si="116"/>
        <v>1623</v>
      </c>
      <c r="O1518" s="2">
        <v>54</v>
      </c>
      <c r="P1518" s="8">
        <f t="shared" si="117"/>
        <v>1677</v>
      </c>
      <c r="Q1518" s="8">
        <f t="shared" si="118"/>
        <v>77</v>
      </c>
      <c r="R1518" s="2" t="s">
        <v>28</v>
      </c>
      <c r="S1518" s="9">
        <f t="shared" si="119"/>
        <v>33.54</v>
      </c>
    </row>
    <row r="1519" spans="1:19" x14ac:dyDescent="0.3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str">
        <f>IFERROR(VLOOKUP('Customer Info'!A1511,'Customer Info'!A1511:C2010,2,FALSE),"Not Found")</f>
        <v>Not Found</v>
      </c>
      <c r="H1519" s="6" t="str">
        <f>IFERROR(VLOOKUP('Customer Info'!A1511,'Customer Info'!A1511:C2010,3,FALSE),"Not Found")</f>
        <v>Not Found</v>
      </c>
      <c r="I1519" s="6" t="str">
        <f>IFERROR(VLOOKUP('Customer Info'!A1511,'Customer Info'!A1511:E2010,5,FALSE),"Not Found")</f>
        <v>Not Found</v>
      </c>
      <c r="J1519" s="2">
        <v>932</v>
      </c>
      <c r="K1519" s="2">
        <v>838</v>
      </c>
      <c r="L1519" s="2">
        <v>5</v>
      </c>
      <c r="M1519" s="7">
        <f t="shared" si="115"/>
        <v>4190</v>
      </c>
      <c r="N1519" s="7">
        <f t="shared" si="116"/>
        <v>4660</v>
      </c>
      <c r="O1519" s="2">
        <v>99</v>
      </c>
      <c r="P1519" s="8">
        <f t="shared" si="117"/>
        <v>4759</v>
      </c>
      <c r="Q1519" s="8">
        <f t="shared" si="118"/>
        <v>3822</v>
      </c>
      <c r="R1519" s="2" t="s">
        <v>28</v>
      </c>
      <c r="S1519" s="9">
        <f t="shared" si="119"/>
        <v>95.18</v>
      </c>
    </row>
    <row r="1520" spans="1:19" x14ac:dyDescent="0.3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str">
        <f>IFERROR(VLOOKUP('Customer Info'!A1512,'Customer Info'!A1512:C2011,2,FALSE),"Not Found")</f>
        <v>Not Found</v>
      </c>
      <c r="H1520" s="6" t="str">
        <f>IFERROR(VLOOKUP('Customer Info'!A1512,'Customer Info'!A1512:C2011,3,FALSE),"Not Found")</f>
        <v>Not Found</v>
      </c>
      <c r="I1520" s="6" t="str">
        <f>IFERROR(VLOOKUP('Customer Info'!A1512,'Customer Info'!A1512:E2011,5,FALSE),"Not Found")</f>
        <v>Not Found</v>
      </c>
      <c r="J1520" s="2">
        <v>87</v>
      </c>
      <c r="K1520" s="2">
        <v>80</v>
      </c>
      <c r="L1520" s="2">
        <v>2</v>
      </c>
      <c r="M1520" s="7">
        <f t="shared" si="115"/>
        <v>160</v>
      </c>
      <c r="N1520" s="7">
        <f t="shared" si="116"/>
        <v>174</v>
      </c>
      <c r="O1520" s="2">
        <v>10</v>
      </c>
      <c r="P1520" s="8">
        <f t="shared" si="117"/>
        <v>184</v>
      </c>
      <c r="Q1520" s="8">
        <f t="shared" si="118"/>
        <v>94</v>
      </c>
      <c r="R1520" s="2" t="s">
        <v>28</v>
      </c>
      <c r="S1520" s="9">
        <f t="shared" si="119"/>
        <v>3.68</v>
      </c>
    </row>
    <row r="1521" spans="1:19" x14ac:dyDescent="0.3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str">
        <f>IFERROR(VLOOKUP('Customer Info'!A1513,'Customer Info'!A1513:C2012,2,FALSE),"Not Found")</f>
        <v>Not Found</v>
      </c>
      <c r="H1521" s="6" t="str">
        <f>IFERROR(VLOOKUP('Customer Info'!A1513,'Customer Info'!A1513:C2012,3,FALSE),"Not Found")</f>
        <v>Not Found</v>
      </c>
      <c r="I1521" s="6" t="str">
        <f>IFERROR(VLOOKUP('Customer Info'!A1513,'Customer Info'!A1513:E2012,5,FALSE),"Not Found")</f>
        <v>Not Found</v>
      </c>
      <c r="J1521" s="2">
        <v>6598</v>
      </c>
      <c r="K1521" s="2">
        <v>6346</v>
      </c>
      <c r="L1521" s="2">
        <v>5</v>
      </c>
      <c r="M1521" s="7">
        <f t="shared" si="115"/>
        <v>31730</v>
      </c>
      <c r="N1521" s="7">
        <f t="shared" si="116"/>
        <v>32990</v>
      </c>
      <c r="O1521" s="2">
        <v>27</v>
      </c>
      <c r="P1521" s="8">
        <f t="shared" si="117"/>
        <v>33017</v>
      </c>
      <c r="Q1521" s="8">
        <f t="shared" si="118"/>
        <v>26644</v>
      </c>
      <c r="R1521" s="2" t="s">
        <v>50</v>
      </c>
      <c r="S1521" s="9">
        <f t="shared" si="119"/>
        <v>2311.19</v>
      </c>
    </row>
    <row r="1522" spans="1:19" x14ac:dyDescent="0.3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str">
        <f>IFERROR(VLOOKUP('Customer Info'!A1514,'Customer Info'!A1514:C2013,2,FALSE),"Not Found")</f>
        <v>Not Found</v>
      </c>
      <c r="H1522" s="6" t="str">
        <f>IFERROR(VLOOKUP('Customer Info'!A1514,'Customer Info'!A1514:C2013,3,FALSE),"Not Found")</f>
        <v>Not Found</v>
      </c>
      <c r="I1522" s="6" t="str">
        <f>IFERROR(VLOOKUP('Customer Info'!A1514,'Customer Info'!A1514:E2013,5,FALSE),"Not Found")</f>
        <v>Not Found</v>
      </c>
      <c r="J1522" s="2">
        <v>7609</v>
      </c>
      <c r="K1522" s="2">
        <v>7248</v>
      </c>
      <c r="L1522" s="2">
        <v>3</v>
      </c>
      <c r="M1522" s="7">
        <f t="shared" si="115"/>
        <v>21744</v>
      </c>
      <c r="N1522" s="7">
        <f t="shared" si="116"/>
        <v>22827</v>
      </c>
      <c r="O1522" s="2">
        <v>22</v>
      </c>
      <c r="P1522" s="8">
        <f t="shared" si="117"/>
        <v>22849</v>
      </c>
      <c r="Q1522" s="8">
        <f t="shared" si="118"/>
        <v>15579</v>
      </c>
      <c r="R1522" s="2" t="s">
        <v>50</v>
      </c>
      <c r="S1522" s="9">
        <f t="shared" si="119"/>
        <v>1142.45</v>
      </c>
    </row>
    <row r="1523" spans="1:19" x14ac:dyDescent="0.3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str">
        <f>IFERROR(VLOOKUP('Customer Info'!A1515,'Customer Info'!A1515:C2014,2,FALSE),"Not Found")</f>
        <v>Not Found</v>
      </c>
      <c r="H1523" s="6" t="str">
        <f>IFERROR(VLOOKUP('Customer Info'!A1515,'Customer Info'!A1515:C2014,3,FALSE),"Not Found")</f>
        <v>Not Found</v>
      </c>
      <c r="I1523" s="6" t="str">
        <f>IFERROR(VLOOKUP('Customer Info'!A1515,'Customer Info'!A1515:E2014,5,FALSE),"Not Found")</f>
        <v>Not Found</v>
      </c>
      <c r="J1523" s="2">
        <v>1752</v>
      </c>
      <c r="K1523" s="2">
        <v>1576</v>
      </c>
      <c r="L1523" s="2">
        <v>2</v>
      </c>
      <c r="M1523" s="7">
        <f t="shared" si="115"/>
        <v>3152</v>
      </c>
      <c r="N1523" s="7">
        <f t="shared" si="116"/>
        <v>3504</v>
      </c>
      <c r="O1523" s="2">
        <v>26</v>
      </c>
      <c r="P1523" s="8">
        <f t="shared" si="117"/>
        <v>3530</v>
      </c>
      <c r="Q1523" s="8">
        <f t="shared" si="118"/>
        <v>1928</v>
      </c>
      <c r="R1523" s="2" t="s">
        <v>26</v>
      </c>
      <c r="S1523" s="9">
        <f t="shared" si="119"/>
        <v>70.600000000000009</v>
      </c>
    </row>
    <row r="1524" spans="1:19" x14ac:dyDescent="0.3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str">
        <f>IFERROR(VLOOKUP('Customer Info'!A1516,'Customer Info'!A1516:C2015,2,FALSE),"Not Found")</f>
        <v>Not Found</v>
      </c>
      <c r="H1524" s="6" t="str">
        <f>IFERROR(VLOOKUP('Customer Info'!A1516,'Customer Info'!A1516:C2015,3,FALSE),"Not Found")</f>
        <v>Not Found</v>
      </c>
      <c r="I1524" s="6" t="str">
        <f>IFERROR(VLOOKUP('Customer Info'!A1516,'Customer Info'!A1516:E2015,5,FALSE),"Not Found")</f>
        <v>Not Found</v>
      </c>
      <c r="J1524" s="2">
        <v>7350</v>
      </c>
      <c r="K1524" s="2">
        <v>6743</v>
      </c>
      <c r="L1524" s="2">
        <v>5</v>
      </c>
      <c r="M1524" s="7">
        <f t="shared" si="115"/>
        <v>33715</v>
      </c>
      <c r="N1524" s="7">
        <f t="shared" si="116"/>
        <v>36750</v>
      </c>
      <c r="O1524" s="2">
        <v>68</v>
      </c>
      <c r="P1524" s="8">
        <f t="shared" si="117"/>
        <v>36818</v>
      </c>
      <c r="Q1524" s="8">
        <f t="shared" si="118"/>
        <v>30007</v>
      </c>
      <c r="R1524" s="2" t="s">
        <v>28</v>
      </c>
      <c r="S1524" s="9">
        <f t="shared" si="119"/>
        <v>2577.2600000000002</v>
      </c>
    </row>
    <row r="1525" spans="1:19" x14ac:dyDescent="0.3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str">
        <f>IFERROR(VLOOKUP('Customer Info'!A1517,'Customer Info'!A1517:C2016,2,FALSE),"Not Found")</f>
        <v>Not Found</v>
      </c>
      <c r="H1525" s="6" t="str">
        <f>IFERROR(VLOOKUP('Customer Info'!A1517,'Customer Info'!A1517:C2016,3,FALSE),"Not Found")</f>
        <v>Not Found</v>
      </c>
      <c r="I1525" s="6" t="str">
        <f>IFERROR(VLOOKUP('Customer Info'!A1517,'Customer Info'!A1517:E2016,5,FALSE),"Not Found")</f>
        <v>Not Found</v>
      </c>
      <c r="J1525" s="2">
        <v>1081</v>
      </c>
      <c r="K1525" s="2">
        <v>983</v>
      </c>
      <c r="L1525" s="2">
        <v>3</v>
      </c>
      <c r="M1525" s="7">
        <f t="shared" si="115"/>
        <v>2949</v>
      </c>
      <c r="N1525" s="7">
        <f t="shared" si="116"/>
        <v>3243</v>
      </c>
      <c r="O1525" s="2">
        <v>35</v>
      </c>
      <c r="P1525" s="8">
        <f t="shared" si="117"/>
        <v>3278</v>
      </c>
      <c r="Q1525" s="8">
        <f t="shared" si="118"/>
        <v>2260</v>
      </c>
      <c r="R1525" s="2" t="s">
        <v>50</v>
      </c>
      <c r="S1525" s="9">
        <f t="shared" si="119"/>
        <v>65.56</v>
      </c>
    </row>
    <row r="1526" spans="1:19" x14ac:dyDescent="0.3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str">
        <f>IFERROR(VLOOKUP('Customer Info'!A1518,'Customer Info'!A1518:C2017,2,FALSE),"Not Found")</f>
        <v>Not Found</v>
      </c>
      <c r="H1526" s="6" t="str">
        <f>IFERROR(VLOOKUP('Customer Info'!A1518,'Customer Info'!A1518:C2017,3,FALSE),"Not Found")</f>
        <v>Not Found</v>
      </c>
      <c r="I1526" s="6" t="str">
        <f>IFERROR(VLOOKUP('Customer Info'!A1518,'Customer Info'!A1518:E2017,5,FALSE),"Not Found")</f>
        <v>Not Found</v>
      </c>
      <c r="J1526" s="2">
        <v>2310</v>
      </c>
      <c r="K1526" s="2">
        <v>2040</v>
      </c>
      <c r="L1526" s="2">
        <v>5</v>
      </c>
      <c r="M1526" s="7">
        <f t="shared" si="115"/>
        <v>10200</v>
      </c>
      <c r="N1526" s="7">
        <f t="shared" si="116"/>
        <v>11550</v>
      </c>
      <c r="O1526" s="2">
        <v>60</v>
      </c>
      <c r="P1526" s="8">
        <f t="shared" si="117"/>
        <v>11610</v>
      </c>
      <c r="Q1526" s="8">
        <f t="shared" si="118"/>
        <v>9510</v>
      </c>
      <c r="R1526" s="2" t="s">
        <v>28</v>
      </c>
      <c r="S1526" s="9">
        <f t="shared" si="119"/>
        <v>580.5</v>
      </c>
    </row>
    <row r="1527" spans="1:19" x14ac:dyDescent="0.3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str">
        <f>IFERROR(VLOOKUP('Customer Info'!A1519,'Customer Info'!A1519:C2018,2,FALSE),"Not Found")</f>
        <v>Not Found</v>
      </c>
      <c r="H1527" s="6" t="str">
        <f>IFERROR(VLOOKUP('Customer Info'!A1519,'Customer Info'!A1519:C2018,3,FALSE),"Not Found")</f>
        <v>Not Found</v>
      </c>
      <c r="I1527" s="6" t="str">
        <f>IFERROR(VLOOKUP('Customer Info'!A1519,'Customer Info'!A1519:E2018,5,FALSE),"Not Found")</f>
        <v>Not Found</v>
      </c>
      <c r="J1527" s="2">
        <v>3192</v>
      </c>
      <c r="K1527" s="2">
        <v>3011</v>
      </c>
      <c r="L1527" s="2">
        <v>8</v>
      </c>
      <c r="M1527" s="7">
        <f t="shared" si="115"/>
        <v>24088</v>
      </c>
      <c r="N1527" s="7">
        <f t="shared" si="116"/>
        <v>25536</v>
      </c>
      <c r="O1527" s="2">
        <v>28</v>
      </c>
      <c r="P1527" s="8">
        <f t="shared" si="117"/>
        <v>25564</v>
      </c>
      <c r="Q1527" s="8">
        <f t="shared" si="118"/>
        <v>22525</v>
      </c>
      <c r="R1527" s="2" t="s">
        <v>28</v>
      </c>
      <c r="S1527" s="9">
        <f t="shared" si="119"/>
        <v>1789.4800000000002</v>
      </c>
    </row>
    <row r="1528" spans="1:19" x14ac:dyDescent="0.3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str">
        <f>IFERROR(VLOOKUP('Customer Info'!A1520,'Customer Info'!A1520:C2019,2,FALSE),"Not Found")</f>
        <v>Not Found</v>
      </c>
      <c r="H1528" s="6" t="str">
        <f>IFERROR(VLOOKUP('Customer Info'!A1520,'Customer Info'!A1520:C2019,3,FALSE),"Not Found")</f>
        <v>Not Found</v>
      </c>
      <c r="I1528" s="6" t="str">
        <f>IFERROR(VLOOKUP('Customer Info'!A1520,'Customer Info'!A1520:E2019,5,FALSE),"Not Found")</f>
        <v>Not Found</v>
      </c>
      <c r="J1528" s="2">
        <v>1752</v>
      </c>
      <c r="K1528" s="2">
        <v>1576</v>
      </c>
      <c r="L1528" s="2">
        <v>8</v>
      </c>
      <c r="M1528" s="7">
        <f t="shared" si="115"/>
        <v>12608</v>
      </c>
      <c r="N1528" s="7">
        <f t="shared" si="116"/>
        <v>14016</v>
      </c>
      <c r="O1528" s="2">
        <v>56</v>
      </c>
      <c r="P1528" s="8">
        <f t="shared" si="117"/>
        <v>14072</v>
      </c>
      <c r="Q1528" s="8">
        <f t="shared" si="118"/>
        <v>12440</v>
      </c>
      <c r="R1528" s="2" t="s">
        <v>26</v>
      </c>
      <c r="S1528" s="9">
        <f t="shared" si="119"/>
        <v>703.6</v>
      </c>
    </row>
    <row r="1529" spans="1:19" x14ac:dyDescent="0.3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str">
        <f>IFERROR(VLOOKUP('Customer Info'!A1521,'Customer Info'!A1521:C2020,2,FALSE),"Not Found")</f>
        <v>Not Found</v>
      </c>
      <c r="H1529" s="6" t="str">
        <f>IFERROR(VLOOKUP('Customer Info'!A1521,'Customer Info'!A1521:C2020,3,FALSE),"Not Found")</f>
        <v>Not Found</v>
      </c>
      <c r="I1529" s="6" t="str">
        <f>IFERROR(VLOOKUP('Customer Info'!A1521,'Customer Info'!A1521:E2020,5,FALSE),"Not Found")</f>
        <v>Not Found</v>
      </c>
      <c r="J1529" s="2">
        <v>147</v>
      </c>
      <c r="K1529" s="2">
        <v>138</v>
      </c>
      <c r="L1529" s="2">
        <v>4</v>
      </c>
      <c r="M1529" s="7">
        <f t="shared" si="115"/>
        <v>552</v>
      </c>
      <c r="N1529" s="7">
        <f t="shared" si="116"/>
        <v>588</v>
      </c>
      <c r="O1529" s="2">
        <v>30</v>
      </c>
      <c r="P1529" s="8">
        <f t="shared" si="117"/>
        <v>618</v>
      </c>
      <c r="Q1529" s="8">
        <f t="shared" si="118"/>
        <v>450</v>
      </c>
      <c r="R1529" s="2" t="s">
        <v>28</v>
      </c>
      <c r="S1529" s="9">
        <f t="shared" si="119"/>
        <v>12.36</v>
      </c>
    </row>
    <row r="1530" spans="1:19" x14ac:dyDescent="0.3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str">
        <f>IFERROR(VLOOKUP('Customer Info'!A1522,'Customer Info'!A1522:C2021,2,FALSE),"Not Found")</f>
        <v>Not Found</v>
      </c>
      <c r="H1530" s="6" t="str">
        <f>IFERROR(VLOOKUP('Customer Info'!A1522,'Customer Info'!A1522:C2021,3,FALSE),"Not Found")</f>
        <v>Not Found</v>
      </c>
      <c r="I1530" s="6" t="str">
        <f>IFERROR(VLOOKUP('Customer Info'!A1522,'Customer Info'!A1522:E2021,5,FALSE),"Not Found")</f>
        <v>Not Found</v>
      </c>
      <c r="J1530" s="2">
        <v>7474</v>
      </c>
      <c r="K1530" s="2">
        <v>6858</v>
      </c>
      <c r="L1530" s="2">
        <v>1</v>
      </c>
      <c r="M1530" s="7">
        <f t="shared" si="115"/>
        <v>6858</v>
      </c>
      <c r="N1530" s="7">
        <f t="shared" si="116"/>
        <v>7474</v>
      </c>
      <c r="O1530" s="2">
        <v>39</v>
      </c>
      <c r="P1530" s="8">
        <f t="shared" si="117"/>
        <v>7513</v>
      </c>
      <c r="Q1530" s="8">
        <f t="shared" si="118"/>
        <v>616</v>
      </c>
      <c r="R1530" s="2" t="s">
        <v>50</v>
      </c>
      <c r="S1530" s="9">
        <f t="shared" si="119"/>
        <v>375.65000000000003</v>
      </c>
    </row>
    <row r="1531" spans="1:19" x14ac:dyDescent="0.3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str">
        <f>IFERROR(VLOOKUP('Customer Info'!A1523,'Customer Info'!A1523:C2022,2,FALSE),"Not Found")</f>
        <v>Not Found</v>
      </c>
      <c r="H1531" s="6" t="str">
        <f>IFERROR(VLOOKUP('Customer Info'!A1523,'Customer Info'!A1523:C2022,3,FALSE),"Not Found")</f>
        <v>Not Found</v>
      </c>
      <c r="I1531" s="6" t="str">
        <f>IFERROR(VLOOKUP('Customer Info'!A1523,'Customer Info'!A1523:E2022,5,FALSE),"Not Found")</f>
        <v>Not Found</v>
      </c>
      <c r="J1531" s="2">
        <v>7691</v>
      </c>
      <c r="K1531" s="2">
        <v>7255</v>
      </c>
      <c r="L1531" s="2">
        <v>4</v>
      </c>
      <c r="M1531" s="7">
        <f t="shared" si="115"/>
        <v>29020</v>
      </c>
      <c r="N1531" s="7">
        <f t="shared" si="116"/>
        <v>30764</v>
      </c>
      <c r="O1531" s="2">
        <v>97</v>
      </c>
      <c r="P1531" s="8">
        <f t="shared" si="117"/>
        <v>30861</v>
      </c>
      <c r="Q1531" s="8">
        <f t="shared" si="118"/>
        <v>23509</v>
      </c>
      <c r="R1531" s="2" t="s">
        <v>50</v>
      </c>
      <c r="S1531" s="9">
        <f t="shared" si="119"/>
        <v>2160.27</v>
      </c>
    </row>
    <row r="1532" spans="1:19" x14ac:dyDescent="0.3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str">
        <f>IFERROR(VLOOKUP('Customer Info'!A1524,'Customer Info'!A1524:C2023,2,FALSE),"Not Found")</f>
        <v>Not Found</v>
      </c>
      <c r="H1532" s="6" t="str">
        <f>IFERROR(VLOOKUP('Customer Info'!A1524,'Customer Info'!A1524:C2023,3,FALSE),"Not Found")</f>
        <v>Not Found</v>
      </c>
      <c r="I1532" s="6" t="str">
        <f>IFERROR(VLOOKUP('Customer Info'!A1524,'Customer Info'!A1524:E2023,5,FALSE),"Not Found")</f>
        <v>Not Found</v>
      </c>
      <c r="J1532" s="2">
        <v>187</v>
      </c>
      <c r="K1532" s="2">
        <v>176</v>
      </c>
      <c r="L1532" s="2">
        <v>8</v>
      </c>
      <c r="M1532" s="7">
        <f t="shared" si="115"/>
        <v>1408</v>
      </c>
      <c r="N1532" s="7">
        <f t="shared" si="116"/>
        <v>1496</v>
      </c>
      <c r="O1532" s="2">
        <v>30</v>
      </c>
      <c r="P1532" s="8">
        <f t="shared" si="117"/>
        <v>1526</v>
      </c>
      <c r="Q1532" s="8">
        <f t="shared" si="118"/>
        <v>1320</v>
      </c>
      <c r="R1532" s="2" t="s">
        <v>50</v>
      </c>
      <c r="S1532" s="9">
        <f t="shared" si="119"/>
        <v>30.52</v>
      </c>
    </row>
    <row r="1533" spans="1:19" x14ac:dyDescent="0.3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str">
        <f>IFERROR(VLOOKUP('Customer Info'!A1525,'Customer Info'!A1525:C2024,2,FALSE),"Not Found")</f>
        <v>Not Found</v>
      </c>
      <c r="H1533" s="6" t="str">
        <f>IFERROR(VLOOKUP('Customer Info'!A1525,'Customer Info'!A1525:C2024,3,FALSE),"Not Found")</f>
        <v>Not Found</v>
      </c>
      <c r="I1533" s="6" t="str">
        <f>IFERROR(VLOOKUP('Customer Info'!A1525,'Customer Info'!A1525:E2024,5,FALSE),"Not Found")</f>
        <v>Not Found</v>
      </c>
      <c r="J1533" s="2">
        <v>138</v>
      </c>
      <c r="K1533" s="2">
        <v>128</v>
      </c>
      <c r="L1533" s="2">
        <v>2</v>
      </c>
      <c r="M1533" s="7">
        <f t="shared" si="115"/>
        <v>256</v>
      </c>
      <c r="N1533" s="7">
        <f t="shared" si="116"/>
        <v>276</v>
      </c>
      <c r="O1533" s="2">
        <v>30</v>
      </c>
      <c r="P1533" s="8">
        <f t="shared" si="117"/>
        <v>306</v>
      </c>
      <c r="Q1533" s="8">
        <f t="shared" si="118"/>
        <v>148</v>
      </c>
      <c r="R1533" s="2" t="s">
        <v>28</v>
      </c>
      <c r="S1533" s="9">
        <f t="shared" si="119"/>
        <v>6.12</v>
      </c>
    </row>
    <row r="1534" spans="1:19" x14ac:dyDescent="0.3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str">
        <f>IFERROR(VLOOKUP('Customer Info'!A1526,'Customer Info'!A1526:C2025,2,FALSE),"Not Found")</f>
        <v>Not Found</v>
      </c>
      <c r="H1534" s="6" t="str">
        <f>IFERROR(VLOOKUP('Customer Info'!A1526,'Customer Info'!A1526:C2025,3,FALSE),"Not Found")</f>
        <v>Not Found</v>
      </c>
      <c r="I1534" s="6" t="str">
        <f>IFERROR(VLOOKUP('Customer Info'!A1526,'Customer Info'!A1526:E2025,5,FALSE),"Not Found")</f>
        <v>Not Found</v>
      </c>
      <c r="J1534" s="2">
        <v>6354</v>
      </c>
      <c r="K1534" s="2">
        <v>5769</v>
      </c>
      <c r="L1534" s="2">
        <v>4</v>
      </c>
      <c r="M1534" s="7">
        <f t="shared" si="115"/>
        <v>23076</v>
      </c>
      <c r="N1534" s="7">
        <f t="shared" si="116"/>
        <v>25416</v>
      </c>
      <c r="O1534" s="2">
        <v>98</v>
      </c>
      <c r="P1534" s="8">
        <f t="shared" si="117"/>
        <v>25514</v>
      </c>
      <c r="Q1534" s="8">
        <f t="shared" si="118"/>
        <v>19647</v>
      </c>
      <c r="R1534" s="2" t="s">
        <v>28</v>
      </c>
      <c r="S1534" s="9">
        <f t="shared" si="119"/>
        <v>1785.9800000000002</v>
      </c>
    </row>
    <row r="1535" spans="1:19" x14ac:dyDescent="0.3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str">
        <f>IFERROR(VLOOKUP('Customer Info'!A1527,'Customer Info'!A1527:C2026,2,FALSE),"Not Found")</f>
        <v>Not Found</v>
      </c>
      <c r="H1535" s="6" t="str">
        <f>IFERROR(VLOOKUP('Customer Info'!A1527,'Customer Info'!A1527:C2026,3,FALSE),"Not Found")</f>
        <v>Not Found</v>
      </c>
      <c r="I1535" s="6" t="str">
        <f>IFERROR(VLOOKUP('Customer Info'!A1527,'Customer Info'!A1527:E2026,5,FALSE),"Not Found")</f>
        <v>Not Found</v>
      </c>
      <c r="J1535" s="2">
        <v>2843</v>
      </c>
      <c r="K1535" s="2">
        <v>2735</v>
      </c>
      <c r="L1535" s="2">
        <v>3</v>
      </c>
      <c r="M1535" s="7">
        <f t="shared" si="115"/>
        <v>8205</v>
      </c>
      <c r="N1535" s="7">
        <f t="shared" si="116"/>
        <v>8529</v>
      </c>
      <c r="O1535" s="2">
        <v>78</v>
      </c>
      <c r="P1535" s="8">
        <f t="shared" si="117"/>
        <v>8607</v>
      </c>
      <c r="Q1535" s="8">
        <f t="shared" si="118"/>
        <v>5794</v>
      </c>
      <c r="R1535" s="2" t="s">
        <v>28</v>
      </c>
      <c r="S1535" s="9">
        <f t="shared" si="119"/>
        <v>430.35</v>
      </c>
    </row>
    <row r="1536" spans="1:19" x14ac:dyDescent="0.3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str">
        <f>IFERROR(VLOOKUP('Customer Info'!A1528,'Customer Info'!A1528:C2027,2,FALSE),"Not Found")</f>
        <v>Not Found</v>
      </c>
      <c r="H1536" s="6" t="str">
        <f>IFERROR(VLOOKUP('Customer Info'!A1528,'Customer Info'!A1528:C2027,3,FALSE),"Not Found")</f>
        <v>Not Found</v>
      </c>
      <c r="I1536" s="6" t="str">
        <f>IFERROR(VLOOKUP('Customer Info'!A1528,'Customer Info'!A1528:E2027,5,FALSE),"Not Found")</f>
        <v>Not Found</v>
      </c>
      <c r="J1536" s="2">
        <v>4577</v>
      </c>
      <c r="K1536" s="2">
        <v>4280</v>
      </c>
      <c r="L1536" s="2">
        <v>2</v>
      </c>
      <c r="M1536" s="7">
        <f t="shared" si="115"/>
        <v>8560</v>
      </c>
      <c r="N1536" s="7">
        <f t="shared" si="116"/>
        <v>9154</v>
      </c>
      <c r="O1536" s="2">
        <v>45</v>
      </c>
      <c r="P1536" s="8">
        <f t="shared" si="117"/>
        <v>9199</v>
      </c>
      <c r="Q1536" s="8">
        <f t="shared" si="118"/>
        <v>4874</v>
      </c>
      <c r="R1536" s="2" t="s">
        <v>50</v>
      </c>
      <c r="S1536" s="9">
        <f t="shared" si="119"/>
        <v>459.95000000000005</v>
      </c>
    </row>
    <row r="1537" spans="1:19" x14ac:dyDescent="0.3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str">
        <f>IFERROR(VLOOKUP('Customer Info'!A1529,'Customer Info'!A1529:C2028,2,FALSE),"Not Found")</f>
        <v>Not Found</v>
      </c>
      <c r="H1537" s="6" t="str">
        <f>IFERROR(VLOOKUP('Customer Info'!A1529,'Customer Info'!A1529:C2028,3,FALSE),"Not Found")</f>
        <v>Not Found</v>
      </c>
      <c r="I1537" s="6" t="str">
        <f>IFERROR(VLOOKUP('Customer Info'!A1529,'Customer Info'!A1529:E2028,5,FALSE),"Not Found")</f>
        <v>Not Found</v>
      </c>
      <c r="J1537" s="2">
        <v>9214</v>
      </c>
      <c r="K1537" s="2">
        <v>8295</v>
      </c>
      <c r="L1537" s="2">
        <v>1</v>
      </c>
      <c r="M1537" s="7">
        <f t="shared" si="115"/>
        <v>8295</v>
      </c>
      <c r="N1537" s="7">
        <f t="shared" si="116"/>
        <v>9214</v>
      </c>
      <c r="O1537" s="2">
        <v>32</v>
      </c>
      <c r="P1537" s="8">
        <f t="shared" si="117"/>
        <v>9246</v>
      </c>
      <c r="Q1537" s="8">
        <f t="shared" si="118"/>
        <v>919</v>
      </c>
      <c r="R1537" s="2" t="s">
        <v>28</v>
      </c>
      <c r="S1537" s="9">
        <f t="shared" si="119"/>
        <v>462.3</v>
      </c>
    </row>
    <row r="1538" spans="1:19" x14ac:dyDescent="0.3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str">
        <f>IFERROR(VLOOKUP('Customer Info'!A1530,'Customer Info'!A1530:C2029,2,FALSE),"Not Found")</f>
        <v>Not Found</v>
      </c>
      <c r="H1538" s="6" t="str">
        <f>IFERROR(VLOOKUP('Customer Info'!A1530,'Customer Info'!A1530:C2029,3,FALSE),"Not Found")</f>
        <v>Not Found</v>
      </c>
      <c r="I1538" s="6" t="str">
        <f>IFERROR(VLOOKUP('Customer Info'!A1530,'Customer Info'!A1530:E2029,5,FALSE),"Not Found")</f>
        <v>Not Found</v>
      </c>
      <c r="J1538" s="2">
        <v>896</v>
      </c>
      <c r="K1538" s="2">
        <v>870</v>
      </c>
      <c r="L1538" s="2">
        <v>3</v>
      </c>
      <c r="M1538" s="7">
        <f t="shared" si="115"/>
        <v>2610</v>
      </c>
      <c r="N1538" s="7">
        <f t="shared" si="116"/>
        <v>2688</v>
      </c>
      <c r="O1538" s="2">
        <v>37</v>
      </c>
      <c r="P1538" s="8">
        <f t="shared" si="117"/>
        <v>2725</v>
      </c>
      <c r="Q1538" s="8">
        <f t="shared" si="118"/>
        <v>1818</v>
      </c>
      <c r="R1538" s="2" t="s">
        <v>50</v>
      </c>
      <c r="S1538" s="9">
        <f t="shared" si="119"/>
        <v>54.5</v>
      </c>
    </row>
    <row r="1539" spans="1:19" x14ac:dyDescent="0.3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str">
        <f>IFERROR(VLOOKUP('Customer Info'!A1531,'Customer Info'!A1531:C2030,2,FALSE),"Not Found")</f>
        <v>Not Found</v>
      </c>
      <c r="H1539" s="6" t="str">
        <f>IFERROR(VLOOKUP('Customer Info'!A1531,'Customer Info'!A1531:C2030,3,FALSE),"Not Found")</f>
        <v>Not Found</v>
      </c>
      <c r="I1539" s="6" t="str">
        <f>IFERROR(VLOOKUP('Customer Info'!A1531,'Customer Info'!A1531:E2030,5,FALSE),"Not Found")</f>
        <v>Not Found</v>
      </c>
      <c r="J1539" s="2">
        <v>25155</v>
      </c>
      <c r="K1539" s="2">
        <v>23753</v>
      </c>
      <c r="L1539" s="2">
        <v>2</v>
      </c>
      <c r="M1539" s="7">
        <f t="shared" si="115"/>
        <v>47506</v>
      </c>
      <c r="N1539" s="7">
        <f t="shared" si="116"/>
        <v>50310</v>
      </c>
      <c r="O1539" s="2">
        <v>77</v>
      </c>
      <c r="P1539" s="8">
        <f t="shared" si="117"/>
        <v>50387</v>
      </c>
      <c r="Q1539" s="8">
        <f t="shared" si="118"/>
        <v>26557</v>
      </c>
      <c r="R1539" s="2" t="s">
        <v>50</v>
      </c>
      <c r="S1539" s="9">
        <f t="shared" si="119"/>
        <v>4534.83</v>
      </c>
    </row>
    <row r="1540" spans="1:19" x14ac:dyDescent="0.3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str">
        <f>IFERROR(VLOOKUP('Customer Info'!A1532,'Customer Info'!A1532:C2031,2,FALSE),"Not Found")</f>
        <v>Not Found</v>
      </c>
      <c r="H1540" s="6" t="str">
        <f>IFERROR(VLOOKUP('Customer Info'!A1532,'Customer Info'!A1532:C2031,3,FALSE),"Not Found")</f>
        <v>Not Found</v>
      </c>
      <c r="I1540" s="6" t="str">
        <f>IFERROR(VLOOKUP('Customer Info'!A1532,'Customer Info'!A1532:E2031,5,FALSE),"Not Found")</f>
        <v>Not Found</v>
      </c>
      <c r="J1540" s="2">
        <v>28522</v>
      </c>
      <c r="K1540" s="2">
        <v>26384</v>
      </c>
      <c r="L1540" s="2">
        <v>6</v>
      </c>
      <c r="M1540" s="7">
        <f t="shared" si="115"/>
        <v>158304</v>
      </c>
      <c r="N1540" s="7">
        <f t="shared" si="116"/>
        <v>171132</v>
      </c>
      <c r="O1540" s="2">
        <v>96</v>
      </c>
      <c r="P1540" s="8">
        <f t="shared" si="117"/>
        <v>171228</v>
      </c>
      <c r="Q1540" s="8">
        <f t="shared" si="118"/>
        <v>144748</v>
      </c>
      <c r="R1540" s="2" t="s">
        <v>28</v>
      </c>
      <c r="S1540" s="9">
        <f t="shared" si="119"/>
        <v>20547.36</v>
      </c>
    </row>
    <row r="1541" spans="1:19" x14ac:dyDescent="0.3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str">
        <f>IFERROR(VLOOKUP('Customer Info'!A1533,'Customer Info'!A1533:C2032,2,FALSE),"Not Found")</f>
        <v>Not Found</v>
      </c>
      <c r="H1541" s="6" t="str">
        <f>IFERROR(VLOOKUP('Customer Info'!A1533,'Customer Info'!A1533:C2032,3,FALSE),"Not Found")</f>
        <v>Not Found</v>
      </c>
      <c r="I1541" s="6" t="str">
        <f>IFERROR(VLOOKUP('Customer Info'!A1533,'Customer Info'!A1533:E2032,5,FALSE),"Not Found")</f>
        <v>Not Found</v>
      </c>
      <c r="J1541" s="2">
        <v>63</v>
      </c>
      <c r="K1541" s="2">
        <v>58</v>
      </c>
      <c r="L1541" s="2">
        <v>9</v>
      </c>
      <c r="M1541" s="7">
        <f t="shared" si="115"/>
        <v>522</v>
      </c>
      <c r="N1541" s="7">
        <f t="shared" si="116"/>
        <v>567</v>
      </c>
      <c r="O1541" s="2">
        <v>10</v>
      </c>
      <c r="P1541" s="8">
        <f t="shared" si="117"/>
        <v>577</v>
      </c>
      <c r="Q1541" s="8">
        <f t="shared" si="118"/>
        <v>509</v>
      </c>
      <c r="R1541" s="2" t="s">
        <v>28</v>
      </c>
      <c r="S1541" s="9">
        <f t="shared" si="119"/>
        <v>11.540000000000001</v>
      </c>
    </row>
    <row r="1542" spans="1:19" x14ac:dyDescent="0.3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str">
        <f>IFERROR(VLOOKUP('Customer Info'!A1534,'Customer Info'!A1534:C2033,2,FALSE),"Not Found")</f>
        <v>Not Found</v>
      </c>
      <c r="H1542" s="6" t="str">
        <f>IFERROR(VLOOKUP('Customer Info'!A1534,'Customer Info'!A1534:C2033,3,FALSE),"Not Found")</f>
        <v>Not Found</v>
      </c>
      <c r="I1542" s="6" t="str">
        <f>IFERROR(VLOOKUP('Customer Info'!A1534,'Customer Info'!A1534:E2033,5,FALSE),"Not Found")</f>
        <v>Not Found</v>
      </c>
      <c r="J1542" s="2">
        <v>1654</v>
      </c>
      <c r="K1542" s="2">
        <v>1577</v>
      </c>
      <c r="L1542" s="2">
        <v>4</v>
      </c>
      <c r="M1542" s="7">
        <f t="shared" si="115"/>
        <v>6308</v>
      </c>
      <c r="N1542" s="7">
        <f t="shared" si="116"/>
        <v>6616</v>
      </c>
      <c r="O1542" s="2">
        <v>30</v>
      </c>
      <c r="P1542" s="8">
        <f t="shared" si="117"/>
        <v>6646</v>
      </c>
      <c r="Q1542" s="8">
        <f t="shared" si="118"/>
        <v>5039</v>
      </c>
      <c r="R1542" s="2" t="s">
        <v>56</v>
      </c>
      <c r="S1542" s="9">
        <f t="shared" si="119"/>
        <v>332.3</v>
      </c>
    </row>
    <row r="1543" spans="1:19" x14ac:dyDescent="0.3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str">
        <f>IFERROR(VLOOKUP('Customer Info'!A1535,'Customer Info'!A1535:C2034,2,FALSE),"Not Found")</f>
        <v>Not Found</v>
      </c>
      <c r="H1543" s="6" t="str">
        <f>IFERROR(VLOOKUP('Customer Info'!A1535,'Customer Info'!A1535:C2034,3,FALSE),"Not Found")</f>
        <v>Not Found</v>
      </c>
      <c r="I1543" s="6" t="str">
        <f>IFERROR(VLOOKUP('Customer Info'!A1535,'Customer Info'!A1535:E2034,5,FALSE),"Not Found")</f>
        <v>Not Found</v>
      </c>
      <c r="J1543" s="2">
        <v>7943</v>
      </c>
      <c r="K1543" s="2">
        <v>7790</v>
      </c>
      <c r="L1543" s="2">
        <v>4</v>
      </c>
      <c r="M1543" s="7">
        <f t="shared" si="115"/>
        <v>31160</v>
      </c>
      <c r="N1543" s="7">
        <f t="shared" si="116"/>
        <v>31772</v>
      </c>
      <c r="O1543" s="2">
        <v>61</v>
      </c>
      <c r="P1543" s="8">
        <f t="shared" si="117"/>
        <v>31833</v>
      </c>
      <c r="Q1543" s="8">
        <f t="shared" si="118"/>
        <v>23982</v>
      </c>
      <c r="R1543" s="2" t="s">
        <v>28</v>
      </c>
      <c r="S1543" s="9">
        <f t="shared" si="119"/>
        <v>2228.3100000000004</v>
      </c>
    </row>
    <row r="1544" spans="1:19" x14ac:dyDescent="0.3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str">
        <f>IFERROR(VLOOKUP('Customer Info'!A1536,'Customer Info'!A1536:C2035,2,FALSE),"Not Found")</f>
        <v>Not Found</v>
      </c>
      <c r="H1544" s="6" t="str">
        <f>IFERROR(VLOOKUP('Customer Info'!A1536,'Customer Info'!A1536:C2035,3,FALSE),"Not Found")</f>
        <v>Not Found</v>
      </c>
      <c r="I1544" s="6" t="str">
        <f>IFERROR(VLOOKUP('Customer Info'!A1536,'Customer Info'!A1536:E2035,5,FALSE),"Not Found")</f>
        <v>Not Found</v>
      </c>
      <c r="J1544" s="2">
        <v>2200</v>
      </c>
      <c r="K1544" s="2">
        <v>2020</v>
      </c>
      <c r="L1544" s="2">
        <v>7</v>
      </c>
      <c r="M1544" s="7">
        <f t="shared" si="115"/>
        <v>14140</v>
      </c>
      <c r="N1544" s="7">
        <f t="shared" si="116"/>
        <v>15400</v>
      </c>
      <c r="O1544" s="2">
        <v>82</v>
      </c>
      <c r="P1544" s="8">
        <f t="shared" si="117"/>
        <v>15482</v>
      </c>
      <c r="Q1544" s="8">
        <f t="shared" si="118"/>
        <v>13380</v>
      </c>
      <c r="R1544" s="2" t="s">
        <v>50</v>
      </c>
      <c r="S1544" s="9">
        <f t="shared" si="119"/>
        <v>774.1</v>
      </c>
    </row>
    <row r="1545" spans="1:19" x14ac:dyDescent="0.3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str">
        <f>IFERROR(VLOOKUP('Customer Info'!A1537,'Customer Info'!A1537:C2036,2,FALSE),"Not Found")</f>
        <v>Not Found</v>
      </c>
      <c r="H1545" s="6" t="str">
        <f>IFERROR(VLOOKUP('Customer Info'!A1537,'Customer Info'!A1537:C2036,3,FALSE),"Not Found")</f>
        <v>Not Found</v>
      </c>
      <c r="I1545" s="6" t="str">
        <f>IFERROR(VLOOKUP('Customer Info'!A1537,'Customer Info'!A1537:E2036,5,FALSE),"Not Found")</f>
        <v>Not Found</v>
      </c>
      <c r="J1545" s="2">
        <v>87</v>
      </c>
      <c r="K1545" s="2">
        <v>80</v>
      </c>
      <c r="L1545" s="2">
        <v>6</v>
      </c>
      <c r="M1545" s="7">
        <f t="shared" si="115"/>
        <v>480</v>
      </c>
      <c r="N1545" s="7">
        <f t="shared" si="116"/>
        <v>522</v>
      </c>
      <c r="O1545" s="2">
        <v>10</v>
      </c>
      <c r="P1545" s="8">
        <f t="shared" si="117"/>
        <v>532</v>
      </c>
      <c r="Q1545" s="8">
        <f t="shared" si="118"/>
        <v>442</v>
      </c>
      <c r="R1545" s="2" t="s">
        <v>28</v>
      </c>
      <c r="S1545" s="9">
        <f t="shared" si="119"/>
        <v>10.64</v>
      </c>
    </row>
    <row r="1546" spans="1:19" x14ac:dyDescent="0.3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str">
        <f>IFERROR(VLOOKUP('Customer Info'!A1538,'Customer Info'!A1538:C2037,2,FALSE),"Not Found")</f>
        <v>Not Found</v>
      </c>
      <c r="H1546" s="6" t="str">
        <f>IFERROR(VLOOKUP('Customer Info'!A1538,'Customer Info'!A1538:C2037,3,FALSE),"Not Found")</f>
        <v>Not Found</v>
      </c>
      <c r="I1546" s="6" t="str">
        <f>IFERROR(VLOOKUP('Customer Info'!A1538,'Customer Info'!A1538:E2037,5,FALSE),"Not Found")</f>
        <v>Not Found</v>
      </c>
      <c r="J1546" s="2">
        <v>1637</v>
      </c>
      <c r="K1546" s="2">
        <v>1532</v>
      </c>
      <c r="L1546" s="2">
        <v>3</v>
      </c>
      <c r="M1546" s="7">
        <f t="shared" si="115"/>
        <v>4596</v>
      </c>
      <c r="N1546" s="7">
        <f t="shared" si="116"/>
        <v>4911</v>
      </c>
      <c r="O1546" s="2">
        <v>30</v>
      </c>
      <c r="P1546" s="8">
        <f t="shared" si="117"/>
        <v>4941</v>
      </c>
      <c r="Q1546" s="8">
        <f t="shared" si="118"/>
        <v>3379</v>
      </c>
      <c r="R1546" s="2" t="s">
        <v>50</v>
      </c>
      <c r="S1546" s="9">
        <f t="shared" si="119"/>
        <v>98.820000000000007</v>
      </c>
    </row>
    <row r="1547" spans="1:19" x14ac:dyDescent="0.3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str">
        <f>IFERROR(VLOOKUP('Customer Info'!A1539,'Customer Info'!A1539:C2038,2,FALSE),"Not Found")</f>
        <v>Not Found</v>
      </c>
      <c r="H1547" s="6" t="str">
        <f>IFERROR(VLOOKUP('Customer Info'!A1539,'Customer Info'!A1539:C2038,3,FALSE),"Not Found")</f>
        <v>Not Found</v>
      </c>
      <c r="I1547" s="6" t="str">
        <f>IFERROR(VLOOKUP('Customer Info'!A1539,'Customer Info'!A1539:E2038,5,FALSE),"Not Found")</f>
        <v>Not Found</v>
      </c>
      <c r="J1547" s="2">
        <v>2829</v>
      </c>
      <c r="K1547" s="2">
        <v>2596</v>
      </c>
      <c r="L1547" s="2">
        <v>2</v>
      </c>
      <c r="M1547" s="7">
        <f t="shared" ref="M1547:M1610" si="120">$K1547*$L1547</f>
        <v>5192</v>
      </c>
      <c r="N1547" s="7">
        <f t="shared" ref="N1547:N1610" si="121">$J1547*$L1547</f>
        <v>5658</v>
      </c>
      <c r="O1547" s="2">
        <v>61</v>
      </c>
      <c r="P1547" s="8">
        <f t="shared" ref="P1547:P1610" si="122">$N1547+$O1547</f>
        <v>5719</v>
      </c>
      <c r="Q1547" s="8">
        <f t="shared" ref="Q1547:Q1610" si="123">$N1547-$K1547</f>
        <v>3062</v>
      </c>
      <c r="R1547" s="2" t="s">
        <v>28</v>
      </c>
      <c r="S1547" s="9">
        <f t="shared" ref="S1547:S1610" si="124" xml:space="preserve"> P1547 * VLOOKUP(P1547, $T$2:$U$6, 2, TRUE)</f>
        <v>285.95</v>
      </c>
    </row>
    <row r="1548" spans="1:19" x14ac:dyDescent="0.3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str">
        <f>IFERROR(VLOOKUP('Customer Info'!A1540,'Customer Info'!A1540:C2039,2,FALSE),"Not Found")</f>
        <v>Not Found</v>
      </c>
      <c r="H1548" s="6" t="str">
        <f>IFERROR(VLOOKUP('Customer Info'!A1540,'Customer Info'!A1540:C2039,3,FALSE),"Not Found")</f>
        <v>Not Found</v>
      </c>
      <c r="I1548" s="6" t="str">
        <f>IFERROR(VLOOKUP('Customer Info'!A1540,'Customer Info'!A1540:E2039,5,FALSE),"Not Found")</f>
        <v>Not Found</v>
      </c>
      <c r="J1548" s="2">
        <v>279</v>
      </c>
      <c r="K1548" s="2">
        <v>254</v>
      </c>
      <c r="L1548" s="2">
        <v>3</v>
      </c>
      <c r="M1548" s="7">
        <f t="shared" si="120"/>
        <v>762</v>
      </c>
      <c r="N1548" s="7">
        <f t="shared" si="121"/>
        <v>837</v>
      </c>
      <c r="O1548" s="2">
        <v>85</v>
      </c>
      <c r="P1548" s="8">
        <f t="shared" si="122"/>
        <v>922</v>
      </c>
      <c r="Q1548" s="8">
        <f t="shared" si="123"/>
        <v>583</v>
      </c>
      <c r="R1548" s="2" t="s">
        <v>28</v>
      </c>
      <c r="S1548" s="9">
        <f t="shared" si="124"/>
        <v>18.440000000000001</v>
      </c>
    </row>
    <row r="1549" spans="1:19" x14ac:dyDescent="0.3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str">
        <f>IFERROR(VLOOKUP('Customer Info'!A1541,'Customer Info'!A1541:C2040,2,FALSE),"Not Found")</f>
        <v>Not Found</v>
      </c>
      <c r="H1549" s="6" t="str">
        <f>IFERROR(VLOOKUP('Customer Info'!A1541,'Customer Info'!A1541:C2040,3,FALSE),"Not Found")</f>
        <v>Not Found</v>
      </c>
      <c r="I1549" s="6" t="str">
        <f>IFERROR(VLOOKUP('Customer Info'!A1541,'Customer Info'!A1541:E2040,5,FALSE),"Not Found")</f>
        <v>Not Found</v>
      </c>
      <c r="J1549" s="2">
        <v>62</v>
      </c>
      <c r="K1549" s="2">
        <v>58</v>
      </c>
      <c r="L1549" s="2">
        <v>4</v>
      </c>
      <c r="M1549" s="7">
        <f t="shared" si="120"/>
        <v>232</v>
      </c>
      <c r="N1549" s="7">
        <f t="shared" si="121"/>
        <v>248</v>
      </c>
      <c r="O1549" s="2">
        <v>10</v>
      </c>
      <c r="P1549" s="8">
        <f t="shared" si="122"/>
        <v>258</v>
      </c>
      <c r="Q1549" s="8">
        <f t="shared" si="123"/>
        <v>190</v>
      </c>
      <c r="R1549" s="2" t="s">
        <v>28</v>
      </c>
      <c r="S1549" s="9">
        <f t="shared" si="124"/>
        <v>5.16</v>
      </c>
    </row>
    <row r="1550" spans="1:19" x14ac:dyDescent="0.3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str">
        <f>IFERROR(VLOOKUP('Customer Info'!A1542,'Customer Info'!A1542:C2041,2,FALSE),"Not Found")</f>
        <v>Not Found</v>
      </c>
      <c r="H1550" s="6" t="str">
        <f>IFERROR(VLOOKUP('Customer Info'!A1542,'Customer Info'!A1542:C2041,3,FALSE),"Not Found")</f>
        <v>Not Found</v>
      </c>
      <c r="I1550" s="6" t="str">
        <f>IFERROR(VLOOKUP('Customer Info'!A1542,'Customer Info'!A1542:E2041,5,FALSE),"Not Found")</f>
        <v>Not Found</v>
      </c>
      <c r="J1550" s="2">
        <v>1210</v>
      </c>
      <c r="K1550" s="2">
        <v>1164</v>
      </c>
      <c r="L1550" s="2">
        <v>2</v>
      </c>
      <c r="M1550" s="7">
        <f t="shared" si="120"/>
        <v>2328</v>
      </c>
      <c r="N1550" s="7">
        <f t="shared" si="121"/>
        <v>2420</v>
      </c>
      <c r="O1550" s="2">
        <v>23</v>
      </c>
      <c r="P1550" s="8">
        <f t="shared" si="122"/>
        <v>2443</v>
      </c>
      <c r="Q1550" s="8">
        <f t="shared" si="123"/>
        <v>1256</v>
      </c>
      <c r="R1550" s="2" t="s">
        <v>28</v>
      </c>
      <c r="S1550" s="9">
        <f t="shared" si="124"/>
        <v>48.86</v>
      </c>
    </row>
    <row r="1551" spans="1:19" x14ac:dyDescent="0.3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str">
        <f>IFERROR(VLOOKUP('Customer Info'!A1543,'Customer Info'!A1543:C2042,2,FALSE),"Not Found")</f>
        <v>Not Found</v>
      </c>
      <c r="H1551" s="6" t="str">
        <f>IFERROR(VLOOKUP('Customer Info'!A1543,'Customer Info'!A1543:C2042,3,FALSE),"Not Found")</f>
        <v>Not Found</v>
      </c>
      <c r="I1551" s="6" t="str">
        <f>IFERROR(VLOOKUP('Customer Info'!A1543,'Customer Info'!A1543:E2042,5,FALSE),"Not Found")</f>
        <v>Not Found</v>
      </c>
      <c r="J1551" s="2">
        <v>8773</v>
      </c>
      <c r="K1551" s="2">
        <v>8115</v>
      </c>
      <c r="L1551" s="2">
        <v>3</v>
      </c>
      <c r="M1551" s="7">
        <f t="shared" si="120"/>
        <v>24345</v>
      </c>
      <c r="N1551" s="7">
        <f t="shared" si="121"/>
        <v>26319</v>
      </c>
      <c r="O1551" s="2">
        <v>54</v>
      </c>
      <c r="P1551" s="8">
        <f t="shared" si="122"/>
        <v>26373</v>
      </c>
      <c r="Q1551" s="8">
        <f t="shared" si="123"/>
        <v>18204</v>
      </c>
      <c r="R1551" s="2" t="s">
        <v>28</v>
      </c>
      <c r="S1551" s="9">
        <f t="shared" si="124"/>
        <v>1846.1100000000001</v>
      </c>
    </row>
    <row r="1552" spans="1:19" x14ac:dyDescent="0.3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str">
        <f>IFERROR(VLOOKUP('Customer Info'!A1544,'Customer Info'!A1544:C2043,2,FALSE),"Not Found")</f>
        <v>Not Found</v>
      </c>
      <c r="H1552" s="6" t="str">
        <f>IFERROR(VLOOKUP('Customer Info'!A1544,'Customer Info'!A1544:C2043,3,FALSE),"Not Found")</f>
        <v>Not Found</v>
      </c>
      <c r="I1552" s="6" t="str">
        <f>IFERROR(VLOOKUP('Customer Info'!A1544,'Customer Info'!A1544:E2043,5,FALSE),"Not Found")</f>
        <v>Not Found</v>
      </c>
      <c r="J1552" s="2">
        <v>2960</v>
      </c>
      <c r="K1552" s="2">
        <v>2635</v>
      </c>
      <c r="L1552" s="2">
        <v>1</v>
      </c>
      <c r="M1552" s="7">
        <f t="shared" si="120"/>
        <v>2635</v>
      </c>
      <c r="N1552" s="7">
        <f t="shared" si="121"/>
        <v>2960</v>
      </c>
      <c r="O1552" s="2">
        <v>86</v>
      </c>
      <c r="P1552" s="8">
        <f t="shared" si="122"/>
        <v>3046</v>
      </c>
      <c r="Q1552" s="8">
        <f t="shared" si="123"/>
        <v>325</v>
      </c>
      <c r="R1552" s="2" t="s">
        <v>50</v>
      </c>
      <c r="S1552" s="9">
        <f t="shared" si="124"/>
        <v>60.92</v>
      </c>
    </row>
    <row r="1553" spans="1:19" x14ac:dyDescent="0.3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str">
        <f>IFERROR(VLOOKUP('Customer Info'!A1545,'Customer Info'!A1545:C2044,2,FALSE),"Not Found")</f>
        <v>Not Found</v>
      </c>
      <c r="H1553" s="6" t="str">
        <f>IFERROR(VLOOKUP('Customer Info'!A1545,'Customer Info'!A1545:C2044,3,FALSE),"Not Found")</f>
        <v>Not Found</v>
      </c>
      <c r="I1553" s="6" t="str">
        <f>IFERROR(VLOOKUP('Customer Info'!A1545,'Customer Info'!A1545:E2044,5,FALSE),"Not Found")</f>
        <v>Not Found</v>
      </c>
      <c r="J1553" s="2">
        <v>1447</v>
      </c>
      <c r="K1553" s="2">
        <v>1326</v>
      </c>
      <c r="L1553" s="2">
        <v>1</v>
      </c>
      <c r="M1553" s="7">
        <f t="shared" si="120"/>
        <v>1326</v>
      </c>
      <c r="N1553" s="7">
        <f t="shared" si="121"/>
        <v>1447</v>
      </c>
      <c r="O1553" s="2">
        <v>20</v>
      </c>
      <c r="P1553" s="8">
        <f t="shared" si="122"/>
        <v>1467</v>
      </c>
      <c r="Q1553" s="8">
        <f t="shared" si="123"/>
        <v>121</v>
      </c>
      <c r="R1553" s="2" t="s">
        <v>50</v>
      </c>
      <c r="S1553" s="9">
        <f t="shared" si="124"/>
        <v>29.34</v>
      </c>
    </row>
    <row r="1554" spans="1:19" x14ac:dyDescent="0.3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str">
        <f>IFERROR(VLOOKUP('Customer Info'!A1546,'Customer Info'!A1546:C2045,2,FALSE),"Not Found")</f>
        <v>Not Found</v>
      </c>
      <c r="H1554" s="6" t="str">
        <f>IFERROR(VLOOKUP('Customer Info'!A1546,'Customer Info'!A1546:C2045,3,FALSE),"Not Found")</f>
        <v>Not Found</v>
      </c>
      <c r="I1554" s="6" t="str">
        <f>IFERROR(VLOOKUP('Customer Info'!A1546,'Customer Info'!A1546:E2045,5,FALSE),"Not Found")</f>
        <v>Not Found</v>
      </c>
      <c r="J1554" s="2">
        <v>60</v>
      </c>
      <c r="K1554" s="2">
        <v>58</v>
      </c>
      <c r="L1554" s="2">
        <v>4</v>
      </c>
      <c r="M1554" s="7">
        <f t="shared" si="120"/>
        <v>232</v>
      </c>
      <c r="N1554" s="7">
        <f t="shared" si="121"/>
        <v>240</v>
      </c>
      <c r="O1554" s="2">
        <v>10</v>
      </c>
      <c r="P1554" s="8">
        <f t="shared" si="122"/>
        <v>250</v>
      </c>
      <c r="Q1554" s="8">
        <f t="shared" si="123"/>
        <v>182</v>
      </c>
      <c r="R1554" s="2" t="s">
        <v>50</v>
      </c>
      <c r="S1554" s="9">
        <f t="shared" si="124"/>
        <v>5</v>
      </c>
    </row>
    <row r="1555" spans="1:19" x14ac:dyDescent="0.3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str">
        <f>IFERROR(VLOOKUP('Customer Info'!A1547,'Customer Info'!A1547:C2046,2,FALSE),"Not Found")</f>
        <v>Not Found</v>
      </c>
      <c r="H1555" s="6" t="str">
        <f>IFERROR(VLOOKUP('Customer Info'!A1547,'Customer Info'!A1547:C2046,3,FALSE),"Not Found")</f>
        <v>Not Found</v>
      </c>
      <c r="I1555" s="6" t="str">
        <f>IFERROR(VLOOKUP('Customer Info'!A1547,'Customer Info'!A1547:E2046,5,FALSE),"Not Found")</f>
        <v>Not Found</v>
      </c>
      <c r="J1555" s="2">
        <v>726</v>
      </c>
      <c r="K1555" s="2">
        <v>646</v>
      </c>
      <c r="L1555" s="2">
        <v>4</v>
      </c>
      <c r="M1555" s="7">
        <f t="shared" si="120"/>
        <v>2584</v>
      </c>
      <c r="N1555" s="7">
        <f t="shared" si="121"/>
        <v>2904</v>
      </c>
      <c r="O1555" s="2">
        <v>86</v>
      </c>
      <c r="P1555" s="8">
        <f t="shared" si="122"/>
        <v>2990</v>
      </c>
      <c r="Q1555" s="8">
        <f t="shared" si="123"/>
        <v>2258</v>
      </c>
      <c r="R1555" s="2" t="s">
        <v>28</v>
      </c>
      <c r="S1555" s="9">
        <f t="shared" si="124"/>
        <v>59.800000000000004</v>
      </c>
    </row>
    <row r="1556" spans="1:19" x14ac:dyDescent="0.3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str">
        <f>IFERROR(VLOOKUP('Customer Info'!A1548,'Customer Info'!A1548:C2047,2,FALSE),"Not Found")</f>
        <v>Not Found</v>
      </c>
      <c r="H1556" s="6" t="str">
        <f>IFERROR(VLOOKUP('Customer Info'!A1548,'Customer Info'!A1548:C2047,3,FALSE),"Not Found")</f>
        <v>Not Found</v>
      </c>
      <c r="I1556" s="6" t="str">
        <f>IFERROR(VLOOKUP('Customer Info'!A1548,'Customer Info'!A1548:E2047,5,FALSE),"Not Found")</f>
        <v>Not Found</v>
      </c>
      <c r="J1556" s="2">
        <v>400</v>
      </c>
      <c r="K1556" s="2">
        <v>360</v>
      </c>
      <c r="L1556" s="2">
        <v>1</v>
      </c>
      <c r="M1556" s="7">
        <f t="shared" si="120"/>
        <v>360</v>
      </c>
      <c r="N1556" s="7">
        <f t="shared" si="121"/>
        <v>400</v>
      </c>
      <c r="O1556" s="2">
        <v>68</v>
      </c>
      <c r="P1556" s="8">
        <f t="shared" si="122"/>
        <v>468</v>
      </c>
      <c r="Q1556" s="8">
        <f t="shared" si="123"/>
        <v>40</v>
      </c>
      <c r="R1556" s="2" t="s">
        <v>28</v>
      </c>
      <c r="S1556" s="9">
        <f t="shared" si="124"/>
        <v>9.36</v>
      </c>
    </row>
    <row r="1557" spans="1:19" x14ac:dyDescent="0.3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str">
        <f>IFERROR(VLOOKUP('Customer Info'!A1549,'Customer Info'!A1549:C2048,2,FALSE),"Not Found")</f>
        <v>Not Found</v>
      </c>
      <c r="H1557" s="6" t="str">
        <f>IFERROR(VLOOKUP('Customer Info'!A1549,'Customer Info'!A1549:C2048,3,FALSE),"Not Found")</f>
        <v>Not Found</v>
      </c>
      <c r="I1557" s="6" t="str">
        <f>IFERROR(VLOOKUP('Customer Info'!A1549,'Customer Info'!A1549:E2048,5,FALSE),"Not Found")</f>
        <v>Not Found</v>
      </c>
      <c r="J1557" s="2">
        <v>2342</v>
      </c>
      <c r="K1557" s="2">
        <v>2210</v>
      </c>
      <c r="L1557" s="2">
        <v>4</v>
      </c>
      <c r="M1557" s="7">
        <f t="shared" si="120"/>
        <v>8840</v>
      </c>
      <c r="N1557" s="7">
        <f t="shared" si="121"/>
        <v>9368</v>
      </c>
      <c r="O1557" s="2">
        <v>43</v>
      </c>
      <c r="P1557" s="8">
        <f t="shared" si="122"/>
        <v>9411</v>
      </c>
      <c r="Q1557" s="8">
        <f t="shared" si="123"/>
        <v>7158</v>
      </c>
      <c r="R1557" s="2" t="s">
        <v>28</v>
      </c>
      <c r="S1557" s="9">
        <f t="shared" si="124"/>
        <v>470.55</v>
      </c>
    </row>
    <row r="1558" spans="1:19" x14ac:dyDescent="0.3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str">
        <f>IFERROR(VLOOKUP('Customer Info'!A1550,'Customer Info'!A1550:C2049,2,FALSE),"Not Found")</f>
        <v>Not Found</v>
      </c>
      <c r="H1558" s="6" t="str">
        <f>IFERROR(VLOOKUP('Customer Info'!A1550,'Customer Info'!A1550:C2049,3,FALSE),"Not Found")</f>
        <v>Not Found</v>
      </c>
      <c r="I1558" s="6" t="str">
        <f>IFERROR(VLOOKUP('Customer Info'!A1550,'Customer Info'!A1550:E2049,5,FALSE),"Not Found")</f>
        <v>Not Found</v>
      </c>
      <c r="J1558" s="2">
        <v>185</v>
      </c>
      <c r="K1558" s="2">
        <v>171</v>
      </c>
      <c r="L1558" s="2">
        <v>3</v>
      </c>
      <c r="M1558" s="7">
        <f t="shared" si="120"/>
        <v>513</v>
      </c>
      <c r="N1558" s="7">
        <f t="shared" si="121"/>
        <v>555</v>
      </c>
      <c r="O1558" s="2">
        <v>30</v>
      </c>
      <c r="P1558" s="8">
        <f t="shared" si="122"/>
        <v>585</v>
      </c>
      <c r="Q1558" s="8">
        <f t="shared" si="123"/>
        <v>384</v>
      </c>
      <c r="R1558" s="2" t="s">
        <v>50</v>
      </c>
      <c r="S1558" s="9">
        <f t="shared" si="124"/>
        <v>11.700000000000001</v>
      </c>
    </row>
    <row r="1559" spans="1:19" x14ac:dyDescent="0.3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str">
        <f>IFERROR(VLOOKUP('Customer Info'!A1551,'Customer Info'!A1551:C2050,2,FALSE),"Not Found")</f>
        <v>Not Found</v>
      </c>
      <c r="H1559" s="6" t="str">
        <f>IFERROR(VLOOKUP('Customer Info'!A1551,'Customer Info'!A1551:C2050,3,FALSE),"Not Found")</f>
        <v>Not Found</v>
      </c>
      <c r="I1559" s="6" t="str">
        <f>IFERROR(VLOOKUP('Customer Info'!A1551,'Customer Info'!A1551:E2050,5,FALSE),"Not Found")</f>
        <v>Not Found</v>
      </c>
      <c r="J1559" s="2">
        <v>142</v>
      </c>
      <c r="K1559" s="2">
        <v>129</v>
      </c>
      <c r="L1559" s="2">
        <v>1</v>
      </c>
      <c r="M1559" s="7">
        <f t="shared" si="120"/>
        <v>129</v>
      </c>
      <c r="N1559" s="7">
        <f t="shared" si="121"/>
        <v>142</v>
      </c>
      <c r="O1559" s="2">
        <v>30</v>
      </c>
      <c r="P1559" s="8">
        <f t="shared" si="122"/>
        <v>172</v>
      </c>
      <c r="Q1559" s="8">
        <f t="shared" si="123"/>
        <v>13</v>
      </c>
      <c r="R1559" s="2" t="s">
        <v>28</v>
      </c>
      <c r="S1559" s="9">
        <f t="shared" si="124"/>
        <v>3.44</v>
      </c>
    </row>
    <row r="1560" spans="1:19" x14ac:dyDescent="0.3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str">
        <f>IFERROR(VLOOKUP('Customer Info'!A1552,'Customer Info'!A1552:C2051,2,FALSE),"Not Found")</f>
        <v>Not Found</v>
      </c>
      <c r="H1560" s="6" t="str">
        <f>IFERROR(VLOOKUP('Customer Info'!A1552,'Customer Info'!A1552:C2051,3,FALSE),"Not Found")</f>
        <v>Not Found</v>
      </c>
      <c r="I1560" s="6" t="str">
        <f>IFERROR(VLOOKUP('Customer Info'!A1552,'Customer Info'!A1552:E2051,5,FALSE),"Not Found")</f>
        <v>Not Found</v>
      </c>
      <c r="J1560" s="2">
        <v>1809</v>
      </c>
      <c r="K1560" s="2">
        <v>1691</v>
      </c>
      <c r="L1560" s="2">
        <v>3</v>
      </c>
      <c r="M1560" s="7">
        <f t="shared" si="120"/>
        <v>5073</v>
      </c>
      <c r="N1560" s="7">
        <f t="shared" si="121"/>
        <v>5427</v>
      </c>
      <c r="O1560" s="2">
        <v>32</v>
      </c>
      <c r="P1560" s="8">
        <f t="shared" si="122"/>
        <v>5459</v>
      </c>
      <c r="Q1560" s="8">
        <f t="shared" si="123"/>
        <v>3736</v>
      </c>
      <c r="R1560" s="2" t="s">
        <v>50</v>
      </c>
      <c r="S1560" s="9">
        <f t="shared" si="124"/>
        <v>272.95</v>
      </c>
    </row>
    <row r="1561" spans="1:19" x14ac:dyDescent="0.3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str">
        <f>IFERROR(VLOOKUP('Customer Info'!A1553,'Customer Info'!A1553:C2052,2,FALSE),"Not Found")</f>
        <v>Not Found</v>
      </c>
      <c r="H1561" s="6" t="str">
        <f>IFERROR(VLOOKUP('Customer Info'!A1553,'Customer Info'!A1553:C2052,3,FALSE),"Not Found")</f>
        <v>Not Found</v>
      </c>
      <c r="I1561" s="6" t="str">
        <f>IFERROR(VLOOKUP('Customer Info'!A1553,'Customer Info'!A1553:E2052,5,FALSE),"Not Found")</f>
        <v>Not Found</v>
      </c>
      <c r="J1561" s="2">
        <v>92</v>
      </c>
      <c r="K1561" s="2">
        <v>85</v>
      </c>
      <c r="L1561" s="2">
        <v>2</v>
      </c>
      <c r="M1561" s="7">
        <f t="shared" si="120"/>
        <v>170</v>
      </c>
      <c r="N1561" s="7">
        <f t="shared" si="121"/>
        <v>184</v>
      </c>
      <c r="O1561" s="2">
        <v>10</v>
      </c>
      <c r="P1561" s="8">
        <f t="shared" si="122"/>
        <v>194</v>
      </c>
      <c r="Q1561" s="8">
        <f t="shared" si="123"/>
        <v>99</v>
      </c>
      <c r="R1561" s="2" t="s">
        <v>50</v>
      </c>
      <c r="S1561" s="9">
        <f t="shared" si="124"/>
        <v>3.88</v>
      </c>
    </row>
    <row r="1562" spans="1:19" x14ac:dyDescent="0.3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str">
        <f>IFERROR(VLOOKUP('Customer Info'!A1554,'Customer Info'!A1554:C2053,2,FALSE),"Not Found")</f>
        <v>Not Found</v>
      </c>
      <c r="H1562" s="6" t="str">
        <f>IFERROR(VLOOKUP('Customer Info'!A1554,'Customer Info'!A1554:C2053,3,FALSE),"Not Found")</f>
        <v>Not Found</v>
      </c>
      <c r="I1562" s="6" t="str">
        <f>IFERROR(VLOOKUP('Customer Info'!A1554,'Customer Info'!A1554:E2053,5,FALSE),"Not Found")</f>
        <v>Not Found</v>
      </c>
      <c r="J1562" s="2">
        <v>5051</v>
      </c>
      <c r="K1562" s="2">
        <v>4634</v>
      </c>
      <c r="L1562" s="2">
        <v>2</v>
      </c>
      <c r="M1562" s="7">
        <f t="shared" si="120"/>
        <v>9268</v>
      </c>
      <c r="N1562" s="7">
        <f t="shared" si="121"/>
        <v>10102</v>
      </c>
      <c r="O1562" s="2">
        <v>80</v>
      </c>
      <c r="P1562" s="8">
        <f t="shared" si="122"/>
        <v>10182</v>
      </c>
      <c r="Q1562" s="8">
        <f t="shared" si="123"/>
        <v>5468</v>
      </c>
      <c r="R1562" s="2" t="s">
        <v>26</v>
      </c>
      <c r="S1562" s="9">
        <f t="shared" si="124"/>
        <v>509.1</v>
      </c>
    </row>
    <row r="1563" spans="1:19" x14ac:dyDescent="0.3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str">
        <f>IFERROR(VLOOKUP('Customer Info'!A1555,'Customer Info'!A1555:C2054,2,FALSE),"Not Found")</f>
        <v>Not Found</v>
      </c>
      <c r="H1563" s="6" t="str">
        <f>IFERROR(VLOOKUP('Customer Info'!A1555,'Customer Info'!A1555:C2054,3,FALSE),"Not Found")</f>
        <v>Not Found</v>
      </c>
      <c r="I1563" s="6" t="str">
        <f>IFERROR(VLOOKUP('Customer Info'!A1555,'Customer Info'!A1555:E2054,5,FALSE),"Not Found")</f>
        <v>Not Found</v>
      </c>
      <c r="J1563" s="2">
        <v>5906</v>
      </c>
      <c r="K1563" s="2">
        <v>5266</v>
      </c>
      <c r="L1563" s="2">
        <v>1</v>
      </c>
      <c r="M1563" s="7">
        <f t="shared" si="120"/>
        <v>5266</v>
      </c>
      <c r="N1563" s="7">
        <f t="shared" si="121"/>
        <v>5906</v>
      </c>
      <c r="O1563" s="2">
        <v>53</v>
      </c>
      <c r="P1563" s="8">
        <f t="shared" si="122"/>
        <v>5959</v>
      </c>
      <c r="Q1563" s="8">
        <f t="shared" si="123"/>
        <v>640</v>
      </c>
      <c r="R1563" s="2" t="s">
        <v>50</v>
      </c>
      <c r="S1563" s="9">
        <f t="shared" si="124"/>
        <v>297.95</v>
      </c>
    </row>
    <row r="1564" spans="1:19" x14ac:dyDescent="0.3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str">
        <f>IFERROR(VLOOKUP('Customer Info'!A1556,'Customer Info'!A1556:C2055,2,FALSE),"Not Found")</f>
        <v>Not Found</v>
      </c>
      <c r="H1564" s="6" t="str">
        <f>IFERROR(VLOOKUP('Customer Info'!A1556,'Customer Info'!A1556:C2055,3,FALSE),"Not Found")</f>
        <v>Not Found</v>
      </c>
      <c r="I1564" s="6" t="str">
        <f>IFERROR(VLOOKUP('Customer Info'!A1556,'Customer Info'!A1556:E2055,5,FALSE),"Not Found")</f>
        <v>Not Found</v>
      </c>
      <c r="J1564" s="2">
        <v>1399</v>
      </c>
      <c r="K1564" s="2">
        <v>1308</v>
      </c>
      <c r="L1564" s="2">
        <v>6</v>
      </c>
      <c r="M1564" s="7">
        <f t="shared" si="120"/>
        <v>7848</v>
      </c>
      <c r="N1564" s="7">
        <f t="shared" si="121"/>
        <v>8394</v>
      </c>
      <c r="O1564" s="2">
        <v>76</v>
      </c>
      <c r="P1564" s="8">
        <f t="shared" si="122"/>
        <v>8470</v>
      </c>
      <c r="Q1564" s="8">
        <f t="shared" si="123"/>
        <v>7086</v>
      </c>
      <c r="R1564" s="2" t="s">
        <v>50</v>
      </c>
      <c r="S1564" s="9">
        <f t="shared" si="124"/>
        <v>423.5</v>
      </c>
    </row>
    <row r="1565" spans="1:19" x14ac:dyDescent="0.3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str">
        <f>IFERROR(VLOOKUP('Customer Info'!A1557,'Customer Info'!A1557:C2056,2,FALSE),"Not Found")</f>
        <v>Not Found</v>
      </c>
      <c r="H1565" s="6" t="str">
        <f>IFERROR(VLOOKUP('Customer Info'!A1557,'Customer Info'!A1557:C2056,3,FALSE),"Not Found")</f>
        <v>Not Found</v>
      </c>
      <c r="I1565" s="6" t="str">
        <f>IFERROR(VLOOKUP('Customer Info'!A1557,'Customer Info'!A1557:E2056,5,FALSE),"Not Found")</f>
        <v>Not Found</v>
      </c>
      <c r="J1565" s="2">
        <v>2857</v>
      </c>
      <c r="K1565" s="2">
        <v>2622</v>
      </c>
      <c r="L1565" s="2">
        <v>5</v>
      </c>
      <c r="M1565" s="7">
        <f t="shared" si="120"/>
        <v>13110</v>
      </c>
      <c r="N1565" s="7">
        <f t="shared" si="121"/>
        <v>14285</v>
      </c>
      <c r="O1565" s="2">
        <v>55</v>
      </c>
      <c r="P1565" s="8">
        <f t="shared" si="122"/>
        <v>14340</v>
      </c>
      <c r="Q1565" s="8">
        <f t="shared" si="123"/>
        <v>11663</v>
      </c>
      <c r="R1565" s="2" t="s">
        <v>50</v>
      </c>
      <c r="S1565" s="9">
        <f t="shared" si="124"/>
        <v>717</v>
      </c>
    </row>
    <row r="1566" spans="1:19" x14ac:dyDescent="0.3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str">
        <f>IFERROR(VLOOKUP('Customer Info'!A1558,'Customer Info'!A1558:C2057,2,FALSE),"Not Found")</f>
        <v>Not Found</v>
      </c>
      <c r="H1566" s="6" t="str">
        <f>IFERROR(VLOOKUP('Customer Info'!A1558,'Customer Info'!A1558:C2057,3,FALSE),"Not Found")</f>
        <v>Not Found</v>
      </c>
      <c r="I1566" s="6" t="str">
        <f>IFERROR(VLOOKUP('Customer Info'!A1558,'Customer Info'!A1558:E2057,5,FALSE),"Not Found")</f>
        <v>Not Found</v>
      </c>
      <c r="J1566" s="2">
        <v>7212</v>
      </c>
      <c r="K1566" s="2">
        <v>6737</v>
      </c>
      <c r="L1566" s="2">
        <v>2</v>
      </c>
      <c r="M1566" s="7">
        <f t="shared" si="120"/>
        <v>13474</v>
      </c>
      <c r="N1566" s="7">
        <f t="shared" si="121"/>
        <v>14424</v>
      </c>
      <c r="O1566" s="2">
        <v>34</v>
      </c>
      <c r="P1566" s="8">
        <f t="shared" si="122"/>
        <v>14458</v>
      </c>
      <c r="Q1566" s="8">
        <f t="shared" si="123"/>
        <v>7687</v>
      </c>
      <c r="R1566" s="2" t="s">
        <v>50</v>
      </c>
      <c r="S1566" s="9">
        <f t="shared" si="124"/>
        <v>722.90000000000009</v>
      </c>
    </row>
    <row r="1567" spans="1:19" x14ac:dyDescent="0.3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str">
        <f>IFERROR(VLOOKUP('Customer Info'!A1559,'Customer Info'!A1559:C2058,2,FALSE),"Not Found")</f>
        <v>Not Found</v>
      </c>
      <c r="H1567" s="6" t="str">
        <f>IFERROR(VLOOKUP('Customer Info'!A1559,'Customer Info'!A1559:C2058,3,FALSE),"Not Found")</f>
        <v>Not Found</v>
      </c>
      <c r="I1567" s="6" t="str">
        <f>IFERROR(VLOOKUP('Customer Info'!A1559,'Customer Info'!A1559:E2058,5,FALSE),"Not Found")</f>
        <v>Not Found</v>
      </c>
      <c r="J1567" s="2">
        <v>2310</v>
      </c>
      <c r="K1567" s="2">
        <v>2040</v>
      </c>
      <c r="L1567" s="2">
        <v>1</v>
      </c>
      <c r="M1567" s="7">
        <f t="shared" si="120"/>
        <v>2040</v>
      </c>
      <c r="N1567" s="7">
        <f t="shared" si="121"/>
        <v>2310</v>
      </c>
      <c r="O1567" s="2">
        <v>30</v>
      </c>
      <c r="P1567" s="8">
        <f t="shared" si="122"/>
        <v>2340</v>
      </c>
      <c r="Q1567" s="8">
        <f t="shared" si="123"/>
        <v>270</v>
      </c>
      <c r="R1567" s="2" t="s">
        <v>50</v>
      </c>
      <c r="S1567" s="9">
        <f t="shared" si="124"/>
        <v>46.800000000000004</v>
      </c>
    </row>
    <row r="1568" spans="1:19" x14ac:dyDescent="0.3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str">
        <f>IFERROR(VLOOKUP('Customer Info'!A1560,'Customer Info'!A1560:C2059,2,FALSE),"Not Found")</f>
        <v>Not Found</v>
      </c>
      <c r="H1568" s="6" t="str">
        <f>IFERROR(VLOOKUP('Customer Info'!A1560,'Customer Info'!A1560:C2059,3,FALSE),"Not Found")</f>
        <v>Not Found</v>
      </c>
      <c r="I1568" s="6" t="str">
        <f>IFERROR(VLOOKUP('Customer Info'!A1560,'Customer Info'!A1560:E2059,5,FALSE),"Not Found")</f>
        <v>Not Found</v>
      </c>
      <c r="J1568" s="2">
        <v>2759</v>
      </c>
      <c r="K1568" s="2">
        <v>2628</v>
      </c>
      <c r="L1568" s="2">
        <v>2</v>
      </c>
      <c r="M1568" s="7">
        <f t="shared" si="120"/>
        <v>5256</v>
      </c>
      <c r="N1568" s="7">
        <f t="shared" si="121"/>
        <v>5518</v>
      </c>
      <c r="O1568" s="2">
        <v>98</v>
      </c>
      <c r="P1568" s="8">
        <f t="shared" si="122"/>
        <v>5616</v>
      </c>
      <c r="Q1568" s="8">
        <f t="shared" si="123"/>
        <v>2890</v>
      </c>
      <c r="R1568" s="2" t="s">
        <v>50</v>
      </c>
      <c r="S1568" s="9">
        <f t="shared" si="124"/>
        <v>280.8</v>
      </c>
    </row>
    <row r="1569" spans="1:19" x14ac:dyDescent="0.3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str">
        <f>IFERROR(VLOOKUP('Customer Info'!A1561,'Customer Info'!A1561:C2060,2,FALSE),"Not Found")</f>
        <v>Not Found</v>
      </c>
      <c r="H1569" s="6" t="str">
        <f>IFERROR(VLOOKUP('Customer Info'!A1561,'Customer Info'!A1561:C2060,3,FALSE),"Not Found")</f>
        <v>Not Found</v>
      </c>
      <c r="I1569" s="6" t="str">
        <f>IFERROR(VLOOKUP('Customer Info'!A1561,'Customer Info'!A1561:E2060,5,FALSE),"Not Found")</f>
        <v>Not Found</v>
      </c>
      <c r="J1569" s="2">
        <v>1635</v>
      </c>
      <c r="K1569" s="2">
        <v>1573</v>
      </c>
      <c r="L1569" s="2">
        <v>1</v>
      </c>
      <c r="M1569" s="7">
        <f t="shared" si="120"/>
        <v>1573</v>
      </c>
      <c r="N1569" s="7">
        <f t="shared" si="121"/>
        <v>1635</v>
      </c>
      <c r="O1569" s="2">
        <v>68</v>
      </c>
      <c r="P1569" s="8">
        <f t="shared" si="122"/>
        <v>1703</v>
      </c>
      <c r="Q1569" s="8">
        <f t="shared" si="123"/>
        <v>62</v>
      </c>
      <c r="R1569" s="2" t="s">
        <v>26</v>
      </c>
      <c r="S1569" s="9">
        <f t="shared" si="124"/>
        <v>34.06</v>
      </c>
    </row>
    <row r="1570" spans="1:19" x14ac:dyDescent="0.3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str">
        <f>IFERROR(VLOOKUP('Customer Info'!A1562,'Customer Info'!A1562:C2061,2,FALSE),"Not Found")</f>
        <v>Not Found</v>
      </c>
      <c r="H1570" s="6" t="str">
        <f>IFERROR(VLOOKUP('Customer Info'!A1562,'Customer Info'!A1562:C2061,3,FALSE),"Not Found")</f>
        <v>Not Found</v>
      </c>
      <c r="I1570" s="6" t="str">
        <f>IFERROR(VLOOKUP('Customer Info'!A1562,'Customer Info'!A1562:E2061,5,FALSE),"Not Found")</f>
        <v>Not Found</v>
      </c>
      <c r="J1570" s="2">
        <v>1306</v>
      </c>
      <c r="K1570" s="2">
        <v>1197</v>
      </c>
      <c r="L1570" s="2">
        <v>3</v>
      </c>
      <c r="M1570" s="7">
        <f t="shared" si="120"/>
        <v>3591</v>
      </c>
      <c r="N1570" s="7">
        <f t="shared" si="121"/>
        <v>3918</v>
      </c>
      <c r="O1570" s="2">
        <v>70</v>
      </c>
      <c r="P1570" s="8">
        <f t="shared" si="122"/>
        <v>3988</v>
      </c>
      <c r="Q1570" s="8">
        <f t="shared" si="123"/>
        <v>2721</v>
      </c>
      <c r="R1570" s="2" t="s">
        <v>50</v>
      </c>
      <c r="S1570" s="9">
        <f t="shared" si="124"/>
        <v>79.760000000000005</v>
      </c>
    </row>
    <row r="1571" spans="1:19" x14ac:dyDescent="0.3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str">
        <f>IFERROR(VLOOKUP('Customer Info'!A1563,'Customer Info'!A1563:C2062,2,FALSE),"Not Found")</f>
        <v>Not Found</v>
      </c>
      <c r="H1571" s="6" t="str">
        <f>IFERROR(VLOOKUP('Customer Info'!A1563,'Customer Info'!A1563:C2062,3,FALSE),"Not Found")</f>
        <v>Not Found</v>
      </c>
      <c r="I1571" s="6" t="str">
        <f>IFERROR(VLOOKUP('Customer Info'!A1563,'Customer Info'!A1563:E2062,5,FALSE),"Not Found")</f>
        <v>Not Found</v>
      </c>
      <c r="J1571" s="2">
        <v>6951</v>
      </c>
      <c r="K1571" s="2">
        <v>6620</v>
      </c>
      <c r="L1571" s="2">
        <v>7</v>
      </c>
      <c r="M1571" s="7">
        <f t="shared" si="120"/>
        <v>46340</v>
      </c>
      <c r="N1571" s="7">
        <f t="shared" si="121"/>
        <v>48657</v>
      </c>
      <c r="O1571" s="2">
        <v>94</v>
      </c>
      <c r="P1571" s="8">
        <f t="shared" si="122"/>
        <v>48751</v>
      </c>
      <c r="Q1571" s="8">
        <f t="shared" si="123"/>
        <v>42037</v>
      </c>
      <c r="R1571" s="2" t="s">
        <v>28</v>
      </c>
      <c r="S1571" s="9">
        <f t="shared" si="124"/>
        <v>3412.57</v>
      </c>
    </row>
    <row r="1572" spans="1:19" x14ac:dyDescent="0.3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str">
        <f>IFERROR(VLOOKUP('Customer Info'!A1564,'Customer Info'!A1564:C2063,2,FALSE),"Not Found")</f>
        <v>Not Found</v>
      </c>
      <c r="H1572" s="6" t="str">
        <f>IFERROR(VLOOKUP('Customer Info'!A1564,'Customer Info'!A1564:C2063,3,FALSE),"Not Found")</f>
        <v>Not Found</v>
      </c>
      <c r="I1572" s="6" t="str">
        <f>IFERROR(VLOOKUP('Customer Info'!A1564,'Customer Info'!A1564:E2063,5,FALSE),"Not Found")</f>
        <v>Not Found</v>
      </c>
      <c r="J1572" s="2">
        <v>184</v>
      </c>
      <c r="K1572" s="2">
        <v>176</v>
      </c>
      <c r="L1572" s="2">
        <v>2</v>
      </c>
      <c r="M1572" s="7">
        <f t="shared" si="120"/>
        <v>352</v>
      </c>
      <c r="N1572" s="7">
        <f t="shared" si="121"/>
        <v>368</v>
      </c>
      <c r="O1572" s="2">
        <v>30</v>
      </c>
      <c r="P1572" s="8">
        <f t="shared" si="122"/>
        <v>398</v>
      </c>
      <c r="Q1572" s="8">
        <f t="shared" si="123"/>
        <v>192</v>
      </c>
      <c r="R1572" s="2" t="s">
        <v>28</v>
      </c>
      <c r="S1572" s="9">
        <f t="shared" si="124"/>
        <v>7.96</v>
      </c>
    </row>
    <row r="1573" spans="1:19" x14ac:dyDescent="0.3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str">
        <f>IFERROR(VLOOKUP('Customer Info'!A1565,'Customer Info'!A1565:C2064,2,FALSE),"Not Found")</f>
        <v>Not Found</v>
      </c>
      <c r="H1573" s="6" t="str">
        <f>IFERROR(VLOOKUP('Customer Info'!A1565,'Customer Info'!A1565:C2064,3,FALSE),"Not Found")</f>
        <v>Not Found</v>
      </c>
      <c r="I1573" s="6" t="str">
        <f>IFERROR(VLOOKUP('Customer Info'!A1565,'Customer Info'!A1565:E2064,5,FALSE),"Not Found")</f>
        <v>Not Found</v>
      </c>
      <c r="J1573" s="2">
        <v>1686</v>
      </c>
      <c r="K1573" s="2">
        <v>1591</v>
      </c>
      <c r="L1573" s="2">
        <v>2</v>
      </c>
      <c r="M1573" s="7">
        <f t="shared" si="120"/>
        <v>3182</v>
      </c>
      <c r="N1573" s="7">
        <f t="shared" si="121"/>
        <v>3372</v>
      </c>
      <c r="O1573" s="2">
        <v>28</v>
      </c>
      <c r="P1573" s="8">
        <f t="shared" si="122"/>
        <v>3400</v>
      </c>
      <c r="Q1573" s="8">
        <f t="shared" si="123"/>
        <v>1781</v>
      </c>
      <c r="R1573" s="2" t="s">
        <v>50</v>
      </c>
      <c r="S1573" s="9">
        <f t="shared" si="124"/>
        <v>68</v>
      </c>
    </row>
    <row r="1574" spans="1:19" x14ac:dyDescent="0.3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str">
        <f>IFERROR(VLOOKUP('Customer Info'!A1566,'Customer Info'!A1566:C2065,2,FALSE),"Not Found")</f>
        <v>Not Found</v>
      </c>
      <c r="H1574" s="6" t="str">
        <f>IFERROR(VLOOKUP('Customer Info'!A1566,'Customer Info'!A1566:C2065,3,FALSE),"Not Found")</f>
        <v>Not Found</v>
      </c>
      <c r="I1574" s="6" t="str">
        <f>IFERROR(VLOOKUP('Customer Info'!A1566,'Customer Info'!A1566:E2065,5,FALSE),"Not Found")</f>
        <v>Not Found</v>
      </c>
      <c r="J1574" s="2">
        <v>3354</v>
      </c>
      <c r="K1574" s="2">
        <v>3102</v>
      </c>
      <c r="L1574" s="2">
        <v>3</v>
      </c>
      <c r="M1574" s="7">
        <f t="shared" si="120"/>
        <v>9306</v>
      </c>
      <c r="N1574" s="7">
        <f t="shared" si="121"/>
        <v>10062</v>
      </c>
      <c r="O1574" s="2">
        <v>75</v>
      </c>
      <c r="P1574" s="8">
        <f t="shared" si="122"/>
        <v>10137</v>
      </c>
      <c r="Q1574" s="8">
        <f t="shared" si="123"/>
        <v>6960</v>
      </c>
      <c r="R1574" s="2" t="s">
        <v>28</v>
      </c>
      <c r="S1574" s="9">
        <f t="shared" si="124"/>
        <v>506.85</v>
      </c>
    </row>
    <row r="1575" spans="1:19" x14ac:dyDescent="0.3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str">
        <f>IFERROR(VLOOKUP('Customer Info'!A1567,'Customer Info'!A1567:C2066,2,FALSE),"Not Found")</f>
        <v>Not Found</v>
      </c>
      <c r="H1575" s="6" t="str">
        <f>IFERROR(VLOOKUP('Customer Info'!A1567,'Customer Info'!A1567:C2066,3,FALSE),"Not Found")</f>
        <v>Not Found</v>
      </c>
      <c r="I1575" s="6" t="str">
        <f>IFERROR(VLOOKUP('Customer Info'!A1567,'Customer Info'!A1567:E2066,5,FALSE),"Not Found")</f>
        <v>Not Found</v>
      </c>
      <c r="J1575" s="2">
        <v>4714</v>
      </c>
      <c r="K1575" s="2">
        <v>4323</v>
      </c>
      <c r="L1575" s="2">
        <v>1</v>
      </c>
      <c r="M1575" s="7">
        <f t="shared" si="120"/>
        <v>4323</v>
      </c>
      <c r="N1575" s="7">
        <f t="shared" si="121"/>
        <v>4714</v>
      </c>
      <c r="O1575" s="2">
        <v>90</v>
      </c>
      <c r="P1575" s="8">
        <f t="shared" si="122"/>
        <v>4804</v>
      </c>
      <c r="Q1575" s="8">
        <f t="shared" si="123"/>
        <v>391</v>
      </c>
      <c r="R1575" s="2" t="s">
        <v>28</v>
      </c>
      <c r="S1575" s="9">
        <f t="shared" si="124"/>
        <v>96.08</v>
      </c>
    </row>
    <row r="1576" spans="1:19" x14ac:dyDescent="0.3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str">
        <f>IFERROR(VLOOKUP('Customer Info'!A1568,'Customer Info'!A1568:C2067,2,FALSE),"Not Found")</f>
        <v>Not Found</v>
      </c>
      <c r="H1576" s="6" t="str">
        <f>IFERROR(VLOOKUP('Customer Info'!A1568,'Customer Info'!A1568:C2067,3,FALSE),"Not Found")</f>
        <v>Not Found</v>
      </c>
      <c r="I1576" s="6" t="str">
        <f>IFERROR(VLOOKUP('Customer Info'!A1568,'Customer Info'!A1568:E2067,5,FALSE),"Not Found")</f>
        <v>Not Found</v>
      </c>
      <c r="J1576" s="2">
        <v>1292</v>
      </c>
      <c r="K1576" s="2">
        <v>1185</v>
      </c>
      <c r="L1576" s="2">
        <v>8</v>
      </c>
      <c r="M1576" s="7">
        <f t="shared" si="120"/>
        <v>9480</v>
      </c>
      <c r="N1576" s="7">
        <f t="shared" si="121"/>
        <v>10336</v>
      </c>
      <c r="O1576" s="2">
        <v>43</v>
      </c>
      <c r="P1576" s="8">
        <f t="shared" si="122"/>
        <v>10379</v>
      </c>
      <c r="Q1576" s="8">
        <f t="shared" si="123"/>
        <v>9151</v>
      </c>
      <c r="R1576" s="2" t="s">
        <v>28</v>
      </c>
      <c r="S1576" s="9">
        <f t="shared" si="124"/>
        <v>518.95000000000005</v>
      </c>
    </row>
    <row r="1577" spans="1:19" x14ac:dyDescent="0.3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str">
        <f>IFERROR(VLOOKUP('Customer Info'!A1569,'Customer Info'!A1569:C2068,2,FALSE),"Not Found")</f>
        <v>Not Found</v>
      </c>
      <c r="H1577" s="6" t="str">
        <f>IFERROR(VLOOKUP('Customer Info'!A1569,'Customer Info'!A1569:C2068,3,FALSE),"Not Found")</f>
        <v>Not Found</v>
      </c>
      <c r="I1577" s="6" t="str">
        <f>IFERROR(VLOOKUP('Customer Info'!A1569,'Customer Info'!A1569:E2068,5,FALSE),"Not Found")</f>
        <v>Not Found</v>
      </c>
      <c r="J1577" s="2">
        <v>1901</v>
      </c>
      <c r="K1577" s="2">
        <v>1810</v>
      </c>
      <c r="L1577" s="2">
        <v>7</v>
      </c>
      <c r="M1577" s="7">
        <f t="shared" si="120"/>
        <v>12670</v>
      </c>
      <c r="N1577" s="7">
        <f t="shared" si="121"/>
        <v>13307</v>
      </c>
      <c r="O1577" s="2">
        <v>71</v>
      </c>
      <c r="P1577" s="8">
        <f t="shared" si="122"/>
        <v>13378</v>
      </c>
      <c r="Q1577" s="8">
        <f t="shared" si="123"/>
        <v>11497</v>
      </c>
      <c r="R1577" s="2" t="s">
        <v>28</v>
      </c>
      <c r="S1577" s="9">
        <f t="shared" si="124"/>
        <v>668.90000000000009</v>
      </c>
    </row>
    <row r="1578" spans="1:19" x14ac:dyDescent="0.3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str">
        <f>IFERROR(VLOOKUP('Customer Info'!A1570,'Customer Info'!A1570:C2069,2,FALSE),"Not Found")</f>
        <v>Not Found</v>
      </c>
      <c r="H1578" s="6" t="str">
        <f>IFERROR(VLOOKUP('Customer Info'!A1570,'Customer Info'!A1570:C2069,3,FALSE),"Not Found")</f>
        <v>Not Found</v>
      </c>
      <c r="I1578" s="6" t="str">
        <f>IFERROR(VLOOKUP('Customer Info'!A1570,'Customer Info'!A1570:E2069,5,FALSE),"Not Found")</f>
        <v>Not Found</v>
      </c>
      <c r="J1578" s="2">
        <v>729</v>
      </c>
      <c r="K1578" s="2">
        <v>689</v>
      </c>
      <c r="L1578" s="2">
        <v>2</v>
      </c>
      <c r="M1578" s="7">
        <f t="shared" si="120"/>
        <v>1378</v>
      </c>
      <c r="N1578" s="7">
        <f t="shared" si="121"/>
        <v>1458</v>
      </c>
      <c r="O1578" s="2">
        <v>95</v>
      </c>
      <c r="P1578" s="8">
        <f t="shared" si="122"/>
        <v>1553</v>
      </c>
      <c r="Q1578" s="8">
        <f t="shared" si="123"/>
        <v>769</v>
      </c>
      <c r="R1578" s="2" t="s">
        <v>50</v>
      </c>
      <c r="S1578" s="9">
        <f t="shared" si="124"/>
        <v>31.060000000000002</v>
      </c>
    </row>
    <row r="1579" spans="1:19" x14ac:dyDescent="0.3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str">
        <f>IFERROR(VLOOKUP('Customer Info'!A1571,'Customer Info'!A1571:C2070,2,FALSE),"Not Found")</f>
        <v>Not Found</v>
      </c>
      <c r="H1579" s="6" t="str">
        <f>IFERROR(VLOOKUP('Customer Info'!A1571,'Customer Info'!A1571:C2070,3,FALSE),"Not Found")</f>
        <v>Not Found</v>
      </c>
      <c r="I1579" s="6" t="str">
        <f>IFERROR(VLOOKUP('Customer Info'!A1571,'Customer Info'!A1571:E2070,5,FALSE),"Not Found")</f>
        <v>Not Found</v>
      </c>
      <c r="J1579" s="2">
        <v>2042</v>
      </c>
      <c r="K1579" s="2">
        <v>1965</v>
      </c>
      <c r="L1579" s="2">
        <v>2</v>
      </c>
      <c r="M1579" s="7">
        <f t="shared" si="120"/>
        <v>3930</v>
      </c>
      <c r="N1579" s="7">
        <f t="shared" si="121"/>
        <v>4084</v>
      </c>
      <c r="O1579" s="2">
        <v>55</v>
      </c>
      <c r="P1579" s="8">
        <f t="shared" si="122"/>
        <v>4139</v>
      </c>
      <c r="Q1579" s="8">
        <f t="shared" si="123"/>
        <v>2119</v>
      </c>
      <c r="R1579" s="2" t="s">
        <v>28</v>
      </c>
      <c r="S1579" s="9">
        <f t="shared" si="124"/>
        <v>82.78</v>
      </c>
    </row>
    <row r="1580" spans="1:19" x14ac:dyDescent="0.3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str">
        <f>IFERROR(VLOOKUP('Customer Info'!A1572,'Customer Info'!A1572:C2071,2,FALSE),"Not Found")</f>
        <v>Not Found</v>
      </c>
      <c r="H1580" s="6" t="str">
        <f>IFERROR(VLOOKUP('Customer Info'!A1572,'Customer Info'!A1572:C2071,3,FALSE),"Not Found")</f>
        <v>Not Found</v>
      </c>
      <c r="I1580" s="6" t="str">
        <f>IFERROR(VLOOKUP('Customer Info'!A1572,'Customer Info'!A1572:E2071,5,FALSE),"Not Found")</f>
        <v>Not Found</v>
      </c>
      <c r="J1580" s="2">
        <v>1968</v>
      </c>
      <c r="K1580" s="2">
        <v>1821</v>
      </c>
      <c r="L1580" s="2">
        <v>1</v>
      </c>
      <c r="M1580" s="7">
        <f t="shared" si="120"/>
        <v>1821</v>
      </c>
      <c r="N1580" s="7">
        <f t="shared" si="121"/>
        <v>1968</v>
      </c>
      <c r="O1580" s="2">
        <v>21</v>
      </c>
      <c r="P1580" s="8">
        <f t="shared" si="122"/>
        <v>1989</v>
      </c>
      <c r="Q1580" s="8">
        <f t="shared" si="123"/>
        <v>147</v>
      </c>
      <c r="R1580" s="2" t="s">
        <v>56</v>
      </c>
      <c r="S1580" s="9">
        <f t="shared" si="124"/>
        <v>39.78</v>
      </c>
    </row>
    <row r="1581" spans="1:19" x14ac:dyDescent="0.3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str">
        <f>IFERROR(VLOOKUP('Customer Info'!A1573,'Customer Info'!A1573:C2072,2,FALSE),"Not Found")</f>
        <v>Not Found</v>
      </c>
      <c r="H1581" s="6" t="str">
        <f>IFERROR(VLOOKUP('Customer Info'!A1573,'Customer Info'!A1573:C2072,3,FALSE),"Not Found")</f>
        <v>Not Found</v>
      </c>
      <c r="I1581" s="6" t="str">
        <f>IFERROR(VLOOKUP('Customer Info'!A1573,'Customer Info'!A1573:E2072,5,FALSE),"Not Found")</f>
        <v>Not Found</v>
      </c>
      <c r="J1581" s="2">
        <v>1651</v>
      </c>
      <c r="K1581" s="2">
        <v>1604</v>
      </c>
      <c r="L1581" s="2">
        <v>2</v>
      </c>
      <c r="M1581" s="7">
        <f t="shared" si="120"/>
        <v>3208</v>
      </c>
      <c r="N1581" s="7">
        <f t="shared" si="121"/>
        <v>3302</v>
      </c>
      <c r="O1581" s="2">
        <v>80</v>
      </c>
      <c r="P1581" s="8">
        <f t="shared" si="122"/>
        <v>3382</v>
      </c>
      <c r="Q1581" s="8">
        <f t="shared" si="123"/>
        <v>1698</v>
      </c>
      <c r="R1581" s="2" t="s">
        <v>50</v>
      </c>
      <c r="S1581" s="9">
        <f t="shared" si="124"/>
        <v>67.64</v>
      </c>
    </row>
    <row r="1582" spans="1:19" x14ac:dyDescent="0.3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str">
        <f>IFERROR(VLOOKUP('Customer Info'!A1574,'Customer Info'!A1574:C2073,2,FALSE),"Not Found")</f>
        <v>Not Found</v>
      </c>
      <c r="H1582" s="6" t="str">
        <f>IFERROR(VLOOKUP('Customer Info'!A1574,'Customer Info'!A1574:C2073,3,FALSE),"Not Found")</f>
        <v>Not Found</v>
      </c>
      <c r="I1582" s="6" t="str">
        <f>IFERROR(VLOOKUP('Customer Info'!A1574,'Customer Info'!A1574:E2073,5,FALSE),"Not Found")</f>
        <v>Not Found</v>
      </c>
      <c r="J1582" s="2">
        <v>39095</v>
      </c>
      <c r="K1582" s="2">
        <v>35516</v>
      </c>
      <c r="L1582" s="2">
        <v>4</v>
      </c>
      <c r="M1582" s="7">
        <f t="shared" si="120"/>
        <v>142064</v>
      </c>
      <c r="N1582" s="7">
        <f t="shared" si="121"/>
        <v>156380</v>
      </c>
      <c r="O1582" s="2">
        <v>52</v>
      </c>
      <c r="P1582" s="8">
        <f t="shared" si="122"/>
        <v>156432</v>
      </c>
      <c r="Q1582" s="8">
        <f t="shared" si="123"/>
        <v>120864</v>
      </c>
      <c r="R1582" s="2" t="s">
        <v>50</v>
      </c>
      <c r="S1582" s="9">
        <f t="shared" si="124"/>
        <v>18771.84</v>
      </c>
    </row>
    <row r="1583" spans="1:19" x14ac:dyDescent="0.3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str">
        <f>IFERROR(VLOOKUP('Customer Info'!A1575,'Customer Info'!A1575:C2074,2,FALSE),"Not Found")</f>
        <v>Not Found</v>
      </c>
      <c r="H1583" s="6" t="str">
        <f>IFERROR(VLOOKUP('Customer Info'!A1575,'Customer Info'!A1575:C2074,3,FALSE),"Not Found")</f>
        <v>Not Found</v>
      </c>
      <c r="I1583" s="6" t="str">
        <f>IFERROR(VLOOKUP('Customer Info'!A1575,'Customer Info'!A1575:E2074,5,FALSE),"Not Found")</f>
        <v>Not Found</v>
      </c>
      <c r="J1583" s="2">
        <v>1901</v>
      </c>
      <c r="K1583" s="2">
        <v>1810</v>
      </c>
      <c r="L1583" s="2">
        <v>2</v>
      </c>
      <c r="M1583" s="7">
        <f t="shared" si="120"/>
        <v>3620</v>
      </c>
      <c r="N1583" s="7">
        <f t="shared" si="121"/>
        <v>3802</v>
      </c>
      <c r="O1583" s="2">
        <v>56</v>
      </c>
      <c r="P1583" s="8">
        <f t="shared" si="122"/>
        <v>3858</v>
      </c>
      <c r="Q1583" s="8">
        <f t="shared" si="123"/>
        <v>1992</v>
      </c>
      <c r="R1583" s="2" t="s">
        <v>26</v>
      </c>
      <c r="S1583" s="9">
        <f t="shared" si="124"/>
        <v>77.16</v>
      </c>
    </row>
    <row r="1584" spans="1:19" x14ac:dyDescent="0.3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str">
        <f>IFERROR(VLOOKUP('Customer Info'!A1576,'Customer Info'!A1576:C2075,2,FALSE),"Not Found")</f>
        <v>Not Found</v>
      </c>
      <c r="H1584" s="6" t="str">
        <f>IFERROR(VLOOKUP('Customer Info'!A1576,'Customer Info'!A1576:C2075,3,FALSE),"Not Found")</f>
        <v>Not Found</v>
      </c>
      <c r="I1584" s="6" t="str">
        <f>IFERROR(VLOOKUP('Customer Info'!A1576,'Customer Info'!A1576:E2075,5,FALSE),"Not Found")</f>
        <v>Not Found</v>
      </c>
      <c r="J1584" s="2">
        <v>1518</v>
      </c>
      <c r="K1584" s="2">
        <v>1392</v>
      </c>
      <c r="L1584" s="2">
        <v>6</v>
      </c>
      <c r="M1584" s="7">
        <f t="shared" si="120"/>
        <v>8352</v>
      </c>
      <c r="N1584" s="7">
        <f t="shared" si="121"/>
        <v>9108</v>
      </c>
      <c r="O1584" s="2">
        <v>76</v>
      </c>
      <c r="P1584" s="8">
        <f t="shared" si="122"/>
        <v>9184</v>
      </c>
      <c r="Q1584" s="8">
        <f t="shared" si="123"/>
        <v>7716</v>
      </c>
      <c r="R1584" s="2" t="s">
        <v>50</v>
      </c>
      <c r="S1584" s="9">
        <f t="shared" si="124"/>
        <v>459.20000000000005</v>
      </c>
    </row>
    <row r="1585" spans="1:19" x14ac:dyDescent="0.3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str">
        <f>IFERROR(VLOOKUP('Customer Info'!A1577,'Customer Info'!A1577:C2076,2,FALSE),"Not Found")</f>
        <v>Not Found</v>
      </c>
      <c r="H1585" s="6" t="str">
        <f>IFERROR(VLOOKUP('Customer Info'!A1577,'Customer Info'!A1577:C2076,3,FALSE),"Not Found")</f>
        <v>Not Found</v>
      </c>
      <c r="I1585" s="6" t="str">
        <f>IFERROR(VLOOKUP('Customer Info'!A1577,'Customer Info'!A1577:E2076,5,FALSE),"Not Found")</f>
        <v>Not Found</v>
      </c>
      <c r="J1585" s="2">
        <v>8878</v>
      </c>
      <c r="K1585" s="2">
        <v>7914</v>
      </c>
      <c r="L1585" s="2">
        <v>1</v>
      </c>
      <c r="M1585" s="7">
        <f t="shared" si="120"/>
        <v>7914</v>
      </c>
      <c r="N1585" s="7">
        <f t="shared" si="121"/>
        <v>8878</v>
      </c>
      <c r="O1585" s="2">
        <v>69</v>
      </c>
      <c r="P1585" s="8">
        <f t="shared" si="122"/>
        <v>8947</v>
      </c>
      <c r="Q1585" s="8">
        <f t="shared" si="123"/>
        <v>964</v>
      </c>
      <c r="R1585" s="2" t="s">
        <v>28</v>
      </c>
      <c r="S1585" s="9">
        <f t="shared" si="124"/>
        <v>447.35</v>
      </c>
    </row>
    <row r="1586" spans="1:19" x14ac:dyDescent="0.3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str">
        <f>IFERROR(VLOOKUP('Customer Info'!A1578,'Customer Info'!A1578:C2077,2,FALSE),"Not Found")</f>
        <v>Not Found</v>
      </c>
      <c r="H1586" s="6" t="str">
        <f>IFERROR(VLOOKUP('Customer Info'!A1578,'Customer Info'!A1578:C2077,3,FALSE),"Not Found")</f>
        <v>Not Found</v>
      </c>
      <c r="I1586" s="6" t="str">
        <f>IFERROR(VLOOKUP('Customer Info'!A1578,'Customer Info'!A1578:E2077,5,FALSE),"Not Found")</f>
        <v>Not Found</v>
      </c>
      <c r="J1586" s="2">
        <v>2843</v>
      </c>
      <c r="K1586" s="2">
        <v>2735</v>
      </c>
      <c r="L1586" s="2">
        <v>2</v>
      </c>
      <c r="M1586" s="7">
        <f t="shared" si="120"/>
        <v>5470</v>
      </c>
      <c r="N1586" s="7">
        <f t="shared" si="121"/>
        <v>5686</v>
      </c>
      <c r="O1586" s="2">
        <v>65</v>
      </c>
      <c r="P1586" s="8">
        <f t="shared" si="122"/>
        <v>5751</v>
      </c>
      <c r="Q1586" s="8">
        <f t="shared" si="123"/>
        <v>2951</v>
      </c>
      <c r="R1586" s="2" t="s">
        <v>50</v>
      </c>
      <c r="S1586" s="9">
        <f t="shared" si="124"/>
        <v>287.55</v>
      </c>
    </row>
    <row r="1587" spans="1:19" x14ac:dyDescent="0.3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str">
        <f>IFERROR(VLOOKUP('Customer Info'!A1579,'Customer Info'!A1579:C2078,2,FALSE),"Not Found")</f>
        <v>Not Found</v>
      </c>
      <c r="H1587" s="6" t="str">
        <f>IFERROR(VLOOKUP('Customer Info'!A1579,'Customer Info'!A1579:C2078,3,FALSE),"Not Found")</f>
        <v>Not Found</v>
      </c>
      <c r="I1587" s="6" t="str">
        <f>IFERROR(VLOOKUP('Customer Info'!A1579,'Customer Info'!A1579:E2078,5,FALSE),"Not Found")</f>
        <v>Not Found</v>
      </c>
      <c r="J1587" s="2">
        <v>58</v>
      </c>
      <c r="K1587" s="2">
        <v>56</v>
      </c>
      <c r="L1587" s="2">
        <v>3</v>
      </c>
      <c r="M1587" s="7">
        <f t="shared" si="120"/>
        <v>168</v>
      </c>
      <c r="N1587" s="7">
        <f t="shared" si="121"/>
        <v>174</v>
      </c>
      <c r="O1587" s="2">
        <v>10</v>
      </c>
      <c r="P1587" s="8">
        <f t="shared" si="122"/>
        <v>184</v>
      </c>
      <c r="Q1587" s="8">
        <f t="shared" si="123"/>
        <v>118</v>
      </c>
      <c r="R1587" s="2" t="s">
        <v>50</v>
      </c>
      <c r="S1587" s="9">
        <f t="shared" si="124"/>
        <v>3.68</v>
      </c>
    </row>
    <row r="1588" spans="1:19" x14ac:dyDescent="0.3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str">
        <f>IFERROR(VLOOKUP('Customer Info'!A1580,'Customer Info'!A1580:C2079,2,FALSE),"Not Found")</f>
        <v>Not Found</v>
      </c>
      <c r="H1588" s="6" t="str">
        <f>IFERROR(VLOOKUP('Customer Info'!A1580,'Customer Info'!A1580:C2079,3,FALSE),"Not Found")</f>
        <v>Not Found</v>
      </c>
      <c r="I1588" s="6" t="str">
        <f>IFERROR(VLOOKUP('Customer Info'!A1580,'Customer Info'!A1580:E2079,5,FALSE),"Not Found")</f>
        <v>Not Found</v>
      </c>
      <c r="J1588" s="2">
        <v>973</v>
      </c>
      <c r="K1588" s="2">
        <v>910</v>
      </c>
      <c r="L1588" s="2">
        <v>6</v>
      </c>
      <c r="M1588" s="7">
        <f t="shared" si="120"/>
        <v>5460</v>
      </c>
      <c r="N1588" s="7">
        <f t="shared" si="121"/>
        <v>5838</v>
      </c>
      <c r="O1588" s="2">
        <v>29</v>
      </c>
      <c r="P1588" s="8">
        <f t="shared" si="122"/>
        <v>5867</v>
      </c>
      <c r="Q1588" s="8">
        <f t="shared" si="123"/>
        <v>4928</v>
      </c>
      <c r="R1588" s="2" t="s">
        <v>28</v>
      </c>
      <c r="S1588" s="9">
        <f t="shared" si="124"/>
        <v>293.35000000000002</v>
      </c>
    </row>
    <row r="1589" spans="1:19" x14ac:dyDescent="0.3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str">
        <f>IFERROR(VLOOKUP('Customer Info'!A1581,'Customer Info'!A1581:C2080,2,FALSE),"Not Found")</f>
        <v>Not Found</v>
      </c>
      <c r="H1589" s="6" t="str">
        <f>IFERROR(VLOOKUP('Customer Info'!A1581,'Customer Info'!A1581:C2080,3,FALSE),"Not Found")</f>
        <v>Not Found</v>
      </c>
      <c r="I1589" s="6" t="str">
        <f>IFERROR(VLOOKUP('Customer Info'!A1581,'Customer Info'!A1581:E2080,5,FALSE),"Not Found")</f>
        <v>Not Found</v>
      </c>
      <c r="J1589" s="2">
        <v>393</v>
      </c>
      <c r="K1589" s="2">
        <v>374</v>
      </c>
      <c r="L1589" s="2">
        <v>5</v>
      </c>
      <c r="M1589" s="7">
        <f t="shared" si="120"/>
        <v>1870</v>
      </c>
      <c r="N1589" s="7">
        <f t="shared" si="121"/>
        <v>1965</v>
      </c>
      <c r="O1589" s="2">
        <v>35</v>
      </c>
      <c r="P1589" s="8">
        <f t="shared" si="122"/>
        <v>2000</v>
      </c>
      <c r="Q1589" s="8">
        <f t="shared" si="123"/>
        <v>1591</v>
      </c>
      <c r="R1589" s="2" t="s">
        <v>28</v>
      </c>
      <c r="S1589" s="9">
        <f t="shared" si="124"/>
        <v>40</v>
      </c>
    </row>
    <row r="1590" spans="1:19" x14ac:dyDescent="0.3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str">
        <f>IFERROR(VLOOKUP('Customer Info'!A1582,'Customer Info'!A1582:C2081,2,FALSE),"Not Found")</f>
        <v>Not Found</v>
      </c>
      <c r="H1590" s="6" t="str">
        <f>IFERROR(VLOOKUP('Customer Info'!A1582,'Customer Info'!A1582:C2081,3,FALSE),"Not Found")</f>
        <v>Not Found</v>
      </c>
      <c r="I1590" s="6" t="str">
        <f>IFERROR(VLOOKUP('Customer Info'!A1582,'Customer Info'!A1582:E2081,5,FALSE),"Not Found")</f>
        <v>Not Found</v>
      </c>
      <c r="J1590" s="2">
        <v>751</v>
      </c>
      <c r="K1590" s="2">
        <v>696</v>
      </c>
      <c r="L1590" s="2">
        <v>7</v>
      </c>
      <c r="M1590" s="7">
        <f t="shared" si="120"/>
        <v>4872</v>
      </c>
      <c r="N1590" s="7">
        <f t="shared" si="121"/>
        <v>5257</v>
      </c>
      <c r="O1590" s="2">
        <v>29</v>
      </c>
      <c r="P1590" s="8">
        <f t="shared" si="122"/>
        <v>5286</v>
      </c>
      <c r="Q1590" s="8">
        <f t="shared" si="123"/>
        <v>4561</v>
      </c>
      <c r="R1590" s="2" t="s">
        <v>50</v>
      </c>
      <c r="S1590" s="9">
        <f t="shared" si="124"/>
        <v>264.3</v>
      </c>
    </row>
    <row r="1591" spans="1:19" x14ac:dyDescent="0.3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str">
        <f>IFERROR(VLOOKUP('Customer Info'!A1583,'Customer Info'!A1583:C2082,2,FALSE),"Not Found")</f>
        <v>Not Found</v>
      </c>
      <c r="H1591" s="6" t="str">
        <f>IFERROR(VLOOKUP('Customer Info'!A1583,'Customer Info'!A1583:C2082,3,FALSE),"Not Found")</f>
        <v>Not Found</v>
      </c>
      <c r="I1591" s="6" t="str">
        <f>IFERROR(VLOOKUP('Customer Info'!A1583,'Customer Info'!A1583:E2082,5,FALSE),"Not Found")</f>
        <v>Not Found</v>
      </c>
      <c r="J1591" s="2">
        <v>139</v>
      </c>
      <c r="K1591" s="2">
        <v>133</v>
      </c>
      <c r="L1591" s="2">
        <v>3</v>
      </c>
      <c r="M1591" s="7">
        <f t="shared" si="120"/>
        <v>399</v>
      </c>
      <c r="N1591" s="7">
        <f t="shared" si="121"/>
        <v>417</v>
      </c>
      <c r="O1591" s="2">
        <v>30</v>
      </c>
      <c r="P1591" s="8">
        <f t="shared" si="122"/>
        <v>447</v>
      </c>
      <c r="Q1591" s="8">
        <f t="shared" si="123"/>
        <v>284</v>
      </c>
      <c r="R1591" s="2" t="s">
        <v>28</v>
      </c>
      <c r="S1591" s="9">
        <f t="shared" si="124"/>
        <v>8.94</v>
      </c>
    </row>
    <row r="1592" spans="1:19" x14ac:dyDescent="0.3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str">
        <f>IFERROR(VLOOKUP('Customer Info'!A1584,'Customer Info'!A1584:C2083,2,FALSE),"Not Found")</f>
        <v>Not Found</v>
      </c>
      <c r="H1592" s="6" t="str">
        <f>IFERROR(VLOOKUP('Customer Info'!A1584,'Customer Info'!A1584:C2083,3,FALSE),"Not Found")</f>
        <v>Not Found</v>
      </c>
      <c r="I1592" s="6" t="str">
        <f>IFERROR(VLOOKUP('Customer Info'!A1584,'Customer Info'!A1584:E2083,5,FALSE),"Not Found")</f>
        <v>Not Found</v>
      </c>
      <c r="J1592" s="2">
        <v>1845</v>
      </c>
      <c r="K1592" s="2">
        <v>1742</v>
      </c>
      <c r="L1592" s="2">
        <v>1</v>
      </c>
      <c r="M1592" s="7">
        <f t="shared" si="120"/>
        <v>1742</v>
      </c>
      <c r="N1592" s="7">
        <f t="shared" si="121"/>
        <v>1845</v>
      </c>
      <c r="O1592" s="2">
        <v>79</v>
      </c>
      <c r="P1592" s="8">
        <f t="shared" si="122"/>
        <v>1924</v>
      </c>
      <c r="Q1592" s="8">
        <f t="shared" si="123"/>
        <v>103</v>
      </c>
      <c r="R1592" s="2" t="s">
        <v>56</v>
      </c>
      <c r="S1592" s="9">
        <f t="shared" si="124"/>
        <v>38.480000000000004</v>
      </c>
    </row>
    <row r="1593" spans="1:19" x14ac:dyDescent="0.3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str">
        <f>IFERROR(VLOOKUP('Customer Info'!A1585,'Customer Info'!A1585:C2084,2,FALSE),"Not Found")</f>
        <v>Not Found</v>
      </c>
      <c r="H1593" s="6" t="str">
        <f>IFERROR(VLOOKUP('Customer Info'!A1585,'Customer Info'!A1585:C2084,3,FALSE),"Not Found")</f>
        <v>Not Found</v>
      </c>
      <c r="I1593" s="6" t="str">
        <f>IFERROR(VLOOKUP('Customer Info'!A1585,'Customer Info'!A1585:E2084,5,FALSE),"Not Found")</f>
        <v>Not Found</v>
      </c>
      <c r="J1593" s="2">
        <v>1601</v>
      </c>
      <c r="K1593" s="2">
        <v>1510</v>
      </c>
      <c r="L1593" s="2">
        <v>4</v>
      </c>
      <c r="M1593" s="7">
        <f t="shared" si="120"/>
        <v>6040</v>
      </c>
      <c r="N1593" s="7">
        <f t="shared" si="121"/>
        <v>6404</v>
      </c>
      <c r="O1593" s="2">
        <v>34</v>
      </c>
      <c r="P1593" s="8">
        <f t="shared" si="122"/>
        <v>6438</v>
      </c>
      <c r="Q1593" s="8">
        <f t="shared" si="123"/>
        <v>4894</v>
      </c>
      <c r="R1593" s="2" t="s">
        <v>28</v>
      </c>
      <c r="S1593" s="9">
        <f t="shared" si="124"/>
        <v>321.90000000000003</v>
      </c>
    </row>
    <row r="1594" spans="1:19" x14ac:dyDescent="0.3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str">
        <f>IFERROR(VLOOKUP('Customer Info'!A1586,'Customer Info'!A1586:C2085,2,FALSE),"Not Found")</f>
        <v>Not Found</v>
      </c>
      <c r="H1594" s="6" t="str">
        <f>IFERROR(VLOOKUP('Customer Info'!A1586,'Customer Info'!A1586:C2085,3,FALSE),"Not Found")</f>
        <v>Not Found</v>
      </c>
      <c r="I1594" s="6" t="str">
        <f>IFERROR(VLOOKUP('Customer Info'!A1586,'Customer Info'!A1586:E2085,5,FALSE),"Not Found")</f>
        <v>Not Found</v>
      </c>
      <c r="J1594" s="2">
        <v>1305</v>
      </c>
      <c r="K1594" s="2">
        <v>1197</v>
      </c>
      <c r="L1594" s="2">
        <v>2</v>
      </c>
      <c r="M1594" s="7">
        <f t="shared" si="120"/>
        <v>2394</v>
      </c>
      <c r="N1594" s="7">
        <f t="shared" si="121"/>
        <v>2610</v>
      </c>
      <c r="O1594" s="2">
        <v>39</v>
      </c>
      <c r="P1594" s="8">
        <f t="shared" si="122"/>
        <v>2649</v>
      </c>
      <c r="Q1594" s="8">
        <f t="shared" si="123"/>
        <v>1413</v>
      </c>
      <c r="R1594" s="2" t="s">
        <v>28</v>
      </c>
      <c r="S1594" s="9">
        <f t="shared" si="124"/>
        <v>52.980000000000004</v>
      </c>
    </row>
    <row r="1595" spans="1:19" x14ac:dyDescent="0.3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str">
        <f>IFERROR(VLOOKUP('Customer Info'!A1587,'Customer Info'!A1587:C2086,2,FALSE),"Not Found")</f>
        <v>Not Found</v>
      </c>
      <c r="H1595" s="6" t="str">
        <f>IFERROR(VLOOKUP('Customer Info'!A1587,'Customer Info'!A1587:C2086,3,FALSE),"Not Found")</f>
        <v>Not Found</v>
      </c>
      <c r="I1595" s="6" t="str">
        <f>IFERROR(VLOOKUP('Customer Info'!A1587,'Customer Info'!A1587:E2086,5,FALSE),"Not Found")</f>
        <v>Not Found</v>
      </c>
      <c r="J1595" s="2">
        <v>138</v>
      </c>
      <c r="K1595" s="2">
        <v>128</v>
      </c>
      <c r="L1595" s="2">
        <v>3</v>
      </c>
      <c r="M1595" s="7">
        <f t="shared" si="120"/>
        <v>384</v>
      </c>
      <c r="N1595" s="7">
        <f t="shared" si="121"/>
        <v>414</v>
      </c>
      <c r="O1595" s="2">
        <v>30</v>
      </c>
      <c r="P1595" s="8">
        <f t="shared" si="122"/>
        <v>444</v>
      </c>
      <c r="Q1595" s="8">
        <f t="shared" si="123"/>
        <v>286</v>
      </c>
      <c r="R1595" s="2" t="s">
        <v>28</v>
      </c>
      <c r="S1595" s="9">
        <f t="shared" si="124"/>
        <v>8.8800000000000008</v>
      </c>
    </row>
    <row r="1596" spans="1:19" x14ac:dyDescent="0.3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str">
        <f>IFERROR(VLOOKUP('Customer Info'!A1588,'Customer Info'!A1588:C2087,2,FALSE),"Not Found")</f>
        <v>Not Found</v>
      </c>
      <c r="H1596" s="6" t="str">
        <f>IFERROR(VLOOKUP('Customer Info'!A1588,'Customer Info'!A1588:C2087,3,FALSE),"Not Found")</f>
        <v>Not Found</v>
      </c>
      <c r="I1596" s="6" t="str">
        <f>IFERROR(VLOOKUP('Customer Info'!A1588,'Customer Info'!A1588:E2087,5,FALSE),"Not Found")</f>
        <v>Not Found</v>
      </c>
      <c r="J1596" s="2">
        <v>1048</v>
      </c>
      <c r="K1596" s="2">
        <v>979</v>
      </c>
      <c r="L1596" s="2">
        <v>4</v>
      </c>
      <c r="M1596" s="7">
        <f t="shared" si="120"/>
        <v>3916</v>
      </c>
      <c r="N1596" s="7">
        <f t="shared" si="121"/>
        <v>4192</v>
      </c>
      <c r="O1596" s="2">
        <v>21</v>
      </c>
      <c r="P1596" s="8">
        <f t="shared" si="122"/>
        <v>4213</v>
      </c>
      <c r="Q1596" s="8">
        <f t="shared" si="123"/>
        <v>3213</v>
      </c>
      <c r="R1596" s="2" t="s">
        <v>50</v>
      </c>
      <c r="S1596" s="9">
        <f t="shared" si="124"/>
        <v>84.26</v>
      </c>
    </row>
    <row r="1597" spans="1:19" x14ac:dyDescent="0.3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str">
        <f>IFERROR(VLOOKUP('Customer Info'!A1589,'Customer Info'!A1589:C2088,2,FALSE),"Not Found")</f>
        <v>Not Found</v>
      </c>
      <c r="H1597" s="6" t="str">
        <f>IFERROR(VLOOKUP('Customer Info'!A1589,'Customer Info'!A1589:C2088,3,FALSE),"Not Found")</f>
        <v>Not Found</v>
      </c>
      <c r="I1597" s="6" t="str">
        <f>IFERROR(VLOOKUP('Customer Info'!A1589,'Customer Info'!A1589:E2088,5,FALSE),"Not Found")</f>
        <v>Not Found</v>
      </c>
      <c r="J1597" s="2">
        <v>3017</v>
      </c>
      <c r="K1597" s="2">
        <v>2825</v>
      </c>
      <c r="L1597" s="2">
        <v>4</v>
      </c>
      <c r="M1597" s="7">
        <f t="shared" si="120"/>
        <v>11300</v>
      </c>
      <c r="N1597" s="7">
        <f t="shared" si="121"/>
        <v>12068</v>
      </c>
      <c r="O1597" s="2">
        <v>63</v>
      </c>
      <c r="P1597" s="8">
        <f t="shared" si="122"/>
        <v>12131</v>
      </c>
      <c r="Q1597" s="8">
        <f t="shared" si="123"/>
        <v>9243</v>
      </c>
      <c r="R1597" s="2" t="s">
        <v>28</v>
      </c>
      <c r="S1597" s="9">
        <f t="shared" si="124"/>
        <v>606.55000000000007</v>
      </c>
    </row>
    <row r="1598" spans="1:19" x14ac:dyDescent="0.3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str">
        <f>IFERROR(VLOOKUP('Customer Info'!A1590,'Customer Info'!A1590:C2089,2,FALSE),"Not Found")</f>
        <v>Not Found</v>
      </c>
      <c r="H1598" s="6" t="str">
        <f>IFERROR(VLOOKUP('Customer Info'!A1590,'Customer Info'!A1590:C2089,3,FALSE),"Not Found")</f>
        <v>Not Found</v>
      </c>
      <c r="I1598" s="6" t="str">
        <f>IFERROR(VLOOKUP('Customer Info'!A1590,'Customer Info'!A1590:E2089,5,FALSE),"Not Found")</f>
        <v>Not Found</v>
      </c>
      <c r="J1598" s="2">
        <v>4577</v>
      </c>
      <c r="K1598" s="2">
        <v>4285</v>
      </c>
      <c r="L1598" s="2">
        <v>7</v>
      </c>
      <c r="M1598" s="7">
        <f t="shared" si="120"/>
        <v>29995</v>
      </c>
      <c r="N1598" s="7">
        <f t="shared" si="121"/>
        <v>32039</v>
      </c>
      <c r="O1598" s="2">
        <v>53</v>
      </c>
      <c r="P1598" s="8">
        <f t="shared" si="122"/>
        <v>32092</v>
      </c>
      <c r="Q1598" s="8">
        <f t="shared" si="123"/>
        <v>27754</v>
      </c>
      <c r="R1598" s="2" t="s">
        <v>50</v>
      </c>
      <c r="S1598" s="9">
        <f t="shared" si="124"/>
        <v>2246.44</v>
      </c>
    </row>
    <row r="1599" spans="1:19" x14ac:dyDescent="0.3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str">
        <f>IFERROR(VLOOKUP('Customer Info'!A1591,'Customer Info'!A1591:C2090,2,FALSE),"Not Found")</f>
        <v>Not Found</v>
      </c>
      <c r="H1599" s="6" t="str">
        <f>IFERROR(VLOOKUP('Customer Info'!A1591,'Customer Info'!A1591:C2090,3,FALSE),"Not Found")</f>
        <v>Not Found</v>
      </c>
      <c r="I1599" s="6" t="str">
        <f>IFERROR(VLOOKUP('Customer Info'!A1591,'Customer Info'!A1591:E2090,5,FALSE),"Not Found")</f>
        <v>Not Found</v>
      </c>
      <c r="J1599" s="2">
        <v>4798</v>
      </c>
      <c r="K1599" s="2">
        <v>4448</v>
      </c>
      <c r="L1599" s="2">
        <v>2</v>
      </c>
      <c r="M1599" s="7">
        <f t="shared" si="120"/>
        <v>8896</v>
      </c>
      <c r="N1599" s="7">
        <f t="shared" si="121"/>
        <v>9596</v>
      </c>
      <c r="O1599" s="2">
        <v>37</v>
      </c>
      <c r="P1599" s="8">
        <f t="shared" si="122"/>
        <v>9633</v>
      </c>
      <c r="Q1599" s="8">
        <f t="shared" si="123"/>
        <v>5148</v>
      </c>
      <c r="R1599" s="2" t="s">
        <v>50</v>
      </c>
      <c r="S1599" s="9">
        <f t="shared" si="124"/>
        <v>481.65000000000003</v>
      </c>
    </row>
    <row r="1600" spans="1:19" x14ac:dyDescent="0.3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str">
        <f>IFERROR(VLOOKUP('Customer Info'!A1592,'Customer Info'!A1592:C2091,2,FALSE),"Not Found")</f>
        <v>Not Found</v>
      </c>
      <c r="H1600" s="6" t="str">
        <f>IFERROR(VLOOKUP('Customer Info'!A1592,'Customer Info'!A1592:C2091,3,FALSE),"Not Found")</f>
        <v>Not Found</v>
      </c>
      <c r="I1600" s="6" t="str">
        <f>IFERROR(VLOOKUP('Customer Info'!A1592,'Customer Info'!A1592:E2091,5,FALSE),"Not Found")</f>
        <v>Not Found</v>
      </c>
      <c r="J1600" s="2">
        <v>36778</v>
      </c>
      <c r="K1600" s="2">
        <v>34709</v>
      </c>
      <c r="L1600" s="2">
        <v>2</v>
      </c>
      <c r="M1600" s="7">
        <f t="shared" si="120"/>
        <v>69418</v>
      </c>
      <c r="N1600" s="7">
        <f t="shared" si="121"/>
        <v>73556</v>
      </c>
      <c r="O1600" s="2">
        <v>97</v>
      </c>
      <c r="P1600" s="8">
        <f t="shared" si="122"/>
        <v>73653</v>
      </c>
      <c r="Q1600" s="8">
        <f t="shared" si="123"/>
        <v>38847</v>
      </c>
      <c r="R1600" s="2" t="s">
        <v>28</v>
      </c>
      <c r="S1600" s="9">
        <f t="shared" si="124"/>
        <v>6628.7699999999995</v>
      </c>
    </row>
    <row r="1601" spans="1:19" x14ac:dyDescent="0.3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str">
        <f>IFERROR(VLOOKUP('Customer Info'!A1593,'Customer Info'!A1593:C2092,2,FALSE),"Not Found")</f>
        <v>Not Found</v>
      </c>
      <c r="H1601" s="6" t="str">
        <f>IFERROR(VLOOKUP('Customer Info'!A1593,'Customer Info'!A1593:C2092,3,FALSE),"Not Found")</f>
        <v>Not Found</v>
      </c>
      <c r="I1601" s="6" t="str">
        <f>IFERROR(VLOOKUP('Customer Info'!A1593,'Customer Info'!A1593:E2092,5,FALSE),"Not Found")</f>
        <v>Not Found</v>
      </c>
      <c r="J1601" s="2">
        <v>3256</v>
      </c>
      <c r="K1601" s="2">
        <v>3044</v>
      </c>
      <c r="L1601" s="2">
        <v>3</v>
      </c>
      <c r="M1601" s="7">
        <f t="shared" si="120"/>
        <v>9132</v>
      </c>
      <c r="N1601" s="7">
        <f t="shared" si="121"/>
        <v>9768</v>
      </c>
      <c r="O1601" s="2">
        <v>80</v>
      </c>
      <c r="P1601" s="8">
        <f t="shared" si="122"/>
        <v>9848</v>
      </c>
      <c r="Q1601" s="8">
        <f t="shared" si="123"/>
        <v>6724</v>
      </c>
      <c r="R1601" s="2" t="s">
        <v>28</v>
      </c>
      <c r="S1601" s="9">
        <f t="shared" si="124"/>
        <v>492.40000000000003</v>
      </c>
    </row>
    <row r="1602" spans="1:19" x14ac:dyDescent="0.3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str">
        <f>IFERROR(VLOOKUP('Customer Info'!A1594,'Customer Info'!A1594:C2093,2,FALSE),"Not Found")</f>
        <v>Not Found</v>
      </c>
      <c r="H1602" s="6" t="str">
        <f>IFERROR(VLOOKUP('Customer Info'!A1594,'Customer Info'!A1594:C2093,3,FALSE),"Not Found")</f>
        <v>Not Found</v>
      </c>
      <c r="I1602" s="6" t="str">
        <f>IFERROR(VLOOKUP('Customer Info'!A1594,'Customer Info'!A1594:E2093,5,FALSE),"Not Found")</f>
        <v>Not Found</v>
      </c>
      <c r="J1602" s="2">
        <v>2017</v>
      </c>
      <c r="K1602" s="2">
        <v>1834</v>
      </c>
      <c r="L1602" s="2">
        <v>4</v>
      </c>
      <c r="M1602" s="7">
        <f t="shared" si="120"/>
        <v>7336</v>
      </c>
      <c r="N1602" s="7">
        <f t="shared" si="121"/>
        <v>8068</v>
      </c>
      <c r="O1602" s="2">
        <v>51</v>
      </c>
      <c r="P1602" s="8">
        <f t="shared" si="122"/>
        <v>8119</v>
      </c>
      <c r="Q1602" s="8">
        <f t="shared" si="123"/>
        <v>6234</v>
      </c>
      <c r="R1602" s="2" t="s">
        <v>50</v>
      </c>
      <c r="S1602" s="9">
        <f t="shared" si="124"/>
        <v>405.95000000000005</v>
      </c>
    </row>
    <row r="1603" spans="1:19" x14ac:dyDescent="0.3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str">
        <f>IFERROR(VLOOKUP('Customer Info'!A1595,'Customer Info'!A1595:C2094,2,FALSE),"Not Found")</f>
        <v>Not Found</v>
      </c>
      <c r="H1603" s="6" t="str">
        <f>IFERROR(VLOOKUP('Customer Info'!A1595,'Customer Info'!A1595:C2094,3,FALSE),"Not Found")</f>
        <v>Not Found</v>
      </c>
      <c r="I1603" s="6" t="str">
        <f>IFERROR(VLOOKUP('Customer Info'!A1595,'Customer Info'!A1595:E2094,5,FALSE),"Not Found")</f>
        <v>Not Found</v>
      </c>
      <c r="J1603" s="2">
        <v>1968</v>
      </c>
      <c r="K1603" s="2">
        <v>1821</v>
      </c>
      <c r="L1603" s="2">
        <v>9</v>
      </c>
      <c r="M1603" s="7">
        <f t="shared" si="120"/>
        <v>16389</v>
      </c>
      <c r="N1603" s="7">
        <f t="shared" si="121"/>
        <v>17712</v>
      </c>
      <c r="O1603" s="2">
        <v>72</v>
      </c>
      <c r="P1603" s="8">
        <f t="shared" si="122"/>
        <v>17784</v>
      </c>
      <c r="Q1603" s="8">
        <f t="shared" si="123"/>
        <v>15891</v>
      </c>
      <c r="R1603" s="2" t="s">
        <v>28</v>
      </c>
      <c r="S1603" s="9">
        <f t="shared" si="124"/>
        <v>889.2</v>
      </c>
    </row>
    <row r="1604" spans="1:19" x14ac:dyDescent="0.3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str">
        <f>IFERROR(VLOOKUP('Customer Info'!A1596,'Customer Info'!A1596:C2095,2,FALSE),"Not Found")</f>
        <v>Not Found</v>
      </c>
      <c r="H1604" s="6" t="str">
        <f>IFERROR(VLOOKUP('Customer Info'!A1596,'Customer Info'!A1596:C2095,3,FALSE),"Not Found")</f>
        <v>Not Found</v>
      </c>
      <c r="I1604" s="6" t="str">
        <f>IFERROR(VLOOKUP('Customer Info'!A1596,'Customer Info'!A1596:E2095,5,FALSE),"Not Found")</f>
        <v>Not Found</v>
      </c>
      <c r="J1604" s="2">
        <v>3053</v>
      </c>
      <c r="K1604" s="2">
        <v>2937</v>
      </c>
      <c r="L1604" s="2">
        <v>4</v>
      </c>
      <c r="M1604" s="7">
        <f t="shared" si="120"/>
        <v>11748</v>
      </c>
      <c r="N1604" s="7">
        <f t="shared" si="121"/>
        <v>12212</v>
      </c>
      <c r="O1604" s="2">
        <v>96</v>
      </c>
      <c r="P1604" s="8">
        <f t="shared" si="122"/>
        <v>12308</v>
      </c>
      <c r="Q1604" s="8">
        <f t="shared" si="123"/>
        <v>9275</v>
      </c>
      <c r="R1604" s="2" t="s">
        <v>50</v>
      </c>
      <c r="S1604" s="9">
        <f t="shared" si="124"/>
        <v>615.40000000000009</v>
      </c>
    </row>
    <row r="1605" spans="1:19" x14ac:dyDescent="0.3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str">
        <f>IFERROR(VLOOKUP('Customer Info'!A1597,'Customer Info'!A1597:C2096,2,FALSE),"Not Found")</f>
        <v>Not Found</v>
      </c>
      <c r="H1605" s="6" t="str">
        <f>IFERROR(VLOOKUP('Customer Info'!A1597,'Customer Info'!A1597:C2096,3,FALSE),"Not Found")</f>
        <v>Not Found</v>
      </c>
      <c r="I1605" s="6" t="str">
        <f>IFERROR(VLOOKUP('Customer Info'!A1597,'Customer Info'!A1597:E2096,5,FALSE),"Not Found")</f>
        <v>Not Found</v>
      </c>
      <c r="J1605" s="2">
        <v>2864</v>
      </c>
      <c r="K1605" s="2">
        <v>2754</v>
      </c>
      <c r="L1605" s="2">
        <v>4</v>
      </c>
      <c r="M1605" s="7">
        <f t="shared" si="120"/>
        <v>11016</v>
      </c>
      <c r="N1605" s="7">
        <f t="shared" si="121"/>
        <v>11456</v>
      </c>
      <c r="O1605" s="2">
        <v>24</v>
      </c>
      <c r="P1605" s="8">
        <f t="shared" si="122"/>
        <v>11480</v>
      </c>
      <c r="Q1605" s="8">
        <f t="shared" si="123"/>
        <v>8702</v>
      </c>
      <c r="R1605" s="2" t="s">
        <v>28</v>
      </c>
      <c r="S1605" s="9">
        <f t="shared" si="124"/>
        <v>574</v>
      </c>
    </row>
    <row r="1606" spans="1:19" x14ac:dyDescent="0.3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str">
        <f>IFERROR(VLOOKUP('Customer Info'!A1598,'Customer Info'!A1598:C2097,2,FALSE),"Not Found")</f>
        <v>Not Found</v>
      </c>
      <c r="H1606" s="6" t="str">
        <f>IFERROR(VLOOKUP('Customer Info'!A1598,'Customer Info'!A1598:C2097,3,FALSE),"Not Found")</f>
        <v>Not Found</v>
      </c>
      <c r="I1606" s="6" t="str">
        <f>IFERROR(VLOOKUP('Customer Info'!A1598,'Customer Info'!A1598:E2097,5,FALSE),"Not Found")</f>
        <v>Not Found</v>
      </c>
      <c r="J1606" s="2">
        <v>2808</v>
      </c>
      <c r="K1606" s="2">
        <v>2674</v>
      </c>
      <c r="L1606" s="2">
        <v>3</v>
      </c>
      <c r="M1606" s="7">
        <f t="shared" si="120"/>
        <v>8022</v>
      </c>
      <c r="N1606" s="7">
        <f t="shared" si="121"/>
        <v>8424</v>
      </c>
      <c r="O1606" s="2">
        <v>75</v>
      </c>
      <c r="P1606" s="8">
        <f t="shared" si="122"/>
        <v>8499</v>
      </c>
      <c r="Q1606" s="8">
        <f t="shared" si="123"/>
        <v>5750</v>
      </c>
      <c r="R1606" s="2" t="s">
        <v>50</v>
      </c>
      <c r="S1606" s="9">
        <f t="shared" si="124"/>
        <v>424.95000000000005</v>
      </c>
    </row>
    <row r="1607" spans="1:19" x14ac:dyDescent="0.3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str">
        <f>IFERROR(VLOOKUP('Customer Info'!A1599,'Customer Info'!A1599:C2098,2,FALSE),"Not Found")</f>
        <v>Not Found</v>
      </c>
      <c r="H1607" s="6" t="str">
        <f>IFERROR(VLOOKUP('Customer Info'!A1599,'Customer Info'!A1599:C2098,3,FALSE),"Not Found")</f>
        <v>Not Found</v>
      </c>
      <c r="I1607" s="6" t="str">
        <f>IFERROR(VLOOKUP('Customer Info'!A1599,'Customer Info'!A1599:E2098,5,FALSE),"Not Found")</f>
        <v>Not Found</v>
      </c>
      <c r="J1607" s="2">
        <v>30525</v>
      </c>
      <c r="K1607" s="2">
        <v>27702</v>
      </c>
      <c r="L1607" s="2">
        <v>4</v>
      </c>
      <c r="M1607" s="7">
        <f t="shared" si="120"/>
        <v>110808</v>
      </c>
      <c r="N1607" s="7">
        <f t="shared" si="121"/>
        <v>122100</v>
      </c>
      <c r="O1607" s="2">
        <v>54</v>
      </c>
      <c r="P1607" s="8">
        <f t="shared" si="122"/>
        <v>122154</v>
      </c>
      <c r="Q1607" s="8">
        <f t="shared" si="123"/>
        <v>94398</v>
      </c>
      <c r="R1607" s="2" t="s">
        <v>50</v>
      </c>
      <c r="S1607" s="9">
        <f t="shared" si="124"/>
        <v>14658.48</v>
      </c>
    </row>
    <row r="1608" spans="1:19" x14ac:dyDescent="0.3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str">
        <f>IFERROR(VLOOKUP('Customer Info'!A1600,'Customer Info'!A1600:C2099,2,FALSE),"Not Found")</f>
        <v>Not Found</v>
      </c>
      <c r="H1608" s="6" t="str">
        <f>IFERROR(VLOOKUP('Customer Info'!A1600,'Customer Info'!A1600:C2099,3,FALSE),"Not Found")</f>
        <v>Not Found</v>
      </c>
      <c r="I1608" s="6" t="str">
        <f>IFERROR(VLOOKUP('Customer Info'!A1600,'Customer Info'!A1600:E2099,5,FALSE),"Not Found")</f>
        <v>Not Found</v>
      </c>
      <c r="J1608" s="2">
        <v>729</v>
      </c>
      <c r="K1608" s="2">
        <v>689</v>
      </c>
      <c r="L1608" s="2">
        <v>7</v>
      </c>
      <c r="M1608" s="7">
        <f t="shared" si="120"/>
        <v>4823</v>
      </c>
      <c r="N1608" s="7">
        <f t="shared" si="121"/>
        <v>5103</v>
      </c>
      <c r="O1608" s="2">
        <v>93</v>
      </c>
      <c r="P1608" s="8">
        <f t="shared" si="122"/>
        <v>5196</v>
      </c>
      <c r="Q1608" s="8">
        <f t="shared" si="123"/>
        <v>4414</v>
      </c>
      <c r="R1608" s="2" t="s">
        <v>28</v>
      </c>
      <c r="S1608" s="9">
        <f t="shared" si="124"/>
        <v>259.8</v>
      </c>
    </row>
    <row r="1609" spans="1:19" x14ac:dyDescent="0.3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str">
        <f>IFERROR(VLOOKUP('Customer Info'!A1601,'Customer Info'!A1601:C2100,2,FALSE),"Not Found")</f>
        <v>Not Found</v>
      </c>
      <c r="H1609" s="6" t="str">
        <f>IFERROR(VLOOKUP('Customer Info'!A1601,'Customer Info'!A1601:C2100,3,FALSE),"Not Found")</f>
        <v>Not Found</v>
      </c>
      <c r="I1609" s="6" t="str">
        <f>IFERROR(VLOOKUP('Customer Info'!A1601,'Customer Info'!A1601:E2100,5,FALSE),"Not Found")</f>
        <v>Not Found</v>
      </c>
      <c r="J1609" s="2">
        <v>1385</v>
      </c>
      <c r="K1609" s="2">
        <v>1295</v>
      </c>
      <c r="L1609" s="2">
        <v>6</v>
      </c>
      <c r="M1609" s="7">
        <f t="shared" si="120"/>
        <v>7770</v>
      </c>
      <c r="N1609" s="7">
        <f t="shared" si="121"/>
        <v>8310</v>
      </c>
      <c r="O1609" s="2">
        <v>84</v>
      </c>
      <c r="P1609" s="8">
        <f t="shared" si="122"/>
        <v>8394</v>
      </c>
      <c r="Q1609" s="8">
        <f t="shared" si="123"/>
        <v>7015</v>
      </c>
      <c r="R1609" s="2" t="s">
        <v>50</v>
      </c>
      <c r="S1609" s="9">
        <f t="shared" si="124"/>
        <v>419.70000000000005</v>
      </c>
    </row>
    <row r="1610" spans="1:19" x14ac:dyDescent="0.3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str">
        <f>IFERROR(VLOOKUP('Customer Info'!A1602,'Customer Info'!A1602:C2101,2,FALSE),"Not Found")</f>
        <v>Not Found</v>
      </c>
      <c r="H1610" s="6" t="str">
        <f>IFERROR(VLOOKUP('Customer Info'!A1602,'Customer Info'!A1602:C2101,3,FALSE),"Not Found")</f>
        <v>Not Found</v>
      </c>
      <c r="I1610" s="6" t="str">
        <f>IFERROR(VLOOKUP('Customer Info'!A1602,'Customer Info'!A1602:E2101,5,FALSE),"Not Found")</f>
        <v>Not Found</v>
      </c>
      <c r="J1610" s="2">
        <v>1518</v>
      </c>
      <c r="K1610" s="2">
        <v>1392</v>
      </c>
      <c r="L1610" s="2">
        <v>2</v>
      </c>
      <c r="M1610" s="7">
        <f t="shared" si="120"/>
        <v>2784</v>
      </c>
      <c r="N1610" s="7">
        <f t="shared" si="121"/>
        <v>3036</v>
      </c>
      <c r="O1610" s="2">
        <v>67</v>
      </c>
      <c r="P1610" s="8">
        <f t="shared" si="122"/>
        <v>3103</v>
      </c>
      <c r="Q1610" s="8">
        <f t="shared" si="123"/>
        <v>1644</v>
      </c>
      <c r="R1610" s="2" t="s">
        <v>28</v>
      </c>
      <c r="S1610" s="9">
        <f t="shared" si="124"/>
        <v>62.06</v>
      </c>
    </row>
    <row r="1611" spans="1:19" x14ac:dyDescent="0.3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str">
        <f>IFERROR(VLOOKUP('Customer Info'!A1603,'Customer Info'!A1603:C2102,2,FALSE),"Not Found")</f>
        <v>Not Found</v>
      </c>
      <c r="H1611" s="6" t="str">
        <f>IFERROR(VLOOKUP('Customer Info'!A1603,'Customer Info'!A1603:C2102,3,FALSE),"Not Found")</f>
        <v>Not Found</v>
      </c>
      <c r="I1611" s="6" t="str">
        <f>IFERROR(VLOOKUP('Customer Info'!A1603,'Customer Info'!A1603:E2102,5,FALSE),"Not Found")</f>
        <v>Not Found</v>
      </c>
      <c r="J1611" s="2">
        <v>127</v>
      </c>
      <c r="K1611" s="2">
        <v>116</v>
      </c>
      <c r="L1611" s="2">
        <v>1</v>
      </c>
      <c r="M1611" s="7">
        <f t="shared" ref="M1611:M1674" si="125">$K1611*$L1611</f>
        <v>116</v>
      </c>
      <c r="N1611" s="7">
        <f t="shared" ref="N1611:N1674" si="126">$J1611*$L1611</f>
        <v>127</v>
      </c>
      <c r="O1611" s="2">
        <v>30</v>
      </c>
      <c r="P1611" s="8">
        <f t="shared" ref="P1611:P1674" si="127">$N1611+$O1611</f>
        <v>157</v>
      </c>
      <c r="Q1611" s="8">
        <f t="shared" ref="Q1611:Q1674" si="128">$N1611-$K1611</f>
        <v>11</v>
      </c>
      <c r="R1611" s="2" t="s">
        <v>50</v>
      </c>
      <c r="S1611" s="9">
        <f t="shared" ref="S1611:S1674" si="129" xml:space="preserve"> P1611 * VLOOKUP(P1611, $T$2:$U$6, 2, TRUE)</f>
        <v>3.14</v>
      </c>
    </row>
    <row r="1612" spans="1:19" x14ac:dyDescent="0.3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str">
        <f>IFERROR(VLOOKUP('Customer Info'!A1604,'Customer Info'!A1604:C2103,2,FALSE),"Not Found")</f>
        <v>Not Found</v>
      </c>
      <c r="H1612" s="6" t="str">
        <f>IFERROR(VLOOKUP('Customer Info'!A1604,'Customer Info'!A1604:C2103,3,FALSE),"Not Found")</f>
        <v>Not Found</v>
      </c>
      <c r="I1612" s="6" t="str">
        <f>IFERROR(VLOOKUP('Customer Info'!A1604,'Customer Info'!A1604:E2103,5,FALSE),"Not Found")</f>
        <v>Not Found</v>
      </c>
      <c r="J1612" s="2">
        <v>3176</v>
      </c>
      <c r="K1612" s="2">
        <v>3116</v>
      </c>
      <c r="L1612" s="2">
        <v>6</v>
      </c>
      <c r="M1612" s="7">
        <f t="shared" si="125"/>
        <v>18696</v>
      </c>
      <c r="N1612" s="7">
        <f t="shared" si="126"/>
        <v>19056</v>
      </c>
      <c r="O1612" s="2">
        <v>69</v>
      </c>
      <c r="P1612" s="8">
        <f t="shared" si="127"/>
        <v>19125</v>
      </c>
      <c r="Q1612" s="8">
        <f t="shared" si="128"/>
        <v>15940</v>
      </c>
      <c r="R1612" s="2" t="s">
        <v>50</v>
      </c>
      <c r="S1612" s="9">
        <f t="shared" si="129"/>
        <v>956.25</v>
      </c>
    </row>
    <row r="1613" spans="1:19" x14ac:dyDescent="0.3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str">
        <f>IFERROR(VLOOKUP('Customer Info'!A1605,'Customer Info'!A1605:C2104,2,FALSE),"Not Found")</f>
        <v>Not Found</v>
      </c>
      <c r="H1613" s="6" t="str">
        <f>IFERROR(VLOOKUP('Customer Info'!A1605,'Customer Info'!A1605:C2104,3,FALSE),"Not Found")</f>
        <v>Not Found</v>
      </c>
      <c r="I1613" s="6" t="str">
        <f>IFERROR(VLOOKUP('Customer Info'!A1605,'Customer Info'!A1605:E2104,5,FALSE),"Not Found")</f>
        <v>Not Found</v>
      </c>
      <c r="J1613" s="2">
        <v>68</v>
      </c>
      <c r="K1613" s="2">
        <v>63</v>
      </c>
      <c r="L1613" s="2">
        <v>3</v>
      </c>
      <c r="M1613" s="7">
        <f t="shared" si="125"/>
        <v>189</v>
      </c>
      <c r="N1613" s="7">
        <f t="shared" si="126"/>
        <v>204</v>
      </c>
      <c r="O1613" s="2">
        <v>10</v>
      </c>
      <c r="P1613" s="8">
        <f t="shared" si="127"/>
        <v>214</v>
      </c>
      <c r="Q1613" s="8">
        <f t="shared" si="128"/>
        <v>141</v>
      </c>
      <c r="R1613" s="2" t="s">
        <v>50</v>
      </c>
      <c r="S1613" s="9">
        <f t="shared" si="129"/>
        <v>4.28</v>
      </c>
    </row>
    <row r="1614" spans="1:19" x14ac:dyDescent="0.3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str">
        <f>IFERROR(VLOOKUP('Customer Info'!A1606,'Customer Info'!A1606:C2105,2,FALSE),"Not Found")</f>
        <v>Not Found</v>
      </c>
      <c r="H1614" s="6" t="str">
        <f>IFERROR(VLOOKUP('Customer Info'!A1606,'Customer Info'!A1606:C2105,3,FALSE),"Not Found")</f>
        <v>Not Found</v>
      </c>
      <c r="I1614" s="6" t="str">
        <f>IFERROR(VLOOKUP('Customer Info'!A1606,'Customer Info'!A1606:E2105,5,FALSE),"Not Found")</f>
        <v>Not Found</v>
      </c>
      <c r="J1614" s="2">
        <v>1623</v>
      </c>
      <c r="K1614" s="2">
        <v>1546</v>
      </c>
      <c r="L1614" s="2">
        <v>3</v>
      </c>
      <c r="M1614" s="7">
        <f t="shared" si="125"/>
        <v>4638</v>
      </c>
      <c r="N1614" s="7">
        <f t="shared" si="126"/>
        <v>4869</v>
      </c>
      <c r="O1614" s="2">
        <v>86</v>
      </c>
      <c r="P1614" s="8">
        <f t="shared" si="127"/>
        <v>4955</v>
      </c>
      <c r="Q1614" s="8">
        <f t="shared" si="128"/>
        <v>3323</v>
      </c>
      <c r="R1614" s="2" t="s">
        <v>28</v>
      </c>
      <c r="S1614" s="9">
        <f t="shared" si="129"/>
        <v>99.100000000000009</v>
      </c>
    </row>
    <row r="1615" spans="1:19" x14ac:dyDescent="0.3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str">
        <f>IFERROR(VLOOKUP('Customer Info'!A1607,'Customer Info'!A1607:C2106,2,FALSE),"Not Found")</f>
        <v>Not Found</v>
      </c>
      <c r="H1615" s="6" t="str">
        <f>IFERROR(VLOOKUP('Customer Info'!A1607,'Customer Info'!A1607:C2106,3,FALSE),"Not Found")</f>
        <v>Not Found</v>
      </c>
      <c r="I1615" s="6" t="str">
        <f>IFERROR(VLOOKUP('Customer Info'!A1607,'Customer Info'!A1607:E2106,5,FALSE),"Not Found")</f>
        <v>Not Found</v>
      </c>
      <c r="J1615" s="2">
        <v>2228</v>
      </c>
      <c r="K1615" s="2">
        <v>2143</v>
      </c>
      <c r="L1615" s="2">
        <v>7</v>
      </c>
      <c r="M1615" s="7">
        <f t="shared" si="125"/>
        <v>15001</v>
      </c>
      <c r="N1615" s="7">
        <f t="shared" si="126"/>
        <v>15596</v>
      </c>
      <c r="O1615" s="2">
        <v>54</v>
      </c>
      <c r="P1615" s="8">
        <f t="shared" si="127"/>
        <v>15650</v>
      </c>
      <c r="Q1615" s="8">
        <f t="shared" si="128"/>
        <v>13453</v>
      </c>
      <c r="R1615" s="2" t="s">
        <v>50</v>
      </c>
      <c r="S1615" s="9">
        <f t="shared" si="129"/>
        <v>782.5</v>
      </c>
    </row>
    <row r="1616" spans="1:19" x14ac:dyDescent="0.3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str">
        <f>IFERROR(VLOOKUP('Customer Info'!A1608,'Customer Info'!A1608:C2107,2,FALSE),"Not Found")</f>
        <v>Not Found</v>
      </c>
      <c r="H1616" s="6" t="str">
        <f>IFERROR(VLOOKUP('Customer Info'!A1608,'Customer Info'!A1608:C2107,3,FALSE),"Not Found")</f>
        <v>Not Found</v>
      </c>
      <c r="I1616" s="6" t="str">
        <f>IFERROR(VLOOKUP('Customer Info'!A1608,'Customer Info'!A1608:E2107,5,FALSE),"Not Found")</f>
        <v>Not Found</v>
      </c>
      <c r="J1616" s="2">
        <v>4714</v>
      </c>
      <c r="K1616" s="2">
        <v>4323</v>
      </c>
      <c r="L1616" s="2">
        <v>3</v>
      </c>
      <c r="M1616" s="7">
        <f t="shared" si="125"/>
        <v>12969</v>
      </c>
      <c r="N1616" s="7">
        <f t="shared" si="126"/>
        <v>14142</v>
      </c>
      <c r="O1616" s="2">
        <v>85</v>
      </c>
      <c r="P1616" s="8">
        <f t="shared" si="127"/>
        <v>14227</v>
      </c>
      <c r="Q1616" s="8">
        <f t="shared" si="128"/>
        <v>9819</v>
      </c>
      <c r="R1616" s="2" t="s">
        <v>50</v>
      </c>
      <c r="S1616" s="9">
        <f t="shared" si="129"/>
        <v>711.35</v>
      </c>
    </row>
    <row r="1617" spans="1:19" x14ac:dyDescent="0.3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str">
        <f>IFERROR(VLOOKUP('Customer Info'!A1609,'Customer Info'!A1609:C2108,2,FALSE),"Not Found")</f>
        <v>Not Found</v>
      </c>
      <c r="H1617" s="6" t="str">
        <f>IFERROR(VLOOKUP('Customer Info'!A1609,'Customer Info'!A1609:C2108,3,FALSE),"Not Found")</f>
        <v>Not Found</v>
      </c>
      <c r="I1617" s="6" t="str">
        <f>IFERROR(VLOOKUP('Customer Info'!A1609,'Customer Info'!A1609:E2108,5,FALSE),"Not Found")</f>
        <v>Not Found</v>
      </c>
      <c r="J1617" s="2">
        <v>1911</v>
      </c>
      <c r="K1617" s="2">
        <v>1785</v>
      </c>
      <c r="L1617" s="2">
        <v>2</v>
      </c>
      <c r="M1617" s="7">
        <f t="shared" si="125"/>
        <v>3570</v>
      </c>
      <c r="N1617" s="7">
        <f t="shared" si="126"/>
        <v>3822</v>
      </c>
      <c r="O1617" s="2">
        <v>90</v>
      </c>
      <c r="P1617" s="8">
        <f t="shared" si="127"/>
        <v>3912</v>
      </c>
      <c r="Q1617" s="8">
        <f t="shared" si="128"/>
        <v>2037</v>
      </c>
      <c r="R1617" s="2" t="s">
        <v>50</v>
      </c>
      <c r="S1617" s="9">
        <f t="shared" si="129"/>
        <v>78.239999999999995</v>
      </c>
    </row>
    <row r="1618" spans="1:19" x14ac:dyDescent="0.3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str">
        <f>IFERROR(VLOOKUP('Customer Info'!A1610,'Customer Info'!A1610:C2109,2,FALSE),"Not Found")</f>
        <v>Not Found</v>
      </c>
      <c r="H1618" s="6" t="str">
        <f>IFERROR(VLOOKUP('Customer Info'!A1610,'Customer Info'!A1610:C2109,3,FALSE),"Not Found")</f>
        <v>Not Found</v>
      </c>
      <c r="I1618" s="6" t="str">
        <f>IFERROR(VLOOKUP('Customer Info'!A1610,'Customer Info'!A1610:E2109,5,FALSE),"Not Found")</f>
        <v>Not Found</v>
      </c>
      <c r="J1618" s="2">
        <v>2960</v>
      </c>
      <c r="K1618" s="2">
        <v>2635</v>
      </c>
      <c r="L1618" s="2">
        <v>2</v>
      </c>
      <c r="M1618" s="7">
        <f t="shared" si="125"/>
        <v>5270</v>
      </c>
      <c r="N1618" s="7">
        <f t="shared" si="126"/>
        <v>5920</v>
      </c>
      <c r="O1618" s="2">
        <v>77</v>
      </c>
      <c r="P1618" s="8">
        <f t="shared" si="127"/>
        <v>5997</v>
      </c>
      <c r="Q1618" s="8">
        <f t="shared" si="128"/>
        <v>3285</v>
      </c>
      <c r="R1618" s="2" t="s">
        <v>28</v>
      </c>
      <c r="S1618" s="9">
        <f t="shared" si="129"/>
        <v>299.85000000000002</v>
      </c>
    </row>
    <row r="1619" spans="1:19" x14ac:dyDescent="0.3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str">
        <f>IFERROR(VLOOKUP('Customer Info'!A1611,'Customer Info'!A1611:C2110,2,FALSE),"Not Found")</f>
        <v>Not Found</v>
      </c>
      <c r="H1619" s="6" t="str">
        <f>IFERROR(VLOOKUP('Customer Info'!A1611,'Customer Info'!A1611:C2110,3,FALSE),"Not Found")</f>
        <v>Not Found</v>
      </c>
      <c r="I1619" s="6" t="str">
        <f>IFERROR(VLOOKUP('Customer Info'!A1611,'Customer Info'!A1611:E2110,5,FALSE),"Not Found")</f>
        <v>Not Found</v>
      </c>
      <c r="J1619" s="2">
        <v>36057</v>
      </c>
      <c r="K1619" s="2">
        <v>34028</v>
      </c>
      <c r="L1619" s="2">
        <v>2</v>
      </c>
      <c r="M1619" s="7">
        <f t="shared" si="125"/>
        <v>68056</v>
      </c>
      <c r="N1619" s="7">
        <f t="shared" si="126"/>
        <v>72114</v>
      </c>
      <c r="O1619" s="2">
        <v>85</v>
      </c>
      <c r="P1619" s="8">
        <f t="shared" si="127"/>
        <v>72199</v>
      </c>
      <c r="Q1619" s="8">
        <f t="shared" si="128"/>
        <v>38086</v>
      </c>
      <c r="R1619" s="2" t="s">
        <v>28</v>
      </c>
      <c r="S1619" s="9">
        <f t="shared" si="129"/>
        <v>6497.91</v>
      </c>
    </row>
    <row r="1620" spans="1:19" x14ac:dyDescent="0.3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str">
        <f>IFERROR(VLOOKUP('Customer Info'!A1612,'Customer Info'!A1612:C2111,2,FALSE),"Not Found")</f>
        <v>Not Found</v>
      </c>
      <c r="H1620" s="6" t="str">
        <f>IFERROR(VLOOKUP('Customer Info'!A1612,'Customer Info'!A1612:C2111,3,FALSE),"Not Found")</f>
        <v>Not Found</v>
      </c>
      <c r="I1620" s="6" t="str">
        <f>IFERROR(VLOOKUP('Customer Info'!A1612,'Customer Info'!A1612:E2111,5,FALSE),"Not Found")</f>
        <v>Not Found</v>
      </c>
      <c r="J1620" s="2">
        <v>69</v>
      </c>
      <c r="K1620" s="2">
        <v>64</v>
      </c>
      <c r="L1620" s="2">
        <v>3</v>
      </c>
      <c r="M1620" s="7">
        <f t="shared" si="125"/>
        <v>192</v>
      </c>
      <c r="N1620" s="7">
        <f t="shared" si="126"/>
        <v>207</v>
      </c>
      <c r="O1620" s="2">
        <v>10</v>
      </c>
      <c r="P1620" s="8">
        <f t="shared" si="127"/>
        <v>217</v>
      </c>
      <c r="Q1620" s="8">
        <f t="shared" si="128"/>
        <v>143</v>
      </c>
      <c r="R1620" s="2" t="s">
        <v>28</v>
      </c>
      <c r="S1620" s="9">
        <f t="shared" si="129"/>
        <v>4.34</v>
      </c>
    </row>
    <row r="1621" spans="1:19" x14ac:dyDescent="0.3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str">
        <f>IFERROR(VLOOKUP('Customer Info'!A1613,'Customer Info'!A1613:C2112,2,FALSE),"Not Found")</f>
        <v>Not Found</v>
      </c>
      <c r="H1621" s="6" t="str">
        <f>IFERROR(VLOOKUP('Customer Info'!A1613,'Customer Info'!A1613:C2112,3,FALSE),"Not Found")</f>
        <v>Not Found</v>
      </c>
      <c r="I1621" s="6" t="str">
        <f>IFERROR(VLOOKUP('Customer Info'!A1613,'Customer Info'!A1613:E2112,5,FALSE),"Not Found")</f>
        <v>Not Found</v>
      </c>
      <c r="J1621" s="2">
        <v>6611</v>
      </c>
      <c r="K1621" s="2">
        <v>5943</v>
      </c>
      <c r="L1621" s="2">
        <v>6</v>
      </c>
      <c r="M1621" s="7">
        <f t="shared" si="125"/>
        <v>35658</v>
      </c>
      <c r="N1621" s="7">
        <f t="shared" si="126"/>
        <v>39666</v>
      </c>
      <c r="O1621" s="2">
        <v>70</v>
      </c>
      <c r="P1621" s="8">
        <f t="shared" si="127"/>
        <v>39736</v>
      </c>
      <c r="Q1621" s="8">
        <f t="shared" si="128"/>
        <v>33723</v>
      </c>
      <c r="R1621" s="2" t="s">
        <v>50</v>
      </c>
      <c r="S1621" s="9">
        <f t="shared" si="129"/>
        <v>2781.5200000000004</v>
      </c>
    </row>
    <row r="1622" spans="1:19" x14ac:dyDescent="0.3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str">
        <f>IFERROR(VLOOKUP('Customer Info'!A1614,'Customer Info'!A1614:C2113,2,FALSE),"Not Found")</f>
        <v>Not Found</v>
      </c>
      <c r="H1622" s="6" t="str">
        <f>IFERROR(VLOOKUP('Customer Info'!A1614,'Customer Info'!A1614:C2113,3,FALSE),"Not Found")</f>
        <v>Not Found</v>
      </c>
      <c r="I1622" s="6" t="str">
        <f>IFERROR(VLOOKUP('Customer Info'!A1614,'Customer Info'!A1614:E2113,5,FALSE),"Not Found")</f>
        <v>Not Found</v>
      </c>
      <c r="J1622" s="2">
        <v>978</v>
      </c>
      <c r="K1622" s="2">
        <v>922</v>
      </c>
      <c r="L1622" s="2">
        <v>1</v>
      </c>
      <c r="M1622" s="7">
        <f t="shared" si="125"/>
        <v>922</v>
      </c>
      <c r="N1622" s="7">
        <f t="shared" si="126"/>
        <v>978</v>
      </c>
      <c r="O1622" s="2">
        <v>54</v>
      </c>
      <c r="P1622" s="8">
        <f t="shared" si="127"/>
        <v>1032</v>
      </c>
      <c r="Q1622" s="8">
        <f t="shared" si="128"/>
        <v>56</v>
      </c>
      <c r="R1622" s="2" t="s">
        <v>28</v>
      </c>
      <c r="S1622" s="9">
        <f t="shared" si="129"/>
        <v>20.64</v>
      </c>
    </row>
    <row r="1623" spans="1:19" x14ac:dyDescent="0.3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str">
        <f>IFERROR(VLOOKUP('Customer Info'!A1615,'Customer Info'!A1615:C2114,2,FALSE),"Not Found")</f>
        <v>Not Found</v>
      </c>
      <c r="H1623" s="6" t="str">
        <f>IFERROR(VLOOKUP('Customer Info'!A1615,'Customer Info'!A1615:C2114,3,FALSE),"Not Found")</f>
        <v>Not Found</v>
      </c>
      <c r="I1623" s="6" t="str">
        <f>IFERROR(VLOOKUP('Customer Info'!A1615,'Customer Info'!A1615:E2114,5,FALSE),"Not Found")</f>
        <v>Not Found</v>
      </c>
      <c r="J1623" s="2">
        <v>2960</v>
      </c>
      <c r="K1623" s="2">
        <v>2635</v>
      </c>
      <c r="L1623" s="2">
        <v>4</v>
      </c>
      <c r="M1623" s="7">
        <f t="shared" si="125"/>
        <v>10540</v>
      </c>
      <c r="N1623" s="7">
        <f t="shared" si="126"/>
        <v>11840</v>
      </c>
      <c r="O1623" s="2">
        <v>63</v>
      </c>
      <c r="P1623" s="8">
        <f t="shared" si="127"/>
        <v>11903</v>
      </c>
      <c r="Q1623" s="8">
        <f t="shared" si="128"/>
        <v>9205</v>
      </c>
      <c r="R1623" s="2" t="s">
        <v>50</v>
      </c>
      <c r="S1623" s="9">
        <f t="shared" si="129"/>
        <v>595.15</v>
      </c>
    </row>
    <row r="1624" spans="1:19" x14ac:dyDescent="0.3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str">
        <f>IFERROR(VLOOKUP('Customer Info'!A1616,'Customer Info'!A1616:C2115,2,FALSE),"Not Found")</f>
        <v>Not Found</v>
      </c>
      <c r="H1624" s="6" t="str">
        <f>IFERROR(VLOOKUP('Customer Info'!A1616,'Customer Info'!A1616:C2115,3,FALSE),"Not Found")</f>
        <v>Not Found</v>
      </c>
      <c r="I1624" s="6" t="str">
        <f>IFERROR(VLOOKUP('Customer Info'!A1616,'Customer Info'!A1616:E2115,5,FALSE),"Not Found")</f>
        <v>Not Found</v>
      </c>
      <c r="J1624" s="2">
        <v>8448</v>
      </c>
      <c r="K1624" s="2">
        <v>7822</v>
      </c>
      <c r="L1624" s="2">
        <v>3</v>
      </c>
      <c r="M1624" s="7">
        <f t="shared" si="125"/>
        <v>23466</v>
      </c>
      <c r="N1624" s="7">
        <f t="shared" si="126"/>
        <v>25344</v>
      </c>
      <c r="O1624" s="2">
        <v>46</v>
      </c>
      <c r="P1624" s="8">
        <f t="shared" si="127"/>
        <v>25390</v>
      </c>
      <c r="Q1624" s="8">
        <f t="shared" si="128"/>
        <v>17522</v>
      </c>
      <c r="R1624" s="2" t="s">
        <v>28</v>
      </c>
      <c r="S1624" s="9">
        <f t="shared" si="129"/>
        <v>1777.3000000000002</v>
      </c>
    </row>
    <row r="1625" spans="1:19" x14ac:dyDescent="0.3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str">
        <f>IFERROR(VLOOKUP('Customer Info'!A1617,'Customer Info'!A1617:C2116,2,FALSE),"Not Found")</f>
        <v>Not Found</v>
      </c>
      <c r="H1625" s="6" t="str">
        <f>IFERROR(VLOOKUP('Customer Info'!A1617,'Customer Info'!A1617:C2116,3,FALSE),"Not Found")</f>
        <v>Not Found</v>
      </c>
      <c r="I1625" s="6" t="str">
        <f>IFERROR(VLOOKUP('Customer Info'!A1617,'Customer Info'!A1617:E2116,5,FALSE),"Not Found")</f>
        <v>Not Found</v>
      </c>
      <c r="J1625" s="2">
        <v>6060</v>
      </c>
      <c r="K1625" s="2">
        <v>6002</v>
      </c>
      <c r="L1625" s="2">
        <v>2</v>
      </c>
      <c r="M1625" s="7">
        <f t="shared" si="125"/>
        <v>12004</v>
      </c>
      <c r="N1625" s="7">
        <f t="shared" si="126"/>
        <v>12120</v>
      </c>
      <c r="O1625" s="2">
        <v>54</v>
      </c>
      <c r="P1625" s="8">
        <f t="shared" si="127"/>
        <v>12174</v>
      </c>
      <c r="Q1625" s="8">
        <f t="shared" si="128"/>
        <v>6118</v>
      </c>
      <c r="R1625" s="2" t="s">
        <v>26</v>
      </c>
      <c r="S1625" s="9">
        <f t="shared" si="129"/>
        <v>608.70000000000005</v>
      </c>
    </row>
    <row r="1626" spans="1:19" x14ac:dyDescent="0.3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str">
        <f>IFERROR(VLOOKUP('Customer Info'!A1618,'Customer Info'!A1618:C2117,2,FALSE),"Not Found")</f>
        <v>Not Found</v>
      </c>
      <c r="H1626" s="6" t="str">
        <f>IFERROR(VLOOKUP('Customer Info'!A1618,'Customer Info'!A1618:C2117,3,FALSE),"Not Found")</f>
        <v>Not Found</v>
      </c>
      <c r="I1626" s="6" t="str">
        <f>IFERROR(VLOOKUP('Customer Info'!A1618,'Customer Info'!A1618:E2117,5,FALSE),"Not Found")</f>
        <v>Not Found</v>
      </c>
      <c r="J1626" s="2">
        <v>139</v>
      </c>
      <c r="K1626" s="2">
        <v>130</v>
      </c>
      <c r="L1626" s="2">
        <v>4</v>
      </c>
      <c r="M1626" s="7">
        <f t="shared" si="125"/>
        <v>520</v>
      </c>
      <c r="N1626" s="7">
        <f t="shared" si="126"/>
        <v>556</v>
      </c>
      <c r="O1626" s="2">
        <v>30</v>
      </c>
      <c r="P1626" s="8">
        <f t="shared" si="127"/>
        <v>586</v>
      </c>
      <c r="Q1626" s="8">
        <f t="shared" si="128"/>
        <v>426</v>
      </c>
      <c r="R1626" s="2" t="s">
        <v>50</v>
      </c>
      <c r="S1626" s="9">
        <f t="shared" si="129"/>
        <v>11.72</v>
      </c>
    </row>
    <row r="1627" spans="1:19" x14ac:dyDescent="0.3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str">
        <f>IFERROR(VLOOKUP('Customer Info'!A1619,'Customer Info'!A1619:C2118,2,FALSE),"Not Found")</f>
        <v>Not Found</v>
      </c>
      <c r="H1627" s="6" t="str">
        <f>IFERROR(VLOOKUP('Customer Info'!A1619,'Customer Info'!A1619:C2118,3,FALSE),"Not Found")</f>
        <v>Not Found</v>
      </c>
      <c r="I1627" s="6" t="str">
        <f>IFERROR(VLOOKUP('Customer Info'!A1619,'Customer Info'!A1619:E2118,5,FALSE),"Not Found")</f>
        <v>Not Found</v>
      </c>
      <c r="J1627" s="2">
        <v>7232</v>
      </c>
      <c r="K1627" s="2">
        <v>6753</v>
      </c>
      <c r="L1627" s="2">
        <v>2</v>
      </c>
      <c r="M1627" s="7">
        <f t="shared" si="125"/>
        <v>13506</v>
      </c>
      <c r="N1627" s="7">
        <f t="shared" si="126"/>
        <v>14464</v>
      </c>
      <c r="O1627" s="2">
        <v>72</v>
      </c>
      <c r="P1627" s="8">
        <f t="shared" si="127"/>
        <v>14536</v>
      </c>
      <c r="Q1627" s="8">
        <f t="shared" si="128"/>
        <v>7711</v>
      </c>
      <c r="R1627" s="2" t="s">
        <v>28</v>
      </c>
      <c r="S1627" s="9">
        <f t="shared" si="129"/>
        <v>726.80000000000007</v>
      </c>
    </row>
    <row r="1628" spans="1:19" x14ac:dyDescent="0.3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str">
        <f>IFERROR(VLOOKUP('Customer Info'!A1620,'Customer Info'!A1620:C2119,2,FALSE),"Not Found")</f>
        <v>Not Found</v>
      </c>
      <c r="H1628" s="6" t="str">
        <f>IFERROR(VLOOKUP('Customer Info'!A1620,'Customer Info'!A1620:C2119,3,FALSE),"Not Found")</f>
        <v>Not Found</v>
      </c>
      <c r="I1628" s="6" t="str">
        <f>IFERROR(VLOOKUP('Customer Info'!A1620,'Customer Info'!A1620:E2119,5,FALSE),"Not Found")</f>
        <v>Not Found</v>
      </c>
      <c r="J1628" s="2">
        <v>27691</v>
      </c>
      <c r="K1628" s="2">
        <v>25616</v>
      </c>
      <c r="L1628" s="2">
        <v>6</v>
      </c>
      <c r="M1628" s="7">
        <f t="shared" si="125"/>
        <v>153696</v>
      </c>
      <c r="N1628" s="7">
        <f t="shared" si="126"/>
        <v>166146</v>
      </c>
      <c r="O1628" s="2">
        <v>82</v>
      </c>
      <c r="P1628" s="8">
        <f t="shared" si="127"/>
        <v>166228</v>
      </c>
      <c r="Q1628" s="8">
        <f t="shared" si="128"/>
        <v>140530</v>
      </c>
      <c r="R1628" s="2" t="s">
        <v>26</v>
      </c>
      <c r="S1628" s="9">
        <f t="shared" si="129"/>
        <v>19947.36</v>
      </c>
    </row>
    <row r="1629" spans="1:19" x14ac:dyDescent="0.3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str">
        <f>IFERROR(VLOOKUP('Customer Info'!A1621,'Customer Info'!A1621:C2120,2,FALSE),"Not Found")</f>
        <v>Not Found</v>
      </c>
      <c r="H1629" s="6" t="str">
        <f>IFERROR(VLOOKUP('Customer Info'!A1621,'Customer Info'!A1621:C2120,3,FALSE),"Not Found")</f>
        <v>Not Found</v>
      </c>
      <c r="I1629" s="6" t="str">
        <f>IFERROR(VLOOKUP('Customer Info'!A1621,'Customer Info'!A1621:E2120,5,FALSE),"Not Found")</f>
        <v>Not Found</v>
      </c>
      <c r="J1629" s="2">
        <v>2981</v>
      </c>
      <c r="K1629" s="2">
        <v>2870</v>
      </c>
      <c r="L1629" s="2">
        <v>4</v>
      </c>
      <c r="M1629" s="7">
        <f t="shared" si="125"/>
        <v>11480</v>
      </c>
      <c r="N1629" s="7">
        <f t="shared" si="126"/>
        <v>11924</v>
      </c>
      <c r="O1629" s="2">
        <v>60</v>
      </c>
      <c r="P1629" s="8">
        <f t="shared" si="127"/>
        <v>11984</v>
      </c>
      <c r="Q1629" s="8">
        <f t="shared" si="128"/>
        <v>9054</v>
      </c>
      <c r="R1629" s="2" t="s">
        <v>50</v>
      </c>
      <c r="S1629" s="9">
        <f t="shared" si="129"/>
        <v>599.20000000000005</v>
      </c>
    </row>
    <row r="1630" spans="1:19" x14ac:dyDescent="0.3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str">
        <f>IFERROR(VLOOKUP('Customer Info'!A1622,'Customer Info'!A1622:C2121,2,FALSE),"Not Found")</f>
        <v>Not Found</v>
      </c>
      <c r="H1630" s="6" t="str">
        <f>IFERROR(VLOOKUP('Customer Info'!A1622,'Customer Info'!A1622:C2121,3,FALSE),"Not Found")</f>
        <v>Not Found</v>
      </c>
      <c r="I1630" s="6" t="str">
        <f>IFERROR(VLOOKUP('Customer Info'!A1622,'Customer Info'!A1622:E2121,5,FALSE),"Not Found")</f>
        <v>Not Found</v>
      </c>
      <c r="J1630" s="2">
        <v>2333</v>
      </c>
      <c r="K1630" s="2">
        <v>2060</v>
      </c>
      <c r="L1630" s="2">
        <v>3</v>
      </c>
      <c r="M1630" s="7">
        <f t="shared" si="125"/>
        <v>6180</v>
      </c>
      <c r="N1630" s="7">
        <f t="shared" si="126"/>
        <v>6999</v>
      </c>
      <c r="O1630" s="2">
        <v>65</v>
      </c>
      <c r="P1630" s="8">
        <f t="shared" si="127"/>
        <v>7064</v>
      </c>
      <c r="Q1630" s="8">
        <f t="shared" si="128"/>
        <v>4939</v>
      </c>
      <c r="R1630" s="2" t="s">
        <v>28</v>
      </c>
      <c r="S1630" s="9">
        <f t="shared" si="129"/>
        <v>353.20000000000005</v>
      </c>
    </row>
    <row r="1631" spans="1:19" x14ac:dyDescent="0.3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str">
        <f>IFERROR(VLOOKUP('Customer Info'!A1623,'Customer Info'!A1623:C2122,2,FALSE),"Not Found")</f>
        <v>Not Found</v>
      </c>
      <c r="H1631" s="6" t="str">
        <f>IFERROR(VLOOKUP('Customer Info'!A1623,'Customer Info'!A1623:C2122,3,FALSE),"Not Found")</f>
        <v>Not Found</v>
      </c>
      <c r="I1631" s="6" t="str">
        <f>IFERROR(VLOOKUP('Customer Info'!A1623,'Customer Info'!A1623:E2122,5,FALSE),"Not Found")</f>
        <v>Not Found</v>
      </c>
      <c r="J1631" s="2">
        <v>4577</v>
      </c>
      <c r="K1631" s="2">
        <v>4285</v>
      </c>
      <c r="L1631" s="2">
        <v>1</v>
      </c>
      <c r="M1631" s="7">
        <f t="shared" si="125"/>
        <v>4285</v>
      </c>
      <c r="N1631" s="7">
        <f t="shared" si="126"/>
        <v>4577</v>
      </c>
      <c r="O1631" s="2">
        <v>22</v>
      </c>
      <c r="P1631" s="8">
        <f t="shared" si="127"/>
        <v>4599</v>
      </c>
      <c r="Q1631" s="8">
        <f t="shared" si="128"/>
        <v>292</v>
      </c>
      <c r="R1631" s="2" t="s">
        <v>50</v>
      </c>
      <c r="S1631" s="9">
        <f t="shared" si="129"/>
        <v>91.98</v>
      </c>
    </row>
    <row r="1632" spans="1:19" x14ac:dyDescent="0.3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str">
        <f>IFERROR(VLOOKUP('Customer Info'!A1624,'Customer Info'!A1624:C2123,2,FALSE),"Not Found")</f>
        <v>Not Found</v>
      </c>
      <c r="H1632" s="6" t="str">
        <f>IFERROR(VLOOKUP('Customer Info'!A1624,'Customer Info'!A1624:C2123,3,FALSE),"Not Found")</f>
        <v>Not Found</v>
      </c>
      <c r="I1632" s="6" t="str">
        <f>IFERROR(VLOOKUP('Customer Info'!A1624,'Customer Info'!A1624:E2123,5,FALSE),"Not Found")</f>
        <v>Not Found</v>
      </c>
      <c r="J1632" s="2">
        <v>1925</v>
      </c>
      <c r="K1632" s="2">
        <v>1834</v>
      </c>
      <c r="L1632" s="2">
        <v>1</v>
      </c>
      <c r="M1632" s="7">
        <f t="shared" si="125"/>
        <v>1834</v>
      </c>
      <c r="N1632" s="7">
        <f t="shared" si="126"/>
        <v>1925</v>
      </c>
      <c r="O1632" s="2">
        <v>32</v>
      </c>
      <c r="P1632" s="8">
        <f t="shared" si="127"/>
        <v>1957</v>
      </c>
      <c r="Q1632" s="8">
        <f t="shared" si="128"/>
        <v>91</v>
      </c>
      <c r="R1632" s="2" t="s">
        <v>50</v>
      </c>
      <c r="S1632" s="9">
        <f t="shared" si="129"/>
        <v>39.14</v>
      </c>
    </row>
    <row r="1633" spans="1:19" x14ac:dyDescent="0.3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str">
        <f>IFERROR(VLOOKUP('Customer Info'!A1625,'Customer Info'!A1625:C2124,2,FALSE),"Not Found")</f>
        <v>Not Found</v>
      </c>
      <c r="H1633" s="6" t="str">
        <f>IFERROR(VLOOKUP('Customer Info'!A1625,'Customer Info'!A1625:C2124,3,FALSE),"Not Found")</f>
        <v>Not Found</v>
      </c>
      <c r="I1633" s="6" t="str">
        <f>IFERROR(VLOOKUP('Customer Info'!A1625,'Customer Info'!A1625:E2124,5,FALSE),"Not Found")</f>
        <v>Not Found</v>
      </c>
      <c r="J1633" s="2">
        <v>2078</v>
      </c>
      <c r="K1633" s="2">
        <v>1871</v>
      </c>
      <c r="L1633" s="2">
        <v>5</v>
      </c>
      <c r="M1633" s="7">
        <f t="shared" si="125"/>
        <v>9355</v>
      </c>
      <c r="N1633" s="7">
        <f t="shared" si="126"/>
        <v>10390</v>
      </c>
      <c r="O1633" s="2">
        <v>49</v>
      </c>
      <c r="P1633" s="8">
        <f t="shared" si="127"/>
        <v>10439</v>
      </c>
      <c r="Q1633" s="8">
        <f t="shared" si="128"/>
        <v>8519</v>
      </c>
      <c r="R1633" s="2" t="s">
        <v>50</v>
      </c>
      <c r="S1633" s="9">
        <f t="shared" si="129"/>
        <v>521.95000000000005</v>
      </c>
    </row>
    <row r="1634" spans="1:19" x14ac:dyDescent="0.3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str">
        <f>IFERROR(VLOOKUP('Customer Info'!A1626,'Customer Info'!A1626:C2125,2,FALSE),"Not Found")</f>
        <v>Not Found</v>
      </c>
      <c r="H1634" s="6" t="str">
        <f>IFERROR(VLOOKUP('Customer Info'!A1626,'Customer Info'!A1626:C2125,3,FALSE),"Not Found")</f>
        <v>Not Found</v>
      </c>
      <c r="I1634" s="6" t="str">
        <f>IFERROR(VLOOKUP('Customer Info'!A1626,'Customer Info'!A1626:E2125,5,FALSE),"Not Found")</f>
        <v>Not Found</v>
      </c>
      <c r="J1634" s="2">
        <v>193</v>
      </c>
      <c r="K1634" s="2">
        <v>173</v>
      </c>
      <c r="L1634" s="2">
        <v>2</v>
      </c>
      <c r="M1634" s="7">
        <f t="shared" si="125"/>
        <v>346</v>
      </c>
      <c r="N1634" s="7">
        <f t="shared" si="126"/>
        <v>386</v>
      </c>
      <c r="O1634" s="2">
        <v>30</v>
      </c>
      <c r="P1634" s="8">
        <f t="shared" si="127"/>
        <v>416</v>
      </c>
      <c r="Q1634" s="8">
        <f t="shared" si="128"/>
        <v>213</v>
      </c>
      <c r="R1634" s="2" t="s">
        <v>50</v>
      </c>
      <c r="S1634" s="9">
        <f t="shared" si="129"/>
        <v>8.32</v>
      </c>
    </row>
    <row r="1635" spans="1:19" x14ac:dyDescent="0.3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str">
        <f>IFERROR(VLOOKUP('Customer Info'!A1627,'Customer Info'!A1627:C2126,2,FALSE),"Not Found")</f>
        <v>Not Found</v>
      </c>
      <c r="H1635" s="6" t="str">
        <f>IFERROR(VLOOKUP('Customer Info'!A1627,'Customer Info'!A1627:C2126,3,FALSE),"Not Found")</f>
        <v>Not Found</v>
      </c>
      <c r="I1635" s="6" t="str">
        <f>IFERROR(VLOOKUP('Customer Info'!A1627,'Customer Info'!A1627:E2126,5,FALSE),"Not Found")</f>
        <v>Not Found</v>
      </c>
      <c r="J1635" s="2">
        <v>140</v>
      </c>
      <c r="K1635" s="2">
        <v>137</v>
      </c>
      <c r="L1635" s="2">
        <v>3</v>
      </c>
      <c r="M1635" s="7">
        <f t="shared" si="125"/>
        <v>411</v>
      </c>
      <c r="N1635" s="7">
        <f t="shared" si="126"/>
        <v>420</v>
      </c>
      <c r="O1635" s="2">
        <v>30</v>
      </c>
      <c r="P1635" s="8">
        <f t="shared" si="127"/>
        <v>450</v>
      </c>
      <c r="Q1635" s="8">
        <f t="shared" si="128"/>
        <v>283</v>
      </c>
      <c r="R1635" s="2" t="s">
        <v>28</v>
      </c>
      <c r="S1635" s="9">
        <f t="shared" si="129"/>
        <v>9</v>
      </c>
    </row>
    <row r="1636" spans="1:19" x14ac:dyDescent="0.3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str">
        <f>IFERROR(VLOOKUP('Customer Info'!A1628,'Customer Info'!A1628:C2127,2,FALSE),"Not Found")</f>
        <v>Not Found</v>
      </c>
      <c r="H1636" s="6" t="str">
        <f>IFERROR(VLOOKUP('Customer Info'!A1628,'Customer Info'!A1628:C2127,3,FALSE),"Not Found")</f>
        <v>Not Found</v>
      </c>
      <c r="I1636" s="6" t="str">
        <f>IFERROR(VLOOKUP('Customer Info'!A1628,'Customer Info'!A1628:E2127,5,FALSE),"Not Found")</f>
        <v>Not Found</v>
      </c>
      <c r="J1636" s="2">
        <v>3321</v>
      </c>
      <c r="K1636" s="2">
        <v>2989</v>
      </c>
      <c r="L1636" s="2">
        <v>14</v>
      </c>
      <c r="M1636" s="7">
        <f t="shared" si="125"/>
        <v>41846</v>
      </c>
      <c r="N1636" s="7">
        <f t="shared" si="126"/>
        <v>46494</v>
      </c>
      <c r="O1636" s="2">
        <v>97</v>
      </c>
      <c r="P1636" s="8">
        <f t="shared" si="127"/>
        <v>46591</v>
      </c>
      <c r="Q1636" s="8">
        <f t="shared" si="128"/>
        <v>43505</v>
      </c>
      <c r="R1636" s="2" t="s">
        <v>28</v>
      </c>
      <c r="S1636" s="9">
        <f t="shared" si="129"/>
        <v>3261.3700000000003</v>
      </c>
    </row>
    <row r="1637" spans="1:19" x14ac:dyDescent="0.3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str">
        <f>IFERROR(VLOOKUP('Customer Info'!A1629,'Customer Info'!A1629:C2128,2,FALSE),"Not Found")</f>
        <v>Not Found</v>
      </c>
      <c r="H1637" s="6" t="str">
        <f>IFERROR(VLOOKUP('Customer Info'!A1629,'Customer Info'!A1629:C2128,3,FALSE),"Not Found")</f>
        <v>Not Found</v>
      </c>
      <c r="I1637" s="6" t="str">
        <f>IFERROR(VLOOKUP('Customer Info'!A1629,'Customer Info'!A1629:E2128,5,FALSE),"Not Found")</f>
        <v>Not Found</v>
      </c>
      <c r="J1637" s="2">
        <v>1321</v>
      </c>
      <c r="K1637" s="2">
        <v>1211</v>
      </c>
      <c r="L1637" s="2">
        <v>1</v>
      </c>
      <c r="M1637" s="7">
        <f t="shared" si="125"/>
        <v>1211</v>
      </c>
      <c r="N1637" s="7">
        <f t="shared" si="126"/>
        <v>1321</v>
      </c>
      <c r="O1637" s="2">
        <v>38</v>
      </c>
      <c r="P1637" s="8">
        <f t="shared" si="127"/>
        <v>1359</v>
      </c>
      <c r="Q1637" s="8">
        <f t="shared" si="128"/>
        <v>110</v>
      </c>
      <c r="R1637" s="2" t="s">
        <v>28</v>
      </c>
      <c r="S1637" s="9">
        <f t="shared" si="129"/>
        <v>27.18</v>
      </c>
    </row>
    <row r="1638" spans="1:19" x14ac:dyDescent="0.3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str">
        <f>IFERROR(VLOOKUP('Customer Info'!A1630,'Customer Info'!A1630:C2129,2,FALSE),"Not Found")</f>
        <v>Not Found</v>
      </c>
      <c r="H1638" s="6" t="str">
        <f>IFERROR(VLOOKUP('Customer Info'!A1630,'Customer Info'!A1630:C2129,3,FALSE),"Not Found")</f>
        <v>Not Found</v>
      </c>
      <c r="I1638" s="6" t="str">
        <f>IFERROR(VLOOKUP('Customer Info'!A1630,'Customer Info'!A1630:E2129,5,FALSE),"Not Found")</f>
        <v>Not Found</v>
      </c>
      <c r="J1638" s="2">
        <v>7658</v>
      </c>
      <c r="K1638" s="2">
        <v>7026</v>
      </c>
      <c r="L1638" s="2">
        <v>3</v>
      </c>
      <c r="M1638" s="7">
        <f t="shared" si="125"/>
        <v>21078</v>
      </c>
      <c r="N1638" s="7">
        <f t="shared" si="126"/>
        <v>22974</v>
      </c>
      <c r="O1638" s="2">
        <v>20</v>
      </c>
      <c r="P1638" s="8">
        <f t="shared" si="127"/>
        <v>22994</v>
      </c>
      <c r="Q1638" s="8">
        <f t="shared" si="128"/>
        <v>15948</v>
      </c>
      <c r="R1638" s="2" t="s">
        <v>28</v>
      </c>
      <c r="S1638" s="9">
        <f t="shared" si="129"/>
        <v>1149.7</v>
      </c>
    </row>
    <row r="1639" spans="1:19" x14ac:dyDescent="0.3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str">
        <f>IFERROR(VLOOKUP('Customer Info'!A1631,'Customer Info'!A1631:C2130,2,FALSE),"Not Found")</f>
        <v>Not Found</v>
      </c>
      <c r="H1639" s="6" t="str">
        <f>IFERROR(VLOOKUP('Customer Info'!A1631,'Customer Info'!A1631:C2130,3,FALSE),"Not Found")</f>
        <v>Not Found</v>
      </c>
      <c r="I1639" s="6" t="str">
        <f>IFERROR(VLOOKUP('Customer Info'!A1631,'Customer Info'!A1631:E2130,5,FALSE),"Not Found")</f>
        <v>Not Found</v>
      </c>
      <c r="J1639" s="2">
        <v>6768</v>
      </c>
      <c r="K1639" s="2">
        <v>6512</v>
      </c>
      <c r="L1639" s="2">
        <v>4</v>
      </c>
      <c r="M1639" s="7">
        <f t="shared" si="125"/>
        <v>26048</v>
      </c>
      <c r="N1639" s="7">
        <f t="shared" si="126"/>
        <v>27072</v>
      </c>
      <c r="O1639" s="2">
        <v>96</v>
      </c>
      <c r="P1639" s="8">
        <f t="shared" si="127"/>
        <v>27168</v>
      </c>
      <c r="Q1639" s="8">
        <f t="shared" si="128"/>
        <v>20560</v>
      </c>
      <c r="R1639" s="2" t="s">
        <v>28</v>
      </c>
      <c r="S1639" s="9">
        <f t="shared" si="129"/>
        <v>1901.7600000000002</v>
      </c>
    </row>
    <row r="1640" spans="1:19" x14ac:dyDescent="0.3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str">
        <f>IFERROR(VLOOKUP('Customer Info'!A1632,'Customer Info'!A1632:C2131,2,FALSE),"Not Found")</f>
        <v>Not Found</v>
      </c>
      <c r="H1640" s="6" t="str">
        <f>IFERROR(VLOOKUP('Customer Info'!A1632,'Customer Info'!A1632:C2131,3,FALSE),"Not Found")</f>
        <v>Not Found</v>
      </c>
      <c r="I1640" s="6" t="str">
        <f>IFERROR(VLOOKUP('Customer Info'!A1632,'Customer Info'!A1632:E2131,5,FALSE),"Not Found")</f>
        <v>Not Found</v>
      </c>
      <c r="J1640" s="2">
        <v>1576</v>
      </c>
      <c r="K1640" s="2">
        <v>1531</v>
      </c>
      <c r="L1640" s="2">
        <v>4</v>
      </c>
      <c r="M1640" s="7">
        <f t="shared" si="125"/>
        <v>6124</v>
      </c>
      <c r="N1640" s="7">
        <f t="shared" si="126"/>
        <v>6304</v>
      </c>
      <c r="O1640" s="2">
        <v>79</v>
      </c>
      <c r="P1640" s="8">
        <f t="shared" si="127"/>
        <v>6383</v>
      </c>
      <c r="Q1640" s="8">
        <f t="shared" si="128"/>
        <v>4773</v>
      </c>
      <c r="R1640" s="2" t="s">
        <v>28</v>
      </c>
      <c r="S1640" s="9">
        <f t="shared" si="129"/>
        <v>319.15000000000003</v>
      </c>
    </row>
    <row r="1641" spans="1:19" x14ac:dyDescent="0.3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str">
        <f>IFERROR(VLOOKUP('Customer Info'!A1633,'Customer Info'!A1633:C2132,2,FALSE),"Not Found")</f>
        <v>Not Found</v>
      </c>
      <c r="H1641" s="6" t="str">
        <f>IFERROR(VLOOKUP('Customer Info'!A1633,'Customer Info'!A1633:C2132,3,FALSE),"Not Found")</f>
        <v>Not Found</v>
      </c>
      <c r="I1641" s="6" t="str">
        <f>IFERROR(VLOOKUP('Customer Info'!A1633,'Customer Info'!A1633:E2132,5,FALSE),"Not Found")</f>
        <v>Not Found</v>
      </c>
      <c r="J1641" s="2">
        <v>63</v>
      </c>
      <c r="K1641" s="2">
        <v>59</v>
      </c>
      <c r="L1641" s="2">
        <v>3</v>
      </c>
      <c r="M1641" s="7">
        <f t="shared" si="125"/>
        <v>177</v>
      </c>
      <c r="N1641" s="7">
        <f t="shared" si="126"/>
        <v>189</v>
      </c>
      <c r="O1641" s="2">
        <v>10</v>
      </c>
      <c r="P1641" s="8">
        <f t="shared" si="127"/>
        <v>199</v>
      </c>
      <c r="Q1641" s="8">
        <f t="shared" si="128"/>
        <v>130</v>
      </c>
      <c r="R1641" s="2" t="s">
        <v>50</v>
      </c>
      <c r="S1641" s="9">
        <f t="shared" si="129"/>
        <v>3.98</v>
      </c>
    </row>
    <row r="1642" spans="1:19" x14ac:dyDescent="0.3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str">
        <f>IFERROR(VLOOKUP('Customer Info'!A1634,'Customer Info'!A1634:C2133,2,FALSE),"Not Found")</f>
        <v>Not Found</v>
      </c>
      <c r="H1642" s="6" t="str">
        <f>IFERROR(VLOOKUP('Customer Info'!A1634,'Customer Info'!A1634:C2133,3,FALSE),"Not Found")</f>
        <v>Not Found</v>
      </c>
      <c r="I1642" s="6" t="str">
        <f>IFERROR(VLOOKUP('Customer Info'!A1634,'Customer Info'!A1634:E2133,5,FALSE),"Not Found")</f>
        <v>Not Found</v>
      </c>
      <c r="J1642" s="2">
        <v>1651</v>
      </c>
      <c r="K1642" s="2">
        <v>1604</v>
      </c>
      <c r="L1642" s="2">
        <v>2</v>
      </c>
      <c r="M1642" s="7">
        <f t="shared" si="125"/>
        <v>3208</v>
      </c>
      <c r="N1642" s="7">
        <f t="shared" si="126"/>
        <v>3302</v>
      </c>
      <c r="O1642" s="2">
        <v>33</v>
      </c>
      <c r="P1642" s="8">
        <f t="shared" si="127"/>
        <v>3335</v>
      </c>
      <c r="Q1642" s="8">
        <f t="shared" si="128"/>
        <v>1698</v>
      </c>
      <c r="R1642" s="2" t="s">
        <v>28</v>
      </c>
      <c r="S1642" s="9">
        <f t="shared" si="129"/>
        <v>66.7</v>
      </c>
    </row>
    <row r="1643" spans="1:19" x14ac:dyDescent="0.3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str">
        <f>IFERROR(VLOOKUP('Customer Info'!A1635,'Customer Info'!A1635:C2134,2,FALSE),"Not Found")</f>
        <v>Not Found</v>
      </c>
      <c r="H1643" s="6" t="str">
        <f>IFERROR(VLOOKUP('Customer Info'!A1635,'Customer Info'!A1635:C2134,3,FALSE),"Not Found")</f>
        <v>Not Found</v>
      </c>
      <c r="I1643" s="6" t="str">
        <f>IFERROR(VLOOKUP('Customer Info'!A1635,'Customer Info'!A1635:E2134,5,FALSE),"Not Found")</f>
        <v>Not Found</v>
      </c>
      <c r="J1643" s="2">
        <v>214</v>
      </c>
      <c r="K1643" s="2">
        <v>200</v>
      </c>
      <c r="L1643" s="2">
        <v>4</v>
      </c>
      <c r="M1643" s="7">
        <f t="shared" si="125"/>
        <v>800</v>
      </c>
      <c r="N1643" s="7">
        <f t="shared" si="126"/>
        <v>856</v>
      </c>
      <c r="O1643" s="2">
        <v>24</v>
      </c>
      <c r="P1643" s="8">
        <f t="shared" si="127"/>
        <v>880</v>
      </c>
      <c r="Q1643" s="8">
        <f t="shared" si="128"/>
        <v>656</v>
      </c>
      <c r="R1643" s="2" t="s">
        <v>28</v>
      </c>
      <c r="S1643" s="9">
        <f t="shared" si="129"/>
        <v>17.600000000000001</v>
      </c>
    </row>
    <row r="1644" spans="1:19" x14ac:dyDescent="0.3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str">
        <f>IFERROR(VLOOKUP('Customer Info'!A1636,'Customer Info'!A1636:C2135,2,FALSE),"Not Found")</f>
        <v>Not Found</v>
      </c>
      <c r="H1644" s="6" t="str">
        <f>IFERROR(VLOOKUP('Customer Info'!A1636,'Customer Info'!A1636:C2135,3,FALSE),"Not Found")</f>
        <v>Not Found</v>
      </c>
      <c r="I1644" s="6" t="str">
        <f>IFERROR(VLOOKUP('Customer Info'!A1636,'Customer Info'!A1636:E2135,5,FALSE),"Not Found")</f>
        <v>Not Found</v>
      </c>
      <c r="J1644" s="2">
        <v>2697</v>
      </c>
      <c r="K1644" s="2">
        <v>2498</v>
      </c>
      <c r="L1644" s="2">
        <v>3</v>
      </c>
      <c r="M1644" s="7">
        <f t="shared" si="125"/>
        <v>7494</v>
      </c>
      <c r="N1644" s="7">
        <f t="shared" si="126"/>
        <v>8091</v>
      </c>
      <c r="O1644" s="2">
        <v>91</v>
      </c>
      <c r="P1644" s="8">
        <f t="shared" si="127"/>
        <v>8182</v>
      </c>
      <c r="Q1644" s="8">
        <f t="shared" si="128"/>
        <v>5593</v>
      </c>
      <c r="R1644" s="2" t="s">
        <v>28</v>
      </c>
      <c r="S1644" s="9">
        <f t="shared" si="129"/>
        <v>409.1</v>
      </c>
    </row>
    <row r="1645" spans="1:19" x14ac:dyDescent="0.3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str">
        <f>IFERROR(VLOOKUP('Customer Info'!A1637,'Customer Info'!A1637:C2136,2,FALSE),"Not Found")</f>
        <v>Not Found</v>
      </c>
      <c r="H1645" s="6" t="str">
        <f>IFERROR(VLOOKUP('Customer Info'!A1637,'Customer Info'!A1637:C2136,3,FALSE),"Not Found")</f>
        <v>Not Found</v>
      </c>
      <c r="I1645" s="6" t="str">
        <f>IFERROR(VLOOKUP('Customer Info'!A1637,'Customer Info'!A1637:E2136,5,FALSE),"Not Found")</f>
        <v>Not Found</v>
      </c>
      <c r="J1645" s="2">
        <v>1568</v>
      </c>
      <c r="K1645" s="2">
        <v>1495</v>
      </c>
      <c r="L1645" s="2">
        <v>4</v>
      </c>
      <c r="M1645" s="7">
        <f t="shared" si="125"/>
        <v>5980</v>
      </c>
      <c r="N1645" s="7">
        <f t="shared" si="126"/>
        <v>6272</v>
      </c>
      <c r="O1645" s="2">
        <v>73</v>
      </c>
      <c r="P1645" s="8">
        <f t="shared" si="127"/>
        <v>6345</v>
      </c>
      <c r="Q1645" s="8">
        <f t="shared" si="128"/>
        <v>4777</v>
      </c>
      <c r="R1645" s="2" t="s">
        <v>28</v>
      </c>
      <c r="S1645" s="9">
        <f t="shared" si="129"/>
        <v>317.25</v>
      </c>
    </row>
    <row r="1646" spans="1:19" x14ac:dyDescent="0.3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str">
        <f>IFERROR(VLOOKUP('Customer Info'!A1638,'Customer Info'!A1638:C2137,2,FALSE),"Not Found")</f>
        <v>Not Found</v>
      </c>
      <c r="H1646" s="6" t="str">
        <f>IFERROR(VLOOKUP('Customer Info'!A1638,'Customer Info'!A1638:C2137,3,FALSE),"Not Found")</f>
        <v>Not Found</v>
      </c>
      <c r="I1646" s="6" t="str">
        <f>IFERROR(VLOOKUP('Customer Info'!A1638,'Customer Info'!A1638:E2137,5,FALSE),"Not Found")</f>
        <v>Not Found</v>
      </c>
      <c r="J1646" s="2">
        <v>2907</v>
      </c>
      <c r="K1646" s="2">
        <v>2667</v>
      </c>
      <c r="L1646" s="2">
        <v>4</v>
      </c>
      <c r="M1646" s="7">
        <f t="shared" si="125"/>
        <v>10668</v>
      </c>
      <c r="N1646" s="7">
        <f t="shared" si="126"/>
        <v>11628</v>
      </c>
      <c r="O1646" s="2">
        <v>53</v>
      </c>
      <c r="P1646" s="8">
        <f t="shared" si="127"/>
        <v>11681</v>
      </c>
      <c r="Q1646" s="8">
        <f t="shared" si="128"/>
        <v>8961</v>
      </c>
      <c r="R1646" s="2" t="s">
        <v>28</v>
      </c>
      <c r="S1646" s="9">
        <f t="shared" si="129"/>
        <v>584.05000000000007</v>
      </c>
    </row>
    <row r="1647" spans="1:19" x14ac:dyDescent="0.3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str">
        <f>IFERROR(VLOOKUP('Customer Info'!A1639,'Customer Info'!A1639:C2138,2,FALSE),"Not Found")</f>
        <v>Not Found</v>
      </c>
      <c r="H1647" s="6" t="str">
        <f>IFERROR(VLOOKUP('Customer Info'!A1639,'Customer Info'!A1639:C2138,3,FALSE),"Not Found")</f>
        <v>Not Found</v>
      </c>
      <c r="I1647" s="6" t="str">
        <f>IFERROR(VLOOKUP('Customer Info'!A1639,'Customer Info'!A1639:E2138,5,FALSE),"Not Found")</f>
        <v>Not Found</v>
      </c>
      <c r="J1647" s="2">
        <v>60</v>
      </c>
      <c r="K1647" s="2">
        <v>56</v>
      </c>
      <c r="L1647" s="2">
        <v>1</v>
      </c>
      <c r="M1647" s="7">
        <f t="shared" si="125"/>
        <v>56</v>
      </c>
      <c r="N1647" s="7">
        <f t="shared" si="126"/>
        <v>60</v>
      </c>
      <c r="O1647" s="2">
        <v>10</v>
      </c>
      <c r="P1647" s="8">
        <f t="shared" si="127"/>
        <v>70</v>
      </c>
      <c r="Q1647" s="8">
        <f t="shared" si="128"/>
        <v>4</v>
      </c>
      <c r="R1647" s="2" t="s">
        <v>28</v>
      </c>
      <c r="S1647" s="9">
        <f t="shared" si="129"/>
        <v>1.4000000000000001</v>
      </c>
    </row>
    <row r="1648" spans="1:19" x14ac:dyDescent="0.3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str">
        <f>IFERROR(VLOOKUP('Customer Info'!A1640,'Customer Info'!A1640:C2139,2,FALSE),"Not Found")</f>
        <v>Not Found</v>
      </c>
      <c r="H1648" s="6" t="str">
        <f>IFERROR(VLOOKUP('Customer Info'!A1640,'Customer Info'!A1640:C2139,3,FALSE),"Not Found")</f>
        <v>Not Found</v>
      </c>
      <c r="I1648" s="6" t="str">
        <f>IFERROR(VLOOKUP('Customer Info'!A1640,'Customer Info'!A1640:E2139,5,FALSE),"Not Found")</f>
        <v>Not Found</v>
      </c>
      <c r="J1648" s="2">
        <v>6012</v>
      </c>
      <c r="K1648" s="2">
        <v>5677</v>
      </c>
      <c r="L1648" s="2">
        <v>6</v>
      </c>
      <c r="M1648" s="7">
        <f t="shared" si="125"/>
        <v>34062</v>
      </c>
      <c r="N1648" s="7">
        <f t="shared" si="126"/>
        <v>36072</v>
      </c>
      <c r="O1648" s="2">
        <v>40</v>
      </c>
      <c r="P1648" s="8">
        <f t="shared" si="127"/>
        <v>36112</v>
      </c>
      <c r="Q1648" s="8">
        <f t="shared" si="128"/>
        <v>30395</v>
      </c>
      <c r="R1648" s="2" t="s">
        <v>50</v>
      </c>
      <c r="S1648" s="9">
        <f t="shared" si="129"/>
        <v>2527.84</v>
      </c>
    </row>
    <row r="1649" spans="1:19" x14ac:dyDescent="0.3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str">
        <f>IFERROR(VLOOKUP('Customer Info'!A1641,'Customer Info'!A1641:C2140,2,FALSE),"Not Found")</f>
        <v>Not Found</v>
      </c>
      <c r="H1649" s="6" t="str">
        <f>IFERROR(VLOOKUP('Customer Info'!A1641,'Customer Info'!A1641:C2140,3,FALSE),"Not Found")</f>
        <v>Not Found</v>
      </c>
      <c r="I1649" s="6" t="str">
        <f>IFERROR(VLOOKUP('Customer Info'!A1641,'Customer Info'!A1641:E2140,5,FALSE),"Not Found")</f>
        <v>Not Found</v>
      </c>
      <c r="J1649" s="2">
        <v>2778</v>
      </c>
      <c r="K1649" s="2">
        <v>2573</v>
      </c>
      <c r="L1649" s="2">
        <v>2</v>
      </c>
      <c r="M1649" s="7">
        <f t="shared" si="125"/>
        <v>5146</v>
      </c>
      <c r="N1649" s="7">
        <f t="shared" si="126"/>
        <v>5556</v>
      </c>
      <c r="O1649" s="2">
        <v>100</v>
      </c>
      <c r="P1649" s="8">
        <f t="shared" si="127"/>
        <v>5656</v>
      </c>
      <c r="Q1649" s="8">
        <f t="shared" si="128"/>
        <v>2983</v>
      </c>
      <c r="R1649" s="2" t="s">
        <v>50</v>
      </c>
      <c r="S1649" s="9">
        <f t="shared" si="129"/>
        <v>282.8</v>
      </c>
    </row>
    <row r="1650" spans="1:19" x14ac:dyDescent="0.3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str">
        <f>IFERROR(VLOOKUP('Customer Info'!A1642,'Customer Info'!A1642:C2141,2,FALSE),"Not Found")</f>
        <v>Not Found</v>
      </c>
      <c r="H1650" s="6" t="str">
        <f>IFERROR(VLOOKUP('Customer Info'!A1642,'Customer Info'!A1642:C2141,3,FALSE),"Not Found")</f>
        <v>Not Found</v>
      </c>
      <c r="I1650" s="6" t="str">
        <f>IFERROR(VLOOKUP('Customer Info'!A1642,'Customer Info'!A1642:E2141,5,FALSE),"Not Found")</f>
        <v>Not Found</v>
      </c>
      <c r="J1650" s="2">
        <v>78</v>
      </c>
      <c r="K1650" s="2">
        <v>74</v>
      </c>
      <c r="L1650" s="2">
        <v>6</v>
      </c>
      <c r="M1650" s="7">
        <f t="shared" si="125"/>
        <v>444</v>
      </c>
      <c r="N1650" s="7">
        <f t="shared" si="126"/>
        <v>468</v>
      </c>
      <c r="O1650" s="2">
        <v>10</v>
      </c>
      <c r="P1650" s="8">
        <f t="shared" si="127"/>
        <v>478</v>
      </c>
      <c r="Q1650" s="8">
        <f t="shared" si="128"/>
        <v>394</v>
      </c>
      <c r="R1650" s="2" t="s">
        <v>50</v>
      </c>
      <c r="S1650" s="9">
        <f t="shared" si="129"/>
        <v>9.56</v>
      </c>
    </row>
    <row r="1651" spans="1:19" x14ac:dyDescent="0.3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str">
        <f>IFERROR(VLOOKUP('Customer Info'!A1643,'Customer Info'!A1643:C2142,2,FALSE),"Not Found")</f>
        <v>Not Found</v>
      </c>
      <c r="H1651" s="6" t="str">
        <f>IFERROR(VLOOKUP('Customer Info'!A1643,'Customer Info'!A1643:C2142,3,FALSE),"Not Found")</f>
        <v>Not Found</v>
      </c>
      <c r="I1651" s="6" t="str">
        <f>IFERROR(VLOOKUP('Customer Info'!A1643,'Customer Info'!A1643:E2142,5,FALSE),"Not Found")</f>
        <v>Not Found</v>
      </c>
      <c r="J1651" s="2">
        <v>743</v>
      </c>
      <c r="K1651" s="2">
        <v>694</v>
      </c>
      <c r="L1651" s="2">
        <v>3</v>
      </c>
      <c r="M1651" s="7">
        <f t="shared" si="125"/>
        <v>2082</v>
      </c>
      <c r="N1651" s="7">
        <f t="shared" si="126"/>
        <v>2229</v>
      </c>
      <c r="O1651" s="2">
        <v>33</v>
      </c>
      <c r="P1651" s="8">
        <f t="shared" si="127"/>
        <v>2262</v>
      </c>
      <c r="Q1651" s="8">
        <f t="shared" si="128"/>
        <v>1535</v>
      </c>
      <c r="R1651" s="2" t="s">
        <v>28</v>
      </c>
      <c r="S1651" s="9">
        <f t="shared" si="129"/>
        <v>45.24</v>
      </c>
    </row>
    <row r="1652" spans="1:19" x14ac:dyDescent="0.3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str">
        <f>IFERROR(VLOOKUP('Customer Info'!A1644,'Customer Info'!A1644:C2143,2,FALSE),"Not Found")</f>
        <v>Not Found</v>
      </c>
      <c r="H1652" s="6" t="str">
        <f>IFERROR(VLOOKUP('Customer Info'!A1644,'Customer Info'!A1644:C2143,3,FALSE),"Not Found")</f>
        <v>Not Found</v>
      </c>
      <c r="I1652" s="6" t="str">
        <f>IFERROR(VLOOKUP('Customer Info'!A1644,'Customer Info'!A1644:E2143,5,FALSE),"Not Found")</f>
        <v>Not Found</v>
      </c>
      <c r="J1652" s="2">
        <v>2007</v>
      </c>
      <c r="K1652" s="2">
        <v>1839</v>
      </c>
      <c r="L1652" s="2">
        <v>5</v>
      </c>
      <c r="M1652" s="7">
        <f t="shared" si="125"/>
        <v>9195</v>
      </c>
      <c r="N1652" s="7">
        <f t="shared" si="126"/>
        <v>10035</v>
      </c>
      <c r="O1652" s="2">
        <v>69</v>
      </c>
      <c r="P1652" s="8">
        <f t="shared" si="127"/>
        <v>10104</v>
      </c>
      <c r="Q1652" s="8">
        <f t="shared" si="128"/>
        <v>8196</v>
      </c>
      <c r="R1652" s="2" t="s">
        <v>26</v>
      </c>
      <c r="S1652" s="9">
        <f t="shared" si="129"/>
        <v>505.20000000000005</v>
      </c>
    </row>
    <row r="1653" spans="1:19" x14ac:dyDescent="0.3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str">
        <f>IFERROR(VLOOKUP('Customer Info'!A1645,'Customer Info'!A1645:C2144,2,FALSE),"Not Found")</f>
        <v>Not Found</v>
      </c>
      <c r="H1653" s="6" t="str">
        <f>IFERROR(VLOOKUP('Customer Info'!A1645,'Customer Info'!A1645:C2144,3,FALSE),"Not Found")</f>
        <v>Not Found</v>
      </c>
      <c r="I1653" s="6" t="str">
        <f>IFERROR(VLOOKUP('Customer Info'!A1645,'Customer Info'!A1645:E2144,5,FALSE),"Not Found")</f>
        <v>Not Found</v>
      </c>
      <c r="J1653" s="2">
        <v>4577</v>
      </c>
      <c r="K1653" s="2">
        <v>4280</v>
      </c>
      <c r="L1653" s="2">
        <v>1</v>
      </c>
      <c r="M1653" s="7">
        <f t="shared" si="125"/>
        <v>4280</v>
      </c>
      <c r="N1653" s="7">
        <f t="shared" si="126"/>
        <v>4577</v>
      </c>
      <c r="O1653" s="2">
        <v>36</v>
      </c>
      <c r="P1653" s="8">
        <f t="shared" si="127"/>
        <v>4613</v>
      </c>
      <c r="Q1653" s="8">
        <f t="shared" si="128"/>
        <v>297</v>
      </c>
      <c r="R1653" s="2" t="s">
        <v>28</v>
      </c>
      <c r="S1653" s="9">
        <f t="shared" si="129"/>
        <v>92.26</v>
      </c>
    </row>
    <row r="1654" spans="1:19" x14ac:dyDescent="0.3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str">
        <f>IFERROR(VLOOKUP('Customer Info'!A1646,'Customer Info'!A1646:C2145,2,FALSE),"Not Found")</f>
        <v>Not Found</v>
      </c>
      <c r="H1654" s="6" t="str">
        <f>IFERROR(VLOOKUP('Customer Info'!A1646,'Customer Info'!A1646:C2145,3,FALSE),"Not Found")</f>
        <v>Not Found</v>
      </c>
      <c r="I1654" s="6" t="str">
        <f>IFERROR(VLOOKUP('Customer Info'!A1646,'Customer Info'!A1646:E2145,5,FALSE),"Not Found")</f>
        <v>Not Found</v>
      </c>
      <c r="J1654" s="2">
        <v>8967</v>
      </c>
      <c r="K1654" s="2">
        <v>8151</v>
      </c>
      <c r="L1654" s="2">
        <v>2</v>
      </c>
      <c r="M1654" s="7">
        <f t="shared" si="125"/>
        <v>16302</v>
      </c>
      <c r="N1654" s="7">
        <f t="shared" si="126"/>
        <v>17934</v>
      </c>
      <c r="O1654" s="2">
        <v>38</v>
      </c>
      <c r="P1654" s="8">
        <f t="shared" si="127"/>
        <v>17972</v>
      </c>
      <c r="Q1654" s="8">
        <f t="shared" si="128"/>
        <v>9783</v>
      </c>
      <c r="R1654" s="2" t="s">
        <v>28</v>
      </c>
      <c r="S1654" s="9">
        <f t="shared" si="129"/>
        <v>898.6</v>
      </c>
    </row>
    <row r="1655" spans="1:19" x14ac:dyDescent="0.3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str">
        <f>IFERROR(VLOOKUP('Customer Info'!A1647,'Customer Info'!A1647:C2146,2,FALSE),"Not Found")</f>
        <v>Not Found</v>
      </c>
      <c r="H1655" s="6" t="str">
        <f>IFERROR(VLOOKUP('Customer Info'!A1647,'Customer Info'!A1647:C2146,3,FALSE),"Not Found")</f>
        <v>Not Found</v>
      </c>
      <c r="I1655" s="6" t="str">
        <f>IFERROR(VLOOKUP('Customer Info'!A1647,'Customer Info'!A1647:E2146,5,FALSE),"Not Found")</f>
        <v>Not Found</v>
      </c>
      <c r="J1655" s="2">
        <v>1453</v>
      </c>
      <c r="K1655" s="2">
        <v>1411</v>
      </c>
      <c r="L1655" s="2">
        <v>3</v>
      </c>
      <c r="M1655" s="7">
        <f t="shared" si="125"/>
        <v>4233</v>
      </c>
      <c r="N1655" s="7">
        <f t="shared" si="126"/>
        <v>4359</v>
      </c>
      <c r="O1655" s="2">
        <v>32</v>
      </c>
      <c r="P1655" s="8">
        <f t="shared" si="127"/>
        <v>4391</v>
      </c>
      <c r="Q1655" s="8">
        <f t="shared" si="128"/>
        <v>2948</v>
      </c>
      <c r="R1655" s="2" t="s">
        <v>28</v>
      </c>
      <c r="S1655" s="9">
        <f t="shared" si="129"/>
        <v>87.820000000000007</v>
      </c>
    </row>
    <row r="1656" spans="1:19" x14ac:dyDescent="0.3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str">
        <f>IFERROR(VLOOKUP('Customer Info'!A1648,'Customer Info'!A1648:C2147,2,FALSE),"Not Found")</f>
        <v>Not Found</v>
      </c>
      <c r="H1656" s="6" t="str">
        <f>IFERROR(VLOOKUP('Customer Info'!A1648,'Customer Info'!A1648:C2147,3,FALSE),"Not Found")</f>
        <v>Not Found</v>
      </c>
      <c r="I1656" s="6" t="str">
        <f>IFERROR(VLOOKUP('Customer Info'!A1648,'Customer Info'!A1648:E2147,5,FALSE),"Not Found")</f>
        <v>Not Found</v>
      </c>
      <c r="J1656" s="2">
        <v>900</v>
      </c>
      <c r="K1656" s="2">
        <v>834</v>
      </c>
      <c r="L1656" s="2">
        <v>8</v>
      </c>
      <c r="M1656" s="7">
        <f t="shared" si="125"/>
        <v>6672</v>
      </c>
      <c r="N1656" s="7">
        <f t="shared" si="126"/>
        <v>7200</v>
      </c>
      <c r="O1656" s="2">
        <v>32</v>
      </c>
      <c r="P1656" s="8">
        <f t="shared" si="127"/>
        <v>7232</v>
      </c>
      <c r="Q1656" s="8">
        <f t="shared" si="128"/>
        <v>6366</v>
      </c>
      <c r="R1656" s="2" t="s">
        <v>56</v>
      </c>
      <c r="S1656" s="9">
        <f t="shared" si="129"/>
        <v>361.6</v>
      </c>
    </row>
    <row r="1657" spans="1:19" x14ac:dyDescent="0.3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str">
        <f>IFERROR(VLOOKUP('Customer Info'!A1649,'Customer Info'!A1649:C2148,2,FALSE),"Not Found")</f>
        <v>Not Found</v>
      </c>
      <c r="H1657" s="6" t="str">
        <f>IFERROR(VLOOKUP('Customer Info'!A1649,'Customer Info'!A1649:C2148,3,FALSE),"Not Found")</f>
        <v>Not Found</v>
      </c>
      <c r="I1657" s="6" t="str">
        <f>IFERROR(VLOOKUP('Customer Info'!A1649,'Customer Info'!A1649:E2148,5,FALSE),"Not Found")</f>
        <v>Not Found</v>
      </c>
      <c r="J1657" s="2">
        <v>73</v>
      </c>
      <c r="K1657" s="2">
        <v>65</v>
      </c>
      <c r="L1657" s="2">
        <v>1</v>
      </c>
      <c r="M1657" s="7">
        <f t="shared" si="125"/>
        <v>65</v>
      </c>
      <c r="N1657" s="7">
        <f t="shared" si="126"/>
        <v>73</v>
      </c>
      <c r="O1657" s="2">
        <v>10</v>
      </c>
      <c r="P1657" s="8">
        <f t="shared" si="127"/>
        <v>83</v>
      </c>
      <c r="Q1657" s="8">
        <f t="shared" si="128"/>
        <v>8</v>
      </c>
      <c r="R1657" s="2" t="s">
        <v>28</v>
      </c>
      <c r="S1657" s="9">
        <f t="shared" si="129"/>
        <v>1.6600000000000001</v>
      </c>
    </row>
    <row r="1658" spans="1:19" x14ac:dyDescent="0.3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str">
        <f>IFERROR(VLOOKUP('Customer Info'!A1650,'Customer Info'!A1650:C2149,2,FALSE),"Not Found")</f>
        <v>Not Found</v>
      </c>
      <c r="H1658" s="6" t="str">
        <f>IFERROR(VLOOKUP('Customer Info'!A1650,'Customer Info'!A1650:C2149,3,FALSE),"Not Found")</f>
        <v>Not Found</v>
      </c>
      <c r="I1658" s="6" t="str">
        <f>IFERROR(VLOOKUP('Customer Info'!A1650,'Customer Info'!A1650:E2149,5,FALSE),"Not Found")</f>
        <v>Not Found</v>
      </c>
      <c r="J1658" s="2">
        <v>765</v>
      </c>
      <c r="K1658" s="2">
        <v>701</v>
      </c>
      <c r="L1658" s="2">
        <v>2</v>
      </c>
      <c r="M1658" s="7">
        <f t="shared" si="125"/>
        <v>1402</v>
      </c>
      <c r="N1658" s="7">
        <f t="shared" si="126"/>
        <v>1530</v>
      </c>
      <c r="O1658" s="2">
        <v>87</v>
      </c>
      <c r="P1658" s="8">
        <f t="shared" si="127"/>
        <v>1617</v>
      </c>
      <c r="Q1658" s="8">
        <f t="shared" si="128"/>
        <v>829</v>
      </c>
      <c r="R1658" s="2" t="s">
        <v>56</v>
      </c>
      <c r="S1658" s="9">
        <f t="shared" si="129"/>
        <v>32.340000000000003</v>
      </c>
    </row>
    <row r="1659" spans="1:19" x14ac:dyDescent="0.3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str">
        <f>IFERROR(VLOOKUP('Customer Info'!A1651,'Customer Info'!A1651:C2150,2,FALSE),"Not Found")</f>
        <v>Not Found</v>
      </c>
      <c r="H1659" s="6" t="str">
        <f>IFERROR(VLOOKUP('Customer Info'!A1651,'Customer Info'!A1651:C2150,3,FALSE),"Not Found")</f>
        <v>Not Found</v>
      </c>
      <c r="I1659" s="6" t="str">
        <f>IFERROR(VLOOKUP('Customer Info'!A1651,'Customer Info'!A1651:E2150,5,FALSE),"Not Found")</f>
        <v>Not Found</v>
      </c>
      <c r="J1659" s="2">
        <v>3054</v>
      </c>
      <c r="K1659" s="2">
        <v>2721</v>
      </c>
      <c r="L1659" s="2">
        <v>1</v>
      </c>
      <c r="M1659" s="7">
        <f t="shared" si="125"/>
        <v>2721</v>
      </c>
      <c r="N1659" s="7">
        <f t="shared" si="126"/>
        <v>3054</v>
      </c>
      <c r="O1659" s="2">
        <v>52</v>
      </c>
      <c r="P1659" s="8">
        <f t="shared" si="127"/>
        <v>3106</v>
      </c>
      <c r="Q1659" s="8">
        <f t="shared" si="128"/>
        <v>333</v>
      </c>
      <c r="R1659" s="2" t="s">
        <v>50</v>
      </c>
      <c r="S1659" s="9">
        <f t="shared" si="129"/>
        <v>62.120000000000005</v>
      </c>
    </row>
    <row r="1660" spans="1:19" x14ac:dyDescent="0.3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str">
        <f>IFERROR(VLOOKUP('Customer Info'!A1652,'Customer Info'!A1652:C2151,2,FALSE),"Not Found")</f>
        <v>Not Found</v>
      </c>
      <c r="H1660" s="6" t="str">
        <f>IFERROR(VLOOKUP('Customer Info'!A1652,'Customer Info'!A1652:C2151,3,FALSE),"Not Found")</f>
        <v>Not Found</v>
      </c>
      <c r="I1660" s="6" t="str">
        <f>IFERROR(VLOOKUP('Customer Info'!A1652,'Customer Info'!A1652:E2151,5,FALSE),"Not Found")</f>
        <v>Not Found</v>
      </c>
      <c r="J1660" s="2">
        <v>2787</v>
      </c>
      <c r="K1660" s="2">
        <v>2681</v>
      </c>
      <c r="L1660" s="2">
        <v>3</v>
      </c>
      <c r="M1660" s="7">
        <f t="shared" si="125"/>
        <v>8043</v>
      </c>
      <c r="N1660" s="7">
        <f t="shared" si="126"/>
        <v>8361</v>
      </c>
      <c r="O1660" s="2">
        <v>59</v>
      </c>
      <c r="P1660" s="8">
        <f t="shared" si="127"/>
        <v>8420</v>
      </c>
      <c r="Q1660" s="8">
        <f t="shared" si="128"/>
        <v>5680</v>
      </c>
      <c r="R1660" s="2" t="s">
        <v>50</v>
      </c>
      <c r="S1660" s="9">
        <f t="shared" si="129"/>
        <v>421</v>
      </c>
    </row>
    <row r="1661" spans="1:19" x14ac:dyDescent="0.3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str">
        <f>IFERROR(VLOOKUP('Customer Info'!A1653,'Customer Info'!A1653:C2152,2,FALSE),"Not Found")</f>
        <v>Not Found</v>
      </c>
      <c r="H1661" s="6" t="str">
        <f>IFERROR(VLOOKUP('Customer Info'!A1653,'Customer Info'!A1653:C2152,3,FALSE),"Not Found")</f>
        <v>Not Found</v>
      </c>
      <c r="I1661" s="6" t="str">
        <f>IFERROR(VLOOKUP('Customer Info'!A1653,'Customer Info'!A1653:E2152,5,FALSE),"Not Found")</f>
        <v>Not Found</v>
      </c>
      <c r="J1661" s="2">
        <v>177</v>
      </c>
      <c r="K1661" s="2">
        <v>169</v>
      </c>
      <c r="L1661" s="2">
        <v>2</v>
      </c>
      <c r="M1661" s="7">
        <f t="shared" si="125"/>
        <v>338</v>
      </c>
      <c r="N1661" s="7">
        <f t="shared" si="126"/>
        <v>354</v>
      </c>
      <c r="O1661" s="2">
        <v>30</v>
      </c>
      <c r="P1661" s="8">
        <f t="shared" si="127"/>
        <v>384</v>
      </c>
      <c r="Q1661" s="8">
        <f t="shared" si="128"/>
        <v>185</v>
      </c>
      <c r="R1661" s="2" t="s">
        <v>28</v>
      </c>
      <c r="S1661" s="9">
        <f t="shared" si="129"/>
        <v>7.68</v>
      </c>
    </row>
    <row r="1662" spans="1:19" x14ac:dyDescent="0.3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str">
        <f>IFERROR(VLOOKUP('Customer Info'!A1654,'Customer Info'!A1654:C2153,2,FALSE),"Not Found")</f>
        <v>Not Found</v>
      </c>
      <c r="H1662" s="6" t="str">
        <f>IFERROR(VLOOKUP('Customer Info'!A1654,'Customer Info'!A1654:C2153,3,FALSE),"Not Found")</f>
        <v>Not Found</v>
      </c>
      <c r="I1662" s="6" t="str">
        <f>IFERROR(VLOOKUP('Customer Info'!A1654,'Customer Info'!A1654:E2153,5,FALSE),"Not Found")</f>
        <v>Not Found</v>
      </c>
      <c r="J1662" s="2">
        <v>1906</v>
      </c>
      <c r="K1662" s="2">
        <v>1798</v>
      </c>
      <c r="L1662" s="2">
        <v>6</v>
      </c>
      <c r="M1662" s="7">
        <f t="shared" si="125"/>
        <v>10788</v>
      </c>
      <c r="N1662" s="7">
        <f t="shared" si="126"/>
        <v>11436</v>
      </c>
      <c r="O1662" s="2">
        <v>73</v>
      </c>
      <c r="P1662" s="8">
        <f t="shared" si="127"/>
        <v>11509</v>
      </c>
      <c r="Q1662" s="8">
        <f t="shared" si="128"/>
        <v>9638</v>
      </c>
      <c r="R1662" s="2" t="s">
        <v>50</v>
      </c>
      <c r="S1662" s="9">
        <f t="shared" si="129"/>
        <v>575.45000000000005</v>
      </c>
    </row>
    <row r="1663" spans="1:19" x14ac:dyDescent="0.3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str">
        <f>IFERROR(VLOOKUP('Customer Info'!A1655,'Customer Info'!A1655:C2154,2,FALSE),"Not Found")</f>
        <v>Not Found</v>
      </c>
      <c r="H1663" s="6" t="str">
        <f>IFERROR(VLOOKUP('Customer Info'!A1655,'Customer Info'!A1655:C2154,3,FALSE),"Not Found")</f>
        <v>Not Found</v>
      </c>
      <c r="I1663" s="6" t="str">
        <f>IFERROR(VLOOKUP('Customer Info'!A1655,'Customer Info'!A1655:E2154,5,FALSE),"Not Found")</f>
        <v>Not Found</v>
      </c>
      <c r="J1663" s="2">
        <v>695</v>
      </c>
      <c r="K1663" s="2">
        <v>661</v>
      </c>
      <c r="L1663" s="2">
        <v>2</v>
      </c>
      <c r="M1663" s="7">
        <f t="shared" si="125"/>
        <v>1322</v>
      </c>
      <c r="N1663" s="7">
        <f t="shared" si="126"/>
        <v>1390</v>
      </c>
      <c r="O1663" s="2">
        <v>95</v>
      </c>
      <c r="P1663" s="8">
        <f t="shared" si="127"/>
        <v>1485</v>
      </c>
      <c r="Q1663" s="8">
        <f t="shared" si="128"/>
        <v>729</v>
      </c>
      <c r="R1663" s="2" t="s">
        <v>28</v>
      </c>
      <c r="S1663" s="9">
        <f t="shared" si="129"/>
        <v>29.7</v>
      </c>
    </row>
    <row r="1664" spans="1:19" x14ac:dyDescent="0.3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str">
        <f>IFERROR(VLOOKUP('Customer Info'!A1656,'Customer Info'!A1656:C2155,2,FALSE),"Not Found")</f>
        <v>Not Found</v>
      </c>
      <c r="H1664" s="6" t="str">
        <f>IFERROR(VLOOKUP('Customer Info'!A1656,'Customer Info'!A1656:C2155,3,FALSE),"Not Found")</f>
        <v>Not Found</v>
      </c>
      <c r="I1664" s="6" t="str">
        <f>IFERROR(VLOOKUP('Customer Info'!A1656,'Customer Info'!A1656:E2155,5,FALSE),"Not Found")</f>
        <v>Not Found</v>
      </c>
      <c r="J1664" s="2">
        <v>1790</v>
      </c>
      <c r="K1664" s="2">
        <v>1706</v>
      </c>
      <c r="L1664" s="2">
        <v>5</v>
      </c>
      <c r="M1664" s="7">
        <f t="shared" si="125"/>
        <v>8530</v>
      </c>
      <c r="N1664" s="7">
        <f t="shared" si="126"/>
        <v>8950</v>
      </c>
      <c r="O1664" s="2">
        <v>58</v>
      </c>
      <c r="P1664" s="8">
        <f t="shared" si="127"/>
        <v>9008</v>
      </c>
      <c r="Q1664" s="8">
        <f t="shared" si="128"/>
        <v>7244</v>
      </c>
      <c r="R1664" s="2" t="s">
        <v>50</v>
      </c>
      <c r="S1664" s="9">
        <f t="shared" si="129"/>
        <v>450.40000000000003</v>
      </c>
    </row>
    <row r="1665" spans="1:19" x14ac:dyDescent="0.3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str">
        <f>IFERROR(VLOOKUP('Customer Info'!A1657,'Customer Info'!A1657:C2156,2,FALSE),"Not Found")</f>
        <v>Not Found</v>
      </c>
      <c r="H1665" s="6" t="str">
        <f>IFERROR(VLOOKUP('Customer Info'!A1657,'Customer Info'!A1657:C2156,3,FALSE),"Not Found")</f>
        <v>Not Found</v>
      </c>
      <c r="I1665" s="6" t="str">
        <f>IFERROR(VLOOKUP('Customer Info'!A1657,'Customer Info'!A1657:E2156,5,FALSE),"Not Found")</f>
        <v>Not Found</v>
      </c>
      <c r="J1665" s="2">
        <v>1318</v>
      </c>
      <c r="K1665" s="2">
        <v>1209</v>
      </c>
      <c r="L1665" s="2">
        <v>1</v>
      </c>
      <c r="M1665" s="7">
        <f t="shared" si="125"/>
        <v>1209</v>
      </c>
      <c r="N1665" s="7">
        <f t="shared" si="126"/>
        <v>1318</v>
      </c>
      <c r="O1665" s="2">
        <v>33</v>
      </c>
      <c r="P1665" s="8">
        <f t="shared" si="127"/>
        <v>1351</v>
      </c>
      <c r="Q1665" s="8">
        <f t="shared" si="128"/>
        <v>109</v>
      </c>
      <c r="R1665" s="2" t="s">
        <v>50</v>
      </c>
      <c r="S1665" s="9">
        <f t="shared" si="129"/>
        <v>27.02</v>
      </c>
    </row>
    <row r="1666" spans="1:19" x14ac:dyDescent="0.3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str">
        <f>IFERROR(VLOOKUP('Customer Info'!A1658,'Customer Info'!A1658:C2157,2,FALSE),"Not Found")</f>
        <v>Not Found</v>
      </c>
      <c r="H1666" s="6" t="str">
        <f>IFERROR(VLOOKUP('Customer Info'!A1658,'Customer Info'!A1658:C2157,3,FALSE),"Not Found")</f>
        <v>Not Found</v>
      </c>
      <c r="I1666" s="6" t="str">
        <f>IFERROR(VLOOKUP('Customer Info'!A1658,'Customer Info'!A1658:E2157,5,FALSE),"Not Found")</f>
        <v>Not Found</v>
      </c>
      <c r="J1666" s="2">
        <v>1441</v>
      </c>
      <c r="K1666" s="2">
        <v>1360</v>
      </c>
      <c r="L1666" s="2">
        <v>4</v>
      </c>
      <c r="M1666" s="7">
        <f t="shared" si="125"/>
        <v>5440</v>
      </c>
      <c r="N1666" s="7">
        <f t="shared" si="126"/>
        <v>5764</v>
      </c>
      <c r="O1666" s="2">
        <v>50</v>
      </c>
      <c r="P1666" s="8">
        <f t="shared" si="127"/>
        <v>5814</v>
      </c>
      <c r="Q1666" s="8">
        <f t="shared" si="128"/>
        <v>4404</v>
      </c>
      <c r="R1666" s="2" t="s">
        <v>28</v>
      </c>
      <c r="S1666" s="9">
        <f t="shared" si="129"/>
        <v>290.7</v>
      </c>
    </row>
    <row r="1667" spans="1:19" x14ac:dyDescent="0.3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str">
        <f>IFERROR(VLOOKUP('Customer Info'!A1659,'Customer Info'!A1659:C2158,2,FALSE),"Not Found")</f>
        <v>Not Found</v>
      </c>
      <c r="H1667" s="6" t="str">
        <f>IFERROR(VLOOKUP('Customer Info'!A1659,'Customer Info'!A1659:C2158,3,FALSE),"Not Found")</f>
        <v>Not Found</v>
      </c>
      <c r="I1667" s="6" t="str">
        <f>IFERROR(VLOOKUP('Customer Info'!A1659,'Customer Info'!A1659:E2158,5,FALSE),"Not Found")</f>
        <v>Not Found</v>
      </c>
      <c r="J1667" s="2">
        <v>38328</v>
      </c>
      <c r="K1667" s="2">
        <v>35164</v>
      </c>
      <c r="L1667" s="2">
        <v>3</v>
      </c>
      <c r="M1667" s="7">
        <f t="shared" si="125"/>
        <v>105492</v>
      </c>
      <c r="N1667" s="7">
        <f t="shared" si="126"/>
        <v>114984</v>
      </c>
      <c r="O1667" s="2">
        <v>52</v>
      </c>
      <c r="P1667" s="8">
        <f t="shared" si="127"/>
        <v>115036</v>
      </c>
      <c r="Q1667" s="8">
        <f t="shared" si="128"/>
        <v>79820</v>
      </c>
      <c r="R1667" s="2" t="s">
        <v>50</v>
      </c>
      <c r="S1667" s="9">
        <f t="shared" si="129"/>
        <v>13804.32</v>
      </c>
    </row>
    <row r="1668" spans="1:19" x14ac:dyDescent="0.3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str">
        <f>IFERROR(VLOOKUP('Customer Info'!A1660,'Customer Info'!A1660:C2159,2,FALSE),"Not Found")</f>
        <v>Not Found</v>
      </c>
      <c r="H1668" s="6" t="str">
        <f>IFERROR(VLOOKUP('Customer Info'!A1660,'Customer Info'!A1660:C2159,3,FALSE),"Not Found")</f>
        <v>Not Found</v>
      </c>
      <c r="I1668" s="6" t="str">
        <f>IFERROR(VLOOKUP('Customer Info'!A1660,'Customer Info'!A1660:E2159,5,FALSE),"Not Found")</f>
        <v>Not Found</v>
      </c>
      <c r="J1668" s="2">
        <v>1058</v>
      </c>
      <c r="K1668" s="2">
        <v>989</v>
      </c>
      <c r="L1668" s="2">
        <v>1</v>
      </c>
      <c r="M1668" s="7">
        <f t="shared" si="125"/>
        <v>989</v>
      </c>
      <c r="N1668" s="7">
        <f t="shared" si="126"/>
        <v>1058</v>
      </c>
      <c r="O1668" s="2">
        <v>59</v>
      </c>
      <c r="P1668" s="8">
        <f t="shared" si="127"/>
        <v>1117</v>
      </c>
      <c r="Q1668" s="8">
        <f t="shared" si="128"/>
        <v>69</v>
      </c>
      <c r="R1668" s="2" t="s">
        <v>28</v>
      </c>
      <c r="S1668" s="9">
        <f t="shared" si="129"/>
        <v>22.34</v>
      </c>
    </row>
    <row r="1669" spans="1:19" x14ac:dyDescent="0.3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str">
        <f>IFERROR(VLOOKUP('Customer Info'!A1661,'Customer Info'!A1661:C2160,2,FALSE),"Not Found")</f>
        <v>Not Found</v>
      </c>
      <c r="H1669" s="6" t="str">
        <f>IFERROR(VLOOKUP('Customer Info'!A1661,'Customer Info'!A1661:C2160,3,FALSE),"Not Found")</f>
        <v>Not Found</v>
      </c>
      <c r="I1669" s="6" t="str">
        <f>IFERROR(VLOOKUP('Customer Info'!A1661,'Customer Info'!A1661:E2160,5,FALSE),"Not Found")</f>
        <v>Not Found</v>
      </c>
      <c r="J1669" s="2">
        <v>7691</v>
      </c>
      <c r="K1669" s="2">
        <v>7255</v>
      </c>
      <c r="L1669" s="2">
        <v>2</v>
      </c>
      <c r="M1669" s="7">
        <f t="shared" si="125"/>
        <v>14510</v>
      </c>
      <c r="N1669" s="7">
        <f t="shared" si="126"/>
        <v>15382</v>
      </c>
      <c r="O1669" s="2">
        <v>21</v>
      </c>
      <c r="P1669" s="8">
        <f t="shared" si="127"/>
        <v>15403</v>
      </c>
      <c r="Q1669" s="8">
        <f t="shared" si="128"/>
        <v>8127</v>
      </c>
      <c r="R1669" s="2" t="s">
        <v>26</v>
      </c>
      <c r="S1669" s="9">
        <f t="shared" si="129"/>
        <v>770.15000000000009</v>
      </c>
    </row>
    <row r="1670" spans="1:19" x14ac:dyDescent="0.3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str">
        <f>IFERROR(VLOOKUP('Customer Info'!A1662,'Customer Info'!A1662:C2161,2,FALSE),"Not Found")</f>
        <v>Not Found</v>
      </c>
      <c r="H1670" s="6" t="str">
        <f>IFERROR(VLOOKUP('Customer Info'!A1662,'Customer Info'!A1662:C2161,3,FALSE),"Not Found")</f>
        <v>Not Found</v>
      </c>
      <c r="I1670" s="6" t="str">
        <f>IFERROR(VLOOKUP('Customer Info'!A1662,'Customer Info'!A1662:E2161,5,FALSE),"Not Found")</f>
        <v>Not Found</v>
      </c>
      <c r="J1670" s="2">
        <v>1774</v>
      </c>
      <c r="K1670" s="2">
        <v>1642</v>
      </c>
      <c r="L1670" s="2">
        <v>1</v>
      </c>
      <c r="M1670" s="7">
        <f t="shared" si="125"/>
        <v>1642</v>
      </c>
      <c r="N1670" s="7">
        <f t="shared" si="126"/>
        <v>1774</v>
      </c>
      <c r="O1670" s="2">
        <v>54</v>
      </c>
      <c r="P1670" s="8">
        <f t="shared" si="127"/>
        <v>1828</v>
      </c>
      <c r="Q1670" s="8">
        <f t="shared" si="128"/>
        <v>132</v>
      </c>
      <c r="R1670" s="2" t="s">
        <v>28</v>
      </c>
      <c r="S1670" s="9">
        <f t="shared" si="129"/>
        <v>36.56</v>
      </c>
    </row>
    <row r="1671" spans="1:19" x14ac:dyDescent="0.3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str">
        <f>IFERROR(VLOOKUP('Customer Info'!A1663,'Customer Info'!A1663:C2162,2,FALSE),"Not Found")</f>
        <v>Not Found</v>
      </c>
      <c r="H1671" s="6" t="str">
        <f>IFERROR(VLOOKUP('Customer Info'!A1663,'Customer Info'!A1663:C2162,3,FALSE),"Not Found")</f>
        <v>Not Found</v>
      </c>
      <c r="I1671" s="6" t="str">
        <f>IFERROR(VLOOKUP('Customer Info'!A1663,'Customer Info'!A1663:E2162,5,FALSE),"Not Found")</f>
        <v>Not Found</v>
      </c>
      <c r="J1671" s="2">
        <v>645</v>
      </c>
      <c r="K1671" s="2">
        <v>565</v>
      </c>
      <c r="L1671" s="2">
        <v>1</v>
      </c>
      <c r="M1671" s="7">
        <f t="shared" si="125"/>
        <v>565</v>
      </c>
      <c r="N1671" s="7">
        <f t="shared" si="126"/>
        <v>645</v>
      </c>
      <c r="O1671" s="2">
        <v>67</v>
      </c>
      <c r="P1671" s="8">
        <f t="shared" si="127"/>
        <v>712</v>
      </c>
      <c r="Q1671" s="8">
        <f t="shared" si="128"/>
        <v>80</v>
      </c>
      <c r="R1671" s="2" t="s">
        <v>28</v>
      </c>
      <c r="S1671" s="9">
        <f t="shared" si="129"/>
        <v>14.24</v>
      </c>
    </row>
    <row r="1672" spans="1:19" x14ac:dyDescent="0.3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str">
        <f>IFERROR(VLOOKUP('Customer Info'!A1664,'Customer Info'!A1664:C2163,2,FALSE),"Not Found")</f>
        <v>Not Found</v>
      </c>
      <c r="H1672" s="6" t="str">
        <f>IFERROR(VLOOKUP('Customer Info'!A1664,'Customer Info'!A1664:C2163,3,FALSE),"Not Found")</f>
        <v>Not Found</v>
      </c>
      <c r="I1672" s="6" t="str">
        <f>IFERROR(VLOOKUP('Customer Info'!A1664,'Customer Info'!A1664:E2163,5,FALSE),"Not Found")</f>
        <v>Not Found</v>
      </c>
      <c r="J1672" s="2">
        <v>7691</v>
      </c>
      <c r="K1672" s="2">
        <v>7255</v>
      </c>
      <c r="L1672" s="2">
        <v>3</v>
      </c>
      <c r="M1672" s="7">
        <f t="shared" si="125"/>
        <v>21765</v>
      </c>
      <c r="N1672" s="7">
        <f t="shared" si="126"/>
        <v>23073</v>
      </c>
      <c r="O1672" s="2">
        <v>47</v>
      </c>
      <c r="P1672" s="8">
        <f t="shared" si="127"/>
        <v>23120</v>
      </c>
      <c r="Q1672" s="8">
        <f t="shared" si="128"/>
        <v>15818</v>
      </c>
      <c r="R1672" s="2" t="s">
        <v>56</v>
      </c>
      <c r="S1672" s="9">
        <f t="shared" si="129"/>
        <v>1156</v>
      </c>
    </row>
    <row r="1673" spans="1:19" x14ac:dyDescent="0.3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str">
        <f>IFERROR(VLOOKUP('Customer Info'!A1665,'Customer Info'!A1665:C2164,2,FALSE),"Not Found")</f>
        <v>Not Found</v>
      </c>
      <c r="H1673" s="6" t="str">
        <f>IFERROR(VLOOKUP('Customer Info'!A1665,'Customer Info'!A1665:C2164,3,FALSE),"Not Found")</f>
        <v>Not Found</v>
      </c>
      <c r="I1673" s="6" t="str">
        <f>IFERROR(VLOOKUP('Customer Info'!A1665,'Customer Info'!A1665:E2164,5,FALSE),"Not Found")</f>
        <v>Not Found</v>
      </c>
      <c r="J1673" s="2">
        <v>6337</v>
      </c>
      <c r="K1673" s="2">
        <v>6215</v>
      </c>
      <c r="L1673" s="2">
        <v>3</v>
      </c>
      <c r="M1673" s="7">
        <f t="shared" si="125"/>
        <v>18645</v>
      </c>
      <c r="N1673" s="7">
        <f t="shared" si="126"/>
        <v>19011</v>
      </c>
      <c r="O1673" s="2">
        <v>55</v>
      </c>
      <c r="P1673" s="8">
        <f t="shared" si="127"/>
        <v>19066</v>
      </c>
      <c r="Q1673" s="8">
        <f t="shared" si="128"/>
        <v>12796</v>
      </c>
      <c r="R1673" s="2" t="s">
        <v>28</v>
      </c>
      <c r="S1673" s="9">
        <f t="shared" si="129"/>
        <v>953.30000000000007</v>
      </c>
    </row>
    <row r="1674" spans="1:19" x14ac:dyDescent="0.3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str">
        <f>IFERROR(VLOOKUP('Customer Info'!A1666,'Customer Info'!A1666:C2165,2,FALSE),"Not Found")</f>
        <v>Not Found</v>
      </c>
      <c r="H1674" s="6" t="str">
        <f>IFERROR(VLOOKUP('Customer Info'!A1666,'Customer Info'!A1666:C2165,3,FALSE),"Not Found")</f>
        <v>Not Found</v>
      </c>
      <c r="I1674" s="6" t="str">
        <f>IFERROR(VLOOKUP('Customer Info'!A1666,'Customer Info'!A1666:E2165,5,FALSE),"Not Found")</f>
        <v>Not Found</v>
      </c>
      <c r="J1674" s="2">
        <v>1623</v>
      </c>
      <c r="K1674" s="2">
        <v>1546</v>
      </c>
      <c r="L1674" s="2">
        <v>4</v>
      </c>
      <c r="M1674" s="7">
        <f t="shared" si="125"/>
        <v>6184</v>
      </c>
      <c r="N1674" s="7">
        <f t="shared" si="126"/>
        <v>6492</v>
      </c>
      <c r="O1674" s="2">
        <v>53</v>
      </c>
      <c r="P1674" s="8">
        <f t="shared" si="127"/>
        <v>6545</v>
      </c>
      <c r="Q1674" s="8">
        <f t="shared" si="128"/>
        <v>4946</v>
      </c>
      <c r="R1674" s="2" t="s">
        <v>28</v>
      </c>
      <c r="S1674" s="9">
        <f t="shared" si="129"/>
        <v>327.25</v>
      </c>
    </row>
    <row r="1675" spans="1:19" x14ac:dyDescent="0.3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str">
        <f>IFERROR(VLOOKUP('Customer Info'!A1667,'Customer Info'!A1667:C2166,2,FALSE),"Not Found")</f>
        <v>Not Found</v>
      </c>
      <c r="H1675" s="6" t="str">
        <f>IFERROR(VLOOKUP('Customer Info'!A1667,'Customer Info'!A1667:C2166,3,FALSE),"Not Found")</f>
        <v>Not Found</v>
      </c>
      <c r="I1675" s="6" t="str">
        <f>IFERROR(VLOOKUP('Customer Info'!A1667,'Customer Info'!A1667:E2166,5,FALSE),"Not Found")</f>
        <v>Not Found</v>
      </c>
      <c r="J1675" s="2">
        <v>90</v>
      </c>
      <c r="K1675" s="2">
        <v>81</v>
      </c>
      <c r="L1675" s="2">
        <v>2</v>
      </c>
      <c r="M1675" s="7">
        <f t="shared" ref="M1675:M1738" si="130">$K1675*$L1675</f>
        <v>162</v>
      </c>
      <c r="N1675" s="7">
        <f t="shared" ref="N1675:N1738" si="131">$J1675*$L1675</f>
        <v>180</v>
      </c>
      <c r="O1675" s="2">
        <v>10</v>
      </c>
      <c r="P1675" s="8">
        <f t="shared" ref="P1675:P1738" si="132">$N1675+$O1675</f>
        <v>190</v>
      </c>
      <c r="Q1675" s="8">
        <f t="shared" ref="Q1675:Q1738" si="133">$N1675-$K1675</f>
        <v>99</v>
      </c>
      <c r="R1675" s="2" t="s">
        <v>26</v>
      </c>
      <c r="S1675" s="9">
        <f t="shared" ref="S1675:S1738" si="134" xml:space="preserve"> P1675 * VLOOKUP(P1675, $T$2:$U$6, 2, TRUE)</f>
        <v>3.8000000000000003</v>
      </c>
    </row>
    <row r="1676" spans="1:19" x14ac:dyDescent="0.3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str">
        <f>IFERROR(VLOOKUP('Customer Info'!A1668,'Customer Info'!A1668:C2167,2,FALSE),"Not Found")</f>
        <v>Not Found</v>
      </c>
      <c r="H1676" s="6" t="str">
        <f>IFERROR(VLOOKUP('Customer Info'!A1668,'Customer Info'!A1668:C2167,3,FALSE),"Not Found")</f>
        <v>Not Found</v>
      </c>
      <c r="I1676" s="6" t="str">
        <f>IFERROR(VLOOKUP('Customer Info'!A1668,'Customer Info'!A1668:E2167,5,FALSE),"Not Found")</f>
        <v>Not Found</v>
      </c>
      <c r="J1676" s="2">
        <v>29378</v>
      </c>
      <c r="K1676" s="2">
        <v>26912</v>
      </c>
      <c r="L1676" s="2">
        <v>5</v>
      </c>
      <c r="M1676" s="7">
        <f t="shared" si="130"/>
        <v>134560</v>
      </c>
      <c r="N1676" s="7">
        <f t="shared" si="131"/>
        <v>146890</v>
      </c>
      <c r="O1676" s="2">
        <v>100</v>
      </c>
      <c r="P1676" s="8">
        <f t="shared" si="132"/>
        <v>146990</v>
      </c>
      <c r="Q1676" s="8">
        <f t="shared" si="133"/>
        <v>119978</v>
      </c>
      <c r="R1676" s="2" t="s">
        <v>56</v>
      </c>
      <c r="S1676" s="9">
        <f t="shared" si="134"/>
        <v>17638.8</v>
      </c>
    </row>
    <row r="1677" spans="1:19" x14ac:dyDescent="0.3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str">
        <f>IFERROR(VLOOKUP('Customer Info'!A1669,'Customer Info'!A1669:C2168,2,FALSE),"Not Found")</f>
        <v>Not Found</v>
      </c>
      <c r="H1677" s="6" t="str">
        <f>IFERROR(VLOOKUP('Customer Info'!A1669,'Customer Info'!A1669:C2168,3,FALSE),"Not Found")</f>
        <v>Not Found</v>
      </c>
      <c r="I1677" s="6" t="str">
        <f>IFERROR(VLOOKUP('Customer Info'!A1669,'Customer Info'!A1669:E2168,5,FALSE),"Not Found")</f>
        <v>Not Found</v>
      </c>
      <c r="J1677" s="2">
        <v>1399</v>
      </c>
      <c r="K1677" s="2">
        <v>1333</v>
      </c>
      <c r="L1677" s="2">
        <v>4</v>
      </c>
      <c r="M1677" s="7">
        <f t="shared" si="130"/>
        <v>5332</v>
      </c>
      <c r="N1677" s="7">
        <f t="shared" si="131"/>
        <v>5596</v>
      </c>
      <c r="O1677" s="2">
        <v>44</v>
      </c>
      <c r="P1677" s="8">
        <f t="shared" si="132"/>
        <v>5640</v>
      </c>
      <c r="Q1677" s="8">
        <f t="shared" si="133"/>
        <v>4263</v>
      </c>
      <c r="R1677" s="2" t="s">
        <v>28</v>
      </c>
      <c r="S1677" s="9">
        <f t="shared" si="134"/>
        <v>282</v>
      </c>
    </row>
    <row r="1678" spans="1:19" x14ac:dyDescent="0.3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str">
        <f>IFERROR(VLOOKUP('Customer Info'!A1670,'Customer Info'!A1670:C2169,2,FALSE),"Not Found")</f>
        <v>Not Found</v>
      </c>
      <c r="H1678" s="6" t="str">
        <f>IFERROR(VLOOKUP('Customer Info'!A1670,'Customer Info'!A1670:C2169,3,FALSE),"Not Found")</f>
        <v>Not Found</v>
      </c>
      <c r="I1678" s="6" t="str">
        <f>IFERROR(VLOOKUP('Customer Info'!A1670,'Customer Info'!A1670:E2169,5,FALSE),"Not Found")</f>
        <v>Not Found</v>
      </c>
      <c r="J1678" s="2">
        <v>139</v>
      </c>
      <c r="K1678" s="2">
        <v>133</v>
      </c>
      <c r="L1678" s="2">
        <v>3</v>
      </c>
      <c r="M1678" s="7">
        <f t="shared" si="130"/>
        <v>399</v>
      </c>
      <c r="N1678" s="7">
        <f t="shared" si="131"/>
        <v>417</v>
      </c>
      <c r="O1678" s="2">
        <v>30</v>
      </c>
      <c r="P1678" s="8">
        <f t="shared" si="132"/>
        <v>447</v>
      </c>
      <c r="Q1678" s="8">
        <f t="shared" si="133"/>
        <v>284</v>
      </c>
      <c r="R1678" s="2" t="s">
        <v>28</v>
      </c>
      <c r="S1678" s="9">
        <f t="shared" si="134"/>
        <v>8.94</v>
      </c>
    </row>
    <row r="1679" spans="1:19" x14ac:dyDescent="0.3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str">
        <f>IFERROR(VLOOKUP('Customer Info'!A1671,'Customer Info'!A1671:C2170,2,FALSE),"Not Found")</f>
        <v>Not Found</v>
      </c>
      <c r="H1679" s="6" t="str">
        <f>IFERROR(VLOOKUP('Customer Info'!A1671,'Customer Info'!A1671:C2170,3,FALSE),"Not Found")</f>
        <v>Not Found</v>
      </c>
      <c r="I1679" s="6" t="str">
        <f>IFERROR(VLOOKUP('Customer Info'!A1671,'Customer Info'!A1671:E2170,5,FALSE),"Not Found")</f>
        <v>Not Found</v>
      </c>
      <c r="J1679" s="2">
        <v>7141</v>
      </c>
      <c r="K1679" s="2">
        <v>6541</v>
      </c>
      <c r="L1679" s="2">
        <v>9</v>
      </c>
      <c r="M1679" s="7">
        <f t="shared" si="130"/>
        <v>58869</v>
      </c>
      <c r="N1679" s="7">
        <f t="shared" si="131"/>
        <v>64269</v>
      </c>
      <c r="O1679" s="2">
        <v>45</v>
      </c>
      <c r="P1679" s="8">
        <f t="shared" si="132"/>
        <v>64314</v>
      </c>
      <c r="Q1679" s="8">
        <f t="shared" si="133"/>
        <v>57728</v>
      </c>
      <c r="R1679" s="2" t="s">
        <v>50</v>
      </c>
      <c r="S1679" s="9">
        <f t="shared" si="134"/>
        <v>5788.26</v>
      </c>
    </row>
    <row r="1680" spans="1:19" x14ac:dyDescent="0.3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str">
        <f>IFERROR(VLOOKUP('Customer Info'!A1672,'Customer Info'!A1672:C2171,2,FALSE),"Not Found")</f>
        <v>Not Found</v>
      </c>
      <c r="H1680" s="6" t="str">
        <f>IFERROR(VLOOKUP('Customer Info'!A1672,'Customer Info'!A1672:C2171,3,FALSE),"Not Found")</f>
        <v>Not Found</v>
      </c>
      <c r="I1680" s="6" t="str">
        <f>IFERROR(VLOOKUP('Customer Info'!A1672,'Customer Info'!A1672:E2171,5,FALSE),"Not Found")</f>
        <v>Not Found</v>
      </c>
      <c r="J1680" s="2">
        <v>187</v>
      </c>
      <c r="K1680" s="2">
        <v>176</v>
      </c>
      <c r="L1680" s="2">
        <v>2</v>
      </c>
      <c r="M1680" s="7">
        <f t="shared" si="130"/>
        <v>352</v>
      </c>
      <c r="N1680" s="7">
        <f t="shared" si="131"/>
        <v>374</v>
      </c>
      <c r="O1680" s="2">
        <v>30</v>
      </c>
      <c r="P1680" s="8">
        <f t="shared" si="132"/>
        <v>404</v>
      </c>
      <c r="Q1680" s="8">
        <f t="shared" si="133"/>
        <v>198</v>
      </c>
      <c r="R1680" s="2" t="s">
        <v>28</v>
      </c>
      <c r="S1680" s="9">
        <f t="shared" si="134"/>
        <v>8.08</v>
      </c>
    </row>
    <row r="1681" spans="1:19" x14ac:dyDescent="0.3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str">
        <f>IFERROR(VLOOKUP('Customer Info'!A1673,'Customer Info'!A1673:C2172,2,FALSE),"Not Found")</f>
        <v>Not Found</v>
      </c>
      <c r="H1681" s="6" t="str">
        <f>IFERROR(VLOOKUP('Customer Info'!A1673,'Customer Info'!A1673:C2172,3,FALSE),"Not Found")</f>
        <v>Not Found</v>
      </c>
      <c r="I1681" s="6" t="str">
        <f>IFERROR(VLOOKUP('Customer Info'!A1673,'Customer Info'!A1673:E2172,5,FALSE),"Not Found")</f>
        <v>Not Found</v>
      </c>
      <c r="J1681" s="2">
        <v>5848</v>
      </c>
      <c r="K1681" s="2">
        <v>5214</v>
      </c>
      <c r="L1681" s="2">
        <v>3</v>
      </c>
      <c r="M1681" s="7">
        <f t="shared" si="130"/>
        <v>15642</v>
      </c>
      <c r="N1681" s="7">
        <f t="shared" si="131"/>
        <v>17544</v>
      </c>
      <c r="O1681" s="2">
        <v>21</v>
      </c>
      <c r="P1681" s="8">
        <f t="shared" si="132"/>
        <v>17565</v>
      </c>
      <c r="Q1681" s="8">
        <f t="shared" si="133"/>
        <v>12330</v>
      </c>
      <c r="R1681" s="2" t="s">
        <v>28</v>
      </c>
      <c r="S1681" s="9">
        <f t="shared" si="134"/>
        <v>878.25</v>
      </c>
    </row>
    <row r="1682" spans="1:19" x14ac:dyDescent="0.3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str">
        <f>IFERROR(VLOOKUP('Customer Info'!A1674,'Customer Info'!A1674:C2173,2,FALSE),"Not Found")</f>
        <v>Not Found</v>
      </c>
      <c r="H1682" s="6" t="str">
        <f>IFERROR(VLOOKUP('Customer Info'!A1674,'Customer Info'!A1674:C2173,3,FALSE),"Not Found")</f>
        <v>Not Found</v>
      </c>
      <c r="I1682" s="6" t="str">
        <f>IFERROR(VLOOKUP('Customer Info'!A1674,'Customer Info'!A1674:E2173,5,FALSE),"Not Found")</f>
        <v>Not Found</v>
      </c>
      <c r="J1682" s="2">
        <v>1512</v>
      </c>
      <c r="K1682" s="2">
        <v>1497</v>
      </c>
      <c r="L1682" s="2">
        <v>2</v>
      </c>
      <c r="M1682" s="7">
        <f t="shared" si="130"/>
        <v>2994</v>
      </c>
      <c r="N1682" s="7">
        <f t="shared" si="131"/>
        <v>3024</v>
      </c>
      <c r="O1682" s="2">
        <v>96</v>
      </c>
      <c r="P1682" s="8">
        <f t="shared" si="132"/>
        <v>3120</v>
      </c>
      <c r="Q1682" s="8">
        <f t="shared" si="133"/>
        <v>1527</v>
      </c>
      <c r="R1682" s="2" t="s">
        <v>50</v>
      </c>
      <c r="S1682" s="9">
        <f t="shared" si="134"/>
        <v>62.4</v>
      </c>
    </row>
    <row r="1683" spans="1:19" x14ac:dyDescent="0.3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str">
        <f>IFERROR(VLOOKUP('Customer Info'!A1675,'Customer Info'!A1675:C2174,2,FALSE),"Not Found")</f>
        <v>Not Found</v>
      </c>
      <c r="H1683" s="6" t="str">
        <f>IFERROR(VLOOKUP('Customer Info'!A1675,'Customer Info'!A1675:C2174,3,FALSE),"Not Found")</f>
        <v>Not Found</v>
      </c>
      <c r="I1683" s="6" t="str">
        <f>IFERROR(VLOOKUP('Customer Info'!A1675,'Customer Info'!A1675:E2174,5,FALSE),"Not Found")</f>
        <v>Not Found</v>
      </c>
      <c r="J1683" s="2">
        <v>62</v>
      </c>
      <c r="K1683" s="2">
        <v>58</v>
      </c>
      <c r="L1683" s="2">
        <v>4</v>
      </c>
      <c r="M1683" s="7">
        <f t="shared" si="130"/>
        <v>232</v>
      </c>
      <c r="N1683" s="7">
        <f t="shared" si="131"/>
        <v>248</v>
      </c>
      <c r="O1683" s="2">
        <v>10</v>
      </c>
      <c r="P1683" s="8">
        <f t="shared" si="132"/>
        <v>258</v>
      </c>
      <c r="Q1683" s="8">
        <f t="shared" si="133"/>
        <v>190</v>
      </c>
      <c r="R1683" s="2" t="s">
        <v>50</v>
      </c>
      <c r="S1683" s="9">
        <f t="shared" si="134"/>
        <v>5.16</v>
      </c>
    </row>
    <row r="1684" spans="1:19" x14ac:dyDescent="0.3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str">
        <f>IFERROR(VLOOKUP('Customer Info'!A1676,'Customer Info'!A1676:C2175,2,FALSE),"Not Found")</f>
        <v>Not Found</v>
      </c>
      <c r="H1684" s="6" t="str">
        <f>IFERROR(VLOOKUP('Customer Info'!A1676,'Customer Info'!A1676:C2175,3,FALSE),"Not Found")</f>
        <v>Not Found</v>
      </c>
      <c r="I1684" s="6" t="str">
        <f>IFERROR(VLOOKUP('Customer Info'!A1676,'Customer Info'!A1676:E2175,5,FALSE),"Not Found")</f>
        <v>Not Found</v>
      </c>
      <c r="J1684" s="2">
        <v>1103</v>
      </c>
      <c r="K1684" s="2">
        <v>1030</v>
      </c>
      <c r="L1684" s="2">
        <v>3</v>
      </c>
      <c r="M1684" s="7">
        <f t="shared" si="130"/>
        <v>3090</v>
      </c>
      <c r="N1684" s="7">
        <f t="shared" si="131"/>
        <v>3309</v>
      </c>
      <c r="O1684" s="2">
        <v>47</v>
      </c>
      <c r="P1684" s="8">
        <f t="shared" si="132"/>
        <v>3356</v>
      </c>
      <c r="Q1684" s="8">
        <f t="shared" si="133"/>
        <v>2279</v>
      </c>
      <c r="R1684" s="2" t="s">
        <v>26</v>
      </c>
      <c r="S1684" s="9">
        <f t="shared" si="134"/>
        <v>67.12</v>
      </c>
    </row>
    <row r="1685" spans="1:19" x14ac:dyDescent="0.3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str">
        <f>IFERROR(VLOOKUP('Customer Info'!A1677,'Customer Info'!A1677:C2176,2,FALSE),"Not Found")</f>
        <v>Not Found</v>
      </c>
      <c r="H1685" s="6" t="str">
        <f>IFERROR(VLOOKUP('Customer Info'!A1677,'Customer Info'!A1677:C2176,3,FALSE),"Not Found")</f>
        <v>Not Found</v>
      </c>
      <c r="I1685" s="6" t="str">
        <f>IFERROR(VLOOKUP('Customer Info'!A1677,'Customer Info'!A1677:E2176,5,FALSE),"Not Found")</f>
        <v>Not Found</v>
      </c>
      <c r="J1685" s="2">
        <v>138</v>
      </c>
      <c r="K1685" s="2">
        <v>128</v>
      </c>
      <c r="L1685" s="2">
        <v>2</v>
      </c>
      <c r="M1685" s="7">
        <f t="shared" si="130"/>
        <v>256</v>
      </c>
      <c r="N1685" s="7">
        <f t="shared" si="131"/>
        <v>276</v>
      </c>
      <c r="O1685" s="2">
        <v>30</v>
      </c>
      <c r="P1685" s="8">
        <f t="shared" si="132"/>
        <v>306</v>
      </c>
      <c r="Q1685" s="8">
        <f t="shared" si="133"/>
        <v>148</v>
      </c>
      <c r="R1685" s="2" t="s">
        <v>28</v>
      </c>
      <c r="S1685" s="9">
        <f t="shared" si="134"/>
        <v>6.12</v>
      </c>
    </row>
    <row r="1686" spans="1:19" x14ac:dyDescent="0.3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str">
        <f>IFERROR(VLOOKUP('Customer Info'!A1678,'Customer Info'!A1678:C2177,2,FALSE),"Not Found")</f>
        <v>Not Found</v>
      </c>
      <c r="H1686" s="6" t="str">
        <f>IFERROR(VLOOKUP('Customer Info'!A1678,'Customer Info'!A1678:C2177,3,FALSE),"Not Found")</f>
        <v>Not Found</v>
      </c>
      <c r="I1686" s="6" t="str">
        <f>IFERROR(VLOOKUP('Customer Info'!A1678,'Customer Info'!A1678:E2177,5,FALSE),"Not Found")</f>
        <v>Not Found</v>
      </c>
      <c r="J1686" s="2">
        <v>456</v>
      </c>
      <c r="K1686" s="2">
        <v>430</v>
      </c>
      <c r="L1686" s="2">
        <v>2</v>
      </c>
      <c r="M1686" s="7">
        <f t="shared" si="130"/>
        <v>860</v>
      </c>
      <c r="N1686" s="7">
        <f t="shared" si="131"/>
        <v>912</v>
      </c>
      <c r="O1686" s="2">
        <v>32</v>
      </c>
      <c r="P1686" s="8">
        <f t="shared" si="132"/>
        <v>944</v>
      </c>
      <c r="Q1686" s="8">
        <f t="shared" si="133"/>
        <v>482</v>
      </c>
      <c r="R1686" s="2" t="s">
        <v>28</v>
      </c>
      <c r="S1686" s="9">
        <f t="shared" si="134"/>
        <v>18.88</v>
      </c>
    </row>
    <row r="1687" spans="1:19" x14ac:dyDescent="0.3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str">
        <f>IFERROR(VLOOKUP('Customer Info'!A1679,'Customer Info'!A1679:C2178,2,FALSE),"Not Found")</f>
        <v>Not Found</v>
      </c>
      <c r="H1687" s="6" t="str">
        <f>IFERROR(VLOOKUP('Customer Info'!A1679,'Customer Info'!A1679:C2178,3,FALSE),"Not Found")</f>
        <v>Not Found</v>
      </c>
      <c r="I1687" s="6" t="str">
        <f>IFERROR(VLOOKUP('Customer Info'!A1679,'Customer Info'!A1679:E2178,5,FALSE),"Not Found")</f>
        <v>Not Found</v>
      </c>
      <c r="J1687" s="2">
        <v>144</v>
      </c>
      <c r="K1687" s="2">
        <v>132</v>
      </c>
      <c r="L1687" s="2">
        <v>5</v>
      </c>
      <c r="M1687" s="7">
        <f t="shared" si="130"/>
        <v>660</v>
      </c>
      <c r="N1687" s="7">
        <f t="shared" si="131"/>
        <v>720</v>
      </c>
      <c r="O1687" s="2">
        <v>30</v>
      </c>
      <c r="P1687" s="8">
        <f t="shared" si="132"/>
        <v>750</v>
      </c>
      <c r="Q1687" s="8">
        <f t="shared" si="133"/>
        <v>588</v>
      </c>
      <c r="R1687" s="2" t="s">
        <v>28</v>
      </c>
      <c r="S1687" s="9">
        <f t="shared" si="134"/>
        <v>15</v>
      </c>
    </row>
    <row r="1688" spans="1:19" x14ac:dyDescent="0.3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str">
        <f>IFERROR(VLOOKUP('Customer Info'!A1680,'Customer Info'!A1680:C2179,2,FALSE),"Not Found")</f>
        <v>Not Found</v>
      </c>
      <c r="H1688" s="6" t="str">
        <f>IFERROR(VLOOKUP('Customer Info'!A1680,'Customer Info'!A1680:C2179,3,FALSE),"Not Found")</f>
        <v>Not Found</v>
      </c>
      <c r="I1688" s="6" t="str">
        <f>IFERROR(VLOOKUP('Customer Info'!A1680,'Customer Info'!A1680:E2179,5,FALSE),"Not Found")</f>
        <v>Not Found</v>
      </c>
      <c r="J1688" s="2">
        <v>2478</v>
      </c>
      <c r="K1688" s="2">
        <v>2406</v>
      </c>
      <c r="L1688" s="2">
        <v>5</v>
      </c>
      <c r="M1688" s="7">
        <f t="shared" si="130"/>
        <v>12030</v>
      </c>
      <c r="N1688" s="7">
        <f t="shared" si="131"/>
        <v>12390</v>
      </c>
      <c r="O1688" s="2">
        <v>79</v>
      </c>
      <c r="P1688" s="8">
        <f t="shared" si="132"/>
        <v>12469</v>
      </c>
      <c r="Q1688" s="8">
        <f t="shared" si="133"/>
        <v>9984</v>
      </c>
      <c r="R1688" s="2" t="s">
        <v>50</v>
      </c>
      <c r="S1688" s="9">
        <f t="shared" si="134"/>
        <v>623.45000000000005</v>
      </c>
    </row>
    <row r="1689" spans="1:19" x14ac:dyDescent="0.3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str">
        <f>IFERROR(VLOOKUP('Customer Info'!A1681,'Customer Info'!A1681:C2180,2,FALSE),"Not Found")</f>
        <v>Not Found</v>
      </c>
      <c r="H1689" s="6" t="str">
        <f>IFERROR(VLOOKUP('Customer Info'!A1681,'Customer Info'!A1681:C2180,3,FALSE),"Not Found")</f>
        <v>Not Found</v>
      </c>
      <c r="I1689" s="6" t="str">
        <f>IFERROR(VLOOKUP('Customer Info'!A1681,'Customer Info'!A1681:E2180,5,FALSE),"Not Found")</f>
        <v>Not Found</v>
      </c>
      <c r="J1689" s="2">
        <v>119</v>
      </c>
      <c r="K1689" s="2">
        <v>112</v>
      </c>
      <c r="L1689" s="2">
        <v>8</v>
      </c>
      <c r="M1689" s="7">
        <f t="shared" si="130"/>
        <v>896</v>
      </c>
      <c r="N1689" s="7">
        <f t="shared" si="131"/>
        <v>952</v>
      </c>
      <c r="O1689" s="2">
        <v>30</v>
      </c>
      <c r="P1689" s="8">
        <f t="shared" si="132"/>
        <v>982</v>
      </c>
      <c r="Q1689" s="8">
        <f t="shared" si="133"/>
        <v>840</v>
      </c>
      <c r="R1689" s="2" t="s">
        <v>28</v>
      </c>
      <c r="S1689" s="9">
        <f t="shared" si="134"/>
        <v>19.64</v>
      </c>
    </row>
    <row r="1690" spans="1:19" x14ac:dyDescent="0.3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str">
        <f>IFERROR(VLOOKUP('Customer Info'!A1682,'Customer Info'!A1682:C2181,2,FALSE),"Not Found")</f>
        <v>Not Found</v>
      </c>
      <c r="H1690" s="6" t="str">
        <f>IFERROR(VLOOKUP('Customer Info'!A1682,'Customer Info'!A1682:C2181,3,FALSE),"Not Found")</f>
        <v>Not Found</v>
      </c>
      <c r="I1690" s="6" t="str">
        <f>IFERROR(VLOOKUP('Customer Info'!A1682,'Customer Info'!A1682:E2181,5,FALSE),"Not Found")</f>
        <v>Not Found</v>
      </c>
      <c r="J1690" s="2">
        <v>7943</v>
      </c>
      <c r="K1690" s="2">
        <v>7790</v>
      </c>
      <c r="L1690" s="2">
        <v>1</v>
      </c>
      <c r="M1690" s="7">
        <f t="shared" si="130"/>
        <v>7790</v>
      </c>
      <c r="N1690" s="7">
        <f t="shared" si="131"/>
        <v>7943</v>
      </c>
      <c r="O1690" s="2">
        <v>97</v>
      </c>
      <c r="P1690" s="8">
        <f t="shared" si="132"/>
        <v>8040</v>
      </c>
      <c r="Q1690" s="8">
        <f t="shared" si="133"/>
        <v>153</v>
      </c>
      <c r="R1690" s="2" t="s">
        <v>28</v>
      </c>
      <c r="S1690" s="9">
        <f t="shared" si="134"/>
        <v>402</v>
      </c>
    </row>
    <row r="1691" spans="1:19" x14ac:dyDescent="0.3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str">
        <f>IFERROR(VLOOKUP('Customer Info'!A1683,'Customer Info'!A1683:C2182,2,FALSE),"Not Found")</f>
        <v>Not Found</v>
      </c>
      <c r="H1691" s="6" t="str">
        <f>IFERROR(VLOOKUP('Customer Info'!A1683,'Customer Info'!A1683:C2182,3,FALSE),"Not Found")</f>
        <v>Not Found</v>
      </c>
      <c r="I1691" s="6" t="str">
        <f>IFERROR(VLOOKUP('Customer Info'!A1683,'Customer Info'!A1683:E2182,5,FALSE),"Not Found")</f>
        <v>Not Found</v>
      </c>
      <c r="J1691" s="2">
        <v>1887</v>
      </c>
      <c r="K1691" s="2">
        <v>1763</v>
      </c>
      <c r="L1691" s="2">
        <v>12</v>
      </c>
      <c r="M1691" s="7">
        <f t="shared" si="130"/>
        <v>21156</v>
      </c>
      <c r="N1691" s="7">
        <f t="shared" si="131"/>
        <v>22644</v>
      </c>
      <c r="O1691" s="2">
        <v>94</v>
      </c>
      <c r="P1691" s="8">
        <f t="shared" si="132"/>
        <v>22738</v>
      </c>
      <c r="Q1691" s="8">
        <f t="shared" si="133"/>
        <v>20881</v>
      </c>
      <c r="R1691" s="2" t="s">
        <v>50</v>
      </c>
      <c r="S1691" s="9">
        <f t="shared" si="134"/>
        <v>1136.9000000000001</v>
      </c>
    </row>
    <row r="1692" spans="1:19" x14ac:dyDescent="0.3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str">
        <f>IFERROR(VLOOKUP('Customer Info'!A1684,'Customer Info'!A1684:C2183,2,FALSE),"Not Found")</f>
        <v>Not Found</v>
      </c>
      <c r="H1692" s="6" t="str">
        <f>IFERROR(VLOOKUP('Customer Info'!A1684,'Customer Info'!A1684:C2183,3,FALSE),"Not Found")</f>
        <v>Not Found</v>
      </c>
      <c r="I1692" s="6" t="str">
        <f>IFERROR(VLOOKUP('Customer Info'!A1684,'Customer Info'!A1684:E2183,5,FALSE),"Not Found")</f>
        <v>Not Found</v>
      </c>
      <c r="J1692" s="2">
        <v>1358</v>
      </c>
      <c r="K1692" s="2">
        <v>1294</v>
      </c>
      <c r="L1692" s="2">
        <v>5</v>
      </c>
      <c r="M1692" s="7">
        <f t="shared" si="130"/>
        <v>6470</v>
      </c>
      <c r="N1692" s="7">
        <f t="shared" si="131"/>
        <v>6790</v>
      </c>
      <c r="O1692" s="2">
        <v>83</v>
      </c>
      <c r="P1692" s="8">
        <f t="shared" si="132"/>
        <v>6873</v>
      </c>
      <c r="Q1692" s="8">
        <f t="shared" si="133"/>
        <v>5496</v>
      </c>
      <c r="R1692" s="2" t="s">
        <v>28</v>
      </c>
      <c r="S1692" s="9">
        <f t="shared" si="134"/>
        <v>343.65000000000003</v>
      </c>
    </row>
    <row r="1693" spans="1:19" x14ac:dyDescent="0.3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str">
        <f>IFERROR(VLOOKUP('Customer Info'!A1685,'Customer Info'!A1685:C2184,2,FALSE),"Not Found")</f>
        <v>Not Found</v>
      </c>
      <c r="H1693" s="6" t="str">
        <f>IFERROR(VLOOKUP('Customer Info'!A1685,'Customer Info'!A1685:C2184,3,FALSE),"Not Found")</f>
        <v>Not Found</v>
      </c>
      <c r="I1693" s="6" t="str">
        <f>IFERROR(VLOOKUP('Customer Info'!A1685,'Customer Info'!A1685:E2184,5,FALSE),"Not Found")</f>
        <v>Not Found</v>
      </c>
      <c r="J1693" s="2">
        <v>2733</v>
      </c>
      <c r="K1693" s="2">
        <v>2579</v>
      </c>
      <c r="L1693" s="2">
        <v>8</v>
      </c>
      <c r="M1693" s="7">
        <f t="shared" si="130"/>
        <v>20632</v>
      </c>
      <c r="N1693" s="7">
        <f t="shared" si="131"/>
        <v>21864</v>
      </c>
      <c r="O1693" s="2">
        <v>51</v>
      </c>
      <c r="P1693" s="8">
        <f t="shared" si="132"/>
        <v>21915</v>
      </c>
      <c r="Q1693" s="8">
        <f t="shared" si="133"/>
        <v>19285</v>
      </c>
      <c r="R1693" s="2" t="s">
        <v>26</v>
      </c>
      <c r="S1693" s="9">
        <f t="shared" si="134"/>
        <v>1095.75</v>
      </c>
    </row>
    <row r="1694" spans="1:19" x14ac:dyDescent="0.3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str">
        <f>IFERROR(VLOOKUP('Customer Info'!A1686,'Customer Info'!A1686:C2185,2,FALSE),"Not Found")</f>
        <v>Not Found</v>
      </c>
      <c r="H1694" s="6" t="str">
        <f>IFERROR(VLOOKUP('Customer Info'!A1686,'Customer Info'!A1686:C2185,3,FALSE),"Not Found")</f>
        <v>Not Found</v>
      </c>
      <c r="I1694" s="6" t="str">
        <f>IFERROR(VLOOKUP('Customer Info'!A1686,'Customer Info'!A1686:E2185,5,FALSE),"Not Found")</f>
        <v>Not Found</v>
      </c>
      <c r="J1694" s="2">
        <v>1568</v>
      </c>
      <c r="K1694" s="2">
        <v>1495</v>
      </c>
      <c r="L1694" s="2">
        <v>2</v>
      </c>
      <c r="M1694" s="7">
        <f t="shared" si="130"/>
        <v>2990</v>
      </c>
      <c r="N1694" s="7">
        <f t="shared" si="131"/>
        <v>3136</v>
      </c>
      <c r="O1694" s="2">
        <v>74</v>
      </c>
      <c r="P1694" s="8">
        <f t="shared" si="132"/>
        <v>3210</v>
      </c>
      <c r="Q1694" s="8">
        <f t="shared" si="133"/>
        <v>1641</v>
      </c>
      <c r="R1694" s="2" t="s">
        <v>28</v>
      </c>
      <c r="S1694" s="9">
        <f t="shared" si="134"/>
        <v>64.2</v>
      </c>
    </row>
    <row r="1695" spans="1:19" x14ac:dyDescent="0.3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str">
        <f>IFERROR(VLOOKUP('Customer Info'!A1687,'Customer Info'!A1687:C2186,2,FALSE),"Not Found")</f>
        <v>Not Found</v>
      </c>
      <c r="H1695" s="6" t="str">
        <f>IFERROR(VLOOKUP('Customer Info'!A1687,'Customer Info'!A1687:C2186,3,FALSE),"Not Found")</f>
        <v>Not Found</v>
      </c>
      <c r="I1695" s="6" t="str">
        <f>IFERROR(VLOOKUP('Customer Info'!A1687,'Customer Info'!A1687:E2186,5,FALSE),"Not Found")</f>
        <v>Not Found</v>
      </c>
      <c r="J1695" s="2">
        <v>825</v>
      </c>
      <c r="K1695" s="2">
        <v>793</v>
      </c>
      <c r="L1695" s="2">
        <v>6</v>
      </c>
      <c r="M1695" s="7">
        <f t="shared" si="130"/>
        <v>4758</v>
      </c>
      <c r="N1695" s="7">
        <f t="shared" si="131"/>
        <v>4950</v>
      </c>
      <c r="O1695" s="2">
        <v>50</v>
      </c>
      <c r="P1695" s="8">
        <f t="shared" si="132"/>
        <v>5000</v>
      </c>
      <c r="Q1695" s="8">
        <f t="shared" si="133"/>
        <v>4157</v>
      </c>
      <c r="R1695" s="2" t="s">
        <v>50</v>
      </c>
      <c r="S1695" s="9">
        <f t="shared" si="134"/>
        <v>250</v>
      </c>
    </row>
    <row r="1696" spans="1:19" x14ac:dyDescent="0.3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str">
        <f>IFERROR(VLOOKUP('Customer Info'!A1688,'Customer Info'!A1688:C2187,2,FALSE),"Not Found")</f>
        <v>Not Found</v>
      </c>
      <c r="H1696" s="6" t="str">
        <f>IFERROR(VLOOKUP('Customer Info'!A1688,'Customer Info'!A1688:C2187,3,FALSE),"Not Found")</f>
        <v>Not Found</v>
      </c>
      <c r="I1696" s="6" t="str">
        <f>IFERROR(VLOOKUP('Customer Info'!A1688,'Customer Info'!A1688:E2187,5,FALSE),"Not Found")</f>
        <v>Not Found</v>
      </c>
      <c r="J1696" s="2">
        <v>63</v>
      </c>
      <c r="K1696" s="2">
        <v>59</v>
      </c>
      <c r="L1696" s="2">
        <v>2</v>
      </c>
      <c r="M1696" s="7">
        <f t="shared" si="130"/>
        <v>118</v>
      </c>
      <c r="N1696" s="7">
        <f t="shared" si="131"/>
        <v>126</v>
      </c>
      <c r="O1696" s="2">
        <v>10</v>
      </c>
      <c r="P1696" s="8">
        <f t="shared" si="132"/>
        <v>136</v>
      </c>
      <c r="Q1696" s="8">
        <f t="shared" si="133"/>
        <v>67</v>
      </c>
      <c r="R1696" s="2" t="s">
        <v>28</v>
      </c>
      <c r="S1696" s="9">
        <f t="shared" si="134"/>
        <v>2.72</v>
      </c>
    </row>
    <row r="1697" spans="1:19" x14ac:dyDescent="0.3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str">
        <f>IFERROR(VLOOKUP('Customer Info'!A1689,'Customer Info'!A1689:C2188,2,FALSE),"Not Found")</f>
        <v>Not Found</v>
      </c>
      <c r="H1697" s="6" t="str">
        <f>IFERROR(VLOOKUP('Customer Info'!A1689,'Customer Info'!A1689:C2188,3,FALSE),"Not Found")</f>
        <v>Not Found</v>
      </c>
      <c r="I1697" s="6" t="str">
        <f>IFERROR(VLOOKUP('Customer Info'!A1689,'Customer Info'!A1689:E2188,5,FALSE),"Not Found")</f>
        <v>Not Found</v>
      </c>
      <c r="J1697" s="2">
        <v>81</v>
      </c>
      <c r="K1697" s="2">
        <v>77</v>
      </c>
      <c r="L1697" s="2">
        <v>5</v>
      </c>
      <c r="M1697" s="7">
        <f t="shared" si="130"/>
        <v>385</v>
      </c>
      <c r="N1697" s="7">
        <f t="shared" si="131"/>
        <v>405</v>
      </c>
      <c r="O1697" s="2">
        <v>10</v>
      </c>
      <c r="P1697" s="8">
        <f t="shared" si="132"/>
        <v>415</v>
      </c>
      <c r="Q1697" s="8">
        <f t="shared" si="133"/>
        <v>328</v>
      </c>
      <c r="R1697" s="2" t="s">
        <v>28</v>
      </c>
      <c r="S1697" s="9">
        <f t="shared" si="134"/>
        <v>8.3000000000000007</v>
      </c>
    </row>
    <row r="1698" spans="1:19" x14ac:dyDescent="0.3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str">
        <f>IFERROR(VLOOKUP('Customer Info'!A1690,'Customer Info'!A1690:C2189,2,FALSE),"Not Found")</f>
        <v>Not Found</v>
      </c>
      <c r="H1698" s="6" t="str">
        <f>IFERROR(VLOOKUP('Customer Info'!A1690,'Customer Info'!A1690:C2189,3,FALSE),"Not Found")</f>
        <v>Not Found</v>
      </c>
      <c r="I1698" s="6" t="str">
        <f>IFERROR(VLOOKUP('Customer Info'!A1690,'Customer Info'!A1690:E2189,5,FALSE),"Not Found")</f>
        <v>Not Found</v>
      </c>
      <c r="J1698" s="2">
        <v>21226</v>
      </c>
      <c r="K1698" s="2">
        <v>20615</v>
      </c>
      <c r="L1698" s="2">
        <v>5</v>
      </c>
      <c r="M1698" s="7">
        <f t="shared" si="130"/>
        <v>103075</v>
      </c>
      <c r="N1698" s="7">
        <f t="shared" si="131"/>
        <v>106130</v>
      </c>
      <c r="O1698" s="2">
        <v>39</v>
      </c>
      <c r="P1698" s="8">
        <f t="shared" si="132"/>
        <v>106169</v>
      </c>
      <c r="Q1698" s="8">
        <f t="shared" si="133"/>
        <v>85515</v>
      </c>
      <c r="R1698" s="2" t="s">
        <v>26</v>
      </c>
      <c r="S1698" s="9">
        <f t="shared" si="134"/>
        <v>12740.279999999999</v>
      </c>
    </row>
    <row r="1699" spans="1:19" x14ac:dyDescent="0.3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str">
        <f>IFERROR(VLOOKUP('Customer Info'!A1691,'Customer Info'!A1691:C2190,2,FALSE),"Not Found")</f>
        <v>Not Found</v>
      </c>
      <c r="H1699" s="6" t="str">
        <f>IFERROR(VLOOKUP('Customer Info'!A1691,'Customer Info'!A1691:C2190,3,FALSE),"Not Found")</f>
        <v>Not Found</v>
      </c>
      <c r="I1699" s="6" t="str">
        <f>IFERROR(VLOOKUP('Customer Info'!A1691,'Customer Info'!A1691:E2190,5,FALSE),"Not Found")</f>
        <v>Not Found</v>
      </c>
      <c r="J1699" s="2">
        <v>1060</v>
      </c>
      <c r="K1699" s="2">
        <v>964</v>
      </c>
      <c r="L1699" s="2">
        <v>1</v>
      </c>
      <c r="M1699" s="7">
        <f t="shared" si="130"/>
        <v>964</v>
      </c>
      <c r="N1699" s="7">
        <f t="shared" si="131"/>
        <v>1060</v>
      </c>
      <c r="O1699" s="2">
        <v>43</v>
      </c>
      <c r="P1699" s="8">
        <f t="shared" si="132"/>
        <v>1103</v>
      </c>
      <c r="Q1699" s="8">
        <f t="shared" si="133"/>
        <v>96</v>
      </c>
      <c r="R1699" s="2" t="s">
        <v>28</v>
      </c>
      <c r="S1699" s="9">
        <f t="shared" si="134"/>
        <v>22.06</v>
      </c>
    </row>
    <row r="1700" spans="1:19" x14ac:dyDescent="0.3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str">
        <f>IFERROR(VLOOKUP('Customer Info'!A1692,'Customer Info'!A1692:C2191,2,FALSE),"Not Found")</f>
        <v>Not Found</v>
      </c>
      <c r="H1700" s="6" t="str">
        <f>IFERROR(VLOOKUP('Customer Info'!A1692,'Customer Info'!A1692:C2191,3,FALSE),"Not Found")</f>
        <v>Not Found</v>
      </c>
      <c r="I1700" s="6" t="str">
        <f>IFERROR(VLOOKUP('Customer Info'!A1692,'Customer Info'!A1692:E2191,5,FALSE),"Not Found")</f>
        <v>Not Found</v>
      </c>
      <c r="J1700" s="2">
        <v>2243</v>
      </c>
      <c r="K1700" s="2">
        <v>2000</v>
      </c>
      <c r="L1700" s="2">
        <v>4</v>
      </c>
      <c r="M1700" s="7">
        <f t="shared" si="130"/>
        <v>8000</v>
      </c>
      <c r="N1700" s="7">
        <f t="shared" si="131"/>
        <v>8972</v>
      </c>
      <c r="O1700" s="2">
        <v>60</v>
      </c>
      <c r="P1700" s="8">
        <f t="shared" si="132"/>
        <v>9032</v>
      </c>
      <c r="Q1700" s="8">
        <f t="shared" si="133"/>
        <v>6972</v>
      </c>
      <c r="R1700" s="2" t="s">
        <v>28</v>
      </c>
      <c r="S1700" s="9">
        <f t="shared" si="134"/>
        <v>451.6</v>
      </c>
    </row>
    <row r="1701" spans="1:19" x14ac:dyDescent="0.3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str">
        <f>IFERROR(VLOOKUP('Customer Info'!A1693,'Customer Info'!A1693:C2192,2,FALSE),"Not Found")</f>
        <v>Not Found</v>
      </c>
      <c r="H1701" s="6" t="str">
        <f>IFERROR(VLOOKUP('Customer Info'!A1693,'Customer Info'!A1693:C2192,3,FALSE),"Not Found")</f>
        <v>Not Found</v>
      </c>
      <c r="I1701" s="6" t="str">
        <f>IFERROR(VLOOKUP('Customer Info'!A1693,'Customer Info'!A1693:E2192,5,FALSE),"Not Found")</f>
        <v>Not Found</v>
      </c>
      <c r="J1701" s="2">
        <v>165</v>
      </c>
      <c r="K1701" s="2">
        <v>149</v>
      </c>
      <c r="L1701" s="2">
        <v>10</v>
      </c>
      <c r="M1701" s="7">
        <f t="shared" si="130"/>
        <v>1490</v>
      </c>
      <c r="N1701" s="7">
        <f t="shared" si="131"/>
        <v>1650</v>
      </c>
      <c r="O1701" s="2">
        <v>30</v>
      </c>
      <c r="P1701" s="8">
        <f t="shared" si="132"/>
        <v>1680</v>
      </c>
      <c r="Q1701" s="8">
        <f t="shared" si="133"/>
        <v>1501</v>
      </c>
      <c r="R1701" s="2" t="s">
        <v>28</v>
      </c>
      <c r="S1701" s="9">
        <f t="shared" si="134"/>
        <v>33.6</v>
      </c>
    </row>
    <row r="1702" spans="1:19" x14ac:dyDescent="0.3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str">
        <f>IFERROR(VLOOKUP('Customer Info'!A1694,'Customer Info'!A1694:C2193,2,FALSE),"Not Found")</f>
        <v>Not Found</v>
      </c>
      <c r="H1702" s="6" t="str">
        <f>IFERROR(VLOOKUP('Customer Info'!A1694,'Customer Info'!A1694:C2193,3,FALSE),"Not Found")</f>
        <v>Not Found</v>
      </c>
      <c r="I1702" s="6" t="str">
        <f>IFERROR(VLOOKUP('Customer Info'!A1694,'Customer Info'!A1694:E2193,5,FALSE),"Not Found")</f>
        <v>Not Found</v>
      </c>
      <c r="J1702" s="2">
        <v>5906</v>
      </c>
      <c r="K1702" s="2">
        <v>5266</v>
      </c>
      <c r="L1702" s="2">
        <v>2</v>
      </c>
      <c r="M1702" s="7">
        <f t="shared" si="130"/>
        <v>10532</v>
      </c>
      <c r="N1702" s="7">
        <f t="shared" si="131"/>
        <v>11812</v>
      </c>
      <c r="O1702" s="2">
        <v>96</v>
      </c>
      <c r="P1702" s="8">
        <f t="shared" si="132"/>
        <v>11908</v>
      </c>
      <c r="Q1702" s="8">
        <f t="shared" si="133"/>
        <v>6546</v>
      </c>
      <c r="R1702" s="2" t="s">
        <v>56</v>
      </c>
      <c r="S1702" s="9">
        <f t="shared" si="134"/>
        <v>595.4</v>
      </c>
    </row>
    <row r="1703" spans="1:19" x14ac:dyDescent="0.3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str">
        <f>IFERROR(VLOOKUP('Customer Info'!A1695,'Customer Info'!A1695:C2194,2,FALSE),"Not Found")</f>
        <v>Not Found</v>
      </c>
      <c r="H1703" s="6" t="str">
        <f>IFERROR(VLOOKUP('Customer Info'!A1695,'Customer Info'!A1695:C2194,3,FALSE),"Not Found")</f>
        <v>Not Found</v>
      </c>
      <c r="I1703" s="6" t="str">
        <f>IFERROR(VLOOKUP('Customer Info'!A1695,'Customer Info'!A1695:E2194,5,FALSE),"Not Found")</f>
        <v>Not Found</v>
      </c>
      <c r="J1703" s="2">
        <v>516</v>
      </c>
      <c r="K1703" s="2">
        <v>473</v>
      </c>
      <c r="L1703" s="2">
        <v>4</v>
      </c>
      <c r="M1703" s="7">
        <f t="shared" si="130"/>
        <v>1892</v>
      </c>
      <c r="N1703" s="7">
        <f t="shared" si="131"/>
        <v>2064</v>
      </c>
      <c r="O1703" s="2">
        <v>51</v>
      </c>
      <c r="P1703" s="8">
        <f t="shared" si="132"/>
        <v>2115</v>
      </c>
      <c r="Q1703" s="8">
        <f t="shared" si="133"/>
        <v>1591</v>
      </c>
      <c r="R1703" s="2" t="s">
        <v>28</v>
      </c>
      <c r="S1703" s="9">
        <f t="shared" si="134"/>
        <v>42.300000000000004</v>
      </c>
    </row>
    <row r="1704" spans="1:19" x14ac:dyDescent="0.3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str">
        <f>IFERROR(VLOOKUP('Customer Info'!A1696,'Customer Info'!A1696:C2195,2,FALSE),"Not Found")</f>
        <v>Not Found</v>
      </c>
      <c r="H1704" s="6" t="str">
        <f>IFERROR(VLOOKUP('Customer Info'!A1696,'Customer Info'!A1696:C2195,3,FALSE),"Not Found")</f>
        <v>Not Found</v>
      </c>
      <c r="I1704" s="6" t="str">
        <f>IFERROR(VLOOKUP('Customer Info'!A1696,'Customer Info'!A1696:E2195,5,FALSE),"Not Found")</f>
        <v>Not Found</v>
      </c>
      <c r="J1704" s="2">
        <v>2249</v>
      </c>
      <c r="K1704" s="2">
        <v>2102</v>
      </c>
      <c r="L1704" s="2">
        <v>3</v>
      </c>
      <c r="M1704" s="7">
        <f t="shared" si="130"/>
        <v>6306</v>
      </c>
      <c r="N1704" s="7">
        <f t="shared" si="131"/>
        <v>6747</v>
      </c>
      <c r="O1704" s="2">
        <v>100</v>
      </c>
      <c r="P1704" s="8">
        <f t="shared" si="132"/>
        <v>6847</v>
      </c>
      <c r="Q1704" s="8">
        <f t="shared" si="133"/>
        <v>4645</v>
      </c>
      <c r="R1704" s="2" t="s">
        <v>28</v>
      </c>
      <c r="S1704" s="9">
        <f t="shared" si="134"/>
        <v>342.35</v>
      </c>
    </row>
    <row r="1705" spans="1:19" x14ac:dyDescent="0.3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str">
        <f>IFERROR(VLOOKUP('Customer Info'!A1697,'Customer Info'!A1697:C2196,2,FALSE),"Not Found")</f>
        <v>Not Found</v>
      </c>
      <c r="H1705" s="6" t="str">
        <f>IFERROR(VLOOKUP('Customer Info'!A1697,'Customer Info'!A1697:C2196,3,FALSE),"Not Found")</f>
        <v>Not Found</v>
      </c>
      <c r="I1705" s="6" t="str">
        <f>IFERROR(VLOOKUP('Customer Info'!A1697,'Customer Info'!A1697:E2196,5,FALSE),"Not Found")</f>
        <v>Not Found</v>
      </c>
      <c r="J1705" s="2">
        <v>511</v>
      </c>
      <c r="K1705" s="2">
        <v>477</v>
      </c>
      <c r="L1705" s="2">
        <v>4</v>
      </c>
      <c r="M1705" s="7">
        <f t="shared" si="130"/>
        <v>1908</v>
      </c>
      <c r="N1705" s="7">
        <f t="shared" si="131"/>
        <v>2044</v>
      </c>
      <c r="O1705" s="2">
        <v>34</v>
      </c>
      <c r="P1705" s="8">
        <f t="shared" si="132"/>
        <v>2078</v>
      </c>
      <c r="Q1705" s="8">
        <f t="shared" si="133"/>
        <v>1567</v>
      </c>
      <c r="R1705" s="2" t="s">
        <v>26</v>
      </c>
      <c r="S1705" s="9">
        <f t="shared" si="134"/>
        <v>41.56</v>
      </c>
    </row>
    <row r="1706" spans="1:19" x14ac:dyDescent="0.3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str">
        <f>IFERROR(VLOOKUP('Customer Info'!A1698,'Customer Info'!A1698:C2197,2,FALSE),"Not Found")</f>
        <v>Not Found</v>
      </c>
      <c r="H1706" s="6" t="str">
        <f>IFERROR(VLOOKUP('Customer Info'!A1698,'Customer Info'!A1698:C2197,3,FALSE),"Not Found")</f>
        <v>Not Found</v>
      </c>
      <c r="I1706" s="6" t="str">
        <f>IFERROR(VLOOKUP('Customer Info'!A1698,'Customer Info'!A1698:E2197,5,FALSE),"Not Found")</f>
        <v>Not Found</v>
      </c>
      <c r="J1706" s="2">
        <v>165</v>
      </c>
      <c r="K1706" s="2">
        <v>149</v>
      </c>
      <c r="L1706" s="2">
        <v>7</v>
      </c>
      <c r="M1706" s="7">
        <f t="shared" si="130"/>
        <v>1043</v>
      </c>
      <c r="N1706" s="7">
        <f t="shared" si="131"/>
        <v>1155</v>
      </c>
      <c r="O1706" s="2">
        <v>30</v>
      </c>
      <c r="P1706" s="8">
        <f t="shared" si="132"/>
        <v>1185</v>
      </c>
      <c r="Q1706" s="8">
        <f t="shared" si="133"/>
        <v>1006</v>
      </c>
      <c r="R1706" s="2" t="s">
        <v>28</v>
      </c>
      <c r="S1706" s="9">
        <f t="shared" si="134"/>
        <v>23.7</v>
      </c>
    </row>
    <row r="1707" spans="1:19" x14ac:dyDescent="0.3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str">
        <f>IFERROR(VLOOKUP('Customer Info'!A1699,'Customer Info'!A1699:C2198,2,FALSE),"Not Found")</f>
        <v>Not Found</v>
      </c>
      <c r="H1707" s="6" t="str">
        <f>IFERROR(VLOOKUP('Customer Info'!A1699,'Customer Info'!A1699:C2198,3,FALSE),"Not Found")</f>
        <v>Not Found</v>
      </c>
      <c r="I1707" s="6" t="str">
        <f>IFERROR(VLOOKUP('Customer Info'!A1699,'Customer Info'!A1699:E2198,5,FALSE),"Not Found")</f>
        <v>Not Found</v>
      </c>
      <c r="J1707" s="2">
        <v>2228</v>
      </c>
      <c r="K1707" s="2">
        <v>2143</v>
      </c>
      <c r="L1707" s="2">
        <v>1</v>
      </c>
      <c r="M1707" s="7">
        <f t="shared" si="130"/>
        <v>2143</v>
      </c>
      <c r="N1707" s="7">
        <f t="shared" si="131"/>
        <v>2228</v>
      </c>
      <c r="O1707" s="2">
        <v>27</v>
      </c>
      <c r="P1707" s="8">
        <f t="shared" si="132"/>
        <v>2255</v>
      </c>
      <c r="Q1707" s="8">
        <f t="shared" si="133"/>
        <v>85</v>
      </c>
      <c r="R1707" s="2" t="s">
        <v>28</v>
      </c>
      <c r="S1707" s="9">
        <f t="shared" si="134"/>
        <v>45.1</v>
      </c>
    </row>
    <row r="1708" spans="1:19" x14ac:dyDescent="0.3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str">
        <f>IFERROR(VLOOKUP('Customer Info'!A1700,'Customer Info'!A1700:C2199,2,FALSE),"Not Found")</f>
        <v>Not Found</v>
      </c>
      <c r="H1708" s="6" t="str">
        <f>IFERROR(VLOOKUP('Customer Info'!A1700,'Customer Info'!A1700:C2199,3,FALSE),"Not Found")</f>
        <v>Not Found</v>
      </c>
      <c r="I1708" s="6" t="str">
        <f>IFERROR(VLOOKUP('Customer Info'!A1700,'Customer Info'!A1700:E2199,5,FALSE),"Not Found")</f>
        <v>Not Found</v>
      </c>
      <c r="J1708" s="2">
        <v>1358</v>
      </c>
      <c r="K1708" s="2">
        <v>1294</v>
      </c>
      <c r="L1708" s="2">
        <v>1</v>
      </c>
      <c r="M1708" s="7">
        <f t="shared" si="130"/>
        <v>1294</v>
      </c>
      <c r="N1708" s="7">
        <f t="shared" si="131"/>
        <v>1358</v>
      </c>
      <c r="O1708" s="2">
        <v>58</v>
      </c>
      <c r="P1708" s="8">
        <f t="shared" si="132"/>
        <v>1416</v>
      </c>
      <c r="Q1708" s="8">
        <f t="shared" si="133"/>
        <v>64</v>
      </c>
      <c r="R1708" s="2" t="s">
        <v>28</v>
      </c>
      <c r="S1708" s="9">
        <f t="shared" si="134"/>
        <v>28.32</v>
      </c>
    </row>
    <row r="1709" spans="1:19" x14ac:dyDescent="0.3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str">
        <f>IFERROR(VLOOKUP('Customer Info'!A1701,'Customer Info'!A1701:C2200,2,FALSE),"Not Found")</f>
        <v>Not Found</v>
      </c>
      <c r="H1709" s="6" t="str">
        <f>IFERROR(VLOOKUP('Customer Info'!A1701,'Customer Info'!A1701:C2200,3,FALSE),"Not Found")</f>
        <v>Not Found</v>
      </c>
      <c r="I1709" s="6" t="str">
        <f>IFERROR(VLOOKUP('Customer Info'!A1701,'Customer Info'!A1701:E2200,5,FALSE),"Not Found")</f>
        <v>Not Found</v>
      </c>
      <c r="J1709" s="2">
        <v>726</v>
      </c>
      <c r="K1709" s="2">
        <v>646</v>
      </c>
      <c r="L1709" s="2">
        <v>3</v>
      </c>
      <c r="M1709" s="7">
        <f t="shared" si="130"/>
        <v>1938</v>
      </c>
      <c r="N1709" s="7">
        <f t="shared" si="131"/>
        <v>2178</v>
      </c>
      <c r="O1709" s="2">
        <v>75</v>
      </c>
      <c r="P1709" s="8">
        <f t="shared" si="132"/>
        <v>2253</v>
      </c>
      <c r="Q1709" s="8">
        <f t="shared" si="133"/>
        <v>1532</v>
      </c>
      <c r="R1709" s="2" t="s">
        <v>28</v>
      </c>
      <c r="S1709" s="9">
        <f t="shared" si="134"/>
        <v>45.06</v>
      </c>
    </row>
    <row r="1710" spans="1:19" x14ac:dyDescent="0.3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str">
        <f>IFERROR(VLOOKUP('Customer Info'!A1702,'Customer Info'!A1702:C2201,2,FALSE),"Not Found")</f>
        <v>Not Found</v>
      </c>
      <c r="H1710" s="6" t="str">
        <f>IFERROR(VLOOKUP('Customer Info'!A1702,'Customer Info'!A1702:C2201,3,FALSE),"Not Found")</f>
        <v>Not Found</v>
      </c>
      <c r="I1710" s="6" t="str">
        <f>IFERROR(VLOOKUP('Customer Info'!A1702,'Customer Info'!A1702:E2201,5,FALSE),"Not Found")</f>
        <v>Not Found</v>
      </c>
      <c r="J1710" s="2">
        <v>8433</v>
      </c>
      <c r="K1710" s="2">
        <v>7801</v>
      </c>
      <c r="L1710" s="2">
        <v>5</v>
      </c>
      <c r="M1710" s="7">
        <f t="shared" si="130"/>
        <v>39005</v>
      </c>
      <c r="N1710" s="7">
        <f t="shared" si="131"/>
        <v>42165</v>
      </c>
      <c r="O1710" s="2">
        <v>60</v>
      </c>
      <c r="P1710" s="8">
        <f t="shared" si="132"/>
        <v>42225</v>
      </c>
      <c r="Q1710" s="8">
        <f t="shared" si="133"/>
        <v>34364</v>
      </c>
      <c r="R1710" s="2" t="s">
        <v>50</v>
      </c>
      <c r="S1710" s="9">
        <f t="shared" si="134"/>
        <v>2955.7500000000005</v>
      </c>
    </row>
    <row r="1711" spans="1:19" x14ac:dyDescent="0.3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str">
        <f>IFERROR(VLOOKUP('Customer Info'!A1703,'Customer Info'!A1703:C2202,2,FALSE),"Not Found")</f>
        <v>Not Found</v>
      </c>
      <c r="H1711" s="6" t="str">
        <f>IFERROR(VLOOKUP('Customer Info'!A1703,'Customer Info'!A1703:C2202,3,FALSE),"Not Found")</f>
        <v>Not Found</v>
      </c>
      <c r="I1711" s="6" t="str">
        <f>IFERROR(VLOOKUP('Customer Info'!A1703,'Customer Info'!A1703:E2202,5,FALSE),"Not Found")</f>
        <v>Not Found</v>
      </c>
      <c r="J1711" s="2">
        <v>1834</v>
      </c>
      <c r="K1711" s="2">
        <v>1716</v>
      </c>
      <c r="L1711" s="2">
        <v>2</v>
      </c>
      <c r="M1711" s="7">
        <f t="shared" si="130"/>
        <v>3432</v>
      </c>
      <c r="N1711" s="7">
        <f t="shared" si="131"/>
        <v>3668</v>
      </c>
      <c r="O1711" s="2">
        <v>27</v>
      </c>
      <c r="P1711" s="8">
        <f t="shared" si="132"/>
        <v>3695</v>
      </c>
      <c r="Q1711" s="8">
        <f t="shared" si="133"/>
        <v>1952</v>
      </c>
      <c r="R1711" s="2" t="s">
        <v>50</v>
      </c>
      <c r="S1711" s="9">
        <f t="shared" si="134"/>
        <v>73.900000000000006</v>
      </c>
    </row>
    <row r="1712" spans="1:19" x14ac:dyDescent="0.3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str">
        <f>IFERROR(VLOOKUP('Customer Info'!A1704,'Customer Info'!A1704:C2203,2,FALSE),"Not Found")</f>
        <v>Not Found</v>
      </c>
      <c r="H1712" s="6" t="str">
        <f>IFERROR(VLOOKUP('Customer Info'!A1704,'Customer Info'!A1704:C2203,3,FALSE),"Not Found")</f>
        <v>Not Found</v>
      </c>
      <c r="I1712" s="6" t="str">
        <f>IFERROR(VLOOKUP('Customer Info'!A1704,'Customer Info'!A1704:E2203,5,FALSE),"Not Found")</f>
        <v>Not Found</v>
      </c>
      <c r="J1712" s="2">
        <v>56</v>
      </c>
      <c r="K1712" s="2">
        <v>54</v>
      </c>
      <c r="L1712" s="2">
        <v>2</v>
      </c>
      <c r="M1712" s="7">
        <f t="shared" si="130"/>
        <v>108</v>
      </c>
      <c r="N1712" s="7">
        <f t="shared" si="131"/>
        <v>112</v>
      </c>
      <c r="O1712" s="2">
        <v>10</v>
      </c>
      <c r="P1712" s="8">
        <f t="shared" si="132"/>
        <v>122</v>
      </c>
      <c r="Q1712" s="8">
        <f t="shared" si="133"/>
        <v>58</v>
      </c>
      <c r="R1712" s="2" t="s">
        <v>50</v>
      </c>
      <c r="S1712" s="9">
        <f t="shared" si="134"/>
        <v>2.44</v>
      </c>
    </row>
    <row r="1713" spans="1:19" x14ac:dyDescent="0.3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str">
        <f>IFERROR(VLOOKUP('Customer Info'!A1705,'Customer Info'!A1705:C2204,2,FALSE),"Not Found")</f>
        <v>Not Found</v>
      </c>
      <c r="H1713" s="6" t="str">
        <f>IFERROR(VLOOKUP('Customer Info'!A1705,'Customer Info'!A1705:C2204,3,FALSE),"Not Found")</f>
        <v>Not Found</v>
      </c>
      <c r="I1713" s="6" t="str">
        <f>IFERROR(VLOOKUP('Customer Info'!A1705,'Customer Info'!A1705:E2204,5,FALSE),"Not Found")</f>
        <v>Not Found</v>
      </c>
      <c r="J1713" s="2">
        <v>681</v>
      </c>
      <c r="K1713" s="2">
        <v>642</v>
      </c>
      <c r="L1713" s="2">
        <v>3</v>
      </c>
      <c r="M1713" s="7">
        <f t="shared" si="130"/>
        <v>1926</v>
      </c>
      <c r="N1713" s="7">
        <f t="shared" si="131"/>
        <v>2043</v>
      </c>
      <c r="O1713" s="2">
        <v>77</v>
      </c>
      <c r="P1713" s="8">
        <f t="shared" si="132"/>
        <v>2120</v>
      </c>
      <c r="Q1713" s="8">
        <f t="shared" si="133"/>
        <v>1401</v>
      </c>
      <c r="R1713" s="2" t="s">
        <v>50</v>
      </c>
      <c r="S1713" s="9">
        <f t="shared" si="134"/>
        <v>42.4</v>
      </c>
    </row>
    <row r="1714" spans="1:19" x14ac:dyDescent="0.3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str">
        <f>IFERROR(VLOOKUP('Customer Info'!A1706,'Customer Info'!A1706:C2205,2,FALSE),"Not Found")</f>
        <v>Not Found</v>
      </c>
      <c r="H1714" s="6" t="str">
        <f>IFERROR(VLOOKUP('Customer Info'!A1706,'Customer Info'!A1706:C2205,3,FALSE),"Not Found")</f>
        <v>Not Found</v>
      </c>
      <c r="I1714" s="6" t="str">
        <f>IFERROR(VLOOKUP('Customer Info'!A1706,'Customer Info'!A1706:E2205,5,FALSE),"Not Found")</f>
        <v>Not Found</v>
      </c>
      <c r="J1714" s="2">
        <v>71</v>
      </c>
      <c r="K1714" s="2">
        <v>64</v>
      </c>
      <c r="L1714" s="2">
        <v>9</v>
      </c>
      <c r="M1714" s="7">
        <f t="shared" si="130"/>
        <v>576</v>
      </c>
      <c r="N1714" s="7">
        <f t="shared" si="131"/>
        <v>639</v>
      </c>
      <c r="O1714" s="2">
        <v>10</v>
      </c>
      <c r="P1714" s="8">
        <f t="shared" si="132"/>
        <v>649</v>
      </c>
      <c r="Q1714" s="8">
        <f t="shared" si="133"/>
        <v>575</v>
      </c>
      <c r="R1714" s="2" t="s">
        <v>50</v>
      </c>
      <c r="S1714" s="9">
        <f t="shared" si="134"/>
        <v>12.98</v>
      </c>
    </row>
    <row r="1715" spans="1:19" x14ac:dyDescent="0.3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str">
        <f>IFERROR(VLOOKUP('Customer Info'!A1707,'Customer Info'!A1707:C2206,2,FALSE),"Not Found")</f>
        <v>Not Found</v>
      </c>
      <c r="H1715" s="6" t="str">
        <f>IFERROR(VLOOKUP('Customer Info'!A1707,'Customer Info'!A1707:C2206,3,FALSE),"Not Found")</f>
        <v>Not Found</v>
      </c>
      <c r="I1715" s="6" t="str">
        <f>IFERROR(VLOOKUP('Customer Info'!A1707,'Customer Info'!A1707:E2206,5,FALSE),"Not Found")</f>
        <v>Not Found</v>
      </c>
      <c r="J1715" s="2">
        <v>392</v>
      </c>
      <c r="K1715" s="2">
        <v>356</v>
      </c>
      <c r="L1715" s="2">
        <v>3</v>
      </c>
      <c r="M1715" s="7">
        <f t="shared" si="130"/>
        <v>1068</v>
      </c>
      <c r="N1715" s="7">
        <f t="shared" si="131"/>
        <v>1176</v>
      </c>
      <c r="O1715" s="2">
        <v>71</v>
      </c>
      <c r="P1715" s="8">
        <f t="shared" si="132"/>
        <v>1247</v>
      </c>
      <c r="Q1715" s="8">
        <f t="shared" si="133"/>
        <v>820</v>
      </c>
      <c r="R1715" s="2" t="s">
        <v>28</v>
      </c>
      <c r="S1715" s="9">
        <f t="shared" si="134"/>
        <v>24.94</v>
      </c>
    </row>
    <row r="1716" spans="1:19" x14ac:dyDescent="0.3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str">
        <f>IFERROR(VLOOKUP('Customer Info'!A1708,'Customer Info'!A1708:C2207,2,FALSE),"Not Found")</f>
        <v>Not Found</v>
      </c>
      <c r="H1716" s="6" t="str">
        <f>IFERROR(VLOOKUP('Customer Info'!A1708,'Customer Info'!A1708:C2207,3,FALSE),"Not Found")</f>
        <v>Not Found</v>
      </c>
      <c r="I1716" s="6" t="str">
        <f>IFERROR(VLOOKUP('Customer Info'!A1708,'Customer Info'!A1708:E2207,5,FALSE),"Not Found")</f>
        <v>Not Found</v>
      </c>
      <c r="J1716" s="2">
        <v>129</v>
      </c>
      <c r="K1716" s="2">
        <v>118</v>
      </c>
      <c r="L1716" s="2">
        <v>3</v>
      </c>
      <c r="M1716" s="7">
        <f t="shared" si="130"/>
        <v>354</v>
      </c>
      <c r="N1716" s="7">
        <f t="shared" si="131"/>
        <v>387</v>
      </c>
      <c r="O1716" s="2">
        <v>30</v>
      </c>
      <c r="P1716" s="8">
        <f t="shared" si="132"/>
        <v>417</v>
      </c>
      <c r="Q1716" s="8">
        <f t="shared" si="133"/>
        <v>269</v>
      </c>
      <c r="R1716" s="2" t="s">
        <v>28</v>
      </c>
      <c r="S1716" s="9">
        <f t="shared" si="134"/>
        <v>8.34</v>
      </c>
    </row>
    <row r="1717" spans="1:19" x14ac:dyDescent="0.3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str">
        <f>IFERROR(VLOOKUP('Customer Info'!A1709,'Customer Info'!A1709:C2208,2,FALSE),"Not Found")</f>
        <v>Not Found</v>
      </c>
      <c r="H1717" s="6" t="str">
        <f>IFERROR(VLOOKUP('Customer Info'!A1709,'Customer Info'!A1709:C2208,3,FALSE),"Not Found")</f>
        <v>Not Found</v>
      </c>
      <c r="I1717" s="6" t="str">
        <f>IFERROR(VLOOKUP('Customer Info'!A1709,'Customer Info'!A1709:E2208,5,FALSE),"Not Found")</f>
        <v>Not Found</v>
      </c>
      <c r="J1717" s="2">
        <v>2501</v>
      </c>
      <c r="K1717" s="2">
        <v>2361</v>
      </c>
      <c r="L1717" s="2">
        <v>5</v>
      </c>
      <c r="M1717" s="7">
        <f t="shared" si="130"/>
        <v>11805</v>
      </c>
      <c r="N1717" s="7">
        <f t="shared" si="131"/>
        <v>12505</v>
      </c>
      <c r="O1717" s="2">
        <v>57</v>
      </c>
      <c r="P1717" s="8">
        <f t="shared" si="132"/>
        <v>12562</v>
      </c>
      <c r="Q1717" s="8">
        <f t="shared" si="133"/>
        <v>10144</v>
      </c>
      <c r="R1717" s="2" t="s">
        <v>28</v>
      </c>
      <c r="S1717" s="9">
        <f t="shared" si="134"/>
        <v>628.1</v>
      </c>
    </row>
    <row r="1718" spans="1:19" x14ac:dyDescent="0.3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str">
        <f>IFERROR(VLOOKUP('Customer Info'!A1710,'Customer Info'!A1710:C2209,2,FALSE),"Not Found")</f>
        <v>Not Found</v>
      </c>
      <c r="H1718" s="6" t="str">
        <f>IFERROR(VLOOKUP('Customer Info'!A1710,'Customer Info'!A1710:C2209,3,FALSE),"Not Found")</f>
        <v>Not Found</v>
      </c>
      <c r="I1718" s="6" t="str">
        <f>IFERROR(VLOOKUP('Customer Info'!A1710,'Customer Info'!A1710:E2209,5,FALSE),"Not Found")</f>
        <v>Not Found</v>
      </c>
      <c r="J1718" s="2">
        <v>7943</v>
      </c>
      <c r="K1718" s="2">
        <v>7790</v>
      </c>
      <c r="L1718" s="2">
        <v>1</v>
      </c>
      <c r="M1718" s="7">
        <f t="shared" si="130"/>
        <v>7790</v>
      </c>
      <c r="N1718" s="7">
        <f t="shared" si="131"/>
        <v>7943</v>
      </c>
      <c r="O1718" s="2">
        <v>39</v>
      </c>
      <c r="P1718" s="8">
        <f t="shared" si="132"/>
        <v>7982</v>
      </c>
      <c r="Q1718" s="8">
        <f t="shared" si="133"/>
        <v>153</v>
      </c>
      <c r="R1718" s="2" t="s">
        <v>26</v>
      </c>
      <c r="S1718" s="9">
        <f t="shared" si="134"/>
        <v>399.1</v>
      </c>
    </row>
    <row r="1719" spans="1:19" x14ac:dyDescent="0.3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str">
        <f>IFERROR(VLOOKUP('Customer Info'!A1711,'Customer Info'!A1711:C2210,2,FALSE),"Not Found")</f>
        <v>Not Found</v>
      </c>
      <c r="H1719" s="6" t="str">
        <f>IFERROR(VLOOKUP('Customer Info'!A1711,'Customer Info'!A1711:C2210,3,FALSE),"Not Found")</f>
        <v>Not Found</v>
      </c>
      <c r="I1719" s="6" t="str">
        <f>IFERROR(VLOOKUP('Customer Info'!A1711,'Customer Info'!A1711:E2210,5,FALSE),"Not Found")</f>
        <v>Not Found</v>
      </c>
      <c r="J1719" s="2">
        <v>5051</v>
      </c>
      <c r="K1719" s="2">
        <v>4634</v>
      </c>
      <c r="L1719" s="2">
        <v>6</v>
      </c>
      <c r="M1719" s="7">
        <f t="shared" si="130"/>
        <v>27804</v>
      </c>
      <c r="N1719" s="7">
        <f t="shared" si="131"/>
        <v>30306</v>
      </c>
      <c r="O1719" s="2">
        <v>89</v>
      </c>
      <c r="P1719" s="8">
        <f t="shared" si="132"/>
        <v>30395</v>
      </c>
      <c r="Q1719" s="8">
        <f t="shared" si="133"/>
        <v>25672</v>
      </c>
      <c r="R1719" s="2" t="s">
        <v>50</v>
      </c>
      <c r="S1719" s="9">
        <f t="shared" si="134"/>
        <v>2127.65</v>
      </c>
    </row>
    <row r="1720" spans="1:19" x14ac:dyDescent="0.3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str">
        <f>IFERROR(VLOOKUP('Customer Info'!A1712,'Customer Info'!A1712:C2211,2,FALSE),"Not Found")</f>
        <v>Not Found</v>
      </c>
      <c r="H1720" s="6" t="str">
        <f>IFERROR(VLOOKUP('Customer Info'!A1712,'Customer Info'!A1712:C2211,3,FALSE),"Not Found")</f>
        <v>Not Found</v>
      </c>
      <c r="I1720" s="6" t="str">
        <f>IFERROR(VLOOKUP('Customer Info'!A1712,'Customer Info'!A1712:E2211,5,FALSE),"Not Found")</f>
        <v>Not Found</v>
      </c>
      <c r="J1720" s="2">
        <v>542</v>
      </c>
      <c r="K1720" s="2">
        <v>492</v>
      </c>
      <c r="L1720" s="2">
        <v>1</v>
      </c>
      <c r="M1720" s="7">
        <f t="shared" si="130"/>
        <v>492</v>
      </c>
      <c r="N1720" s="7">
        <f t="shared" si="131"/>
        <v>542</v>
      </c>
      <c r="O1720" s="2">
        <v>87</v>
      </c>
      <c r="P1720" s="8">
        <f t="shared" si="132"/>
        <v>629</v>
      </c>
      <c r="Q1720" s="8">
        <f t="shared" si="133"/>
        <v>50</v>
      </c>
      <c r="R1720" s="2" t="s">
        <v>28</v>
      </c>
      <c r="S1720" s="9">
        <f t="shared" si="134"/>
        <v>12.58</v>
      </c>
    </row>
    <row r="1721" spans="1:19" x14ac:dyDescent="0.3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str">
        <f>IFERROR(VLOOKUP('Customer Info'!A1713,'Customer Info'!A1713:C2212,2,FALSE),"Not Found")</f>
        <v>Not Found</v>
      </c>
      <c r="H1721" s="6" t="str">
        <f>IFERROR(VLOOKUP('Customer Info'!A1713,'Customer Info'!A1713:C2212,3,FALSE),"Not Found")</f>
        <v>Not Found</v>
      </c>
      <c r="I1721" s="6" t="str">
        <f>IFERROR(VLOOKUP('Customer Info'!A1713,'Customer Info'!A1713:E2212,5,FALSE),"Not Found")</f>
        <v>Not Found</v>
      </c>
      <c r="J1721" s="2">
        <v>130</v>
      </c>
      <c r="K1721" s="2">
        <v>122</v>
      </c>
      <c r="L1721" s="2">
        <v>2</v>
      </c>
      <c r="M1721" s="7">
        <f t="shared" si="130"/>
        <v>244</v>
      </c>
      <c r="N1721" s="7">
        <f t="shared" si="131"/>
        <v>260</v>
      </c>
      <c r="O1721" s="2">
        <v>30</v>
      </c>
      <c r="P1721" s="8">
        <f t="shared" si="132"/>
        <v>290</v>
      </c>
      <c r="Q1721" s="8">
        <f t="shared" si="133"/>
        <v>138</v>
      </c>
      <c r="R1721" s="2" t="s">
        <v>28</v>
      </c>
      <c r="S1721" s="9">
        <f t="shared" si="134"/>
        <v>5.8</v>
      </c>
    </row>
    <row r="1722" spans="1:19" x14ac:dyDescent="0.3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str">
        <f>IFERROR(VLOOKUP('Customer Info'!A1714,'Customer Info'!A1714:C2213,2,FALSE),"Not Found")</f>
        <v>Not Found</v>
      </c>
      <c r="H1722" s="6" t="str">
        <f>IFERROR(VLOOKUP('Customer Info'!A1714,'Customer Info'!A1714:C2213,3,FALSE),"Not Found")</f>
        <v>Not Found</v>
      </c>
      <c r="I1722" s="6" t="str">
        <f>IFERROR(VLOOKUP('Customer Info'!A1714,'Customer Info'!A1714:E2213,5,FALSE),"Not Found")</f>
        <v>Not Found</v>
      </c>
      <c r="J1722" s="2">
        <v>2958</v>
      </c>
      <c r="K1722" s="2">
        <v>2743</v>
      </c>
      <c r="L1722" s="2">
        <v>2</v>
      </c>
      <c r="M1722" s="7">
        <f t="shared" si="130"/>
        <v>5486</v>
      </c>
      <c r="N1722" s="7">
        <f t="shared" si="131"/>
        <v>5916</v>
      </c>
      <c r="O1722" s="2">
        <v>26</v>
      </c>
      <c r="P1722" s="8">
        <f t="shared" si="132"/>
        <v>5942</v>
      </c>
      <c r="Q1722" s="8">
        <f t="shared" si="133"/>
        <v>3173</v>
      </c>
      <c r="R1722" s="2" t="s">
        <v>50</v>
      </c>
      <c r="S1722" s="9">
        <f t="shared" si="134"/>
        <v>297.10000000000002</v>
      </c>
    </row>
    <row r="1723" spans="1:19" x14ac:dyDescent="0.3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str">
        <f>IFERROR(VLOOKUP('Customer Info'!A1715,'Customer Info'!A1715:C2214,2,FALSE),"Not Found")</f>
        <v>Not Found</v>
      </c>
      <c r="H1723" s="6" t="str">
        <f>IFERROR(VLOOKUP('Customer Info'!A1715,'Customer Info'!A1715:C2214,3,FALSE),"Not Found")</f>
        <v>Not Found</v>
      </c>
      <c r="I1723" s="6" t="str">
        <f>IFERROR(VLOOKUP('Customer Info'!A1715,'Customer Info'!A1715:E2214,5,FALSE),"Not Found")</f>
        <v>Not Found</v>
      </c>
      <c r="J1723" s="2">
        <v>1568</v>
      </c>
      <c r="K1723" s="2">
        <v>1495</v>
      </c>
      <c r="L1723" s="2">
        <v>2</v>
      </c>
      <c r="M1723" s="7">
        <f t="shared" si="130"/>
        <v>2990</v>
      </c>
      <c r="N1723" s="7">
        <f t="shared" si="131"/>
        <v>3136</v>
      </c>
      <c r="O1723" s="2">
        <v>65</v>
      </c>
      <c r="P1723" s="8">
        <f t="shared" si="132"/>
        <v>3201</v>
      </c>
      <c r="Q1723" s="8">
        <f t="shared" si="133"/>
        <v>1641</v>
      </c>
      <c r="R1723" s="2" t="s">
        <v>50</v>
      </c>
      <c r="S1723" s="9">
        <f t="shared" si="134"/>
        <v>64.02</v>
      </c>
    </row>
    <row r="1724" spans="1:19" x14ac:dyDescent="0.3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str">
        <f>IFERROR(VLOOKUP('Customer Info'!A1716,'Customer Info'!A1716:C2215,2,FALSE),"Not Found")</f>
        <v>Not Found</v>
      </c>
      <c r="H1724" s="6" t="str">
        <f>IFERROR(VLOOKUP('Customer Info'!A1716,'Customer Info'!A1716:C2215,3,FALSE),"Not Found")</f>
        <v>Not Found</v>
      </c>
      <c r="I1724" s="6" t="str">
        <f>IFERROR(VLOOKUP('Customer Info'!A1716,'Customer Info'!A1716:E2215,5,FALSE),"Not Found")</f>
        <v>Not Found</v>
      </c>
      <c r="J1724" s="2">
        <v>1798</v>
      </c>
      <c r="K1724" s="2">
        <v>1650</v>
      </c>
      <c r="L1724" s="2">
        <v>3</v>
      </c>
      <c r="M1724" s="7">
        <f t="shared" si="130"/>
        <v>4950</v>
      </c>
      <c r="N1724" s="7">
        <f t="shared" si="131"/>
        <v>5394</v>
      </c>
      <c r="O1724" s="2">
        <v>51</v>
      </c>
      <c r="P1724" s="8">
        <f t="shared" si="132"/>
        <v>5445</v>
      </c>
      <c r="Q1724" s="8">
        <f t="shared" si="133"/>
        <v>3744</v>
      </c>
      <c r="R1724" s="2" t="s">
        <v>28</v>
      </c>
      <c r="S1724" s="9">
        <f t="shared" si="134"/>
        <v>272.25</v>
      </c>
    </row>
    <row r="1725" spans="1:19" x14ac:dyDescent="0.3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str">
        <f>IFERROR(VLOOKUP('Customer Info'!A1717,'Customer Info'!A1717:C2216,2,FALSE),"Not Found")</f>
        <v>Not Found</v>
      </c>
      <c r="H1725" s="6" t="str">
        <f>IFERROR(VLOOKUP('Customer Info'!A1717,'Customer Info'!A1717:C2216,3,FALSE),"Not Found")</f>
        <v>Not Found</v>
      </c>
      <c r="I1725" s="6" t="str">
        <f>IFERROR(VLOOKUP('Customer Info'!A1717,'Customer Info'!A1717:E2216,5,FALSE),"Not Found")</f>
        <v>Not Found</v>
      </c>
      <c r="J1725" s="2">
        <v>1983</v>
      </c>
      <c r="K1725" s="2">
        <v>1908</v>
      </c>
      <c r="L1725" s="2">
        <v>4</v>
      </c>
      <c r="M1725" s="7">
        <f t="shared" si="130"/>
        <v>7632</v>
      </c>
      <c r="N1725" s="7">
        <f t="shared" si="131"/>
        <v>7932</v>
      </c>
      <c r="O1725" s="2">
        <v>38</v>
      </c>
      <c r="P1725" s="8">
        <f t="shared" si="132"/>
        <v>7970</v>
      </c>
      <c r="Q1725" s="8">
        <f t="shared" si="133"/>
        <v>6024</v>
      </c>
      <c r="R1725" s="2" t="s">
        <v>50</v>
      </c>
      <c r="S1725" s="9">
        <f t="shared" si="134"/>
        <v>398.5</v>
      </c>
    </row>
    <row r="1726" spans="1:19" x14ac:dyDescent="0.3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str">
        <f>IFERROR(VLOOKUP('Customer Info'!A1718,'Customer Info'!A1718:C2217,2,FALSE),"Not Found")</f>
        <v>Not Found</v>
      </c>
      <c r="H1726" s="6" t="str">
        <f>IFERROR(VLOOKUP('Customer Info'!A1718,'Customer Info'!A1718:C2217,3,FALSE),"Not Found")</f>
        <v>Not Found</v>
      </c>
      <c r="I1726" s="6" t="str">
        <f>IFERROR(VLOOKUP('Customer Info'!A1718,'Customer Info'!A1718:E2217,5,FALSE),"Not Found")</f>
        <v>Not Found</v>
      </c>
      <c r="J1726" s="2">
        <v>7960</v>
      </c>
      <c r="K1726" s="2">
        <v>7375</v>
      </c>
      <c r="L1726" s="2">
        <v>6</v>
      </c>
      <c r="M1726" s="7">
        <f t="shared" si="130"/>
        <v>44250</v>
      </c>
      <c r="N1726" s="7">
        <f t="shared" si="131"/>
        <v>47760</v>
      </c>
      <c r="O1726" s="2">
        <v>63</v>
      </c>
      <c r="P1726" s="8">
        <f t="shared" si="132"/>
        <v>47823</v>
      </c>
      <c r="Q1726" s="8">
        <f t="shared" si="133"/>
        <v>40385</v>
      </c>
      <c r="R1726" s="2" t="s">
        <v>50</v>
      </c>
      <c r="S1726" s="9">
        <f t="shared" si="134"/>
        <v>3347.61</v>
      </c>
    </row>
    <row r="1727" spans="1:19" x14ac:dyDescent="0.3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str">
        <f>IFERROR(VLOOKUP('Customer Info'!A1719,'Customer Info'!A1719:C2218,2,FALSE),"Not Found")</f>
        <v>Not Found</v>
      </c>
      <c r="H1727" s="6" t="str">
        <f>IFERROR(VLOOKUP('Customer Info'!A1719,'Customer Info'!A1719:C2218,3,FALSE),"Not Found")</f>
        <v>Not Found</v>
      </c>
      <c r="I1727" s="6" t="str">
        <f>IFERROR(VLOOKUP('Customer Info'!A1719,'Customer Info'!A1719:E2218,5,FALSE),"Not Found")</f>
        <v>Not Found</v>
      </c>
      <c r="J1727" s="2">
        <v>210</v>
      </c>
      <c r="K1727" s="2">
        <v>191</v>
      </c>
      <c r="L1727" s="2">
        <v>13</v>
      </c>
      <c r="M1727" s="7">
        <f t="shared" si="130"/>
        <v>2483</v>
      </c>
      <c r="N1727" s="7">
        <f t="shared" si="131"/>
        <v>2730</v>
      </c>
      <c r="O1727" s="2">
        <v>25</v>
      </c>
      <c r="P1727" s="8">
        <f t="shared" si="132"/>
        <v>2755</v>
      </c>
      <c r="Q1727" s="8">
        <f t="shared" si="133"/>
        <v>2539</v>
      </c>
      <c r="R1727" s="2" t="s">
        <v>28</v>
      </c>
      <c r="S1727" s="9">
        <f t="shared" si="134"/>
        <v>55.1</v>
      </c>
    </row>
    <row r="1728" spans="1:19" x14ac:dyDescent="0.3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str">
        <f>IFERROR(VLOOKUP('Customer Info'!A1720,'Customer Info'!A1720:C2219,2,FALSE),"Not Found")</f>
        <v>Not Found</v>
      </c>
      <c r="H1728" s="6" t="str">
        <f>IFERROR(VLOOKUP('Customer Info'!A1720,'Customer Info'!A1720:C2219,3,FALSE),"Not Found")</f>
        <v>Not Found</v>
      </c>
      <c r="I1728" s="6" t="str">
        <f>IFERROR(VLOOKUP('Customer Info'!A1720,'Customer Info'!A1720:E2219,5,FALSE),"Not Found")</f>
        <v>Not Found</v>
      </c>
      <c r="J1728" s="2">
        <v>877</v>
      </c>
      <c r="K1728" s="2">
        <v>788</v>
      </c>
      <c r="L1728" s="2">
        <v>3</v>
      </c>
      <c r="M1728" s="7">
        <f t="shared" si="130"/>
        <v>2364</v>
      </c>
      <c r="N1728" s="7">
        <f t="shared" si="131"/>
        <v>2631</v>
      </c>
      <c r="O1728" s="2">
        <v>40</v>
      </c>
      <c r="P1728" s="8">
        <f t="shared" si="132"/>
        <v>2671</v>
      </c>
      <c r="Q1728" s="8">
        <f t="shared" si="133"/>
        <v>1843</v>
      </c>
      <c r="R1728" s="2" t="s">
        <v>50</v>
      </c>
      <c r="S1728" s="9">
        <f t="shared" si="134"/>
        <v>53.42</v>
      </c>
    </row>
    <row r="1729" spans="1:19" x14ac:dyDescent="0.3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str">
        <f>IFERROR(VLOOKUP('Customer Info'!A1721,'Customer Info'!A1721:C2220,2,FALSE),"Not Found")</f>
        <v>Not Found</v>
      </c>
      <c r="H1729" s="6" t="str">
        <f>IFERROR(VLOOKUP('Customer Info'!A1721,'Customer Info'!A1721:C2220,3,FALSE),"Not Found")</f>
        <v>Not Found</v>
      </c>
      <c r="I1729" s="6" t="str">
        <f>IFERROR(VLOOKUP('Customer Info'!A1721,'Customer Info'!A1721:E2220,5,FALSE),"Not Found")</f>
        <v>Not Found</v>
      </c>
      <c r="J1729" s="2">
        <v>8379</v>
      </c>
      <c r="K1729" s="2">
        <v>8061</v>
      </c>
      <c r="L1729" s="2">
        <v>2</v>
      </c>
      <c r="M1729" s="7">
        <f t="shared" si="130"/>
        <v>16122</v>
      </c>
      <c r="N1729" s="7">
        <f t="shared" si="131"/>
        <v>16758</v>
      </c>
      <c r="O1729" s="2">
        <v>96</v>
      </c>
      <c r="P1729" s="8">
        <f t="shared" si="132"/>
        <v>16854</v>
      </c>
      <c r="Q1729" s="8">
        <f t="shared" si="133"/>
        <v>8697</v>
      </c>
      <c r="R1729" s="2" t="s">
        <v>50</v>
      </c>
      <c r="S1729" s="9">
        <f t="shared" si="134"/>
        <v>842.7</v>
      </c>
    </row>
    <row r="1730" spans="1:19" x14ac:dyDescent="0.3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str">
        <f>IFERROR(VLOOKUP('Customer Info'!A1722,'Customer Info'!A1722:C2221,2,FALSE),"Not Found")</f>
        <v>Not Found</v>
      </c>
      <c r="H1730" s="6" t="str">
        <f>IFERROR(VLOOKUP('Customer Info'!A1722,'Customer Info'!A1722:C2221,3,FALSE),"Not Found")</f>
        <v>Not Found</v>
      </c>
      <c r="I1730" s="6" t="str">
        <f>IFERROR(VLOOKUP('Customer Info'!A1722,'Customer Info'!A1722:E2221,5,FALSE),"Not Found")</f>
        <v>Not Found</v>
      </c>
      <c r="J1730" s="2">
        <v>1906</v>
      </c>
      <c r="K1730" s="2">
        <v>1798</v>
      </c>
      <c r="L1730" s="2">
        <v>1</v>
      </c>
      <c r="M1730" s="7">
        <f t="shared" si="130"/>
        <v>1798</v>
      </c>
      <c r="N1730" s="7">
        <f t="shared" si="131"/>
        <v>1906</v>
      </c>
      <c r="O1730" s="2">
        <v>80</v>
      </c>
      <c r="P1730" s="8">
        <f t="shared" si="132"/>
        <v>1986</v>
      </c>
      <c r="Q1730" s="8">
        <f t="shared" si="133"/>
        <v>108</v>
      </c>
      <c r="R1730" s="2" t="s">
        <v>28</v>
      </c>
      <c r="S1730" s="9">
        <f t="shared" si="134"/>
        <v>39.72</v>
      </c>
    </row>
    <row r="1731" spans="1:19" x14ac:dyDescent="0.3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str">
        <f>IFERROR(VLOOKUP('Customer Info'!A1723,'Customer Info'!A1723:C2222,2,FALSE),"Not Found")</f>
        <v>Not Found</v>
      </c>
      <c r="H1731" s="6" t="str">
        <f>IFERROR(VLOOKUP('Customer Info'!A1723,'Customer Info'!A1723:C2222,3,FALSE),"Not Found")</f>
        <v>Not Found</v>
      </c>
      <c r="I1731" s="6" t="str">
        <f>IFERROR(VLOOKUP('Customer Info'!A1723,'Customer Info'!A1723:E2222,5,FALSE),"Not Found")</f>
        <v>Not Found</v>
      </c>
      <c r="J1731" s="2">
        <v>918</v>
      </c>
      <c r="K1731" s="2">
        <v>859</v>
      </c>
      <c r="L1731" s="2">
        <v>7</v>
      </c>
      <c r="M1731" s="7">
        <f t="shared" si="130"/>
        <v>6013</v>
      </c>
      <c r="N1731" s="7">
        <f t="shared" si="131"/>
        <v>6426</v>
      </c>
      <c r="O1731" s="2">
        <v>24</v>
      </c>
      <c r="P1731" s="8">
        <f t="shared" si="132"/>
        <v>6450</v>
      </c>
      <c r="Q1731" s="8">
        <f t="shared" si="133"/>
        <v>5567</v>
      </c>
      <c r="R1731" s="2" t="s">
        <v>50</v>
      </c>
      <c r="S1731" s="9">
        <f t="shared" si="134"/>
        <v>322.5</v>
      </c>
    </row>
    <row r="1732" spans="1:19" x14ac:dyDescent="0.3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str">
        <f>IFERROR(VLOOKUP('Customer Info'!A1724,'Customer Info'!A1724:C2223,2,FALSE),"Not Found")</f>
        <v>Not Found</v>
      </c>
      <c r="H1732" s="6" t="str">
        <f>IFERROR(VLOOKUP('Customer Info'!A1724,'Customer Info'!A1724:C2223,3,FALSE),"Not Found")</f>
        <v>Not Found</v>
      </c>
      <c r="I1732" s="6" t="str">
        <f>IFERROR(VLOOKUP('Customer Info'!A1724,'Customer Info'!A1724:E2223,5,FALSE),"Not Found")</f>
        <v>Not Found</v>
      </c>
      <c r="J1732" s="2">
        <v>3341</v>
      </c>
      <c r="K1732" s="2">
        <v>3152</v>
      </c>
      <c r="L1732" s="2">
        <v>1</v>
      </c>
      <c r="M1732" s="7">
        <f t="shared" si="130"/>
        <v>3152</v>
      </c>
      <c r="N1732" s="7">
        <f t="shared" si="131"/>
        <v>3341</v>
      </c>
      <c r="O1732" s="2">
        <v>48</v>
      </c>
      <c r="P1732" s="8">
        <f t="shared" si="132"/>
        <v>3389</v>
      </c>
      <c r="Q1732" s="8">
        <f t="shared" si="133"/>
        <v>189</v>
      </c>
      <c r="R1732" s="2" t="s">
        <v>28</v>
      </c>
      <c r="S1732" s="9">
        <f t="shared" si="134"/>
        <v>67.78</v>
      </c>
    </row>
    <row r="1733" spans="1:19" x14ac:dyDescent="0.3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str">
        <f>IFERROR(VLOOKUP('Customer Info'!A1725,'Customer Info'!A1725:C2224,2,FALSE),"Not Found")</f>
        <v>Not Found</v>
      </c>
      <c r="H1733" s="6" t="str">
        <f>IFERROR(VLOOKUP('Customer Info'!A1725,'Customer Info'!A1725:C2224,3,FALSE),"Not Found")</f>
        <v>Not Found</v>
      </c>
      <c r="I1733" s="6" t="str">
        <f>IFERROR(VLOOKUP('Customer Info'!A1725,'Customer Info'!A1725:E2224,5,FALSE),"Not Found")</f>
        <v>Not Found</v>
      </c>
      <c r="J1733" s="2">
        <v>1545</v>
      </c>
      <c r="K1733" s="2">
        <v>1486</v>
      </c>
      <c r="L1733" s="2">
        <v>5</v>
      </c>
      <c r="M1733" s="7">
        <f t="shared" si="130"/>
        <v>7430</v>
      </c>
      <c r="N1733" s="7">
        <f t="shared" si="131"/>
        <v>7725</v>
      </c>
      <c r="O1733" s="2">
        <v>98</v>
      </c>
      <c r="P1733" s="8">
        <f t="shared" si="132"/>
        <v>7823</v>
      </c>
      <c r="Q1733" s="8">
        <f t="shared" si="133"/>
        <v>6239</v>
      </c>
      <c r="R1733" s="2" t="s">
        <v>28</v>
      </c>
      <c r="S1733" s="9">
        <f t="shared" si="134"/>
        <v>391.15000000000003</v>
      </c>
    </row>
    <row r="1734" spans="1:19" x14ac:dyDescent="0.3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str">
        <f>IFERROR(VLOOKUP('Customer Info'!A1726,'Customer Info'!A1726:C2225,2,FALSE),"Not Found")</f>
        <v>Not Found</v>
      </c>
      <c r="H1734" s="6" t="str">
        <f>IFERROR(VLOOKUP('Customer Info'!A1726,'Customer Info'!A1726:C2225,3,FALSE),"Not Found")</f>
        <v>Not Found</v>
      </c>
      <c r="I1734" s="6" t="str">
        <f>IFERROR(VLOOKUP('Customer Info'!A1726,'Customer Info'!A1726:E2225,5,FALSE),"Not Found")</f>
        <v>Not Found</v>
      </c>
      <c r="J1734" s="2">
        <v>511</v>
      </c>
      <c r="K1734" s="2">
        <v>477</v>
      </c>
      <c r="L1734" s="2">
        <v>2</v>
      </c>
      <c r="M1734" s="7">
        <f t="shared" si="130"/>
        <v>954</v>
      </c>
      <c r="N1734" s="7">
        <f t="shared" si="131"/>
        <v>1022</v>
      </c>
      <c r="O1734" s="2">
        <v>61</v>
      </c>
      <c r="P1734" s="8">
        <f t="shared" si="132"/>
        <v>1083</v>
      </c>
      <c r="Q1734" s="8">
        <f t="shared" si="133"/>
        <v>545</v>
      </c>
      <c r="R1734" s="2" t="s">
        <v>28</v>
      </c>
      <c r="S1734" s="9">
        <f t="shared" si="134"/>
        <v>21.66</v>
      </c>
    </row>
    <row r="1735" spans="1:19" x14ac:dyDescent="0.3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str">
        <f>IFERROR(VLOOKUP('Customer Info'!A1727,'Customer Info'!A1727:C2226,2,FALSE),"Not Found")</f>
        <v>Not Found</v>
      </c>
      <c r="H1735" s="6" t="str">
        <f>IFERROR(VLOOKUP('Customer Info'!A1727,'Customer Info'!A1727:C2226,3,FALSE),"Not Found")</f>
        <v>Not Found</v>
      </c>
      <c r="I1735" s="6" t="str">
        <f>IFERROR(VLOOKUP('Customer Info'!A1727,'Customer Info'!A1727:E2226,5,FALSE),"Not Found")</f>
        <v>Not Found</v>
      </c>
      <c r="J1735" s="2">
        <v>7021</v>
      </c>
      <c r="K1735" s="2">
        <v>6686</v>
      </c>
      <c r="L1735" s="2">
        <v>4</v>
      </c>
      <c r="M1735" s="7">
        <f t="shared" si="130"/>
        <v>26744</v>
      </c>
      <c r="N1735" s="7">
        <f t="shared" si="131"/>
        <v>28084</v>
      </c>
      <c r="O1735" s="2">
        <v>26</v>
      </c>
      <c r="P1735" s="8">
        <f t="shared" si="132"/>
        <v>28110</v>
      </c>
      <c r="Q1735" s="8">
        <f t="shared" si="133"/>
        <v>21398</v>
      </c>
      <c r="R1735" s="2" t="s">
        <v>28</v>
      </c>
      <c r="S1735" s="9">
        <f t="shared" si="134"/>
        <v>1967.7000000000003</v>
      </c>
    </row>
    <row r="1736" spans="1:19" x14ac:dyDescent="0.3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str">
        <f>IFERROR(VLOOKUP('Customer Info'!A1728,'Customer Info'!A1728:C2227,2,FALSE),"Not Found")</f>
        <v>Not Found</v>
      </c>
      <c r="H1736" s="6" t="str">
        <f>IFERROR(VLOOKUP('Customer Info'!A1728,'Customer Info'!A1728:C2227,3,FALSE),"Not Found")</f>
        <v>Not Found</v>
      </c>
      <c r="I1736" s="6" t="str">
        <f>IFERROR(VLOOKUP('Customer Info'!A1728,'Customer Info'!A1728:E2227,5,FALSE),"Not Found")</f>
        <v>Not Found</v>
      </c>
      <c r="J1736" s="2">
        <v>183</v>
      </c>
      <c r="K1736" s="2">
        <v>168</v>
      </c>
      <c r="L1736" s="2">
        <v>2</v>
      </c>
      <c r="M1736" s="7">
        <f t="shared" si="130"/>
        <v>336</v>
      </c>
      <c r="N1736" s="7">
        <f t="shared" si="131"/>
        <v>366</v>
      </c>
      <c r="O1736" s="2">
        <v>30</v>
      </c>
      <c r="P1736" s="8">
        <f t="shared" si="132"/>
        <v>396</v>
      </c>
      <c r="Q1736" s="8">
        <f t="shared" si="133"/>
        <v>198</v>
      </c>
      <c r="R1736" s="2" t="s">
        <v>50</v>
      </c>
      <c r="S1736" s="9">
        <f t="shared" si="134"/>
        <v>7.92</v>
      </c>
    </row>
    <row r="1737" spans="1:19" x14ac:dyDescent="0.3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str">
        <f>IFERROR(VLOOKUP('Customer Info'!A1729,'Customer Info'!A1729:C2228,2,FALSE),"Not Found")</f>
        <v>Not Found</v>
      </c>
      <c r="H1737" s="6" t="str">
        <f>IFERROR(VLOOKUP('Customer Info'!A1729,'Customer Info'!A1729:C2228,3,FALSE),"Not Found")</f>
        <v>Not Found</v>
      </c>
      <c r="I1737" s="6" t="str">
        <f>IFERROR(VLOOKUP('Customer Info'!A1729,'Customer Info'!A1729:E2228,5,FALSE),"Not Found")</f>
        <v>Not Found</v>
      </c>
      <c r="J1737" s="2">
        <v>505</v>
      </c>
      <c r="K1737" s="2">
        <v>463</v>
      </c>
      <c r="L1737" s="2">
        <v>7</v>
      </c>
      <c r="M1737" s="7">
        <f t="shared" si="130"/>
        <v>3241</v>
      </c>
      <c r="N1737" s="7">
        <f t="shared" si="131"/>
        <v>3535</v>
      </c>
      <c r="O1737" s="2">
        <v>71</v>
      </c>
      <c r="P1737" s="8">
        <f t="shared" si="132"/>
        <v>3606</v>
      </c>
      <c r="Q1737" s="8">
        <f t="shared" si="133"/>
        <v>3072</v>
      </c>
      <c r="R1737" s="2" t="s">
        <v>56</v>
      </c>
      <c r="S1737" s="9">
        <f t="shared" si="134"/>
        <v>72.12</v>
      </c>
    </row>
    <row r="1738" spans="1:19" x14ac:dyDescent="0.3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str">
        <f>IFERROR(VLOOKUP('Customer Info'!A1730,'Customer Info'!A1730:C2229,2,FALSE),"Not Found")</f>
        <v>Not Found</v>
      </c>
      <c r="H1738" s="6" t="str">
        <f>IFERROR(VLOOKUP('Customer Info'!A1730,'Customer Info'!A1730:C2229,3,FALSE),"Not Found")</f>
        <v>Not Found</v>
      </c>
      <c r="I1738" s="6" t="str">
        <f>IFERROR(VLOOKUP('Customer Info'!A1730,'Customer Info'!A1730:E2229,5,FALSE),"Not Found")</f>
        <v>Not Found</v>
      </c>
      <c r="J1738" s="2">
        <v>2228</v>
      </c>
      <c r="K1738" s="2">
        <v>2143</v>
      </c>
      <c r="L1738" s="2">
        <v>4</v>
      </c>
      <c r="M1738" s="7">
        <f t="shared" si="130"/>
        <v>8572</v>
      </c>
      <c r="N1738" s="7">
        <f t="shared" si="131"/>
        <v>8912</v>
      </c>
      <c r="O1738" s="2">
        <v>41</v>
      </c>
      <c r="P1738" s="8">
        <f t="shared" si="132"/>
        <v>8953</v>
      </c>
      <c r="Q1738" s="8">
        <f t="shared" si="133"/>
        <v>6769</v>
      </c>
      <c r="R1738" s="2" t="s">
        <v>28</v>
      </c>
      <c r="S1738" s="9">
        <f t="shared" si="134"/>
        <v>447.65000000000003</v>
      </c>
    </row>
    <row r="1739" spans="1:19" x14ac:dyDescent="0.3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str">
        <f>IFERROR(VLOOKUP('Customer Info'!A1731,'Customer Info'!A1731:C2230,2,FALSE),"Not Found")</f>
        <v>Not Found</v>
      </c>
      <c r="H1739" s="6" t="str">
        <f>IFERROR(VLOOKUP('Customer Info'!A1731,'Customer Info'!A1731:C2230,3,FALSE),"Not Found")</f>
        <v>Not Found</v>
      </c>
      <c r="I1739" s="6" t="str">
        <f>IFERROR(VLOOKUP('Customer Info'!A1731,'Customer Info'!A1731:E2230,5,FALSE),"Not Found")</f>
        <v>Not Found</v>
      </c>
      <c r="J1739" s="2">
        <v>1533</v>
      </c>
      <c r="K1739" s="2">
        <v>1406</v>
      </c>
      <c r="L1739" s="2">
        <v>2</v>
      </c>
      <c r="M1739" s="7">
        <f t="shared" ref="M1739:M1802" si="135">$K1739*$L1739</f>
        <v>2812</v>
      </c>
      <c r="N1739" s="7">
        <f t="shared" ref="N1739:N1802" si="136">$J1739*$L1739</f>
        <v>3066</v>
      </c>
      <c r="O1739" s="2">
        <v>22</v>
      </c>
      <c r="P1739" s="8">
        <f t="shared" ref="P1739:P1802" si="137">$N1739+$O1739</f>
        <v>3088</v>
      </c>
      <c r="Q1739" s="8">
        <f t="shared" ref="Q1739:Q1802" si="138">$N1739-$K1739</f>
        <v>1660</v>
      </c>
      <c r="R1739" s="2" t="s">
        <v>56</v>
      </c>
      <c r="S1739" s="9">
        <f t="shared" ref="S1739:S1802" si="139" xml:space="preserve"> P1739 * VLOOKUP(P1739, $T$2:$U$6, 2, TRUE)</f>
        <v>61.76</v>
      </c>
    </row>
    <row r="1740" spans="1:19" x14ac:dyDescent="0.3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str">
        <f>IFERROR(VLOOKUP('Customer Info'!A1732,'Customer Info'!A1732:C2231,2,FALSE),"Not Found")</f>
        <v>Not Found</v>
      </c>
      <c r="H1740" s="6" t="str">
        <f>IFERROR(VLOOKUP('Customer Info'!A1732,'Customer Info'!A1732:C2231,3,FALSE),"Not Found")</f>
        <v>Not Found</v>
      </c>
      <c r="I1740" s="6" t="str">
        <f>IFERROR(VLOOKUP('Customer Info'!A1732,'Customer Info'!A1732:E2231,5,FALSE),"Not Found")</f>
        <v>Not Found</v>
      </c>
      <c r="J1740" s="2">
        <v>1305</v>
      </c>
      <c r="K1740" s="2">
        <v>1197</v>
      </c>
      <c r="L1740" s="2">
        <v>2</v>
      </c>
      <c r="M1740" s="7">
        <f t="shared" si="135"/>
        <v>2394</v>
      </c>
      <c r="N1740" s="7">
        <f t="shared" si="136"/>
        <v>2610</v>
      </c>
      <c r="O1740" s="2">
        <v>74</v>
      </c>
      <c r="P1740" s="8">
        <f t="shared" si="137"/>
        <v>2684</v>
      </c>
      <c r="Q1740" s="8">
        <f t="shared" si="138"/>
        <v>1413</v>
      </c>
      <c r="R1740" s="2" t="s">
        <v>28</v>
      </c>
      <c r="S1740" s="9">
        <f t="shared" si="139"/>
        <v>53.68</v>
      </c>
    </row>
    <row r="1741" spans="1:19" x14ac:dyDescent="0.3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str">
        <f>IFERROR(VLOOKUP('Customer Info'!A1733,'Customer Info'!A1733:C2232,2,FALSE),"Not Found")</f>
        <v>Not Found</v>
      </c>
      <c r="H1741" s="6" t="str">
        <f>IFERROR(VLOOKUP('Customer Info'!A1733,'Customer Info'!A1733:C2232,3,FALSE),"Not Found")</f>
        <v>Not Found</v>
      </c>
      <c r="I1741" s="6" t="str">
        <f>IFERROR(VLOOKUP('Customer Info'!A1733,'Customer Info'!A1733:E2232,5,FALSE),"Not Found")</f>
        <v>Not Found</v>
      </c>
      <c r="J1741" s="2">
        <v>69</v>
      </c>
      <c r="K1741" s="2">
        <v>64</v>
      </c>
      <c r="L1741" s="2">
        <v>4</v>
      </c>
      <c r="M1741" s="7">
        <f t="shared" si="135"/>
        <v>256</v>
      </c>
      <c r="N1741" s="7">
        <f t="shared" si="136"/>
        <v>276</v>
      </c>
      <c r="O1741" s="2">
        <v>10</v>
      </c>
      <c r="P1741" s="8">
        <f t="shared" si="137"/>
        <v>286</v>
      </c>
      <c r="Q1741" s="8">
        <f t="shared" si="138"/>
        <v>212</v>
      </c>
      <c r="R1741" s="2" t="s">
        <v>50</v>
      </c>
      <c r="S1741" s="9">
        <f t="shared" si="139"/>
        <v>5.72</v>
      </c>
    </row>
    <row r="1742" spans="1:19" x14ac:dyDescent="0.3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str">
        <f>IFERROR(VLOOKUP('Customer Info'!A1734,'Customer Info'!A1734:C2233,2,FALSE),"Not Found")</f>
        <v>Not Found</v>
      </c>
      <c r="H1742" s="6" t="str">
        <f>IFERROR(VLOOKUP('Customer Info'!A1734,'Customer Info'!A1734:C2233,3,FALSE),"Not Found")</f>
        <v>Not Found</v>
      </c>
      <c r="I1742" s="6" t="str">
        <f>IFERROR(VLOOKUP('Customer Info'!A1734,'Customer Info'!A1734:E2233,5,FALSE),"Not Found")</f>
        <v>Not Found</v>
      </c>
      <c r="J1742" s="2">
        <v>25155</v>
      </c>
      <c r="K1742" s="2">
        <v>23753</v>
      </c>
      <c r="L1742" s="2">
        <v>2</v>
      </c>
      <c r="M1742" s="7">
        <f t="shared" si="135"/>
        <v>47506</v>
      </c>
      <c r="N1742" s="7">
        <f t="shared" si="136"/>
        <v>50310</v>
      </c>
      <c r="O1742" s="2">
        <v>27</v>
      </c>
      <c r="P1742" s="8">
        <f t="shared" si="137"/>
        <v>50337</v>
      </c>
      <c r="Q1742" s="8">
        <f t="shared" si="138"/>
        <v>26557</v>
      </c>
      <c r="R1742" s="2" t="s">
        <v>28</v>
      </c>
      <c r="S1742" s="9">
        <f t="shared" si="139"/>
        <v>4530.33</v>
      </c>
    </row>
    <row r="1743" spans="1:19" x14ac:dyDescent="0.3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str">
        <f>IFERROR(VLOOKUP('Customer Info'!A1735,'Customer Info'!A1735:C2234,2,FALSE),"Not Found")</f>
        <v>Not Found</v>
      </c>
      <c r="H1743" s="6" t="str">
        <f>IFERROR(VLOOKUP('Customer Info'!A1735,'Customer Info'!A1735:C2234,3,FALSE),"Not Found")</f>
        <v>Not Found</v>
      </c>
      <c r="I1743" s="6" t="str">
        <f>IFERROR(VLOOKUP('Customer Info'!A1735,'Customer Info'!A1735:E2234,5,FALSE),"Not Found")</f>
        <v>Not Found</v>
      </c>
      <c r="J1743" s="2">
        <v>60</v>
      </c>
      <c r="K1743" s="2">
        <v>55</v>
      </c>
      <c r="L1743" s="2">
        <v>3</v>
      </c>
      <c r="M1743" s="7">
        <f t="shared" si="135"/>
        <v>165</v>
      </c>
      <c r="N1743" s="7">
        <f t="shared" si="136"/>
        <v>180</v>
      </c>
      <c r="O1743" s="2">
        <v>10</v>
      </c>
      <c r="P1743" s="8">
        <f t="shared" si="137"/>
        <v>190</v>
      </c>
      <c r="Q1743" s="8">
        <f t="shared" si="138"/>
        <v>125</v>
      </c>
      <c r="R1743" s="2" t="s">
        <v>28</v>
      </c>
      <c r="S1743" s="9">
        <f t="shared" si="139"/>
        <v>3.8000000000000003</v>
      </c>
    </row>
    <row r="1744" spans="1:19" x14ac:dyDescent="0.3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str">
        <f>IFERROR(VLOOKUP('Customer Info'!A1736,'Customer Info'!A1736:C2235,2,FALSE),"Not Found")</f>
        <v>Not Found</v>
      </c>
      <c r="H1744" s="6" t="str">
        <f>IFERROR(VLOOKUP('Customer Info'!A1736,'Customer Info'!A1736:C2235,3,FALSE),"Not Found")</f>
        <v>Not Found</v>
      </c>
      <c r="I1744" s="6" t="str">
        <f>IFERROR(VLOOKUP('Customer Info'!A1736,'Customer Info'!A1736:E2235,5,FALSE),"Not Found")</f>
        <v>Not Found</v>
      </c>
      <c r="J1744" s="2">
        <v>3288</v>
      </c>
      <c r="K1744" s="2">
        <v>3041</v>
      </c>
      <c r="L1744" s="2">
        <v>2</v>
      </c>
      <c r="M1744" s="7">
        <f t="shared" si="135"/>
        <v>6082</v>
      </c>
      <c r="N1744" s="7">
        <f t="shared" si="136"/>
        <v>6576</v>
      </c>
      <c r="O1744" s="2">
        <v>87</v>
      </c>
      <c r="P1744" s="8">
        <f t="shared" si="137"/>
        <v>6663</v>
      </c>
      <c r="Q1744" s="8">
        <f t="shared" si="138"/>
        <v>3535</v>
      </c>
      <c r="R1744" s="2" t="s">
        <v>28</v>
      </c>
      <c r="S1744" s="9">
        <f t="shared" si="139"/>
        <v>333.15000000000003</v>
      </c>
    </row>
    <row r="1745" spans="1:19" x14ac:dyDescent="0.3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str">
        <f>IFERROR(VLOOKUP('Customer Info'!A1737,'Customer Info'!A1737:C2236,2,FALSE),"Not Found")</f>
        <v>Not Found</v>
      </c>
      <c r="H1745" s="6" t="str">
        <f>IFERROR(VLOOKUP('Customer Info'!A1737,'Customer Info'!A1737:C2236,3,FALSE),"Not Found")</f>
        <v>Not Found</v>
      </c>
      <c r="I1745" s="6" t="str">
        <f>IFERROR(VLOOKUP('Customer Info'!A1737,'Customer Info'!A1737:E2236,5,FALSE),"Not Found")</f>
        <v>Not Found</v>
      </c>
      <c r="J1745" s="2">
        <v>1318</v>
      </c>
      <c r="K1745" s="2">
        <v>1209</v>
      </c>
      <c r="L1745" s="2">
        <v>2</v>
      </c>
      <c r="M1745" s="7">
        <f t="shared" si="135"/>
        <v>2418</v>
      </c>
      <c r="N1745" s="7">
        <f t="shared" si="136"/>
        <v>2636</v>
      </c>
      <c r="O1745" s="2">
        <v>94</v>
      </c>
      <c r="P1745" s="8">
        <f t="shared" si="137"/>
        <v>2730</v>
      </c>
      <c r="Q1745" s="8">
        <f t="shared" si="138"/>
        <v>1427</v>
      </c>
      <c r="R1745" s="2" t="s">
        <v>26</v>
      </c>
      <c r="S1745" s="9">
        <f t="shared" si="139"/>
        <v>54.6</v>
      </c>
    </row>
    <row r="1746" spans="1:19" x14ac:dyDescent="0.3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str">
        <f>IFERROR(VLOOKUP('Customer Info'!A1738,'Customer Info'!A1738:C2237,2,FALSE),"Not Found")</f>
        <v>Not Found</v>
      </c>
      <c r="H1746" s="6" t="str">
        <f>IFERROR(VLOOKUP('Customer Info'!A1738,'Customer Info'!A1738:C2237,3,FALSE),"Not Found")</f>
        <v>Not Found</v>
      </c>
      <c r="I1746" s="6" t="str">
        <f>IFERROR(VLOOKUP('Customer Info'!A1738,'Customer Info'!A1738:E2237,5,FALSE),"Not Found")</f>
        <v>Not Found</v>
      </c>
      <c r="J1746" s="2">
        <v>693</v>
      </c>
      <c r="K1746" s="2">
        <v>667</v>
      </c>
      <c r="L1746" s="2">
        <v>4</v>
      </c>
      <c r="M1746" s="7">
        <f t="shared" si="135"/>
        <v>2668</v>
      </c>
      <c r="N1746" s="7">
        <f t="shared" si="136"/>
        <v>2772</v>
      </c>
      <c r="O1746" s="2">
        <v>80</v>
      </c>
      <c r="P1746" s="8">
        <f t="shared" si="137"/>
        <v>2852</v>
      </c>
      <c r="Q1746" s="8">
        <f t="shared" si="138"/>
        <v>2105</v>
      </c>
      <c r="R1746" s="2" t="s">
        <v>28</v>
      </c>
      <c r="S1746" s="9">
        <f t="shared" si="139"/>
        <v>57.04</v>
      </c>
    </row>
    <row r="1747" spans="1:19" x14ac:dyDescent="0.3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str">
        <f>IFERROR(VLOOKUP('Customer Info'!A1739,'Customer Info'!A1739:C2238,2,FALSE),"Not Found")</f>
        <v>Not Found</v>
      </c>
      <c r="H1747" s="6" t="str">
        <f>IFERROR(VLOOKUP('Customer Info'!A1739,'Customer Info'!A1739:C2238,3,FALSE),"Not Found")</f>
        <v>Not Found</v>
      </c>
      <c r="I1747" s="6" t="str">
        <f>IFERROR(VLOOKUP('Customer Info'!A1739,'Customer Info'!A1739:E2238,5,FALSE),"Not Found")</f>
        <v>Not Found</v>
      </c>
      <c r="J1747" s="2">
        <v>165</v>
      </c>
      <c r="K1747" s="2">
        <v>149</v>
      </c>
      <c r="L1747" s="2">
        <v>2</v>
      </c>
      <c r="M1747" s="7">
        <f t="shared" si="135"/>
        <v>298</v>
      </c>
      <c r="N1747" s="7">
        <f t="shared" si="136"/>
        <v>330</v>
      </c>
      <c r="O1747" s="2">
        <v>30</v>
      </c>
      <c r="P1747" s="8">
        <f t="shared" si="137"/>
        <v>360</v>
      </c>
      <c r="Q1747" s="8">
        <f t="shared" si="138"/>
        <v>181</v>
      </c>
      <c r="R1747" s="2" t="s">
        <v>50</v>
      </c>
      <c r="S1747" s="9">
        <f t="shared" si="139"/>
        <v>7.2</v>
      </c>
    </row>
    <row r="1748" spans="1:19" x14ac:dyDescent="0.3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str">
        <f>IFERROR(VLOOKUP('Customer Info'!A1740,'Customer Info'!A1740:C2239,2,FALSE),"Not Found")</f>
        <v>Not Found</v>
      </c>
      <c r="H1748" s="6" t="str">
        <f>IFERROR(VLOOKUP('Customer Info'!A1740,'Customer Info'!A1740:C2239,3,FALSE),"Not Found")</f>
        <v>Not Found</v>
      </c>
      <c r="I1748" s="6" t="str">
        <f>IFERROR(VLOOKUP('Customer Info'!A1740,'Customer Info'!A1740:E2239,5,FALSE),"Not Found")</f>
        <v>Not Found</v>
      </c>
      <c r="J1748" s="2">
        <v>1482</v>
      </c>
      <c r="K1748" s="2">
        <v>1453</v>
      </c>
      <c r="L1748" s="2">
        <v>1</v>
      </c>
      <c r="M1748" s="7">
        <f t="shared" si="135"/>
        <v>1453</v>
      </c>
      <c r="N1748" s="7">
        <f t="shared" si="136"/>
        <v>1482</v>
      </c>
      <c r="O1748" s="2">
        <v>75</v>
      </c>
      <c r="P1748" s="8">
        <f t="shared" si="137"/>
        <v>1557</v>
      </c>
      <c r="Q1748" s="8">
        <f t="shared" si="138"/>
        <v>29</v>
      </c>
      <c r="R1748" s="2" t="s">
        <v>28</v>
      </c>
      <c r="S1748" s="9">
        <f t="shared" si="139"/>
        <v>31.14</v>
      </c>
    </row>
    <row r="1749" spans="1:19" x14ac:dyDescent="0.3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str">
        <f>IFERROR(VLOOKUP('Customer Info'!A1741,'Customer Info'!A1741:C2240,2,FALSE),"Not Found")</f>
        <v>Not Found</v>
      </c>
      <c r="H1749" s="6" t="str">
        <f>IFERROR(VLOOKUP('Customer Info'!A1741,'Customer Info'!A1741:C2240,3,FALSE),"Not Found")</f>
        <v>Not Found</v>
      </c>
      <c r="I1749" s="6" t="str">
        <f>IFERROR(VLOOKUP('Customer Info'!A1741,'Customer Info'!A1741:E2240,5,FALSE),"Not Found")</f>
        <v>Not Found</v>
      </c>
      <c r="J1749" s="2">
        <v>5894</v>
      </c>
      <c r="K1749" s="2">
        <v>5621</v>
      </c>
      <c r="L1749" s="2">
        <v>6</v>
      </c>
      <c r="M1749" s="7">
        <f t="shared" si="135"/>
        <v>33726</v>
      </c>
      <c r="N1749" s="7">
        <f t="shared" si="136"/>
        <v>35364</v>
      </c>
      <c r="O1749" s="2">
        <v>25</v>
      </c>
      <c r="P1749" s="8">
        <f t="shared" si="137"/>
        <v>35389</v>
      </c>
      <c r="Q1749" s="8">
        <f t="shared" si="138"/>
        <v>29743</v>
      </c>
      <c r="R1749" s="2" t="s">
        <v>28</v>
      </c>
      <c r="S1749" s="9">
        <f t="shared" si="139"/>
        <v>2477.23</v>
      </c>
    </row>
    <row r="1750" spans="1:19" x14ac:dyDescent="0.3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str">
        <f>IFERROR(VLOOKUP('Customer Info'!A1742,'Customer Info'!A1742:C2241,2,FALSE),"Not Found")</f>
        <v>Not Found</v>
      </c>
      <c r="H1750" s="6" t="str">
        <f>IFERROR(VLOOKUP('Customer Info'!A1742,'Customer Info'!A1742:C2241,3,FALSE),"Not Found")</f>
        <v>Not Found</v>
      </c>
      <c r="I1750" s="6" t="str">
        <f>IFERROR(VLOOKUP('Customer Info'!A1742,'Customer Info'!A1742:E2241,5,FALSE),"Not Found")</f>
        <v>Not Found</v>
      </c>
      <c r="J1750" s="2">
        <v>393</v>
      </c>
      <c r="K1750" s="2">
        <v>374</v>
      </c>
      <c r="L1750" s="2">
        <v>2</v>
      </c>
      <c r="M1750" s="7">
        <f t="shared" si="135"/>
        <v>748</v>
      </c>
      <c r="N1750" s="7">
        <f t="shared" si="136"/>
        <v>786</v>
      </c>
      <c r="O1750" s="2">
        <v>27</v>
      </c>
      <c r="P1750" s="8">
        <f t="shared" si="137"/>
        <v>813</v>
      </c>
      <c r="Q1750" s="8">
        <f t="shared" si="138"/>
        <v>412</v>
      </c>
      <c r="R1750" s="2" t="s">
        <v>50</v>
      </c>
      <c r="S1750" s="9">
        <f t="shared" si="139"/>
        <v>16.260000000000002</v>
      </c>
    </row>
    <row r="1751" spans="1:19" x14ac:dyDescent="0.3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str">
        <f>IFERROR(VLOOKUP('Customer Info'!A1743,'Customer Info'!A1743:C2242,2,FALSE),"Not Found")</f>
        <v>Not Found</v>
      </c>
      <c r="H1751" s="6" t="str">
        <f>IFERROR(VLOOKUP('Customer Info'!A1743,'Customer Info'!A1743:C2242,3,FALSE),"Not Found")</f>
        <v>Not Found</v>
      </c>
      <c r="I1751" s="6" t="str">
        <f>IFERROR(VLOOKUP('Customer Info'!A1743,'Customer Info'!A1743:E2242,5,FALSE),"Not Found")</f>
        <v>Not Found</v>
      </c>
      <c r="J1751" s="2">
        <v>1637</v>
      </c>
      <c r="K1751" s="2">
        <v>1591</v>
      </c>
      <c r="L1751" s="2">
        <v>3</v>
      </c>
      <c r="M1751" s="7">
        <f t="shared" si="135"/>
        <v>4773</v>
      </c>
      <c r="N1751" s="7">
        <f t="shared" si="136"/>
        <v>4911</v>
      </c>
      <c r="O1751" s="2">
        <v>38</v>
      </c>
      <c r="P1751" s="8">
        <f t="shared" si="137"/>
        <v>4949</v>
      </c>
      <c r="Q1751" s="8">
        <f t="shared" si="138"/>
        <v>3320</v>
      </c>
      <c r="R1751" s="2" t="s">
        <v>28</v>
      </c>
      <c r="S1751" s="9">
        <f t="shared" si="139"/>
        <v>98.98</v>
      </c>
    </row>
    <row r="1752" spans="1:19" x14ac:dyDescent="0.3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str">
        <f>IFERROR(VLOOKUP('Customer Info'!A1744,'Customer Info'!A1744:C2243,2,FALSE),"Not Found")</f>
        <v>Not Found</v>
      </c>
      <c r="H1752" s="6" t="str">
        <f>IFERROR(VLOOKUP('Customer Info'!A1744,'Customer Info'!A1744:C2243,3,FALSE),"Not Found")</f>
        <v>Not Found</v>
      </c>
      <c r="I1752" s="6" t="str">
        <f>IFERROR(VLOOKUP('Customer Info'!A1744,'Customer Info'!A1744:E2243,5,FALSE),"Not Found")</f>
        <v>Not Found</v>
      </c>
      <c r="J1752" s="2">
        <v>1125</v>
      </c>
      <c r="K1752" s="2">
        <v>1040</v>
      </c>
      <c r="L1752" s="2">
        <v>1</v>
      </c>
      <c r="M1752" s="7">
        <f t="shared" si="135"/>
        <v>1040</v>
      </c>
      <c r="N1752" s="7">
        <f t="shared" si="136"/>
        <v>1125</v>
      </c>
      <c r="O1752" s="2">
        <v>43</v>
      </c>
      <c r="P1752" s="8">
        <f t="shared" si="137"/>
        <v>1168</v>
      </c>
      <c r="Q1752" s="8">
        <f t="shared" si="138"/>
        <v>85</v>
      </c>
      <c r="R1752" s="2" t="s">
        <v>26</v>
      </c>
      <c r="S1752" s="9">
        <f t="shared" si="139"/>
        <v>23.36</v>
      </c>
    </row>
    <row r="1753" spans="1:19" x14ac:dyDescent="0.3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str">
        <f>IFERROR(VLOOKUP('Customer Info'!A1745,'Customer Info'!A1745:C2244,2,FALSE),"Not Found")</f>
        <v>Not Found</v>
      </c>
      <c r="H1753" s="6" t="str">
        <f>IFERROR(VLOOKUP('Customer Info'!A1745,'Customer Info'!A1745:C2244,3,FALSE),"Not Found")</f>
        <v>Not Found</v>
      </c>
      <c r="I1753" s="6" t="str">
        <f>IFERROR(VLOOKUP('Customer Info'!A1745,'Customer Info'!A1745:E2244,5,FALSE),"Not Found")</f>
        <v>Not Found</v>
      </c>
      <c r="J1753" s="2">
        <v>4704</v>
      </c>
      <c r="K1753" s="2">
        <v>4361</v>
      </c>
      <c r="L1753" s="2">
        <v>1</v>
      </c>
      <c r="M1753" s="7">
        <f t="shared" si="135"/>
        <v>4361</v>
      </c>
      <c r="N1753" s="7">
        <f t="shared" si="136"/>
        <v>4704</v>
      </c>
      <c r="O1753" s="2">
        <v>30</v>
      </c>
      <c r="P1753" s="8">
        <f t="shared" si="137"/>
        <v>4734</v>
      </c>
      <c r="Q1753" s="8">
        <f t="shared" si="138"/>
        <v>343</v>
      </c>
      <c r="R1753" s="2" t="s">
        <v>28</v>
      </c>
      <c r="S1753" s="9">
        <f t="shared" si="139"/>
        <v>94.68</v>
      </c>
    </row>
    <row r="1754" spans="1:19" x14ac:dyDescent="0.3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str">
        <f>IFERROR(VLOOKUP('Customer Info'!A1746,'Customer Info'!A1746:C2245,2,FALSE),"Not Found")</f>
        <v>Not Found</v>
      </c>
      <c r="H1754" s="6" t="str">
        <f>IFERROR(VLOOKUP('Customer Info'!A1746,'Customer Info'!A1746:C2245,3,FALSE),"Not Found")</f>
        <v>Not Found</v>
      </c>
      <c r="I1754" s="6" t="str">
        <f>IFERROR(VLOOKUP('Customer Info'!A1746,'Customer Info'!A1746:E2245,5,FALSE),"Not Found")</f>
        <v>Not Found</v>
      </c>
      <c r="J1754" s="2">
        <v>1651</v>
      </c>
      <c r="K1754" s="2">
        <v>1604</v>
      </c>
      <c r="L1754" s="2">
        <v>5</v>
      </c>
      <c r="M1754" s="7">
        <f t="shared" si="135"/>
        <v>8020</v>
      </c>
      <c r="N1754" s="7">
        <f t="shared" si="136"/>
        <v>8255</v>
      </c>
      <c r="O1754" s="2">
        <v>67</v>
      </c>
      <c r="P1754" s="8">
        <f t="shared" si="137"/>
        <v>8322</v>
      </c>
      <c r="Q1754" s="8">
        <f t="shared" si="138"/>
        <v>6651</v>
      </c>
      <c r="R1754" s="2" t="s">
        <v>28</v>
      </c>
      <c r="S1754" s="9">
        <f t="shared" si="139"/>
        <v>416.1</v>
      </c>
    </row>
    <row r="1755" spans="1:19" x14ac:dyDescent="0.3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str">
        <f>IFERROR(VLOOKUP('Customer Info'!A1747,'Customer Info'!A1747:C2246,2,FALSE),"Not Found")</f>
        <v>Not Found</v>
      </c>
      <c r="H1755" s="6" t="str">
        <f>IFERROR(VLOOKUP('Customer Info'!A1747,'Customer Info'!A1747:C2246,3,FALSE),"Not Found")</f>
        <v>Not Found</v>
      </c>
      <c r="I1755" s="6" t="str">
        <f>IFERROR(VLOOKUP('Customer Info'!A1747,'Customer Info'!A1747:E2246,5,FALSE),"Not Found")</f>
        <v>Not Found</v>
      </c>
      <c r="J1755" s="2">
        <v>8738</v>
      </c>
      <c r="K1755" s="2">
        <v>8162</v>
      </c>
      <c r="L1755" s="2">
        <v>3</v>
      </c>
      <c r="M1755" s="7">
        <f t="shared" si="135"/>
        <v>24486</v>
      </c>
      <c r="N1755" s="7">
        <f t="shared" si="136"/>
        <v>26214</v>
      </c>
      <c r="O1755" s="2">
        <v>73</v>
      </c>
      <c r="P1755" s="8">
        <f t="shared" si="137"/>
        <v>26287</v>
      </c>
      <c r="Q1755" s="8">
        <f t="shared" si="138"/>
        <v>18052</v>
      </c>
      <c r="R1755" s="2" t="s">
        <v>28</v>
      </c>
      <c r="S1755" s="9">
        <f t="shared" si="139"/>
        <v>1840.0900000000001</v>
      </c>
    </row>
    <row r="1756" spans="1:19" x14ac:dyDescent="0.3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str">
        <f>IFERROR(VLOOKUP('Customer Info'!A1748,'Customer Info'!A1748:C2247,2,FALSE),"Not Found")</f>
        <v>Not Found</v>
      </c>
      <c r="H1756" s="6" t="str">
        <f>IFERROR(VLOOKUP('Customer Info'!A1748,'Customer Info'!A1748:C2247,3,FALSE),"Not Found")</f>
        <v>Not Found</v>
      </c>
      <c r="I1756" s="6" t="str">
        <f>IFERROR(VLOOKUP('Customer Info'!A1748,'Customer Info'!A1748:E2247,5,FALSE),"Not Found")</f>
        <v>Not Found</v>
      </c>
      <c r="J1756" s="2">
        <v>2418</v>
      </c>
      <c r="K1756" s="2">
        <v>2282</v>
      </c>
      <c r="L1756" s="2">
        <v>3</v>
      </c>
      <c r="M1756" s="7">
        <f t="shared" si="135"/>
        <v>6846</v>
      </c>
      <c r="N1756" s="7">
        <f t="shared" si="136"/>
        <v>7254</v>
      </c>
      <c r="O1756" s="2">
        <v>99</v>
      </c>
      <c r="P1756" s="8">
        <f t="shared" si="137"/>
        <v>7353</v>
      </c>
      <c r="Q1756" s="8">
        <f t="shared" si="138"/>
        <v>4972</v>
      </c>
      <c r="R1756" s="2" t="s">
        <v>50</v>
      </c>
      <c r="S1756" s="9">
        <f t="shared" si="139"/>
        <v>367.65000000000003</v>
      </c>
    </row>
    <row r="1757" spans="1:19" x14ac:dyDescent="0.3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str">
        <f>IFERROR(VLOOKUP('Customer Info'!A1749,'Customer Info'!A1749:C2248,2,FALSE),"Not Found")</f>
        <v>Not Found</v>
      </c>
      <c r="H1757" s="6" t="str">
        <f>IFERROR(VLOOKUP('Customer Info'!A1749,'Customer Info'!A1749:C2248,3,FALSE),"Not Found")</f>
        <v>Not Found</v>
      </c>
      <c r="I1757" s="6" t="str">
        <f>IFERROR(VLOOKUP('Customer Info'!A1749,'Customer Info'!A1749:E2248,5,FALSE),"Not Found")</f>
        <v>Not Found</v>
      </c>
      <c r="J1757" s="2">
        <v>2540</v>
      </c>
      <c r="K1757" s="2">
        <v>2397</v>
      </c>
      <c r="L1757" s="2">
        <v>3</v>
      </c>
      <c r="M1757" s="7">
        <f t="shared" si="135"/>
        <v>7191</v>
      </c>
      <c r="N1757" s="7">
        <f t="shared" si="136"/>
        <v>7620</v>
      </c>
      <c r="O1757" s="2">
        <v>87</v>
      </c>
      <c r="P1757" s="8">
        <f t="shared" si="137"/>
        <v>7707</v>
      </c>
      <c r="Q1757" s="8">
        <f t="shared" si="138"/>
        <v>5223</v>
      </c>
      <c r="R1757" s="2" t="s">
        <v>28</v>
      </c>
      <c r="S1757" s="9">
        <f t="shared" si="139"/>
        <v>385.35</v>
      </c>
    </row>
    <row r="1758" spans="1:19" x14ac:dyDescent="0.3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str">
        <f>IFERROR(VLOOKUP('Customer Info'!A1750,'Customer Info'!A1750:C2249,2,FALSE),"Not Found")</f>
        <v>Not Found</v>
      </c>
      <c r="H1758" s="6" t="str">
        <f>IFERROR(VLOOKUP('Customer Info'!A1750,'Customer Info'!A1750:C2249,3,FALSE),"Not Found")</f>
        <v>Not Found</v>
      </c>
      <c r="I1758" s="6" t="str">
        <f>IFERROR(VLOOKUP('Customer Info'!A1750,'Customer Info'!A1750:E2249,5,FALSE),"Not Found")</f>
        <v>Not Found</v>
      </c>
      <c r="J1758" s="2">
        <v>666</v>
      </c>
      <c r="K1758" s="2">
        <v>641</v>
      </c>
      <c r="L1758" s="2">
        <v>1</v>
      </c>
      <c r="M1758" s="7">
        <f t="shared" si="135"/>
        <v>641</v>
      </c>
      <c r="N1758" s="7">
        <f t="shared" si="136"/>
        <v>666</v>
      </c>
      <c r="O1758" s="2">
        <v>35</v>
      </c>
      <c r="P1758" s="8">
        <f t="shared" si="137"/>
        <v>701</v>
      </c>
      <c r="Q1758" s="8">
        <f t="shared" si="138"/>
        <v>25</v>
      </c>
      <c r="R1758" s="2" t="s">
        <v>28</v>
      </c>
      <c r="S1758" s="9">
        <f t="shared" si="139"/>
        <v>14.02</v>
      </c>
    </row>
    <row r="1759" spans="1:19" x14ac:dyDescent="0.3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str">
        <f>IFERROR(VLOOKUP('Customer Info'!A1751,'Customer Info'!A1751:C2250,2,FALSE),"Not Found")</f>
        <v>Not Found</v>
      </c>
      <c r="H1759" s="6" t="str">
        <f>IFERROR(VLOOKUP('Customer Info'!A1751,'Customer Info'!A1751:C2250,3,FALSE),"Not Found")</f>
        <v>Not Found</v>
      </c>
      <c r="I1759" s="6" t="str">
        <f>IFERROR(VLOOKUP('Customer Info'!A1751,'Customer Info'!A1751:E2250,5,FALSE),"Not Found")</f>
        <v>Not Found</v>
      </c>
      <c r="J1759" s="2">
        <v>516</v>
      </c>
      <c r="K1759" s="2">
        <v>473</v>
      </c>
      <c r="L1759" s="2">
        <v>2</v>
      </c>
      <c r="M1759" s="7">
        <f t="shared" si="135"/>
        <v>946</v>
      </c>
      <c r="N1759" s="7">
        <f t="shared" si="136"/>
        <v>1032</v>
      </c>
      <c r="O1759" s="2">
        <v>91</v>
      </c>
      <c r="P1759" s="8">
        <f t="shared" si="137"/>
        <v>1123</v>
      </c>
      <c r="Q1759" s="8">
        <f t="shared" si="138"/>
        <v>559</v>
      </c>
      <c r="R1759" s="2" t="s">
        <v>28</v>
      </c>
      <c r="S1759" s="9">
        <f t="shared" si="139"/>
        <v>22.46</v>
      </c>
    </row>
    <row r="1760" spans="1:19" x14ac:dyDescent="0.3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str">
        <f>IFERROR(VLOOKUP('Customer Info'!A1752,'Customer Info'!A1752:C2251,2,FALSE),"Not Found")</f>
        <v>Not Found</v>
      </c>
      <c r="H1760" s="6" t="str">
        <f>IFERROR(VLOOKUP('Customer Info'!A1752,'Customer Info'!A1752:C2251,3,FALSE),"Not Found")</f>
        <v>Not Found</v>
      </c>
      <c r="I1760" s="6" t="str">
        <f>IFERROR(VLOOKUP('Customer Info'!A1752,'Customer Info'!A1752:E2251,5,FALSE),"Not Found")</f>
        <v>Not Found</v>
      </c>
      <c r="J1760" s="2">
        <v>520</v>
      </c>
      <c r="K1760" s="2">
        <v>477</v>
      </c>
      <c r="L1760" s="2">
        <v>1</v>
      </c>
      <c r="M1760" s="7">
        <f t="shared" si="135"/>
        <v>477</v>
      </c>
      <c r="N1760" s="7">
        <f t="shared" si="136"/>
        <v>520</v>
      </c>
      <c r="O1760" s="2">
        <v>59</v>
      </c>
      <c r="P1760" s="8">
        <f t="shared" si="137"/>
        <v>579</v>
      </c>
      <c r="Q1760" s="8">
        <f t="shared" si="138"/>
        <v>43</v>
      </c>
      <c r="R1760" s="2" t="s">
        <v>28</v>
      </c>
      <c r="S1760" s="9">
        <f t="shared" si="139"/>
        <v>11.58</v>
      </c>
    </row>
    <row r="1761" spans="1:19" x14ac:dyDescent="0.3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str">
        <f>IFERROR(VLOOKUP('Customer Info'!A1753,'Customer Info'!A1753:C2252,2,FALSE),"Not Found")</f>
        <v>Not Found</v>
      </c>
      <c r="H1761" s="6" t="str">
        <f>IFERROR(VLOOKUP('Customer Info'!A1753,'Customer Info'!A1753:C2252,3,FALSE),"Not Found")</f>
        <v>Not Found</v>
      </c>
      <c r="I1761" s="6" t="str">
        <f>IFERROR(VLOOKUP('Customer Info'!A1753,'Customer Info'!A1753:E2252,5,FALSE),"Not Found")</f>
        <v>Not Found</v>
      </c>
      <c r="J1761" s="2">
        <v>626</v>
      </c>
      <c r="K1761" s="2">
        <v>559</v>
      </c>
      <c r="L1761" s="2">
        <v>6</v>
      </c>
      <c r="M1761" s="7">
        <f t="shared" si="135"/>
        <v>3354</v>
      </c>
      <c r="N1761" s="7">
        <f t="shared" si="136"/>
        <v>3756</v>
      </c>
      <c r="O1761" s="2">
        <v>74</v>
      </c>
      <c r="P1761" s="8">
        <f t="shared" si="137"/>
        <v>3830</v>
      </c>
      <c r="Q1761" s="8">
        <f t="shared" si="138"/>
        <v>3197</v>
      </c>
      <c r="R1761" s="2" t="s">
        <v>50</v>
      </c>
      <c r="S1761" s="9">
        <f t="shared" si="139"/>
        <v>76.600000000000009</v>
      </c>
    </row>
    <row r="1762" spans="1:19" x14ac:dyDescent="0.3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str">
        <f>IFERROR(VLOOKUP('Customer Info'!A1754,'Customer Info'!A1754:C2253,2,FALSE),"Not Found")</f>
        <v>Not Found</v>
      </c>
      <c r="H1762" s="6" t="str">
        <f>IFERROR(VLOOKUP('Customer Info'!A1754,'Customer Info'!A1754:C2253,3,FALSE),"Not Found")</f>
        <v>Not Found</v>
      </c>
      <c r="I1762" s="6" t="str">
        <f>IFERROR(VLOOKUP('Customer Info'!A1754,'Customer Info'!A1754:E2253,5,FALSE),"Not Found")</f>
        <v>Not Found</v>
      </c>
      <c r="J1762" s="2">
        <v>809</v>
      </c>
      <c r="K1762" s="2">
        <v>770</v>
      </c>
      <c r="L1762" s="2">
        <v>2</v>
      </c>
      <c r="M1762" s="7">
        <f t="shared" si="135"/>
        <v>1540</v>
      </c>
      <c r="N1762" s="7">
        <f t="shared" si="136"/>
        <v>1618</v>
      </c>
      <c r="O1762" s="2">
        <v>67</v>
      </c>
      <c r="P1762" s="8">
        <f t="shared" si="137"/>
        <v>1685</v>
      </c>
      <c r="Q1762" s="8">
        <f t="shared" si="138"/>
        <v>848</v>
      </c>
      <c r="R1762" s="2" t="s">
        <v>50</v>
      </c>
      <c r="S1762" s="9">
        <f t="shared" si="139"/>
        <v>33.700000000000003</v>
      </c>
    </row>
    <row r="1763" spans="1:19" x14ac:dyDescent="0.3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str">
        <f>IFERROR(VLOOKUP('Customer Info'!A1755,'Customer Info'!A1755:C2254,2,FALSE),"Not Found")</f>
        <v>Not Found</v>
      </c>
      <c r="H1763" s="6" t="str">
        <f>IFERROR(VLOOKUP('Customer Info'!A1755,'Customer Info'!A1755:C2254,3,FALSE),"Not Found")</f>
        <v>Not Found</v>
      </c>
      <c r="I1763" s="6" t="str">
        <f>IFERROR(VLOOKUP('Customer Info'!A1755,'Customer Info'!A1755:E2254,5,FALSE),"Not Found")</f>
        <v>Not Found</v>
      </c>
      <c r="J1763" s="2">
        <v>8160</v>
      </c>
      <c r="K1763" s="2">
        <v>7475</v>
      </c>
      <c r="L1763" s="2">
        <v>1</v>
      </c>
      <c r="M1763" s="7">
        <f t="shared" si="135"/>
        <v>7475</v>
      </c>
      <c r="N1763" s="7">
        <f t="shared" si="136"/>
        <v>8160</v>
      </c>
      <c r="O1763" s="2">
        <v>67</v>
      </c>
      <c r="P1763" s="8">
        <f t="shared" si="137"/>
        <v>8227</v>
      </c>
      <c r="Q1763" s="8">
        <f t="shared" si="138"/>
        <v>685</v>
      </c>
      <c r="R1763" s="2" t="s">
        <v>28</v>
      </c>
      <c r="S1763" s="9">
        <f t="shared" si="139"/>
        <v>411.35</v>
      </c>
    </row>
    <row r="1764" spans="1:19" x14ac:dyDescent="0.3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str">
        <f>IFERROR(VLOOKUP('Customer Info'!A1756,'Customer Info'!A1756:C2255,2,FALSE),"Not Found")</f>
        <v>Not Found</v>
      </c>
      <c r="H1764" s="6" t="str">
        <f>IFERROR(VLOOKUP('Customer Info'!A1756,'Customer Info'!A1756:C2255,3,FALSE),"Not Found")</f>
        <v>Not Found</v>
      </c>
      <c r="I1764" s="6" t="str">
        <f>IFERROR(VLOOKUP('Customer Info'!A1756,'Customer Info'!A1756:E2255,5,FALSE),"Not Found")</f>
        <v>Not Found</v>
      </c>
      <c r="J1764" s="2">
        <v>835</v>
      </c>
      <c r="K1764" s="2">
        <v>796</v>
      </c>
      <c r="L1764" s="2">
        <v>2</v>
      </c>
      <c r="M1764" s="7">
        <f t="shared" si="135"/>
        <v>1592</v>
      </c>
      <c r="N1764" s="7">
        <f t="shared" si="136"/>
        <v>1670</v>
      </c>
      <c r="O1764" s="2">
        <v>28</v>
      </c>
      <c r="P1764" s="8">
        <f t="shared" si="137"/>
        <v>1698</v>
      </c>
      <c r="Q1764" s="8">
        <f t="shared" si="138"/>
        <v>874</v>
      </c>
      <c r="R1764" s="2" t="s">
        <v>28</v>
      </c>
      <c r="S1764" s="9">
        <f t="shared" si="139"/>
        <v>33.96</v>
      </c>
    </row>
    <row r="1765" spans="1:19" x14ac:dyDescent="0.3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str">
        <f>IFERROR(VLOOKUP('Customer Info'!A1757,'Customer Info'!A1757:C2256,2,FALSE),"Not Found")</f>
        <v>Not Found</v>
      </c>
      <c r="H1765" s="6" t="str">
        <f>IFERROR(VLOOKUP('Customer Info'!A1757,'Customer Info'!A1757:C2256,3,FALSE),"Not Found")</f>
        <v>Not Found</v>
      </c>
      <c r="I1765" s="6" t="str">
        <f>IFERROR(VLOOKUP('Customer Info'!A1757,'Customer Info'!A1757:E2256,5,FALSE),"Not Found")</f>
        <v>Not Found</v>
      </c>
      <c r="J1765" s="2">
        <v>63</v>
      </c>
      <c r="K1765" s="2">
        <v>58</v>
      </c>
      <c r="L1765" s="2">
        <v>2</v>
      </c>
      <c r="M1765" s="7">
        <f t="shared" si="135"/>
        <v>116</v>
      </c>
      <c r="N1765" s="7">
        <f t="shared" si="136"/>
        <v>126</v>
      </c>
      <c r="O1765" s="2">
        <v>10</v>
      </c>
      <c r="P1765" s="8">
        <f t="shared" si="137"/>
        <v>136</v>
      </c>
      <c r="Q1765" s="8">
        <f t="shared" si="138"/>
        <v>68</v>
      </c>
      <c r="R1765" s="2" t="s">
        <v>28</v>
      </c>
      <c r="S1765" s="9">
        <f t="shared" si="139"/>
        <v>2.72</v>
      </c>
    </row>
    <row r="1766" spans="1:19" x14ac:dyDescent="0.3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str">
        <f>IFERROR(VLOOKUP('Customer Info'!A1758,'Customer Info'!A1758:C2257,2,FALSE),"Not Found")</f>
        <v>Not Found</v>
      </c>
      <c r="H1766" s="6" t="str">
        <f>IFERROR(VLOOKUP('Customer Info'!A1758,'Customer Info'!A1758:C2257,3,FALSE),"Not Found")</f>
        <v>Not Found</v>
      </c>
      <c r="I1766" s="6" t="str">
        <f>IFERROR(VLOOKUP('Customer Info'!A1758,'Customer Info'!A1758:E2257,5,FALSE),"Not Found")</f>
        <v>Not Found</v>
      </c>
      <c r="J1766" s="2">
        <v>8026</v>
      </c>
      <c r="K1766" s="2">
        <v>7572</v>
      </c>
      <c r="L1766" s="2">
        <v>4</v>
      </c>
      <c r="M1766" s="7">
        <f t="shared" si="135"/>
        <v>30288</v>
      </c>
      <c r="N1766" s="7">
        <f t="shared" si="136"/>
        <v>32104</v>
      </c>
      <c r="O1766" s="2">
        <v>68</v>
      </c>
      <c r="P1766" s="8">
        <f t="shared" si="137"/>
        <v>32172</v>
      </c>
      <c r="Q1766" s="8">
        <f t="shared" si="138"/>
        <v>24532</v>
      </c>
      <c r="R1766" s="2" t="s">
        <v>28</v>
      </c>
      <c r="S1766" s="9">
        <f t="shared" si="139"/>
        <v>2252.0400000000004</v>
      </c>
    </row>
    <row r="1767" spans="1:19" x14ac:dyDescent="0.3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str">
        <f>IFERROR(VLOOKUP('Customer Info'!A1759,'Customer Info'!A1759:C2258,2,FALSE),"Not Found")</f>
        <v>Not Found</v>
      </c>
      <c r="H1767" s="6" t="str">
        <f>IFERROR(VLOOKUP('Customer Info'!A1759,'Customer Info'!A1759:C2258,3,FALSE),"Not Found")</f>
        <v>Not Found</v>
      </c>
      <c r="I1767" s="6" t="str">
        <f>IFERROR(VLOOKUP('Customer Info'!A1759,'Customer Info'!A1759:E2258,5,FALSE),"Not Found")</f>
        <v>Not Found</v>
      </c>
      <c r="J1767" s="2">
        <v>3224</v>
      </c>
      <c r="K1767" s="2">
        <v>2901</v>
      </c>
      <c r="L1767" s="2">
        <v>1</v>
      </c>
      <c r="M1767" s="7">
        <f t="shared" si="135"/>
        <v>2901</v>
      </c>
      <c r="N1767" s="7">
        <f t="shared" si="136"/>
        <v>3224</v>
      </c>
      <c r="O1767" s="2">
        <v>33</v>
      </c>
      <c r="P1767" s="8">
        <f t="shared" si="137"/>
        <v>3257</v>
      </c>
      <c r="Q1767" s="8">
        <f t="shared" si="138"/>
        <v>323</v>
      </c>
      <c r="R1767" s="2" t="s">
        <v>28</v>
      </c>
      <c r="S1767" s="9">
        <f t="shared" si="139"/>
        <v>65.14</v>
      </c>
    </row>
    <row r="1768" spans="1:19" x14ac:dyDescent="0.3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str">
        <f>IFERROR(VLOOKUP('Customer Info'!A1760,'Customer Info'!A1760:C2259,2,FALSE),"Not Found")</f>
        <v>Not Found</v>
      </c>
      <c r="H1768" s="6" t="str">
        <f>IFERROR(VLOOKUP('Customer Info'!A1760,'Customer Info'!A1760:C2259,3,FALSE),"Not Found")</f>
        <v>Not Found</v>
      </c>
      <c r="I1768" s="6" t="str">
        <f>IFERROR(VLOOKUP('Customer Info'!A1760,'Customer Info'!A1760:E2259,5,FALSE),"Not Found")</f>
        <v>Not Found</v>
      </c>
      <c r="J1768" s="2">
        <v>1358</v>
      </c>
      <c r="K1768" s="2">
        <v>1257</v>
      </c>
      <c r="L1768" s="2">
        <v>4</v>
      </c>
      <c r="M1768" s="7">
        <f t="shared" si="135"/>
        <v>5028</v>
      </c>
      <c r="N1768" s="7">
        <f t="shared" si="136"/>
        <v>5432</v>
      </c>
      <c r="O1768" s="2">
        <v>86</v>
      </c>
      <c r="P1768" s="8">
        <f t="shared" si="137"/>
        <v>5518</v>
      </c>
      <c r="Q1768" s="8">
        <f t="shared" si="138"/>
        <v>4175</v>
      </c>
      <c r="R1768" s="2" t="s">
        <v>50</v>
      </c>
      <c r="S1768" s="9">
        <f t="shared" si="139"/>
        <v>275.90000000000003</v>
      </c>
    </row>
    <row r="1769" spans="1:19" x14ac:dyDescent="0.3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str">
        <f>IFERROR(VLOOKUP('Customer Info'!A1761,'Customer Info'!A1761:C2260,2,FALSE),"Not Found")</f>
        <v>Not Found</v>
      </c>
      <c r="H1769" s="6" t="str">
        <f>IFERROR(VLOOKUP('Customer Info'!A1761,'Customer Info'!A1761:C2260,3,FALSE),"Not Found")</f>
        <v>Not Found</v>
      </c>
      <c r="I1769" s="6" t="str">
        <f>IFERROR(VLOOKUP('Customer Info'!A1761,'Customer Info'!A1761:E2260,5,FALSE),"Not Found")</f>
        <v>Not Found</v>
      </c>
      <c r="J1769" s="2">
        <v>1704</v>
      </c>
      <c r="K1769" s="2">
        <v>1624</v>
      </c>
      <c r="L1769" s="2">
        <v>5</v>
      </c>
      <c r="M1769" s="7">
        <f t="shared" si="135"/>
        <v>8120</v>
      </c>
      <c r="N1769" s="7">
        <f t="shared" si="136"/>
        <v>8520</v>
      </c>
      <c r="O1769" s="2">
        <v>27</v>
      </c>
      <c r="P1769" s="8">
        <f t="shared" si="137"/>
        <v>8547</v>
      </c>
      <c r="Q1769" s="8">
        <f t="shared" si="138"/>
        <v>6896</v>
      </c>
      <c r="R1769" s="2" t="s">
        <v>28</v>
      </c>
      <c r="S1769" s="9">
        <f t="shared" si="139"/>
        <v>427.35</v>
      </c>
    </row>
    <row r="1770" spans="1:19" x14ac:dyDescent="0.3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str">
        <f>IFERROR(VLOOKUP('Customer Info'!A1762,'Customer Info'!A1762:C2261,2,FALSE),"Not Found")</f>
        <v>Not Found</v>
      </c>
      <c r="H1770" s="6" t="str">
        <f>IFERROR(VLOOKUP('Customer Info'!A1762,'Customer Info'!A1762:C2261,3,FALSE),"Not Found")</f>
        <v>Not Found</v>
      </c>
      <c r="I1770" s="6" t="str">
        <f>IFERROR(VLOOKUP('Customer Info'!A1762,'Customer Info'!A1762:E2261,5,FALSE),"Not Found")</f>
        <v>Not Found</v>
      </c>
      <c r="J1770" s="2">
        <v>135</v>
      </c>
      <c r="K1770" s="2">
        <v>129</v>
      </c>
      <c r="L1770" s="2">
        <v>2</v>
      </c>
      <c r="M1770" s="7">
        <f t="shared" si="135"/>
        <v>258</v>
      </c>
      <c r="N1770" s="7">
        <f t="shared" si="136"/>
        <v>270</v>
      </c>
      <c r="O1770" s="2">
        <v>30</v>
      </c>
      <c r="P1770" s="8">
        <f t="shared" si="137"/>
        <v>300</v>
      </c>
      <c r="Q1770" s="8">
        <f t="shared" si="138"/>
        <v>141</v>
      </c>
      <c r="R1770" s="2" t="s">
        <v>28</v>
      </c>
      <c r="S1770" s="9">
        <f t="shared" si="139"/>
        <v>6</v>
      </c>
    </row>
    <row r="1771" spans="1:19" x14ac:dyDescent="0.3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str">
        <f>IFERROR(VLOOKUP('Customer Info'!A1763,'Customer Info'!A1763:C2262,2,FALSE),"Not Found")</f>
        <v>Not Found</v>
      </c>
      <c r="H1771" s="6" t="str">
        <f>IFERROR(VLOOKUP('Customer Info'!A1763,'Customer Info'!A1763:C2262,3,FALSE),"Not Found")</f>
        <v>Not Found</v>
      </c>
      <c r="I1771" s="6" t="str">
        <f>IFERROR(VLOOKUP('Customer Info'!A1763,'Customer Info'!A1763:E2262,5,FALSE),"Not Found")</f>
        <v>Not Found</v>
      </c>
      <c r="J1771" s="2">
        <v>162</v>
      </c>
      <c r="K1771" s="2">
        <v>148</v>
      </c>
      <c r="L1771" s="2">
        <v>5</v>
      </c>
      <c r="M1771" s="7">
        <f t="shared" si="135"/>
        <v>740</v>
      </c>
      <c r="N1771" s="7">
        <f t="shared" si="136"/>
        <v>810</v>
      </c>
      <c r="O1771" s="2">
        <v>30</v>
      </c>
      <c r="P1771" s="8">
        <f t="shared" si="137"/>
        <v>840</v>
      </c>
      <c r="Q1771" s="8">
        <f t="shared" si="138"/>
        <v>662</v>
      </c>
      <c r="R1771" s="2" t="s">
        <v>28</v>
      </c>
      <c r="S1771" s="9">
        <f t="shared" si="139"/>
        <v>16.8</v>
      </c>
    </row>
    <row r="1772" spans="1:19" x14ac:dyDescent="0.3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str">
        <f>IFERROR(VLOOKUP('Customer Info'!A1764,'Customer Info'!A1764:C2263,2,FALSE),"Not Found")</f>
        <v>Not Found</v>
      </c>
      <c r="H1772" s="6" t="str">
        <f>IFERROR(VLOOKUP('Customer Info'!A1764,'Customer Info'!A1764:C2263,3,FALSE),"Not Found")</f>
        <v>Not Found</v>
      </c>
      <c r="I1772" s="6" t="str">
        <f>IFERROR(VLOOKUP('Customer Info'!A1764,'Customer Info'!A1764:E2263,5,FALSE),"Not Found")</f>
        <v>Not Found</v>
      </c>
      <c r="J1772" s="2">
        <v>1568</v>
      </c>
      <c r="K1772" s="2">
        <v>1495</v>
      </c>
      <c r="L1772" s="2">
        <v>4</v>
      </c>
      <c r="M1772" s="7">
        <f t="shared" si="135"/>
        <v>5980</v>
      </c>
      <c r="N1772" s="7">
        <f t="shared" si="136"/>
        <v>6272</v>
      </c>
      <c r="O1772" s="2">
        <v>97</v>
      </c>
      <c r="P1772" s="8">
        <f t="shared" si="137"/>
        <v>6369</v>
      </c>
      <c r="Q1772" s="8">
        <f t="shared" si="138"/>
        <v>4777</v>
      </c>
      <c r="R1772" s="2" t="s">
        <v>28</v>
      </c>
      <c r="S1772" s="9">
        <f t="shared" si="139"/>
        <v>318.45000000000005</v>
      </c>
    </row>
    <row r="1773" spans="1:19" x14ac:dyDescent="0.3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str">
        <f>IFERROR(VLOOKUP('Customer Info'!A1765,'Customer Info'!A1765:C2264,2,FALSE),"Not Found")</f>
        <v>Not Found</v>
      </c>
      <c r="H1773" s="6" t="str">
        <f>IFERROR(VLOOKUP('Customer Info'!A1765,'Customer Info'!A1765:C2264,3,FALSE),"Not Found")</f>
        <v>Not Found</v>
      </c>
      <c r="I1773" s="6" t="str">
        <f>IFERROR(VLOOKUP('Customer Info'!A1765,'Customer Info'!A1765:E2264,5,FALSE),"Not Found")</f>
        <v>Not Found</v>
      </c>
      <c r="J1773" s="2">
        <v>2706</v>
      </c>
      <c r="K1773" s="2">
        <v>2553</v>
      </c>
      <c r="L1773" s="2">
        <v>2</v>
      </c>
      <c r="M1773" s="7">
        <f t="shared" si="135"/>
        <v>5106</v>
      </c>
      <c r="N1773" s="7">
        <f t="shared" si="136"/>
        <v>5412</v>
      </c>
      <c r="O1773" s="2">
        <v>31</v>
      </c>
      <c r="P1773" s="8">
        <f t="shared" si="137"/>
        <v>5443</v>
      </c>
      <c r="Q1773" s="8">
        <f t="shared" si="138"/>
        <v>2859</v>
      </c>
      <c r="R1773" s="2" t="s">
        <v>28</v>
      </c>
      <c r="S1773" s="9">
        <f t="shared" si="139"/>
        <v>272.15000000000003</v>
      </c>
    </row>
    <row r="1774" spans="1:19" x14ac:dyDescent="0.3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str">
        <f>IFERROR(VLOOKUP('Customer Info'!A1766,'Customer Info'!A1766:C2265,2,FALSE),"Not Found")</f>
        <v>Not Found</v>
      </c>
      <c r="H1774" s="6" t="str">
        <f>IFERROR(VLOOKUP('Customer Info'!A1766,'Customer Info'!A1766:C2265,3,FALSE),"Not Found")</f>
        <v>Not Found</v>
      </c>
      <c r="I1774" s="6" t="str">
        <f>IFERROR(VLOOKUP('Customer Info'!A1766,'Customer Info'!A1766:E2265,5,FALSE),"Not Found")</f>
        <v>Not Found</v>
      </c>
      <c r="J1774" s="2">
        <v>135</v>
      </c>
      <c r="K1774" s="2">
        <v>126</v>
      </c>
      <c r="L1774" s="2">
        <v>3</v>
      </c>
      <c r="M1774" s="7">
        <f t="shared" si="135"/>
        <v>378</v>
      </c>
      <c r="N1774" s="7">
        <f t="shared" si="136"/>
        <v>405</v>
      </c>
      <c r="O1774" s="2">
        <v>30</v>
      </c>
      <c r="P1774" s="8">
        <f t="shared" si="137"/>
        <v>435</v>
      </c>
      <c r="Q1774" s="8">
        <f t="shared" si="138"/>
        <v>279</v>
      </c>
      <c r="R1774" s="2" t="s">
        <v>28</v>
      </c>
      <c r="S1774" s="9">
        <f t="shared" si="139"/>
        <v>8.7000000000000011</v>
      </c>
    </row>
    <row r="1775" spans="1:19" x14ac:dyDescent="0.3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str">
        <f>IFERROR(VLOOKUP('Customer Info'!A1767,'Customer Info'!A1767:C2266,2,FALSE),"Not Found")</f>
        <v>Not Found</v>
      </c>
      <c r="H1775" s="6" t="str">
        <f>IFERROR(VLOOKUP('Customer Info'!A1767,'Customer Info'!A1767:C2266,3,FALSE),"Not Found")</f>
        <v>Not Found</v>
      </c>
      <c r="I1775" s="6" t="str">
        <f>IFERROR(VLOOKUP('Customer Info'!A1767,'Customer Info'!A1767:E2266,5,FALSE),"Not Found")</f>
        <v>Not Found</v>
      </c>
      <c r="J1775" s="2">
        <v>1071</v>
      </c>
      <c r="K1775" s="2">
        <v>1010</v>
      </c>
      <c r="L1775" s="2">
        <v>5</v>
      </c>
      <c r="M1775" s="7">
        <f t="shared" si="135"/>
        <v>5050</v>
      </c>
      <c r="N1775" s="7">
        <f t="shared" si="136"/>
        <v>5355</v>
      </c>
      <c r="O1775" s="2">
        <v>75</v>
      </c>
      <c r="P1775" s="8">
        <f t="shared" si="137"/>
        <v>5430</v>
      </c>
      <c r="Q1775" s="8">
        <f t="shared" si="138"/>
        <v>4345</v>
      </c>
      <c r="R1775" s="2" t="s">
        <v>28</v>
      </c>
      <c r="S1775" s="9">
        <f t="shared" si="139"/>
        <v>271.5</v>
      </c>
    </row>
    <row r="1776" spans="1:19" x14ac:dyDescent="0.3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str">
        <f>IFERROR(VLOOKUP('Customer Info'!A1768,'Customer Info'!A1768:C2267,2,FALSE),"Not Found")</f>
        <v>Not Found</v>
      </c>
      <c r="H1776" s="6" t="str">
        <f>IFERROR(VLOOKUP('Customer Info'!A1768,'Customer Info'!A1768:C2267,3,FALSE),"Not Found")</f>
        <v>Not Found</v>
      </c>
      <c r="I1776" s="6" t="str">
        <f>IFERROR(VLOOKUP('Customer Info'!A1768,'Customer Info'!A1768:E2267,5,FALSE),"Not Found")</f>
        <v>Not Found</v>
      </c>
      <c r="J1776" s="2">
        <v>125</v>
      </c>
      <c r="K1776" s="2">
        <v>113</v>
      </c>
      <c r="L1776" s="2">
        <v>7</v>
      </c>
      <c r="M1776" s="7">
        <f t="shared" si="135"/>
        <v>791</v>
      </c>
      <c r="N1776" s="7">
        <f t="shared" si="136"/>
        <v>875</v>
      </c>
      <c r="O1776" s="2">
        <v>30</v>
      </c>
      <c r="P1776" s="8">
        <f t="shared" si="137"/>
        <v>905</v>
      </c>
      <c r="Q1776" s="8">
        <f t="shared" si="138"/>
        <v>762</v>
      </c>
      <c r="R1776" s="2" t="s">
        <v>28</v>
      </c>
      <c r="S1776" s="9">
        <f t="shared" si="139"/>
        <v>18.100000000000001</v>
      </c>
    </row>
    <row r="1777" spans="1:19" x14ac:dyDescent="0.3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str">
        <f>IFERROR(VLOOKUP('Customer Info'!A1769,'Customer Info'!A1769:C2268,2,FALSE),"Not Found")</f>
        <v>Not Found</v>
      </c>
      <c r="H1777" s="6" t="str">
        <f>IFERROR(VLOOKUP('Customer Info'!A1769,'Customer Info'!A1769:C2268,3,FALSE),"Not Found")</f>
        <v>Not Found</v>
      </c>
      <c r="I1777" s="6" t="str">
        <f>IFERROR(VLOOKUP('Customer Info'!A1769,'Customer Info'!A1769:E2268,5,FALSE),"Not Found")</f>
        <v>Not Found</v>
      </c>
      <c r="J1777" s="2">
        <v>2418</v>
      </c>
      <c r="K1777" s="2">
        <v>2282</v>
      </c>
      <c r="L1777" s="2">
        <v>5</v>
      </c>
      <c r="M1777" s="7">
        <f t="shared" si="135"/>
        <v>11410</v>
      </c>
      <c r="N1777" s="7">
        <f t="shared" si="136"/>
        <v>12090</v>
      </c>
      <c r="O1777" s="2">
        <v>28</v>
      </c>
      <c r="P1777" s="8">
        <f t="shared" si="137"/>
        <v>12118</v>
      </c>
      <c r="Q1777" s="8">
        <f t="shared" si="138"/>
        <v>9808</v>
      </c>
      <c r="R1777" s="2" t="s">
        <v>28</v>
      </c>
      <c r="S1777" s="9">
        <f t="shared" si="139"/>
        <v>605.9</v>
      </c>
    </row>
    <row r="1778" spans="1:19" x14ac:dyDescent="0.3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str">
        <f>IFERROR(VLOOKUP('Customer Info'!A1770,'Customer Info'!A1770:C2269,2,FALSE),"Not Found")</f>
        <v>Not Found</v>
      </c>
      <c r="H1778" s="6" t="str">
        <f>IFERROR(VLOOKUP('Customer Info'!A1770,'Customer Info'!A1770:C2269,3,FALSE),"Not Found")</f>
        <v>Not Found</v>
      </c>
      <c r="I1778" s="6" t="str">
        <f>IFERROR(VLOOKUP('Customer Info'!A1770,'Customer Info'!A1770:E2269,5,FALSE),"Not Found")</f>
        <v>Not Found</v>
      </c>
      <c r="J1778" s="2">
        <v>1601</v>
      </c>
      <c r="K1778" s="2">
        <v>1510</v>
      </c>
      <c r="L1778" s="2">
        <v>6</v>
      </c>
      <c r="M1778" s="7">
        <f t="shared" si="135"/>
        <v>9060</v>
      </c>
      <c r="N1778" s="7">
        <f t="shared" si="136"/>
        <v>9606</v>
      </c>
      <c r="O1778" s="2">
        <v>87</v>
      </c>
      <c r="P1778" s="8">
        <f t="shared" si="137"/>
        <v>9693</v>
      </c>
      <c r="Q1778" s="8">
        <f t="shared" si="138"/>
        <v>8096</v>
      </c>
      <c r="R1778" s="2" t="s">
        <v>28</v>
      </c>
      <c r="S1778" s="9">
        <f t="shared" si="139"/>
        <v>484.65000000000003</v>
      </c>
    </row>
    <row r="1779" spans="1:19" x14ac:dyDescent="0.3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str">
        <f>IFERROR(VLOOKUP('Customer Info'!A1771,'Customer Info'!A1771:C2270,2,FALSE),"Not Found")</f>
        <v>Not Found</v>
      </c>
      <c r="H1779" s="6" t="str">
        <f>IFERROR(VLOOKUP('Customer Info'!A1771,'Customer Info'!A1771:C2270,3,FALSE),"Not Found")</f>
        <v>Not Found</v>
      </c>
      <c r="I1779" s="6" t="str">
        <f>IFERROR(VLOOKUP('Customer Info'!A1771,'Customer Info'!A1771:E2270,5,FALSE),"Not Found")</f>
        <v>Not Found</v>
      </c>
      <c r="J1779" s="2">
        <v>167</v>
      </c>
      <c r="K1779" s="2">
        <v>152</v>
      </c>
      <c r="L1779" s="2">
        <v>4</v>
      </c>
      <c r="M1779" s="7">
        <f t="shared" si="135"/>
        <v>608</v>
      </c>
      <c r="N1779" s="7">
        <f t="shared" si="136"/>
        <v>668</v>
      </c>
      <c r="O1779" s="2">
        <v>30</v>
      </c>
      <c r="P1779" s="8">
        <f t="shared" si="137"/>
        <v>698</v>
      </c>
      <c r="Q1779" s="8">
        <f t="shared" si="138"/>
        <v>516</v>
      </c>
      <c r="R1779" s="2" t="s">
        <v>28</v>
      </c>
      <c r="S1779" s="9">
        <f t="shared" si="139"/>
        <v>13.96</v>
      </c>
    </row>
    <row r="1780" spans="1:19" x14ac:dyDescent="0.3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str">
        <f>IFERROR(VLOOKUP('Customer Info'!A1772,'Customer Info'!A1772:C2271,2,FALSE),"Not Found")</f>
        <v>Not Found</v>
      </c>
      <c r="H1780" s="6" t="str">
        <f>IFERROR(VLOOKUP('Customer Info'!A1772,'Customer Info'!A1772:C2271,3,FALSE),"Not Found")</f>
        <v>Not Found</v>
      </c>
      <c r="I1780" s="6" t="str">
        <f>IFERROR(VLOOKUP('Customer Info'!A1772,'Customer Info'!A1772:E2271,5,FALSE),"Not Found")</f>
        <v>Not Found</v>
      </c>
      <c r="J1780" s="2">
        <v>1997</v>
      </c>
      <c r="K1780" s="2">
        <v>1816</v>
      </c>
      <c r="L1780" s="2">
        <v>3</v>
      </c>
      <c r="M1780" s="7">
        <f t="shared" si="135"/>
        <v>5448</v>
      </c>
      <c r="N1780" s="7">
        <f t="shared" si="136"/>
        <v>5991</v>
      </c>
      <c r="O1780" s="2">
        <v>34</v>
      </c>
      <c r="P1780" s="8">
        <f t="shared" si="137"/>
        <v>6025</v>
      </c>
      <c r="Q1780" s="8">
        <f t="shared" si="138"/>
        <v>4175</v>
      </c>
      <c r="R1780" s="2" t="s">
        <v>28</v>
      </c>
      <c r="S1780" s="9">
        <f t="shared" si="139"/>
        <v>301.25</v>
      </c>
    </row>
    <row r="1781" spans="1:19" x14ac:dyDescent="0.3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str">
        <f>IFERROR(VLOOKUP('Customer Info'!A1773,'Customer Info'!A1773:C2272,2,FALSE),"Not Found")</f>
        <v>Not Found</v>
      </c>
      <c r="H1781" s="6" t="str">
        <f>IFERROR(VLOOKUP('Customer Info'!A1773,'Customer Info'!A1773:C2272,3,FALSE),"Not Found")</f>
        <v>Not Found</v>
      </c>
      <c r="I1781" s="6" t="str">
        <f>IFERROR(VLOOKUP('Customer Info'!A1773,'Customer Info'!A1773:E2272,5,FALSE),"Not Found")</f>
        <v>Not Found</v>
      </c>
      <c r="J1781" s="2">
        <v>2965</v>
      </c>
      <c r="K1781" s="2">
        <v>2694</v>
      </c>
      <c r="L1781" s="2">
        <v>3</v>
      </c>
      <c r="M1781" s="7">
        <f t="shared" si="135"/>
        <v>8082</v>
      </c>
      <c r="N1781" s="7">
        <f t="shared" si="136"/>
        <v>8895</v>
      </c>
      <c r="O1781" s="2">
        <v>50</v>
      </c>
      <c r="P1781" s="8">
        <f t="shared" si="137"/>
        <v>8945</v>
      </c>
      <c r="Q1781" s="8">
        <f t="shared" si="138"/>
        <v>6201</v>
      </c>
      <c r="R1781" s="2" t="s">
        <v>28</v>
      </c>
      <c r="S1781" s="9">
        <f t="shared" si="139"/>
        <v>447.25</v>
      </c>
    </row>
    <row r="1782" spans="1:19" x14ac:dyDescent="0.3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str">
        <f>IFERROR(VLOOKUP('Customer Info'!A1774,'Customer Info'!A1774:C2273,2,FALSE),"Not Found")</f>
        <v>Not Found</v>
      </c>
      <c r="H1782" s="6" t="str">
        <f>IFERROR(VLOOKUP('Customer Info'!A1774,'Customer Info'!A1774:C2273,3,FALSE),"Not Found")</f>
        <v>Not Found</v>
      </c>
      <c r="I1782" s="6" t="str">
        <f>IFERROR(VLOOKUP('Customer Info'!A1774,'Customer Info'!A1774:E2273,5,FALSE),"Not Found")</f>
        <v>Not Found</v>
      </c>
      <c r="J1782" s="2">
        <v>8026</v>
      </c>
      <c r="K1782" s="2">
        <v>7572</v>
      </c>
      <c r="L1782" s="2">
        <v>13</v>
      </c>
      <c r="M1782" s="7">
        <f t="shared" si="135"/>
        <v>98436</v>
      </c>
      <c r="N1782" s="7">
        <f t="shared" si="136"/>
        <v>104338</v>
      </c>
      <c r="O1782" s="2">
        <v>56</v>
      </c>
      <c r="P1782" s="8">
        <f t="shared" si="137"/>
        <v>104394</v>
      </c>
      <c r="Q1782" s="8">
        <f t="shared" si="138"/>
        <v>96766</v>
      </c>
      <c r="R1782" s="2" t="s">
        <v>28</v>
      </c>
      <c r="S1782" s="9">
        <f t="shared" si="139"/>
        <v>12527.279999999999</v>
      </c>
    </row>
    <row r="1783" spans="1:19" x14ac:dyDescent="0.3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str">
        <f>IFERROR(VLOOKUP('Customer Info'!A1775,'Customer Info'!A1775:C2274,2,FALSE),"Not Found")</f>
        <v>Not Found</v>
      </c>
      <c r="H1783" s="6" t="str">
        <f>IFERROR(VLOOKUP('Customer Info'!A1775,'Customer Info'!A1775:C2274,3,FALSE),"Not Found")</f>
        <v>Not Found</v>
      </c>
      <c r="I1783" s="6" t="str">
        <f>IFERROR(VLOOKUP('Customer Info'!A1775,'Customer Info'!A1775:E2274,5,FALSE),"Not Found")</f>
        <v>Not Found</v>
      </c>
      <c r="J1783" s="2">
        <v>3091</v>
      </c>
      <c r="K1783" s="2">
        <v>2889</v>
      </c>
      <c r="L1783" s="2">
        <v>2</v>
      </c>
      <c r="M1783" s="7">
        <f t="shared" si="135"/>
        <v>5778</v>
      </c>
      <c r="N1783" s="7">
        <f t="shared" si="136"/>
        <v>6182</v>
      </c>
      <c r="O1783" s="2">
        <v>94</v>
      </c>
      <c r="P1783" s="8">
        <f t="shared" si="137"/>
        <v>6276</v>
      </c>
      <c r="Q1783" s="8">
        <f t="shared" si="138"/>
        <v>3293</v>
      </c>
      <c r="R1783" s="2" t="s">
        <v>56</v>
      </c>
      <c r="S1783" s="9">
        <f t="shared" si="139"/>
        <v>313.8</v>
      </c>
    </row>
    <row r="1784" spans="1:19" x14ac:dyDescent="0.3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str">
        <f>IFERROR(VLOOKUP('Customer Info'!A1776,'Customer Info'!A1776:C2275,2,FALSE),"Not Found")</f>
        <v>Not Found</v>
      </c>
      <c r="H1784" s="6" t="str">
        <f>IFERROR(VLOOKUP('Customer Info'!A1776,'Customer Info'!A1776:C2275,3,FALSE),"Not Found")</f>
        <v>Not Found</v>
      </c>
      <c r="I1784" s="6" t="str">
        <f>IFERROR(VLOOKUP('Customer Info'!A1776,'Customer Info'!A1776:E2275,5,FALSE),"Not Found")</f>
        <v>Not Found</v>
      </c>
      <c r="J1784" s="2">
        <v>7658</v>
      </c>
      <c r="K1784" s="2">
        <v>7026</v>
      </c>
      <c r="L1784" s="2">
        <v>6</v>
      </c>
      <c r="M1784" s="7">
        <f t="shared" si="135"/>
        <v>42156</v>
      </c>
      <c r="N1784" s="7">
        <f t="shared" si="136"/>
        <v>45948</v>
      </c>
      <c r="O1784" s="2">
        <v>32</v>
      </c>
      <c r="P1784" s="8">
        <f t="shared" si="137"/>
        <v>45980</v>
      </c>
      <c r="Q1784" s="8">
        <f t="shared" si="138"/>
        <v>38922</v>
      </c>
      <c r="R1784" s="2" t="s">
        <v>28</v>
      </c>
      <c r="S1784" s="9">
        <f t="shared" si="139"/>
        <v>3218.6000000000004</v>
      </c>
    </row>
    <row r="1785" spans="1:19" x14ac:dyDescent="0.3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str">
        <f>IFERROR(VLOOKUP('Customer Info'!A1777,'Customer Info'!A1777:C2276,2,FALSE),"Not Found")</f>
        <v>Not Found</v>
      </c>
      <c r="H1785" s="6" t="str">
        <f>IFERROR(VLOOKUP('Customer Info'!A1777,'Customer Info'!A1777:C2276,3,FALSE),"Not Found")</f>
        <v>Not Found</v>
      </c>
      <c r="I1785" s="6" t="str">
        <f>IFERROR(VLOOKUP('Customer Info'!A1777,'Customer Info'!A1777:E2276,5,FALSE),"Not Found")</f>
        <v>Not Found</v>
      </c>
      <c r="J1785" s="2">
        <v>63</v>
      </c>
      <c r="K1785" s="2">
        <v>59</v>
      </c>
      <c r="L1785" s="2">
        <v>6</v>
      </c>
      <c r="M1785" s="7">
        <f t="shared" si="135"/>
        <v>354</v>
      </c>
      <c r="N1785" s="7">
        <f t="shared" si="136"/>
        <v>378</v>
      </c>
      <c r="O1785" s="2">
        <v>10</v>
      </c>
      <c r="P1785" s="8">
        <f t="shared" si="137"/>
        <v>388</v>
      </c>
      <c r="Q1785" s="8">
        <f t="shared" si="138"/>
        <v>319</v>
      </c>
      <c r="R1785" s="2" t="s">
        <v>50</v>
      </c>
      <c r="S1785" s="9">
        <f t="shared" si="139"/>
        <v>7.76</v>
      </c>
    </row>
    <row r="1786" spans="1:19" x14ac:dyDescent="0.3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str">
        <f>IFERROR(VLOOKUP('Customer Info'!A1778,'Customer Info'!A1778:C2277,2,FALSE),"Not Found")</f>
        <v>Not Found</v>
      </c>
      <c r="H1786" s="6" t="str">
        <f>IFERROR(VLOOKUP('Customer Info'!A1778,'Customer Info'!A1778:C2277,3,FALSE),"Not Found")</f>
        <v>Not Found</v>
      </c>
      <c r="I1786" s="6" t="str">
        <f>IFERROR(VLOOKUP('Customer Info'!A1778,'Customer Info'!A1778:E2277,5,FALSE),"Not Found")</f>
        <v>Not Found</v>
      </c>
      <c r="J1786" s="2">
        <v>9033</v>
      </c>
      <c r="K1786" s="2">
        <v>8132</v>
      </c>
      <c r="L1786" s="2">
        <v>6</v>
      </c>
      <c r="M1786" s="7">
        <f t="shared" si="135"/>
        <v>48792</v>
      </c>
      <c r="N1786" s="7">
        <f t="shared" si="136"/>
        <v>54198</v>
      </c>
      <c r="O1786" s="2">
        <v>93</v>
      </c>
      <c r="P1786" s="8">
        <f t="shared" si="137"/>
        <v>54291</v>
      </c>
      <c r="Q1786" s="8">
        <f t="shared" si="138"/>
        <v>46066</v>
      </c>
      <c r="R1786" s="2" t="s">
        <v>50</v>
      </c>
      <c r="S1786" s="9">
        <f t="shared" si="139"/>
        <v>4886.1899999999996</v>
      </c>
    </row>
    <row r="1787" spans="1:19" x14ac:dyDescent="0.3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str">
        <f>IFERROR(VLOOKUP('Customer Info'!A1779,'Customer Info'!A1779:C2278,2,FALSE),"Not Found")</f>
        <v>Not Found</v>
      </c>
      <c r="H1787" s="6" t="str">
        <f>IFERROR(VLOOKUP('Customer Info'!A1779,'Customer Info'!A1779:C2278,3,FALSE),"Not Found")</f>
        <v>Not Found</v>
      </c>
      <c r="I1787" s="6" t="str">
        <f>IFERROR(VLOOKUP('Customer Info'!A1779,'Customer Info'!A1779:E2278,5,FALSE),"Not Found")</f>
        <v>Not Found</v>
      </c>
      <c r="J1787" s="2">
        <v>36057</v>
      </c>
      <c r="K1787" s="2">
        <v>34028</v>
      </c>
      <c r="L1787" s="2">
        <v>2</v>
      </c>
      <c r="M1787" s="7">
        <f t="shared" si="135"/>
        <v>68056</v>
      </c>
      <c r="N1787" s="7">
        <f t="shared" si="136"/>
        <v>72114</v>
      </c>
      <c r="O1787" s="2">
        <v>37</v>
      </c>
      <c r="P1787" s="8">
        <f t="shared" si="137"/>
        <v>72151</v>
      </c>
      <c r="Q1787" s="8">
        <f t="shared" si="138"/>
        <v>38086</v>
      </c>
      <c r="R1787" s="2" t="s">
        <v>28</v>
      </c>
      <c r="S1787" s="9">
        <f t="shared" si="139"/>
        <v>6493.59</v>
      </c>
    </row>
    <row r="1788" spans="1:19" x14ac:dyDescent="0.3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str">
        <f>IFERROR(VLOOKUP('Customer Info'!A1780,'Customer Info'!A1780:C2279,2,FALSE),"Not Found")</f>
        <v>Not Found</v>
      </c>
      <c r="H1788" s="6" t="str">
        <f>IFERROR(VLOOKUP('Customer Info'!A1780,'Customer Info'!A1780:C2279,3,FALSE),"Not Found")</f>
        <v>Not Found</v>
      </c>
      <c r="I1788" s="6" t="str">
        <f>IFERROR(VLOOKUP('Customer Info'!A1780,'Customer Info'!A1780:E2279,5,FALSE),"Not Found")</f>
        <v>Not Found</v>
      </c>
      <c r="J1788" s="2">
        <v>3321</v>
      </c>
      <c r="K1788" s="2">
        <v>2989</v>
      </c>
      <c r="L1788" s="2">
        <v>2</v>
      </c>
      <c r="M1788" s="7">
        <f t="shared" si="135"/>
        <v>5978</v>
      </c>
      <c r="N1788" s="7">
        <f t="shared" si="136"/>
        <v>6642</v>
      </c>
      <c r="O1788" s="2">
        <v>91</v>
      </c>
      <c r="P1788" s="8">
        <f t="shared" si="137"/>
        <v>6733</v>
      </c>
      <c r="Q1788" s="8">
        <f t="shared" si="138"/>
        <v>3653</v>
      </c>
      <c r="R1788" s="2" t="s">
        <v>50</v>
      </c>
      <c r="S1788" s="9">
        <f t="shared" si="139"/>
        <v>336.65000000000003</v>
      </c>
    </row>
    <row r="1789" spans="1:19" x14ac:dyDescent="0.3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str">
        <f>IFERROR(VLOOKUP('Customer Info'!A1781,'Customer Info'!A1781:C2280,2,FALSE),"Not Found")</f>
        <v>Not Found</v>
      </c>
      <c r="H1789" s="6" t="str">
        <f>IFERROR(VLOOKUP('Customer Info'!A1781,'Customer Info'!A1781:C2280,3,FALSE),"Not Found")</f>
        <v>Not Found</v>
      </c>
      <c r="I1789" s="6" t="str">
        <f>IFERROR(VLOOKUP('Customer Info'!A1781,'Customer Info'!A1781:E2280,5,FALSE),"Not Found")</f>
        <v>Not Found</v>
      </c>
      <c r="J1789" s="2">
        <v>7065</v>
      </c>
      <c r="K1789" s="2">
        <v>6545</v>
      </c>
      <c r="L1789" s="2">
        <v>2</v>
      </c>
      <c r="M1789" s="7">
        <f t="shared" si="135"/>
        <v>13090</v>
      </c>
      <c r="N1789" s="7">
        <f t="shared" si="136"/>
        <v>14130</v>
      </c>
      <c r="O1789" s="2">
        <v>46</v>
      </c>
      <c r="P1789" s="8">
        <f t="shared" si="137"/>
        <v>14176</v>
      </c>
      <c r="Q1789" s="8">
        <f t="shared" si="138"/>
        <v>7585</v>
      </c>
      <c r="R1789" s="2" t="s">
        <v>28</v>
      </c>
      <c r="S1789" s="9">
        <f t="shared" si="139"/>
        <v>708.80000000000007</v>
      </c>
    </row>
    <row r="1790" spans="1:19" x14ac:dyDescent="0.3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str">
        <f>IFERROR(VLOOKUP('Customer Info'!A1782,'Customer Info'!A1782:C2281,2,FALSE),"Not Found")</f>
        <v>Not Found</v>
      </c>
      <c r="H1790" s="6" t="str">
        <f>IFERROR(VLOOKUP('Customer Info'!A1782,'Customer Info'!A1782:C2281,3,FALSE),"Not Found")</f>
        <v>Not Found</v>
      </c>
      <c r="I1790" s="6" t="str">
        <f>IFERROR(VLOOKUP('Customer Info'!A1782,'Customer Info'!A1782:E2281,5,FALSE),"Not Found")</f>
        <v>Not Found</v>
      </c>
      <c r="J1790" s="2">
        <v>27691</v>
      </c>
      <c r="K1790" s="2">
        <v>25616</v>
      </c>
      <c r="L1790" s="2">
        <v>6</v>
      </c>
      <c r="M1790" s="7">
        <f t="shared" si="135"/>
        <v>153696</v>
      </c>
      <c r="N1790" s="7">
        <f t="shared" si="136"/>
        <v>166146</v>
      </c>
      <c r="O1790" s="2">
        <v>57</v>
      </c>
      <c r="P1790" s="8">
        <f t="shared" si="137"/>
        <v>166203</v>
      </c>
      <c r="Q1790" s="8">
        <f t="shared" si="138"/>
        <v>140530</v>
      </c>
      <c r="R1790" s="2" t="s">
        <v>50</v>
      </c>
      <c r="S1790" s="9">
        <f t="shared" si="139"/>
        <v>19944.36</v>
      </c>
    </row>
    <row r="1791" spans="1:19" x14ac:dyDescent="0.3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str">
        <f>IFERROR(VLOOKUP('Customer Info'!A1783,'Customer Info'!A1783:C2282,2,FALSE),"Not Found")</f>
        <v>Not Found</v>
      </c>
      <c r="H1791" s="6" t="str">
        <f>IFERROR(VLOOKUP('Customer Info'!A1783,'Customer Info'!A1783:C2282,3,FALSE),"Not Found")</f>
        <v>Not Found</v>
      </c>
      <c r="I1791" s="6" t="str">
        <f>IFERROR(VLOOKUP('Customer Info'!A1783,'Customer Info'!A1783:E2282,5,FALSE),"Not Found")</f>
        <v>Not Found</v>
      </c>
      <c r="J1791" s="2">
        <v>147</v>
      </c>
      <c r="K1791" s="2">
        <v>138</v>
      </c>
      <c r="L1791" s="2">
        <v>1</v>
      </c>
      <c r="M1791" s="7">
        <f t="shared" si="135"/>
        <v>138</v>
      </c>
      <c r="N1791" s="7">
        <f t="shared" si="136"/>
        <v>147</v>
      </c>
      <c r="O1791" s="2">
        <v>30</v>
      </c>
      <c r="P1791" s="8">
        <f t="shared" si="137"/>
        <v>177</v>
      </c>
      <c r="Q1791" s="8">
        <f t="shared" si="138"/>
        <v>9</v>
      </c>
      <c r="R1791" s="2" t="s">
        <v>26</v>
      </c>
      <c r="S1791" s="9">
        <f t="shared" si="139"/>
        <v>3.54</v>
      </c>
    </row>
    <row r="1792" spans="1:19" x14ac:dyDescent="0.3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str">
        <f>IFERROR(VLOOKUP('Customer Info'!A1784,'Customer Info'!A1784:C2283,2,FALSE),"Not Found")</f>
        <v>Not Found</v>
      </c>
      <c r="H1792" s="6" t="str">
        <f>IFERROR(VLOOKUP('Customer Info'!A1784,'Customer Info'!A1784:C2283,3,FALSE),"Not Found")</f>
        <v>Not Found</v>
      </c>
      <c r="I1792" s="6" t="str">
        <f>IFERROR(VLOOKUP('Customer Info'!A1784,'Customer Info'!A1784:E2283,5,FALSE),"Not Found")</f>
        <v>Not Found</v>
      </c>
      <c r="J1792" s="2">
        <v>851</v>
      </c>
      <c r="K1792" s="2">
        <v>773</v>
      </c>
      <c r="L1792" s="2">
        <v>9</v>
      </c>
      <c r="M1792" s="7">
        <f t="shared" si="135"/>
        <v>6957</v>
      </c>
      <c r="N1792" s="7">
        <f t="shared" si="136"/>
        <v>7659</v>
      </c>
      <c r="O1792" s="2">
        <v>89</v>
      </c>
      <c r="P1792" s="8">
        <f t="shared" si="137"/>
        <v>7748</v>
      </c>
      <c r="Q1792" s="8">
        <f t="shared" si="138"/>
        <v>6886</v>
      </c>
      <c r="R1792" s="2" t="s">
        <v>50</v>
      </c>
      <c r="S1792" s="9">
        <f t="shared" si="139"/>
        <v>387.40000000000003</v>
      </c>
    </row>
    <row r="1793" spans="1:19" x14ac:dyDescent="0.3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str">
        <f>IFERROR(VLOOKUP('Customer Info'!A1785,'Customer Info'!A1785:C2284,2,FALSE),"Not Found")</f>
        <v>Not Found</v>
      </c>
      <c r="H1793" s="6" t="str">
        <f>IFERROR(VLOOKUP('Customer Info'!A1785,'Customer Info'!A1785:C2284,3,FALSE),"Not Found")</f>
        <v>Not Found</v>
      </c>
      <c r="I1793" s="6" t="str">
        <f>IFERROR(VLOOKUP('Customer Info'!A1785,'Customer Info'!A1785:E2284,5,FALSE),"Not Found")</f>
        <v>Not Found</v>
      </c>
      <c r="J1793" s="2">
        <v>69</v>
      </c>
      <c r="K1793" s="2">
        <v>63</v>
      </c>
      <c r="L1793" s="2">
        <v>2</v>
      </c>
      <c r="M1793" s="7">
        <f t="shared" si="135"/>
        <v>126</v>
      </c>
      <c r="N1793" s="7">
        <f t="shared" si="136"/>
        <v>138</v>
      </c>
      <c r="O1793" s="2">
        <v>10</v>
      </c>
      <c r="P1793" s="8">
        <f t="shared" si="137"/>
        <v>148</v>
      </c>
      <c r="Q1793" s="8">
        <f t="shared" si="138"/>
        <v>75</v>
      </c>
      <c r="R1793" s="2" t="s">
        <v>28</v>
      </c>
      <c r="S1793" s="9">
        <f t="shared" si="139"/>
        <v>2.96</v>
      </c>
    </row>
    <row r="1794" spans="1:19" x14ac:dyDescent="0.3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str">
        <f>IFERROR(VLOOKUP('Customer Info'!A1786,'Customer Info'!A1786:C2285,2,FALSE),"Not Found")</f>
        <v>Not Found</v>
      </c>
      <c r="H1794" s="6" t="str">
        <f>IFERROR(VLOOKUP('Customer Info'!A1786,'Customer Info'!A1786:C2285,3,FALSE),"Not Found")</f>
        <v>Not Found</v>
      </c>
      <c r="I1794" s="6" t="str">
        <f>IFERROR(VLOOKUP('Customer Info'!A1786,'Customer Info'!A1786:E2285,5,FALSE),"Not Found")</f>
        <v>Not Found</v>
      </c>
      <c r="J1794" s="2">
        <v>2960</v>
      </c>
      <c r="K1794" s="2">
        <v>2635</v>
      </c>
      <c r="L1794" s="2">
        <v>6</v>
      </c>
      <c r="M1794" s="7">
        <f t="shared" si="135"/>
        <v>15810</v>
      </c>
      <c r="N1794" s="7">
        <f t="shared" si="136"/>
        <v>17760</v>
      </c>
      <c r="O1794" s="2">
        <v>39</v>
      </c>
      <c r="P1794" s="8">
        <f t="shared" si="137"/>
        <v>17799</v>
      </c>
      <c r="Q1794" s="8">
        <f t="shared" si="138"/>
        <v>15125</v>
      </c>
      <c r="R1794" s="2" t="s">
        <v>28</v>
      </c>
      <c r="S1794" s="9">
        <f t="shared" si="139"/>
        <v>889.95</v>
      </c>
    </row>
    <row r="1795" spans="1:19" x14ac:dyDescent="0.3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str">
        <f>IFERROR(VLOOKUP('Customer Info'!A1787,'Customer Info'!A1787:C2286,2,FALSE),"Not Found")</f>
        <v>Not Found</v>
      </c>
      <c r="H1795" s="6" t="str">
        <f>IFERROR(VLOOKUP('Customer Info'!A1787,'Customer Info'!A1787:C2286,3,FALSE),"Not Found")</f>
        <v>Not Found</v>
      </c>
      <c r="I1795" s="6" t="str">
        <f>IFERROR(VLOOKUP('Customer Info'!A1787,'Customer Info'!A1787:E2286,5,FALSE),"Not Found")</f>
        <v>Not Found</v>
      </c>
      <c r="J1795" s="2">
        <v>3091</v>
      </c>
      <c r="K1795" s="2">
        <v>2889</v>
      </c>
      <c r="L1795" s="2">
        <v>9</v>
      </c>
      <c r="M1795" s="7">
        <f t="shared" si="135"/>
        <v>26001</v>
      </c>
      <c r="N1795" s="7">
        <f t="shared" si="136"/>
        <v>27819</v>
      </c>
      <c r="O1795" s="2">
        <v>85</v>
      </c>
      <c r="P1795" s="8">
        <f t="shared" si="137"/>
        <v>27904</v>
      </c>
      <c r="Q1795" s="8">
        <f t="shared" si="138"/>
        <v>24930</v>
      </c>
      <c r="R1795" s="2" t="s">
        <v>28</v>
      </c>
      <c r="S1795" s="9">
        <f t="shared" si="139"/>
        <v>1953.2800000000002</v>
      </c>
    </row>
    <row r="1796" spans="1:19" x14ac:dyDescent="0.3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str">
        <f>IFERROR(VLOOKUP('Customer Info'!A1788,'Customer Info'!A1788:C2287,2,FALSE),"Not Found")</f>
        <v>Not Found</v>
      </c>
      <c r="H1796" s="6" t="str">
        <f>IFERROR(VLOOKUP('Customer Info'!A1788,'Customer Info'!A1788:C2287,3,FALSE),"Not Found")</f>
        <v>Not Found</v>
      </c>
      <c r="I1796" s="6" t="str">
        <f>IFERROR(VLOOKUP('Customer Info'!A1788,'Customer Info'!A1788:E2287,5,FALSE),"Not Found")</f>
        <v>Not Found</v>
      </c>
      <c r="J1796" s="2">
        <v>60</v>
      </c>
      <c r="K1796" s="2">
        <v>55</v>
      </c>
      <c r="L1796" s="2">
        <v>2</v>
      </c>
      <c r="M1796" s="7">
        <f t="shared" si="135"/>
        <v>110</v>
      </c>
      <c r="N1796" s="7">
        <f t="shared" si="136"/>
        <v>120</v>
      </c>
      <c r="O1796" s="2">
        <v>10</v>
      </c>
      <c r="P1796" s="8">
        <f t="shared" si="137"/>
        <v>130</v>
      </c>
      <c r="Q1796" s="8">
        <f t="shared" si="138"/>
        <v>65</v>
      </c>
      <c r="R1796" s="2" t="s">
        <v>28</v>
      </c>
      <c r="S1796" s="9">
        <f t="shared" si="139"/>
        <v>2.6</v>
      </c>
    </row>
    <row r="1797" spans="1:19" x14ac:dyDescent="0.3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str">
        <f>IFERROR(VLOOKUP('Customer Info'!A1789,'Customer Info'!A1789:C2288,2,FALSE),"Not Found")</f>
        <v>Not Found</v>
      </c>
      <c r="H1797" s="6" t="str">
        <f>IFERROR(VLOOKUP('Customer Info'!A1789,'Customer Info'!A1789:C2288,3,FALSE),"Not Found")</f>
        <v>Not Found</v>
      </c>
      <c r="I1797" s="6" t="str">
        <f>IFERROR(VLOOKUP('Customer Info'!A1789,'Customer Info'!A1789:E2288,5,FALSE),"Not Found")</f>
        <v>Not Found</v>
      </c>
      <c r="J1797" s="2">
        <v>4577</v>
      </c>
      <c r="K1797" s="2">
        <v>4280</v>
      </c>
      <c r="L1797" s="2">
        <v>2</v>
      </c>
      <c r="M1797" s="7">
        <f t="shared" si="135"/>
        <v>8560</v>
      </c>
      <c r="N1797" s="7">
        <f t="shared" si="136"/>
        <v>9154</v>
      </c>
      <c r="O1797" s="2">
        <v>76</v>
      </c>
      <c r="P1797" s="8">
        <f t="shared" si="137"/>
        <v>9230</v>
      </c>
      <c r="Q1797" s="8">
        <f t="shared" si="138"/>
        <v>4874</v>
      </c>
      <c r="R1797" s="2" t="s">
        <v>56</v>
      </c>
      <c r="S1797" s="9">
        <f t="shared" si="139"/>
        <v>461.5</v>
      </c>
    </row>
    <row r="1798" spans="1:19" x14ac:dyDescent="0.3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str">
        <f>IFERROR(VLOOKUP('Customer Info'!A1790,'Customer Info'!A1790:C2289,2,FALSE),"Not Found")</f>
        <v>Not Found</v>
      </c>
      <c r="H1798" s="6" t="str">
        <f>IFERROR(VLOOKUP('Customer Info'!A1790,'Customer Info'!A1790:C2289,3,FALSE),"Not Found")</f>
        <v>Not Found</v>
      </c>
      <c r="I1798" s="6" t="str">
        <f>IFERROR(VLOOKUP('Customer Info'!A1790,'Customer Info'!A1790:E2289,5,FALSE),"Not Found")</f>
        <v>Not Found</v>
      </c>
      <c r="J1798" s="2">
        <v>6864</v>
      </c>
      <c r="K1798" s="2">
        <v>6667</v>
      </c>
      <c r="L1798" s="2">
        <v>3</v>
      </c>
      <c r="M1798" s="7">
        <f t="shared" si="135"/>
        <v>20001</v>
      </c>
      <c r="N1798" s="7">
        <f t="shared" si="136"/>
        <v>20592</v>
      </c>
      <c r="O1798" s="2">
        <v>23</v>
      </c>
      <c r="P1798" s="8">
        <f t="shared" si="137"/>
        <v>20615</v>
      </c>
      <c r="Q1798" s="8">
        <f t="shared" si="138"/>
        <v>13925</v>
      </c>
      <c r="R1798" s="2" t="s">
        <v>28</v>
      </c>
      <c r="S1798" s="9">
        <f t="shared" si="139"/>
        <v>1030.75</v>
      </c>
    </row>
    <row r="1799" spans="1:19" x14ac:dyDescent="0.3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str">
        <f>IFERROR(VLOOKUP('Customer Info'!A1791,'Customer Info'!A1791:C2290,2,FALSE),"Not Found")</f>
        <v>Not Found</v>
      </c>
      <c r="H1799" s="6" t="str">
        <f>IFERROR(VLOOKUP('Customer Info'!A1791,'Customer Info'!A1791:C2290,3,FALSE),"Not Found")</f>
        <v>Not Found</v>
      </c>
      <c r="I1799" s="6" t="str">
        <f>IFERROR(VLOOKUP('Customer Info'!A1791,'Customer Info'!A1791:E2290,5,FALSE),"Not Found")</f>
        <v>Not Found</v>
      </c>
      <c r="J1799" s="2">
        <v>119</v>
      </c>
      <c r="K1799" s="2">
        <v>112</v>
      </c>
      <c r="L1799" s="2">
        <v>2</v>
      </c>
      <c r="M1799" s="7">
        <f t="shared" si="135"/>
        <v>224</v>
      </c>
      <c r="N1799" s="7">
        <f t="shared" si="136"/>
        <v>238</v>
      </c>
      <c r="O1799" s="2">
        <v>30</v>
      </c>
      <c r="P1799" s="8">
        <f t="shared" si="137"/>
        <v>268</v>
      </c>
      <c r="Q1799" s="8">
        <f t="shared" si="138"/>
        <v>126</v>
      </c>
      <c r="R1799" s="2" t="s">
        <v>50</v>
      </c>
      <c r="S1799" s="9">
        <f t="shared" si="139"/>
        <v>5.36</v>
      </c>
    </row>
    <row r="1800" spans="1:19" x14ac:dyDescent="0.3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str">
        <f>IFERROR(VLOOKUP('Customer Info'!A1792,'Customer Info'!A1792:C2291,2,FALSE),"Not Found")</f>
        <v>Not Found</v>
      </c>
      <c r="H1800" s="6" t="str">
        <f>IFERROR(VLOOKUP('Customer Info'!A1792,'Customer Info'!A1792:C2291,3,FALSE),"Not Found")</f>
        <v>Not Found</v>
      </c>
      <c r="I1800" s="6" t="str">
        <f>IFERROR(VLOOKUP('Customer Info'!A1792,'Customer Info'!A1792:E2291,5,FALSE),"Not Found")</f>
        <v>Not Found</v>
      </c>
      <c r="J1800" s="2">
        <v>140</v>
      </c>
      <c r="K1800" s="2">
        <v>137</v>
      </c>
      <c r="L1800" s="2">
        <v>5</v>
      </c>
      <c r="M1800" s="7">
        <f t="shared" si="135"/>
        <v>685</v>
      </c>
      <c r="N1800" s="7">
        <f t="shared" si="136"/>
        <v>700</v>
      </c>
      <c r="O1800" s="2">
        <v>30</v>
      </c>
      <c r="P1800" s="8">
        <f t="shared" si="137"/>
        <v>730</v>
      </c>
      <c r="Q1800" s="8">
        <f t="shared" si="138"/>
        <v>563</v>
      </c>
      <c r="R1800" s="2" t="s">
        <v>50</v>
      </c>
      <c r="S1800" s="9">
        <f t="shared" si="139"/>
        <v>14.6</v>
      </c>
    </row>
    <row r="1801" spans="1:19" x14ac:dyDescent="0.3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str">
        <f>IFERROR(VLOOKUP('Customer Info'!A1793,'Customer Info'!A1793:C2292,2,FALSE),"Not Found")</f>
        <v>Not Found</v>
      </c>
      <c r="H1801" s="6" t="str">
        <f>IFERROR(VLOOKUP('Customer Info'!A1793,'Customer Info'!A1793:C2292,3,FALSE),"Not Found")</f>
        <v>Not Found</v>
      </c>
      <c r="I1801" s="6" t="str">
        <f>IFERROR(VLOOKUP('Customer Info'!A1793,'Customer Info'!A1793:E2292,5,FALSE),"Not Found")</f>
        <v>Not Found</v>
      </c>
      <c r="J1801" s="2">
        <v>2681</v>
      </c>
      <c r="K1801" s="2">
        <v>2458</v>
      </c>
      <c r="L1801" s="2">
        <v>1</v>
      </c>
      <c r="M1801" s="7">
        <f t="shared" si="135"/>
        <v>2458</v>
      </c>
      <c r="N1801" s="7">
        <f t="shared" si="136"/>
        <v>2681</v>
      </c>
      <c r="O1801" s="2">
        <v>52</v>
      </c>
      <c r="P1801" s="8">
        <f t="shared" si="137"/>
        <v>2733</v>
      </c>
      <c r="Q1801" s="8">
        <f t="shared" si="138"/>
        <v>223</v>
      </c>
      <c r="R1801" s="2" t="s">
        <v>28</v>
      </c>
      <c r="S1801" s="9">
        <f t="shared" si="139"/>
        <v>54.660000000000004</v>
      </c>
    </row>
    <row r="1802" spans="1:19" x14ac:dyDescent="0.3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str">
        <f>IFERROR(VLOOKUP('Customer Info'!A1794,'Customer Info'!A1794:C2293,2,FALSE),"Not Found")</f>
        <v>Not Found</v>
      </c>
      <c r="H1802" s="6" t="str">
        <f>IFERROR(VLOOKUP('Customer Info'!A1794,'Customer Info'!A1794:C2293,3,FALSE),"Not Found")</f>
        <v>Not Found</v>
      </c>
      <c r="I1802" s="6" t="str">
        <f>IFERROR(VLOOKUP('Customer Info'!A1794,'Customer Info'!A1794:E2293,5,FALSE),"Not Found")</f>
        <v>Not Found</v>
      </c>
      <c r="J1802" s="2">
        <v>1292</v>
      </c>
      <c r="K1802" s="2">
        <v>1185</v>
      </c>
      <c r="L1802" s="2">
        <v>2</v>
      </c>
      <c r="M1802" s="7">
        <f t="shared" si="135"/>
        <v>2370</v>
      </c>
      <c r="N1802" s="7">
        <f t="shared" si="136"/>
        <v>2584</v>
      </c>
      <c r="O1802" s="2">
        <v>98</v>
      </c>
      <c r="P1802" s="8">
        <f t="shared" si="137"/>
        <v>2682</v>
      </c>
      <c r="Q1802" s="8">
        <f t="shared" si="138"/>
        <v>1399</v>
      </c>
      <c r="R1802" s="2" t="s">
        <v>28</v>
      </c>
      <c r="S1802" s="9">
        <f t="shared" si="139"/>
        <v>53.64</v>
      </c>
    </row>
    <row r="1803" spans="1:19" x14ac:dyDescent="0.3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str">
        <f>IFERROR(VLOOKUP('Customer Info'!A1795,'Customer Info'!A1795:C2294,2,FALSE),"Not Found")</f>
        <v>Not Found</v>
      </c>
      <c r="H1803" s="6" t="str">
        <f>IFERROR(VLOOKUP('Customer Info'!A1795,'Customer Info'!A1795:C2294,3,FALSE),"Not Found")</f>
        <v>Not Found</v>
      </c>
      <c r="I1803" s="6" t="str">
        <f>IFERROR(VLOOKUP('Customer Info'!A1795,'Customer Info'!A1795:E2294,5,FALSE),"Not Found")</f>
        <v>Not Found</v>
      </c>
      <c r="J1803" s="2">
        <v>2200</v>
      </c>
      <c r="K1803" s="2">
        <v>2020</v>
      </c>
      <c r="L1803" s="2">
        <v>3</v>
      </c>
      <c r="M1803" s="7">
        <f t="shared" ref="M1803:M1866" si="140">$K1803*$L1803</f>
        <v>6060</v>
      </c>
      <c r="N1803" s="7">
        <f t="shared" ref="N1803:N1866" si="141">$J1803*$L1803</f>
        <v>6600</v>
      </c>
      <c r="O1803" s="2">
        <v>65</v>
      </c>
      <c r="P1803" s="8">
        <f t="shared" ref="P1803:P1866" si="142">$N1803+$O1803</f>
        <v>6665</v>
      </c>
      <c r="Q1803" s="8">
        <f t="shared" ref="Q1803:Q1866" si="143">$N1803-$K1803</f>
        <v>4580</v>
      </c>
      <c r="R1803" s="2" t="s">
        <v>50</v>
      </c>
      <c r="S1803" s="9">
        <f t="shared" ref="S1803:S1866" si="144" xml:space="preserve"> P1803 * VLOOKUP(P1803, $T$2:$U$6, 2, TRUE)</f>
        <v>333.25</v>
      </c>
    </row>
    <row r="1804" spans="1:19" x14ac:dyDescent="0.3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str">
        <f>IFERROR(VLOOKUP('Customer Info'!A1796,'Customer Info'!A1796:C2295,2,FALSE),"Not Found")</f>
        <v>Not Found</v>
      </c>
      <c r="H1804" s="6" t="str">
        <f>IFERROR(VLOOKUP('Customer Info'!A1796,'Customer Info'!A1796:C2295,3,FALSE),"Not Found")</f>
        <v>Not Found</v>
      </c>
      <c r="I1804" s="6" t="str">
        <f>IFERROR(VLOOKUP('Customer Info'!A1796,'Customer Info'!A1796:E2295,5,FALSE),"Not Found")</f>
        <v>Not Found</v>
      </c>
      <c r="J1804" s="2">
        <v>193</v>
      </c>
      <c r="K1804" s="2">
        <v>173</v>
      </c>
      <c r="L1804" s="2">
        <v>3</v>
      </c>
      <c r="M1804" s="7">
        <f t="shared" si="140"/>
        <v>519</v>
      </c>
      <c r="N1804" s="7">
        <f t="shared" si="141"/>
        <v>579</v>
      </c>
      <c r="O1804" s="2">
        <v>30</v>
      </c>
      <c r="P1804" s="8">
        <f t="shared" si="142"/>
        <v>609</v>
      </c>
      <c r="Q1804" s="8">
        <f t="shared" si="143"/>
        <v>406</v>
      </c>
      <c r="R1804" s="2" t="s">
        <v>28</v>
      </c>
      <c r="S1804" s="9">
        <f t="shared" si="144"/>
        <v>12.18</v>
      </c>
    </row>
    <row r="1805" spans="1:19" x14ac:dyDescent="0.3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str">
        <f>IFERROR(VLOOKUP('Customer Info'!A1797,'Customer Info'!A1797:C2296,2,FALSE),"Not Found")</f>
        <v>Not Found</v>
      </c>
      <c r="H1805" s="6" t="str">
        <f>IFERROR(VLOOKUP('Customer Info'!A1797,'Customer Info'!A1797:C2296,3,FALSE),"Not Found")</f>
        <v>Not Found</v>
      </c>
      <c r="I1805" s="6" t="str">
        <f>IFERROR(VLOOKUP('Customer Info'!A1797,'Customer Info'!A1797:E2296,5,FALSE),"Not Found")</f>
        <v>Not Found</v>
      </c>
      <c r="J1805" s="2">
        <v>2228</v>
      </c>
      <c r="K1805" s="2">
        <v>2143</v>
      </c>
      <c r="L1805" s="2">
        <v>3</v>
      </c>
      <c r="M1805" s="7">
        <f t="shared" si="140"/>
        <v>6429</v>
      </c>
      <c r="N1805" s="7">
        <f t="shared" si="141"/>
        <v>6684</v>
      </c>
      <c r="O1805" s="2">
        <v>24</v>
      </c>
      <c r="P1805" s="8">
        <f t="shared" si="142"/>
        <v>6708</v>
      </c>
      <c r="Q1805" s="8">
        <f t="shared" si="143"/>
        <v>4541</v>
      </c>
      <c r="R1805" s="2" t="s">
        <v>28</v>
      </c>
      <c r="S1805" s="9">
        <f t="shared" si="144"/>
        <v>335.40000000000003</v>
      </c>
    </row>
    <row r="1806" spans="1:19" x14ac:dyDescent="0.3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str">
        <f>IFERROR(VLOOKUP('Customer Info'!A1798,'Customer Info'!A1798:C2297,2,FALSE),"Not Found")</f>
        <v>Not Found</v>
      </c>
      <c r="H1806" s="6" t="str">
        <f>IFERROR(VLOOKUP('Customer Info'!A1798,'Customer Info'!A1798:C2297,3,FALSE),"Not Found")</f>
        <v>Not Found</v>
      </c>
      <c r="I1806" s="6" t="str">
        <f>IFERROR(VLOOKUP('Customer Info'!A1798,'Customer Info'!A1798:E2297,5,FALSE),"Not Found")</f>
        <v>Not Found</v>
      </c>
      <c r="J1806" s="2">
        <v>2271</v>
      </c>
      <c r="K1806" s="2">
        <v>2144</v>
      </c>
      <c r="L1806" s="2">
        <v>2</v>
      </c>
      <c r="M1806" s="7">
        <f t="shared" si="140"/>
        <v>4288</v>
      </c>
      <c r="N1806" s="7">
        <f t="shared" si="141"/>
        <v>4542</v>
      </c>
      <c r="O1806" s="2">
        <v>78</v>
      </c>
      <c r="P1806" s="8">
        <f t="shared" si="142"/>
        <v>4620</v>
      </c>
      <c r="Q1806" s="8">
        <f t="shared" si="143"/>
        <v>2398</v>
      </c>
      <c r="R1806" s="2" t="s">
        <v>50</v>
      </c>
      <c r="S1806" s="9">
        <f t="shared" si="144"/>
        <v>92.4</v>
      </c>
    </row>
    <row r="1807" spans="1:19" x14ac:dyDescent="0.3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str">
        <f>IFERROR(VLOOKUP('Customer Info'!A1799,'Customer Info'!A1799:C2298,2,FALSE),"Not Found")</f>
        <v>Not Found</v>
      </c>
      <c r="H1807" s="6" t="str">
        <f>IFERROR(VLOOKUP('Customer Info'!A1799,'Customer Info'!A1799:C2298,3,FALSE),"Not Found")</f>
        <v>Not Found</v>
      </c>
      <c r="I1807" s="6" t="str">
        <f>IFERROR(VLOOKUP('Customer Info'!A1799,'Customer Info'!A1799:E2298,5,FALSE),"Not Found")</f>
        <v>Not Found</v>
      </c>
      <c r="J1807" s="2">
        <v>1306</v>
      </c>
      <c r="K1807" s="2">
        <v>1197</v>
      </c>
      <c r="L1807" s="2">
        <v>2</v>
      </c>
      <c r="M1807" s="7">
        <f t="shared" si="140"/>
        <v>2394</v>
      </c>
      <c r="N1807" s="7">
        <f t="shared" si="141"/>
        <v>2612</v>
      </c>
      <c r="O1807" s="2">
        <v>100</v>
      </c>
      <c r="P1807" s="8">
        <f t="shared" si="142"/>
        <v>2712</v>
      </c>
      <c r="Q1807" s="8">
        <f t="shared" si="143"/>
        <v>1415</v>
      </c>
      <c r="R1807" s="2" t="s">
        <v>28</v>
      </c>
      <c r="S1807" s="9">
        <f t="shared" si="144"/>
        <v>54.24</v>
      </c>
    </row>
    <row r="1808" spans="1:19" x14ac:dyDescent="0.3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str">
        <f>IFERROR(VLOOKUP('Customer Info'!A1800,'Customer Info'!A1800:C2299,2,FALSE),"Not Found")</f>
        <v>Not Found</v>
      </c>
      <c r="H1808" s="6" t="str">
        <f>IFERROR(VLOOKUP('Customer Info'!A1800,'Customer Info'!A1800:C2299,3,FALSE),"Not Found")</f>
        <v>Not Found</v>
      </c>
      <c r="I1808" s="6" t="str">
        <f>IFERROR(VLOOKUP('Customer Info'!A1800,'Customer Info'!A1800:E2299,5,FALSE),"Not Found")</f>
        <v>Not Found</v>
      </c>
      <c r="J1808" s="2">
        <v>851</v>
      </c>
      <c r="K1808" s="2">
        <v>773</v>
      </c>
      <c r="L1808" s="2">
        <v>2</v>
      </c>
      <c r="M1808" s="7">
        <f t="shared" si="140"/>
        <v>1546</v>
      </c>
      <c r="N1808" s="7">
        <f t="shared" si="141"/>
        <v>1702</v>
      </c>
      <c r="O1808" s="2">
        <v>90</v>
      </c>
      <c r="P1808" s="8">
        <f t="shared" si="142"/>
        <v>1792</v>
      </c>
      <c r="Q1808" s="8">
        <f t="shared" si="143"/>
        <v>929</v>
      </c>
      <c r="R1808" s="2" t="s">
        <v>28</v>
      </c>
      <c r="S1808" s="9">
        <f t="shared" si="144"/>
        <v>35.840000000000003</v>
      </c>
    </row>
    <row r="1809" spans="1:19" x14ac:dyDescent="0.3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str">
        <f>IFERROR(VLOOKUP('Customer Info'!A1801,'Customer Info'!A1801:C2300,2,FALSE),"Not Found")</f>
        <v>Not Found</v>
      </c>
      <c r="H1809" s="6" t="str">
        <f>IFERROR(VLOOKUP('Customer Info'!A1801,'Customer Info'!A1801:C2300,3,FALSE),"Not Found")</f>
        <v>Not Found</v>
      </c>
      <c r="I1809" s="6" t="str">
        <f>IFERROR(VLOOKUP('Customer Info'!A1801,'Customer Info'!A1801:E2300,5,FALSE),"Not Found")</f>
        <v>Not Found</v>
      </c>
      <c r="J1809" s="2">
        <v>4904</v>
      </c>
      <c r="K1809" s="2">
        <v>4499</v>
      </c>
      <c r="L1809" s="2">
        <v>1</v>
      </c>
      <c r="M1809" s="7">
        <f t="shared" si="140"/>
        <v>4499</v>
      </c>
      <c r="N1809" s="7">
        <f t="shared" si="141"/>
        <v>4904</v>
      </c>
      <c r="O1809" s="2">
        <v>40</v>
      </c>
      <c r="P1809" s="8">
        <f t="shared" si="142"/>
        <v>4944</v>
      </c>
      <c r="Q1809" s="8">
        <f t="shared" si="143"/>
        <v>405</v>
      </c>
      <c r="R1809" s="2" t="s">
        <v>28</v>
      </c>
      <c r="S1809" s="9">
        <f t="shared" si="144"/>
        <v>98.88</v>
      </c>
    </row>
    <row r="1810" spans="1:19" x14ac:dyDescent="0.3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str">
        <f>IFERROR(VLOOKUP('Customer Info'!A1802,'Customer Info'!A1802:C2301,2,FALSE),"Not Found")</f>
        <v>Not Found</v>
      </c>
      <c r="H1810" s="6" t="str">
        <f>IFERROR(VLOOKUP('Customer Info'!A1802,'Customer Info'!A1802:C2301,3,FALSE),"Not Found")</f>
        <v>Not Found</v>
      </c>
      <c r="I1810" s="6" t="str">
        <f>IFERROR(VLOOKUP('Customer Info'!A1802,'Customer Info'!A1802:E2301,5,FALSE),"Not Found")</f>
        <v>Not Found</v>
      </c>
      <c r="J1810" s="2">
        <v>61</v>
      </c>
      <c r="K1810" s="2">
        <v>56</v>
      </c>
      <c r="L1810" s="2">
        <v>8</v>
      </c>
      <c r="M1810" s="7">
        <f t="shared" si="140"/>
        <v>448</v>
      </c>
      <c r="N1810" s="7">
        <f t="shared" si="141"/>
        <v>488</v>
      </c>
      <c r="O1810" s="2">
        <v>10</v>
      </c>
      <c r="P1810" s="8">
        <f t="shared" si="142"/>
        <v>498</v>
      </c>
      <c r="Q1810" s="8">
        <f t="shared" si="143"/>
        <v>432</v>
      </c>
      <c r="R1810" s="2" t="s">
        <v>28</v>
      </c>
      <c r="S1810" s="9">
        <f t="shared" si="144"/>
        <v>9.9600000000000009</v>
      </c>
    </row>
    <row r="1811" spans="1:19" x14ac:dyDescent="0.3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str">
        <f>IFERROR(VLOOKUP('Customer Info'!A1803,'Customer Info'!A1803:C2302,2,FALSE),"Not Found")</f>
        <v>Not Found</v>
      </c>
      <c r="H1811" s="6" t="str">
        <f>IFERROR(VLOOKUP('Customer Info'!A1803,'Customer Info'!A1803:C2302,3,FALSE),"Not Found")</f>
        <v>Not Found</v>
      </c>
      <c r="I1811" s="6" t="str">
        <f>IFERROR(VLOOKUP('Customer Info'!A1803,'Customer Info'!A1803:E2302,5,FALSE),"Not Found")</f>
        <v>Not Found</v>
      </c>
      <c r="J1811" s="2">
        <v>932</v>
      </c>
      <c r="K1811" s="2">
        <v>838</v>
      </c>
      <c r="L1811" s="2">
        <v>5</v>
      </c>
      <c r="M1811" s="7">
        <f t="shared" si="140"/>
        <v>4190</v>
      </c>
      <c r="N1811" s="7">
        <f t="shared" si="141"/>
        <v>4660</v>
      </c>
      <c r="O1811" s="2">
        <v>81</v>
      </c>
      <c r="P1811" s="8">
        <f t="shared" si="142"/>
        <v>4741</v>
      </c>
      <c r="Q1811" s="8">
        <f t="shared" si="143"/>
        <v>3822</v>
      </c>
      <c r="R1811" s="2" t="s">
        <v>28</v>
      </c>
      <c r="S1811" s="9">
        <f t="shared" si="144"/>
        <v>94.820000000000007</v>
      </c>
    </row>
    <row r="1812" spans="1:19" x14ac:dyDescent="0.3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str">
        <f>IFERROR(VLOOKUP('Customer Info'!A1804,'Customer Info'!A1804:C2303,2,FALSE),"Not Found")</f>
        <v>Not Found</v>
      </c>
      <c r="H1812" s="6" t="str">
        <f>IFERROR(VLOOKUP('Customer Info'!A1804,'Customer Info'!A1804:C2303,3,FALSE),"Not Found")</f>
        <v>Not Found</v>
      </c>
      <c r="I1812" s="6" t="str">
        <f>IFERROR(VLOOKUP('Customer Info'!A1804,'Customer Info'!A1804:E2303,5,FALSE),"Not Found")</f>
        <v>Not Found</v>
      </c>
      <c r="J1812" s="2">
        <v>1205</v>
      </c>
      <c r="K1812" s="2">
        <v>1159</v>
      </c>
      <c r="L1812" s="2">
        <v>1</v>
      </c>
      <c r="M1812" s="7">
        <f t="shared" si="140"/>
        <v>1159</v>
      </c>
      <c r="N1812" s="7">
        <f t="shared" si="141"/>
        <v>1205</v>
      </c>
      <c r="O1812" s="2">
        <v>86</v>
      </c>
      <c r="P1812" s="8">
        <f t="shared" si="142"/>
        <v>1291</v>
      </c>
      <c r="Q1812" s="8">
        <f t="shared" si="143"/>
        <v>46</v>
      </c>
      <c r="R1812" s="2" t="s">
        <v>28</v>
      </c>
      <c r="S1812" s="9">
        <f t="shared" si="144"/>
        <v>25.82</v>
      </c>
    </row>
    <row r="1813" spans="1:19" x14ac:dyDescent="0.3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str">
        <f>IFERROR(VLOOKUP('Customer Info'!A1805,'Customer Info'!A1805:C2304,2,FALSE),"Not Found")</f>
        <v>Not Found</v>
      </c>
      <c r="H1813" s="6" t="str">
        <f>IFERROR(VLOOKUP('Customer Info'!A1805,'Customer Info'!A1805:C2304,3,FALSE),"Not Found")</f>
        <v>Not Found</v>
      </c>
      <c r="I1813" s="6" t="str">
        <f>IFERROR(VLOOKUP('Customer Info'!A1805,'Customer Info'!A1805:E2304,5,FALSE),"Not Found")</f>
        <v>Not Found</v>
      </c>
      <c r="J1813" s="2">
        <v>2222</v>
      </c>
      <c r="K1813" s="2">
        <v>2081</v>
      </c>
      <c r="L1813" s="2">
        <v>5</v>
      </c>
      <c r="M1813" s="7">
        <f t="shared" si="140"/>
        <v>10405</v>
      </c>
      <c r="N1813" s="7">
        <f t="shared" si="141"/>
        <v>11110</v>
      </c>
      <c r="O1813" s="2">
        <v>68</v>
      </c>
      <c r="P1813" s="8">
        <f t="shared" si="142"/>
        <v>11178</v>
      </c>
      <c r="Q1813" s="8">
        <f t="shared" si="143"/>
        <v>9029</v>
      </c>
      <c r="R1813" s="2" t="s">
        <v>50</v>
      </c>
      <c r="S1813" s="9">
        <f t="shared" si="144"/>
        <v>558.9</v>
      </c>
    </row>
    <row r="1814" spans="1:19" x14ac:dyDescent="0.3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str">
        <f>IFERROR(VLOOKUP('Customer Info'!A1806,'Customer Info'!A1806:C2305,2,FALSE),"Not Found")</f>
        <v>Not Found</v>
      </c>
      <c r="H1814" s="6" t="str">
        <f>IFERROR(VLOOKUP('Customer Info'!A1806,'Customer Info'!A1806:C2305,3,FALSE),"Not Found")</f>
        <v>Not Found</v>
      </c>
      <c r="I1814" s="6" t="str">
        <f>IFERROR(VLOOKUP('Customer Info'!A1806,'Customer Info'!A1806:E2305,5,FALSE),"Not Found")</f>
        <v>Not Found</v>
      </c>
      <c r="J1814" s="2">
        <v>2864</v>
      </c>
      <c r="K1814" s="2">
        <v>2754</v>
      </c>
      <c r="L1814" s="2">
        <v>5</v>
      </c>
      <c r="M1814" s="7">
        <f t="shared" si="140"/>
        <v>13770</v>
      </c>
      <c r="N1814" s="7">
        <f t="shared" si="141"/>
        <v>14320</v>
      </c>
      <c r="O1814" s="2">
        <v>29</v>
      </c>
      <c r="P1814" s="8">
        <f t="shared" si="142"/>
        <v>14349</v>
      </c>
      <c r="Q1814" s="8">
        <f t="shared" si="143"/>
        <v>11566</v>
      </c>
      <c r="R1814" s="2" t="s">
        <v>28</v>
      </c>
      <c r="S1814" s="9">
        <f t="shared" si="144"/>
        <v>717.45</v>
      </c>
    </row>
    <row r="1815" spans="1:19" x14ac:dyDescent="0.3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str">
        <f>IFERROR(VLOOKUP('Customer Info'!A1807,'Customer Info'!A1807:C2306,2,FALSE),"Not Found")</f>
        <v>Not Found</v>
      </c>
      <c r="H1815" s="6" t="str">
        <f>IFERROR(VLOOKUP('Customer Info'!A1807,'Customer Info'!A1807:C2306,3,FALSE),"Not Found")</f>
        <v>Not Found</v>
      </c>
      <c r="I1815" s="6" t="str">
        <f>IFERROR(VLOOKUP('Customer Info'!A1807,'Customer Info'!A1807:E2306,5,FALSE),"Not Found")</f>
        <v>Not Found</v>
      </c>
      <c r="J1815" s="2">
        <v>2829</v>
      </c>
      <c r="K1815" s="2">
        <v>2596</v>
      </c>
      <c r="L1815" s="2">
        <v>3</v>
      </c>
      <c r="M1815" s="7">
        <f t="shared" si="140"/>
        <v>7788</v>
      </c>
      <c r="N1815" s="7">
        <f t="shared" si="141"/>
        <v>8487</v>
      </c>
      <c r="O1815" s="2">
        <v>95</v>
      </c>
      <c r="P1815" s="8">
        <f t="shared" si="142"/>
        <v>8582</v>
      </c>
      <c r="Q1815" s="8">
        <f t="shared" si="143"/>
        <v>5891</v>
      </c>
      <c r="R1815" s="2" t="s">
        <v>28</v>
      </c>
      <c r="S1815" s="9">
        <f t="shared" si="144"/>
        <v>429.1</v>
      </c>
    </row>
    <row r="1816" spans="1:19" x14ac:dyDescent="0.3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str">
        <f>IFERROR(VLOOKUP('Customer Info'!A1808,'Customer Info'!A1808:C2307,2,FALSE),"Not Found")</f>
        <v>Not Found</v>
      </c>
      <c r="H1816" s="6" t="str">
        <f>IFERROR(VLOOKUP('Customer Info'!A1808,'Customer Info'!A1808:C2307,3,FALSE),"Not Found")</f>
        <v>Not Found</v>
      </c>
      <c r="I1816" s="6" t="str">
        <f>IFERROR(VLOOKUP('Customer Info'!A1808,'Customer Info'!A1808:E2307,5,FALSE),"Not Found")</f>
        <v>Not Found</v>
      </c>
      <c r="J1816" s="2">
        <v>404</v>
      </c>
      <c r="K1816" s="2">
        <v>371</v>
      </c>
      <c r="L1816" s="2">
        <v>2</v>
      </c>
      <c r="M1816" s="7">
        <f t="shared" si="140"/>
        <v>742</v>
      </c>
      <c r="N1816" s="7">
        <f t="shared" si="141"/>
        <v>808</v>
      </c>
      <c r="O1816" s="2">
        <v>90</v>
      </c>
      <c r="P1816" s="8">
        <f t="shared" si="142"/>
        <v>898</v>
      </c>
      <c r="Q1816" s="8">
        <f t="shared" si="143"/>
        <v>437</v>
      </c>
      <c r="R1816" s="2" t="s">
        <v>28</v>
      </c>
      <c r="S1816" s="9">
        <f t="shared" si="144"/>
        <v>17.96</v>
      </c>
    </row>
    <row r="1817" spans="1:19" x14ac:dyDescent="0.3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str">
        <f>IFERROR(VLOOKUP('Customer Info'!A1809,'Customer Info'!A1809:C2308,2,FALSE),"Not Found")</f>
        <v>Not Found</v>
      </c>
      <c r="H1817" s="6" t="str">
        <f>IFERROR(VLOOKUP('Customer Info'!A1809,'Customer Info'!A1809:C2308,3,FALSE),"Not Found")</f>
        <v>Not Found</v>
      </c>
      <c r="I1817" s="6" t="str">
        <f>IFERROR(VLOOKUP('Customer Info'!A1809,'Customer Info'!A1809:E2308,5,FALSE),"Not Found")</f>
        <v>Not Found</v>
      </c>
      <c r="J1817" s="2">
        <v>4808</v>
      </c>
      <c r="K1817" s="2">
        <v>4453</v>
      </c>
      <c r="L1817" s="2">
        <v>2</v>
      </c>
      <c r="M1817" s="7">
        <f t="shared" si="140"/>
        <v>8906</v>
      </c>
      <c r="N1817" s="7">
        <f t="shared" si="141"/>
        <v>9616</v>
      </c>
      <c r="O1817" s="2">
        <v>38</v>
      </c>
      <c r="P1817" s="8">
        <f t="shared" si="142"/>
        <v>9654</v>
      </c>
      <c r="Q1817" s="8">
        <f t="shared" si="143"/>
        <v>5163</v>
      </c>
      <c r="R1817" s="2" t="s">
        <v>50</v>
      </c>
      <c r="S1817" s="9">
        <f t="shared" si="144"/>
        <v>482.70000000000005</v>
      </c>
    </row>
    <row r="1818" spans="1:19" x14ac:dyDescent="0.3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str">
        <f>IFERROR(VLOOKUP('Customer Info'!A1810,'Customer Info'!A1810:C2309,2,FALSE),"Not Found")</f>
        <v>Not Found</v>
      </c>
      <c r="H1818" s="6" t="str">
        <f>IFERROR(VLOOKUP('Customer Info'!A1810,'Customer Info'!A1810:C2309,3,FALSE),"Not Found")</f>
        <v>Not Found</v>
      </c>
      <c r="I1818" s="6" t="str">
        <f>IFERROR(VLOOKUP('Customer Info'!A1810,'Customer Info'!A1810:E2309,5,FALSE),"Not Found")</f>
        <v>Not Found</v>
      </c>
      <c r="J1818" s="2">
        <v>1906</v>
      </c>
      <c r="K1818" s="2">
        <v>1798</v>
      </c>
      <c r="L1818" s="2">
        <v>2</v>
      </c>
      <c r="M1818" s="7">
        <f t="shared" si="140"/>
        <v>3596</v>
      </c>
      <c r="N1818" s="7">
        <f t="shared" si="141"/>
        <v>3812</v>
      </c>
      <c r="O1818" s="2">
        <v>29</v>
      </c>
      <c r="P1818" s="8">
        <f t="shared" si="142"/>
        <v>3841</v>
      </c>
      <c r="Q1818" s="8">
        <f t="shared" si="143"/>
        <v>2014</v>
      </c>
      <c r="R1818" s="2" t="s">
        <v>50</v>
      </c>
      <c r="S1818" s="9">
        <f t="shared" si="144"/>
        <v>76.820000000000007</v>
      </c>
    </row>
    <row r="1819" spans="1:19" x14ac:dyDescent="0.3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str">
        <f>IFERROR(VLOOKUP('Customer Info'!A1811,'Customer Info'!A1811:C2310,2,FALSE),"Not Found")</f>
        <v>Not Found</v>
      </c>
      <c r="H1819" s="6" t="str">
        <f>IFERROR(VLOOKUP('Customer Info'!A1811,'Customer Info'!A1811:C2310,3,FALSE),"Not Found")</f>
        <v>Not Found</v>
      </c>
      <c r="I1819" s="6" t="str">
        <f>IFERROR(VLOOKUP('Customer Info'!A1811,'Customer Info'!A1811:E2310,5,FALSE),"Not Found")</f>
        <v>Not Found</v>
      </c>
      <c r="J1819" s="2">
        <v>458</v>
      </c>
      <c r="K1819" s="2">
        <v>419</v>
      </c>
      <c r="L1819" s="2">
        <v>2</v>
      </c>
      <c r="M1819" s="7">
        <f t="shared" si="140"/>
        <v>838</v>
      </c>
      <c r="N1819" s="7">
        <f t="shared" si="141"/>
        <v>916</v>
      </c>
      <c r="O1819" s="2">
        <v>72</v>
      </c>
      <c r="P1819" s="8">
        <f t="shared" si="142"/>
        <v>988</v>
      </c>
      <c r="Q1819" s="8">
        <f t="shared" si="143"/>
        <v>497</v>
      </c>
      <c r="R1819" s="2" t="s">
        <v>28</v>
      </c>
      <c r="S1819" s="9">
        <f t="shared" si="144"/>
        <v>19.760000000000002</v>
      </c>
    </row>
    <row r="1820" spans="1:19" x14ac:dyDescent="0.3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str">
        <f>IFERROR(VLOOKUP('Customer Info'!A1812,'Customer Info'!A1812:C2311,2,FALSE),"Not Found")</f>
        <v>Not Found</v>
      </c>
      <c r="H1820" s="6" t="str">
        <f>IFERROR(VLOOKUP('Customer Info'!A1812,'Customer Info'!A1812:C2311,3,FALSE),"Not Found")</f>
        <v>Not Found</v>
      </c>
      <c r="I1820" s="6" t="str">
        <f>IFERROR(VLOOKUP('Customer Info'!A1812,'Customer Info'!A1812:E2311,5,FALSE),"Not Found")</f>
        <v>Not Found</v>
      </c>
      <c r="J1820" s="2">
        <v>175</v>
      </c>
      <c r="K1820" s="2">
        <v>158</v>
      </c>
      <c r="L1820" s="2">
        <v>2</v>
      </c>
      <c r="M1820" s="7">
        <f t="shared" si="140"/>
        <v>316</v>
      </c>
      <c r="N1820" s="7">
        <f t="shared" si="141"/>
        <v>350</v>
      </c>
      <c r="O1820" s="2">
        <v>30</v>
      </c>
      <c r="P1820" s="8">
        <f t="shared" si="142"/>
        <v>380</v>
      </c>
      <c r="Q1820" s="8">
        <f t="shared" si="143"/>
        <v>192</v>
      </c>
      <c r="R1820" s="2" t="s">
        <v>28</v>
      </c>
      <c r="S1820" s="9">
        <f t="shared" si="144"/>
        <v>7.6000000000000005</v>
      </c>
    </row>
    <row r="1821" spans="1:19" x14ac:dyDescent="0.3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str">
        <f>IFERROR(VLOOKUP('Customer Info'!A1813,'Customer Info'!A1813:C2312,2,FALSE),"Not Found")</f>
        <v>Not Found</v>
      </c>
      <c r="H1821" s="6" t="str">
        <f>IFERROR(VLOOKUP('Customer Info'!A1813,'Customer Info'!A1813:C2312,3,FALSE),"Not Found")</f>
        <v>Not Found</v>
      </c>
      <c r="I1821" s="6" t="str">
        <f>IFERROR(VLOOKUP('Customer Info'!A1813,'Customer Info'!A1813:E2312,5,FALSE),"Not Found")</f>
        <v>Not Found</v>
      </c>
      <c r="J1821" s="2">
        <v>6598</v>
      </c>
      <c r="K1821" s="2">
        <v>6346</v>
      </c>
      <c r="L1821" s="2">
        <v>3</v>
      </c>
      <c r="M1821" s="7">
        <f t="shared" si="140"/>
        <v>19038</v>
      </c>
      <c r="N1821" s="7">
        <f t="shared" si="141"/>
        <v>19794</v>
      </c>
      <c r="O1821" s="2">
        <v>45</v>
      </c>
      <c r="P1821" s="8">
        <f t="shared" si="142"/>
        <v>19839</v>
      </c>
      <c r="Q1821" s="8">
        <f t="shared" si="143"/>
        <v>13448</v>
      </c>
      <c r="R1821" s="2" t="s">
        <v>50</v>
      </c>
      <c r="S1821" s="9">
        <f t="shared" si="144"/>
        <v>991.95</v>
      </c>
    </row>
    <row r="1822" spans="1:19" x14ac:dyDescent="0.3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str">
        <f>IFERROR(VLOOKUP('Customer Info'!A1814,'Customer Info'!A1814:C2313,2,FALSE),"Not Found")</f>
        <v>Not Found</v>
      </c>
      <c r="H1822" s="6" t="str">
        <f>IFERROR(VLOOKUP('Customer Info'!A1814,'Customer Info'!A1814:C2313,3,FALSE),"Not Found")</f>
        <v>Not Found</v>
      </c>
      <c r="I1822" s="6" t="str">
        <f>IFERROR(VLOOKUP('Customer Info'!A1814,'Customer Info'!A1814:E2313,5,FALSE),"Not Found")</f>
        <v>Not Found</v>
      </c>
      <c r="J1822" s="2">
        <v>2644</v>
      </c>
      <c r="K1822" s="2">
        <v>2425</v>
      </c>
      <c r="L1822" s="2">
        <v>3</v>
      </c>
      <c r="M1822" s="7">
        <f t="shared" si="140"/>
        <v>7275</v>
      </c>
      <c r="N1822" s="7">
        <f t="shared" si="141"/>
        <v>7932</v>
      </c>
      <c r="O1822" s="2">
        <v>57</v>
      </c>
      <c r="P1822" s="8">
        <f t="shared" si="142"/>
        <v>7989</v>
      </c>
      <c r="Q1822" s="8">
        <f t="shared" si="143"/>
        <v>5507</v>
      </c>
      <c r="R1822" s="2" t="s">
        <v>28</v>
      </c>
      <c r="S1822" s="9">
        <f t="shared" si="144"/>
        <v>399.45000000000005</v>
      </c>
    </row>
    <row r="1823" spans="1:19" x14ac:dyDescent="0.3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str">
        <f>IFERROR(VLOOKUP('Customer Info'!A1815,'Customer Info'!A1815:C2314,2,FALSE),"Not Found")</f>
        <v>Not Found</v>
      </c>
      <c r="H1823" s="6" t="str">
        <f>IFERROR(VLOOKUP('Customer Info'!A1815,'Customer Info'!A1815:C2314,3,FALSE),"Not Found")</f>
        <v>Not Found</v>
      </c>
      <c r="I1823" s="6" t="str">
        <f>IFERROR(VLOOKUP('Customer Info'!A1815,'Customer Info'!A1815:E2314,5,FALSE),"Not Found")</f>
        <v>Not Found</v>
      </c>
      <c r="J1823" s="2">
        <v>1809</v>
      </c>
      <c r="K1823" s="2">
        <v>1691</v>
      </c>
      <c r="L1823" s="2">
        <v>7</v>
      </c>
      <c r="M1823" s="7">
        <f t="shared" si="140"/>
        <v>11837</v>
      </c>
      <c r="N1823" s="7">
        <f t="shared" si="141"/>
        <v>12663</v>
      </c>
      <c r="O1823" s="2">
        <v>51</v>
      </c>
      <c r="P1823" s="8">
        <f t="shared" si="142"/>
        <v>12714</v>
      </c>
      <c r="Q1823" s="8">
        <f t="shared" si="143"/>
        <v>10972</v>
      </c>
      <c r="R1823" s="2" t="s">
        <v>28</v>
      </c>
      <c r="S1823" s="9">
        <f t="shared" si="144"/>
        <v>635.70000000000005</v>
      </c>
    </row>
    <row r="1824" spans="1:19" x14ac:dyDescent="0.3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str">
        <f>IFERROR(VLOOKUP('Customer Info'!A1816,'Customer Info'!A1816:C2315,2,FALSE),"Not Found")</f>
        <v>Not Found</v>
      </c>
      <c r="H1824" s="6" t="str">
        <f>IFERROR(VLOOKUP('Customer Info'!A1816,'Customer Info'!A1816:C2315,3,FALSE),"Not Found")</f>
        <v>Not Found</v>
      </c>
      <c r="I1824" s="6" t="str">
        <f>IFERROR(VLOOKUP('Customer Info'!A1816,'Customer Info'!A1816:E2315,5,FALSE),"Not Found")</f>
        <v>Not Found</v>
      </c>
      <c r="J1824" s="2">
        <v>941</v>
      </c>
      <c r="K1824" s="2">
        <v>905</v>
      </c>
      <c r="L1824" s="2">
        <v>5</v>
      </c>
      <c r="M1824" s="7">
        <f t="shared" si="140"/>
        <v>4525</v>
      </c>
      <c r="N1824" s="7">
        <f t="shared" si="141"/>
        <v>4705</v>
      </c>
      <c r="O1824" s="2">
        <v>92</v>
      </c>
      <c r="P1824" s="8">
        <f t="shared" si="142"/>
        <v>4797</v>
      </c>
      <c r="Q1824" s="8">
        <f t="shared" si="143"/>
        <v>3800</v>
      </c>
      <c r="R1824" s="2" t="s">
        <v>28</v>
      </c>
      <c r="S1824" s="9">
        <f t="shared" si="144"/>
        <v>95.94</v>
      </c>
    </row>
    <row r="1825" spans="1:19" x14ac:dyDescent="0.3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str">
        <f>IFERROR(VLOOKUP('Customer Info'!A1817,'Customer Info'!A1817:C2316,2,FALSE),"Not Found")</f>
        <v>Not Found</v>
      </c>
      <c r="H1825" s="6" t="str">
        <f>IFERROR(VLOOKUP('Customer Info'!A1817,'Customer Info'!A1817:C2316,3,FALSE),"Not Found")</f>
        <v>Not Found</v>
      </c>
      <c r="I1825" s="6" t="str">
        <f>IFERROR(VLOOKUP('Customer Info'!A1817,'Customer Info'!A1817:E2316,5,FALSE),"Not Found")</f>
        <v>Not Found</v>
      </c>
      <c r="J1825" s="2">
        <v>6951</v>
      </c>
      <c r="K1825" s="2">
        <v>6620</v>
      </c>
      <c r="L1825" s="2">
        <v>4</v>
      </c>
      <c r="M1825" s="7">
        <f t="shared" si="140"/>
        <v>26480</v>
      </c>
      <c r="N1825" s="7">
        <f t="shared" si="141"/>
        <v>27804</v>
      </c>
      <c r="O1825" s="2">
        <v>26</v>
      </c>
      <c r="P1825" s="8">
        <f t="shared" si="142"/>
        <v>27830</v>
      </c>
      <c r="Q1825" s="8">
        <f t="shared" si="143"/>
        <v>21184</v>
      </c>
      <c r="R1825" s="2" t="s">
        <v>28</v>
      </c>
      <c r="S1825" s="9">
        <f t="shared" si="144"/>
        <v>1948.1000000000001</v>
      </c>
    </row>
    <row r="1826" spans="1:19" x14ac:dyDescent="0.3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str">
        <f>IFERROR(VLOOKUP('Customer Info'!A1818,'Customer Info'!A1818:C2317,2,FALSE),"Not Found")</f>
        <v>Not Found</v>
      </c>
      <c r="H1826" s="6" t="str">
        <f>IFERROR(VLOOKUP('Customer Info'!A1818,'Customer Info'!A1818:C2317,3,FALSE),"Not Found")</f>
        <v>Not Found</v>
      </c>
      <c r="I1826" s="6" t="str">
        <f>IFERROR(VLOOKUP('Customer Info'!A1818,'Customer Info'!A1818:E2317,5,FALSE),"Not Found")</f>
        <v>Not Found</v>
      </c>
      <c r="J1826" s="2">
        <v>1210</v>
      </c>
      <c r="K1826" s="2">
        <v>1164</v>
      </c>
      <c r="L1826" s="2">
        <v>1</v>
      </c>
      <c r="M1826" s="7">
        <f t="shared" si="140"/>
        <v>1164</v>
      </c>
      <c r="N1826" s="7">
        <f t="shared" si="141"/>
        <v>1210</v>
      </c>
      <c r="O1826" s="2">
        <v>36</v>
      </c>
      <c r="P1826" s="8">
        <f t="shared" si="142"/>
        <v>1246</v>
      </c>
      <c r="Q1826" s="8">
        <f t="shared" si="143"/>
        <v>46</v>
      </c>
      <c r="R1826" s="2" t="s">
        <v>50</v>
      </c>
      <c r="S1826" s="9">
        <f t="shared" si="144"/>
        <v>24.92</v>
      </c>
    </row>
    <row r="1827" spans="1:19" x14ac:dyDescent="0.3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str">
        <f>IFERROR(VLOOKUP('Customer Info'!A1819,'Customer Info'!A1819:C2318,2,FALSE),"Not Found")</f>
        <v>Not Found</v>
      </c>
      <c r="H1827" s="6" t="str">
        <f>IFERROR(VLOOKUP('Customer Info'!A1819,'Customer Info'!A1819:C2318,3,FALSE),"Not Found")</f>
        <v>Not Found</v>
      </c>
      <c r="I1827" s="6" t="str">
        <f>IFERROR(VLOOKUP('Customer Info'!A1819,'Customer Info'!A1819:E2318,5,FALSE),"Not Found")</f>
        <v>Not Found</v>
      </c>
      <c r="J1827" s="2">
        <v>1498</v>
      </c>
      <c r="K1827" s="2">
        <v>1335</v>
      </c>
      <c r="L1827" s="2">
        <v>2</v>
      </c>
      <c r="M1827" s="7">
        <f t="shared" si="140"/>
        <v>2670</v>
      </c>
      <c r="N1827" s="7">
        <f t="shared" si="141"/>
        <v>2996</v>
      </c>
      <c r="O1827" s="2">
        <v>71</v>
      </c>
      <c r="P1827" s="8">
        <f t="shared" si="142"/>
        <v>3067</v>
      </c>
      <c r="Q1827" s="8">
        <f t="shared" si="143"/>
        <v>1661</v>
      </c>
      <c r="R1827" s="2" t="s">
        <v>28</v>
      </c>
      <c r="S1827" s="9">
        <f t="shared" si="144"/>
        <v>61.34</v>
      </c>
    </row>
    <row r="1828" spans="1:19" x14ac:dyDescent="0.3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str">
        <f>IFERROR(VLOOKUP('Customer Info'!A1820,'Customer Info'!A1820:C2319,2,FALSE),"Not Found")</f>
        <v>Not Found</v>
      </c>
      <c r="H1828" s="6" t="str">
        <f>IFERROR(VLOOKUP('Customer Info'!A1820,'Customer Info'!A1820:C2319,3,FALSE),"Not Found")</f>
        <v>Not Found</v>
      </c>
      <c r="I1828" s="6" t="str">
        <f>IFERROR(VLOOKUP('Customer Info'!A1820,'Customer Info'!A1820:E2319,5,FALSE),"Not Found")</f>
        <v>Not Found</v>
      </c>
      <c r="J1828" s="2">
        <v>1763</v>
      </c>
      <c r="K1828" s="2">
        <v>1602</v>
      </c>
      <c r="L1828" s="2">
        <v>3</v>
      </c>
      <c r="M1828" s="7">
        <f t="shared" si="140"/>
        <v>4806</v>
      </c>
      <c r="N1828" s="7">
        <f t="shared" si="141"/>
        <v>5289</v>
      </c>
      <c r="O1828" s="2">
        <v>37</v>
      </c>
      <c r="P1828" s="8">
        <f t="shared" si="142"/>
        <v>5326</v>
      </c>
      <c r="Q1828" s="8">
        <f t="shared" si="143"/>
        <v>3687</v>
      </c>
      <c r="R1828" s="2" t="s">
        <v>50</v>
      </c>
      <c r="S1828" s="9">
        <f t="shared" si="144"/>
        <v>266.3</v>
      </c>
    </row>
    <row r="1829" spans="1:19" x14ac:dyDescent="0.3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str">
        <f>IFERROR(VLOOKUP('Customer Info'!A1821,'Customer Info'!A1821:C2320,2,FALSE),"Not Found")</f>
        <v>Not Found</v>
      </c>
      <c r="H1829" s="6" t="str">
        <f>IFERROR(VLOOKUP('Customer Info'!A1821,'Customer Info'!A1821:C2320,3,FALSE),"Not Found")</f>
        <v>Not Found</v>
      </c>
      <c r="I1829" s="6" t="str">
        <f>IFERROR(VLOOKUP('Customer Info'!A1821,'Customer Info'!A1821:E2320,5,FALSE),"Not Found")</f>
        <v>Not Found</v>
      </c>
      <c r="J1829" s="2">
        <v>6087</v>
      </c>
      <c r="K1829" s="2">
        <v>5808</v>
      </c>
      <c r="L1829" s="2">
        <v>3</v>
      </c>
      <c r="M1829" s="7">
        <f t="shared" si="140"/>
        <v>17424</v>
      </c>
      <c r="N1829" s="7">
        <f t="shared" si="141"/>
        <v>18261</v>
      </c>
      <c r="O1829" s="2">
        <v>100</v>
      </c>
      <c r="P1829" s="8">
        <f t="shared" si="142"/>
        <v>18361</v>
      </c>
      <c r="Q1829" s="8">
        <f t="shared" si="143"/>
        <v>12453</v>
      </c>
      <c r="R1829" s="2" t="s">
        <v>28</v>
      </c>
      <c r="S1829" s="9">
        <f t="shared" si="144"/>
        <v>918.05000000000007</v>
      </c>
    </row>
    <row r="1830" spans="1:19" x14ac:dyDescent="0.3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str">
        <f>IFERROR(VLOOKUP('Customer Info'!A1822,'Customer Info'!A1822:C2321,2,FALSE),"Not Found")</f>
        <v>Not Found</v>
      </c>
      <c r="H1830" s="6" t="str">
        <f>IFERROR(VLOOKUP('Customer Info'!A1822,'Customer Info'!A1822:C2321,3,FALSE),"Not Found")</f>
        <v>Not Found</v>
      </c>
      <c r="I1830" s="6" t="str">
        <f>IFERROR(VLOOKUP('Customer Info'!A1822,'Customer Info'!A1822:E2321,5,FALSE),"Not Found")</f>
        <v>Not Found</v>
      </c>
      <c r="J1830" s="2">
        <v>1605</v>
      </c>
      <c r="K1830" s="2">
        <v>1530</v>
      </c>
      <c r="L1830" s="2">
        <v>5</v>
      </c>
      <c r="M1830" s="7">
        <f t="shared" si="140"/>
        <v>7650</v>
      </c>
      <c r="N1830" s="7">
        <f t="shared" si="141"/>
        <v>8025</v>
      </c>
      <c r="O1830" s="2">
        <v>98</v>
      </c>
      <c r="P1830" s="8">
        <f t="shared" si="142"/>
        <v>8123</v>
      </c>
      <c r="Q1830" s="8">
        <f t="shared" si="143"/>
        <v>6495</v>
      </c>
      <c r="R1830" s="2" t="s">
        <v>28</v>
      </c>
      <c r="S1830" s="9">
        <f t="shared" si="144"/>
        <v>406.15000000000003</v>
      </c>
    </row>
    <row r="1831" spans="1:19" x14ac:dyDescent="0.3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str">
        <f>IFERROR(VLOOKUP('Customer Info'!A1823,'Customer Info'!A1823:C2322,2,FALSE),"Not Found")</f>
        <v>Not Found</v>
      </c>
      <c r="H1831" s="6" t="str">
        <f>IFERROR(VLOOKUP('Customer Info'!A1823,'Customer Info'!A1823:C2322,3,FALSE),"Not Found")</f>
        <v>Not Found</v>
      </c>
      <c r="I1831" s="6" t="str">
        <f>IFERROR(VLOOKUP('Customer Info'!A1823,'Customer Info'!A1823:E2322,5,FALSE),"Not Found")</f>
        <v>Not Found</v>
      </c>
      <c r="J1831" s="2">
        <v>674</v>
      </c>
      <c r="K1831" s="2">
        <v>629</v>
      </c>
      <c r="L1831" s="2">
        <v>4</v>
      </c>
      <c r="M1831" s="7">
        <f t="shared" si="140"/>
        <v>2516</v>
      </c>
      <c r="N1831" s="7">
        <f t="shared" si="141"/>
        <v>2696</v>
      </c>
      <c r="O1831" s="2">
        <v>56</v>
      </c>
      <c r="P1831" s="8">
        <f t="shared" si="142"/>
        <v>2752</v>
      </c>
      <c r="Q1831" s="8">
        <f t="shared" si="143"/>
        <v>2067</v>
      </c>
      <c r="R1831" s="2" t="s">
        <v>28</v>
      </c>
      <c r="S1831" s="9">
        <f t="shared" si="144"/>
        <v>55.04</v>
      </c>
    </row>
    <row r="1832" spans="1:19" x14ac:dyDescent="0.3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str">
        <f>IFERROR(VLOOKUP('Customer Info'!A1824,'Customer Info'!A1824:C2323,2,FALSE),"Not Found")</f>
        <v>Not Found</v>
      </c>
      <c r="H1832" s="6" t="str">
        <f>IFERROR(VLOOKUP('Customer Info'!A1824,'Customer Info'!A1824:C2323,3,FALSE),"Not Found")</f>
        <v>Not Found</v>
      </c>
      <c r="I1832" s="6" t="str">
        <f>IFERROR(VLOOKUP('Customer Info'!A1824,'Customer Info'!A1824:E2323,5,FALSE),"Not Found")</f>
        <v>Not Found</v>
      </c>
      <c r="J1832" s="2">
        <v>743</v>
      </c>
      <c r="K1832" s="2">
        <v>694</v>
      </c>
      <c r="L1832" s="2">
        <v>1</v>
      </c>
      <c r="M1832" s="7">
        <f t="shared" si="140"/>
        <v>694</v>
      </c>
      <c r="N1832" s="7">
        <f t="shared" si="141"/>
        <v>743</v>
      </c>
      <c r="O1832" s="2">
        <v>32</v>
      </c>
      <c r="P1832" s="8">
        <f t="shared" si="142"/>
        <v>775</v>
      </c>
      <c r="Q1832" s="8">
        <f t="shared" si="143"/>
        <v>49</v>
      </c>
      <c r="R1832" s="2" t="s">
        <v>26</v>
      </c>
      <c r="S1832" s="9">
        <f t="shared" si="144"/>
        <v>15.5</v>
      </c>
    </row>
    <row r="1833" spans="1:19" x14ac:dyDescent="0.3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str">
        <f>IFERROR(VLOOKUP('Customer Info'!A1825,'Customer Info'!A1825:C2324,2,FALSE),"Not Found")</f>
        <v>Not Found</v>
      </c>
      <c r="H1833" s="6" t="str">
        <f>IFERROR(VLOOKUP('Customer Info'!A1825,'Customer Info'!A1825:C2324,3,FALSE),"Not Found")</f>
        <v>Not Found</v>
      </c>
      <c r="I1833" s="6" t="str">
        <f>IFERROR(VLOOKUP('Customer Info'!A1825,'Customer Info'!A1825:E2324,5,FALSE),"Not Found")</f>
        <v>Not Found</v>
      </c>
      <c r="J1833" s="2">
        <v>60</v>
      </c>
      <c r="K1833" s="2">
        <v>57</v>
      </c>
      <c r="L1833" s="2">
        <v>2</v>
      </c>
      <c r="M1833" s="7">
        <f t="shared" si="140"/>
        <v>114</v>
      </c>
      <c r="N1833" s="7">
        <f t="shared" si="141"/>
        <v>120</v>
      </c>
      <c r="O1833" s="2">
        <v>10</v>
      </c>
      <c r="P1833" s="8">
        <f t="shared" si="142"/>
        <v>130</v>
      </c>
      <c r="Q1833" s="8">
        <f t="shared" si="143"/>
        <v>63</v>
      </c>
      <c r="R1833" s="2" t="s">
        <v>56</v>
      </c>
      <c r="S1833" s="9">
        <f t="shared" si="144"/>
        <v>2.6</v>
      </c>
    </row>
    <row r="1834" spans="1:19" x14ac:dyDescent="0.3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str">
        <f>IFERROR(VLOOKUP('Customer Info'!A1826,'Customer Info'!A1826:C2325,2,FALSE),"Not Found")</f>
        <v>Not Found</v>
      </c>
      <c r="H1834" s="6" t="str">
        <f>IFERROR(VLOOKUP('Customer Info'!A1826,'Customer Info'!A1826:C2325,3,FALSE),"Not Found")</f>
        <v>Not Found</v>
      </c>
      <c r="I1834" s="6" t="str">
        <f>IFERROR(VLOOKUP('Customer Info'!A1826,'Customer Info'!A1826:E2325,5,FALSE),"Not Found")</f>
        <v>Not Found</v>
      </c>
      <c r="J1834" s="2">
        <v>175</v>
      </c>
      <c r="K1834" s="2">
        <v>162</v>
      </c>
      <c r="L1834" s="2">
        <v>4</v>
      </c>
      <c r="M1834" s="7">
        <f t="shared" si="140"/>
        <v>648</v>
      </c>
      <c r="N1834" s="7">
        <f t="shared" si="141"/>
        <v>700</v>
      </c>
      <c r="O1834" s="2">
        <v>30</v>
      </c>
      <c r="P1834" s="8">
        <f t="shared" si="142"/>
        <v>730</v>
      </c>
      <c r="Q1834" s="8">
        <f t="shared" si="143"/>
        <v>538</v>
      </c>
      <c r="R1834" s="2" t="s">
        <v>50</v>
      </c>
      <c r="S1834" s="9">
        <f t="shared" si="144"/>
        <v>14.6</v>
      </c>
    </row>
    <row r="1835" spans="1:19" x14ac:dyDescent="0.3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str">
        <f>IFERROR(VLOOKUP('Customer Info'!A1827,'Customer Info'!A1827:C2326,2,FALSE),"Not Found")</f>
        <v>Not Found</v>
      </c>
      <c r="H1835" s="6" t="str">
        <f>IFERROR(VLOOKUP('Customer Info'!A1827,'Customer Info'!A1827:C2326,3,FALSE),"Not Found")</f>
        <v>Not Found</v>
      </c>
      <c r="I1835" s="6" t="str">
        <f>IFERROR(VLOOKUP('Customer Info'!A1827,'Customer Info'!A1827:E2326,5,FALSE),"Not Found")</f>
        <v>Not Found</v>
      </c>
      <c r="J1835" s="2">
        <v>214</v>
      </c>
      <c r="K1835" s="2">
        <v>200</v>
      </c>
      <c r="L1835" s="2">
        <v>1</v>
      </c>
      <c r="M1835" s="7">
        <f t="shared" si="140"/>
        <v>200</v>
      </c>
      <c r="N1835" s="7">
        <f t="shared" si="141"/>
        <v>214</v>
      </c>
      <c r="O1835" s="2">
        <v>88</v>
      </c>
      <c r="P1835" s="8">
        <f t="shared" si="142"/>
        <v>302</v>
      </c>
      <c r="Q1835" s="8">
        <f t="shared" si="143"/>
        <v>14</v>
      </c>
      <c r="R1835" s="2" t="s">
        <v>28</v>
      </c>
      <c r="S1835" s="9">
        <f t="shared" si="144"/>
        <v>6.04</v>
      </c>
    </row>
    <row r="1836" spans="1:19" x14ac:dyDescent="0.3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str">
        <f>IFERROR(VLOOKUP('Customer Info'!A1828,'Customer Info'!A1828:C2327,2,FALSE),"Not Found")</f>
        <v>Not Found</v>
      </c>
      <c r="H1836" s="6" t="str">
        <f>IFERROR(VLOOKUP('Customer Info'!A1828,'Customer Info'!A1828:C2327,3,FALSE),"Not Found")</f>
        <v>Not Found</v>
      </c>
      <c r="I1836" s="6" t="str">
        <f>IFERROR(VLOOKUP('Customer Info'!A1828,'Customer Info'!A1828:E2327,5,FALSE),"Not Found")</f>
        <v>Not Found</v>
      </c>
      <c r="J1836" s="2">
        <v>3256</v>
      </c>
      <c r="K1836" s="2">
        <v>3044</v>
      </c>
      <c r="L1836" s="2">
        <v>3</v>
      </c>
      <c r="M1836" s="7">
        <f t="shared" si="140"/>
        <v>9132</v>
      </c>
      <c r="N1836" s="7">
        <f t="shared" si="141"/>
        <v>9768</v>
      </c>
      <c r="O1836" s="2">
        <v>34</v>
      </c>
      <c r="P1836" s="8">
        <f t="shared" si="142"/>
        <v>9802</v>
      </c>
      <c r="Q1836" s="8">
        <f t="shared" si="143"/>
        <v>6724</v>
      </c>
      <c r="R1836" s="2" t="s">
        <v>50</v>
      </c>
      <c r="S1836" s="9">
        <f t="shared" si="144"/>
        <v>490.1</v>
      </c>
    </row>
    <row r="1837" spans="1:19" x14ac:dyDescent="0.3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str">
        <f>IFERROR(VLOOKUP('Customer Info'!A1829,'Customer Info'!A1829:C2328,2,FALSE),"Not Found")</f>
        <v>Not Found</v>
      </c>
      <c r="H1837" s="6" t="str">
        <f>IFERROR(VLOOKUP('Customer Info'!A1829,'Customer Info'!A1829:C2328,3,FALSE),"Not Found")</f>
        <v>Not Found</v>
      </c>
      <c r="I1837" s="6" t="str">
        <f>IFERROR(VLOOKUP('Customer Info'!A1829,'Customer Info'!A1829:E2328,5,FALSE),"Not Found")</f>
        <v>Not Found</v>
      </c>
      <c r="J1837" s="2">
        <v>691</v>
      </c>
      <c r="K1837" s="2">
        <v>627</v>
      </c>
      <c r="L1837" s="2">
        <v>5</v>
      </c>
      <c r="M1837" s="7">
        <f t="shared" si="140"/>
        <v>3135</v>
      </c>
      <c r="N1837" s="7">
        <f t="shared" si="141"/>
        <v>3455</v>
      </c>
      <c r="O1837" s="2">
        <v>33</v>
      </c>
      <c r="P1837" s="8">
        <f t="shared" si="142"/>
        <v>3488</v>
      </c>
      <c r="Q1837" s="8">
        <f t="shared" si="143"/>
        <v>2828</v>
      </c>
      <c r="R1837" s="2" t="s">
        <v>50</v>
      </c>
      <c r="S1837" s="9">
        <f t="shared" si="144"/>
        <v>69.760000000000005</v>
      </c>
    </row>
    <row r="1838" spans="1:19" x14ac:dyDescent="0.3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str">
        <f>IFERROR(VLOOKUP('Customer Info'!A1830,'Customer Info'!A1830:C2329,2,FALSE),"Not Found")</f>
        <v>Not Found</v>
      </c>
      <c r="H1838" s="6" t="str">
        <f>IFERROR(VLOOKUP('Customer Info'!A1830,'Customer Info'!A1830:C2329,3,FALSE),"Not Found")</f>
        <v>Not Found</v>
      </c>
      <c r="I1838" s="6" t="str">
        <f>IFERROR(VLOOKUP('Customer Info'!A1830,'Customer Info'!A1830:E2329,5,FALSE),"Not Found")</f>
        <v>Not Found</v>
      </c>
      <c r="J1838" s="2">
        <v>36778</v>
      </c>
      <c r="K1838" s="2">
        <v>34709</v>
      </c>
      <c r="L1838" s="2">
        <v>7</v>
      </c>
      <c r="M1838" s="7">
        <f t="shared" si="140"/>
        <v>242963</v>
      </c>
      <c r="N1838" s="7">
        <f t="shared" si="141"/>
        <v>257446</v>
      </c>
      <c r="O1838" s="2">
        <v>73</v>
      </c>
      <c r="P1838" s="8">
        <f t="shared" si="142"/>
        <v>257519</v>
      </c>
      <c r="Q1838" s="8">
        <f t="shared" si="143"/>
        <v>222737</v>
      </c>
      <c r="R1838" s="2" t="s">
        <v>28</v>
      </c>
      <c r="S1838" s="9">
        <f t="shared" si="144"/>
        <v>30902.28</v>
      </c>
    </row>
    <row r="1839" spans="1:19" x14ac:dyDescent="0.3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str">
        <f>IFERROR(VLOOKUP('Customer Info'!A1831,'Customer Info'!A1831:C2330,2,FALSE),"Not Found")</f>
        <v>Not Found</v>
      </c>
      <c r="H1839" s="6" t="str">
        <f>IFERROR(VLOOKUP('Customer Info'!A1831,'Customer Info'!A1831:C2330,3,FALSE),"Not Found")</f>
        <v>Not Found</v>
      </c>
      <c r="I1839" s="6" t="str">
        <f>IFERROR(VLOOKUP('Customer Info'!A1831,'Customer Info'!A1831:E2330,5,FALSE),"Not Found")</f>
        <v>Not Found</v>
      </c>
      <c r="J1839" s="2">
        <v>59</v>
      </c>
      <c r="K1839" s="2">
        <v>55</v>
      </c>
      <c r="L1839" s="2">
        <v>5</v>
      </c>
      <c r="M1839" s="7">
        <f t="shared" si="140"/>
        <v>275</v>
      </c>
      <c r="N1839" s="7">
        <f t="shared" si="141"/>
        <v>295</v>
      </c>
      <c r="O1839" s="2">
        <v>10</v>
      </c>
      <c r="P1839" s="8">
        <f t="shared" si="142"/>
        <v>305</v>
      </c>
      <c r="Q1839" s="8">
        <f t="shared" si="143"/>
        <v>240</v>
      </c>
      <c r="R1839" s="2" t="s">
        <v>28</v>
      </c>
      <c r="S1839" s="9">
        <f t="shared" si="144"/>
        <v>6.1000000000000005</v>
      </c>
    </row>
    <row r="1840" spans="1:19" x14ac:dyDescent="0.3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str">
        <f>IFERROR(VLOOKUP('Customer Info'!A1832,'Customer Info'!A1832:C2331,2,FALSE),"Not Found")</f>
        <v>Not Found</v>
      </c>
      <c r="H1840" s="6" t="str">
        <f>IFERROR(VLOOKUP('Customer Info'!A1832,'Customer Info'!A1832:C2331,3,FALSE),"Not Found")</f>
        <v>Not Found</v>
      </c>
      <c r="I1840" s="6" t="str">
        <f>IFERROR(VLOOKUP('Customer Info'!A1832,'Customer Info'!A1832:E2331,5,FALSE),"Not Found")</f>
        <v>Not Found</v>
      </c>
      <c r="J1840" s="2">
        <v>2951</v>
      </c>
      <c r="K1840" s="2">
        <v>2786</v>
      </c>
      <c r="L1840" s="2">
        <v>5</v>
      </c>
      <c r="M1840" s="7">
        <f t="shared" si="140"/>
        <v>13930</v>
      </c>
      <c r="N1840" s="7">
        <f t="shared" si="141"/>
        <v>14755</v>
      </c>
      <c r="O1840" s="2">
        <v>88</v>
      </c>
      <c r="P1840" s="8">
        <f t="shared" si="142"/>
        <v>14843</v>
      </c>
      <c r="Q1840" s="8">
        <f t="shared" si="143"/>
        <v>11969</v>
      </c>
      <c r="R1840" s="2" t="s">
        <v>28</v>
      </c>
      <c r="S1840" s="9">
        <f t="shared" si="144"/>
        <v>742.15000000000009</v>
      </c>
    </row>
    <row r="1841" spans="1:19" x14ac:dyDescent="0.3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str">
        <f>IFERROR(VLOOKUP('Customer Info'!A1833,'Customer Info'!A1833:C2332,2,FALSE),"Not Found")</f>
        <v>Not Found</v>
      </c>
      <c r="H1841" s="6" t="str">
        <f>IFERROR(VLOOKUP('Customer Info'!A1833,'Customer Info'!A1833:C2332,3,FALSE),"Not Found")</f>
        <v>Not Found</v>
      </c>
      <c r="I1841" s="6" t="str">
        <f>IFERROR(VLOOKUP('Customer Info'!A1833,'Customer Info'!A1833:E2332,5,FALSE),"Not Found")</f>
        <v>Not Found</v>
      </c>
      <c r="J1841" s="2">
        <v>4443</v>
      </c>
      <c r="K1841" s="2">
        <v>4079</v>
      </c>
      <c r="L1841" s="2">
        <v>1</v>
      </c>
      <c r="M1841" s="7">
        <f t="shared" si="140"/>
        <v>4079</v>
      </c>
      <c r="N1841" s="7">
        <f t="shared" si="141"/>
        <v>4443</v>
      </c>
      <c r="O1841" s="2">
        <v>37</v>
      </c>
      <c r="P1841" s="8">
        <f t="shared" si="142"/>
        <v>4480</v>
      </c>
      <c r="Q1841" s="8">
        <f t="shared" si="143"/>
        <v>364</v>
      </c>
      <c r="R1841" s="2" t="s">
        <v>28</v>
      </c>
      <c r="S1841" s="9">
        <f t="shared" si="144"/>
        <v>89.600000000000009</v>
      </c>
    </row>
    <row r="1842" spans="1:19" x14ac:dyDescent="0.3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str">
        <f>IFERROR(VLOOKUP('Customer Info'!A1834,'Customer Info'!A1834:C2333,2,FALSE),"Not Found")</f>
        <v>Not Found</v>
      </c>
      <c r="H1842" s="6" t="str">
        <f>IFERROR(VLOOKUP('Customer Info'!A1834,'Customer Info'!A1834:C2333,3,FALSE),"Not Found")</f>
        <v>Not Found</v>
      </c>
      <c r="I1842" s="6" t="str">
        <f>IFERROR(VLOOKUP('Customer Info'!A1834,'Customer Info'!A1834:E2333,5,FALSE),"Not Found")</f>
        <v>Not Found</v>
      </c>
      <c r="J1842" s="2">
        <v>2787</v>
      </c>
      <c r="K1842" s="2">
        <v>2681</v>
      </c>
      <c r="L1842" s="2">
        <v>1</v>
      </c>
      <c r="M1842" s="7">
        <f t="shared" si="140"/>
        <v>2681</v>
      </c>
      <c r="N1842" s="7">
        <f t="shared" si="141"/>
        <v>2787</v>
      </c>
      <c r="O1842" s="2">
        <v>53</v>
      </c>
      <c r="P1842" s="8">
        <f t="shared" si="142"/>
        <v>2840</v>
      </c>
      <c r="Q1842" s="8">
        <f t="shared" si="143"/>
        <v>106</v>
      </c>
      <c r="R1842" s="2" t="s">
        <v>28</v>
      </c>
      <c r="S1842" s="9">
        <f t="shared" si="144"/>
        <v>56.800000000000004</v>
      </c>
    </row>
    <row r="1843" spans="1:19" x14ac:dyDescent="0.3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str">
        <f>IFERROR(VLOOKUP('Customer Info'!A1835,'Customer Info'!A1835:C2334,2,FALSE),"Not Found")</f>
        <v>Not Found</v>
      </c>
      <c r="H1843" s="6" t="str">
        <f>IFERROR(VLOOKUP('Customer Info'!A1835,'Customer Info'!A1835:C2334,3,FALSE),"Not Found")</f>
        <v>Not Found</v>
      </c>
      <c r="I1843" s="6" t="str">
        <f>IFERROR(VLOOKUP('Customer Info'!A1835,'Customer Info'!A1835:E2334,5,FALSE),"Not Found")</f>
        <v>Not Found</v>
      </c>
      <c r="J1843" s="2">
        <v>224</v>
      </c>
      <c r="K1843" s="2">
        <v>210</v>
      </c>
      <c r="L1843" s="2">
        <v>2</v>
      </c>
      <c r="M1843" s="7">
        <f t="shared" si="140"/>
        <v>420</v>
      </c>
      <c r="N1843" s="7">
        <f t="shared" si="141"/>
        <v>448</v>
      </c>
      <c r="O1843" s="2">
        <v>37</v>
      </c>
      <c r="P1843" s="8">
        <f t="shared" si="142"/>
        <v>485</v>
      </c>
      <c r="Q1843" s="8">
        <f t="shared" si="143"/>
        <v>238</v>
      </c>
      <c r="R1843" s="2" t="s">
        <v>50</v>
      </c>
      <c r="S1843" s="9">
        <f t="shared" si="144"/>
        <v>9.7000000000000011</v>
      </c>
    </row>
    <row r="1844" spans="1:19" x14ac:dyDescent="0.3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str">
        <f>IFERROR(VLOOKUP('Customer Info'!A1836,'Customer Info'!A1836:C2335,2,FALSE),"Not Found")</f>
        <v>Not Found</v>
      </c>
      <c r="H1844" s="6" t="str">
        <f>IFERROR(VLOOKUP('Customer Info'!A1836,'Customer Info'!A1836:C2335,3,FALSE),"Not Found")</f>
        <v>Not Found</v>
      </c>
      <c r="I1844" s="6" t="str">
        <f>IFERROR(VLOOKUP('Customer Info'!A1836,'Customer Info'!A1836:E2335,5,FALSE),"Not Found")</f>
        <v>Not Found</v>
      </c>
      <c r="J1844" s="2">
        <v>2503</v>
      </c>
      <c r="K1844" s="2">
        <v>2454</v>
      </c>
      <c r="L1844" s="2">
        <v>1</v>
      </c>
      <c r="M1844" s="7">
        <f t="shared" si="140"/>
        <v>2454</v>
      </c>
      <c r="N1844" s="7">
        <f t="shared" si="141"/>
        <v>2503</v>
      </c>
      <c r="O1844" s="2">
        <v>70</v>
      </c>
      <c r="P1844" s="8">
        <f t="shared" si="142"/>
        <v>2573</v>
      </c>
      <c r="Q1844" s="8">
        <f t="shared" si="143"/>
        <v>49</v>
      </c>
      <c r="R1844" s="2" t="s">
        <v>50</v>
      </c>
      <c r="S1844" s="9">
        <f t="shared" si="144"/>
        <v>51.46</v>
      </c>
    </row>
    <row r="1845" spans="1:19" x14ac:dyDescent="0.3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str">
        <f>IFERROR(VLOOKUP('Customer Info'!A1837,'Customer Info'!A1837:C2336,2,FALSE),"Not Found")</f>
        <v>Not Found</v>
      </c>
      <c r="H1845" s="6" t="str">
        <f>IFERROR(VLOOKUP('Customer Info'!A1837,'Customer Info'!A1837:C2336,3,FALSE),"Not Found")</f>
        <v>Not Found</v>
      </c>
      <c r="I1845" s="6" t="str">
        <f>IFERROR(VLOOKUP('Customer Info'!A1837,'Customer Info'!A1837:E2336,5,FALSE),"Not Found")</f>
        <v>Not Found</v>
      </c>
      <c r="J1845" s="2">
        <v>141</v>
      </c>
      <c r="K1845" s="2">
        <v>131</v>
      </c>
      <c r="L1845" s="2">
        <v>2</v>
      </c>
      <c r="M1845" s="7">
        <f t="shared" si="140"/>
        <v>262</v>
      </c>
      <c r="N1845" s="7">
        <f t="shared" si="141"/>
        <v>282</v>
      </c>
      <c r="O1845" s="2">
        <v>30</v>
      </c>
      <c r="P1845" s="8">
        <f t="shared" si="142"/>
        <v>312</v>
      </c>
      <c r="Q1845" s="8">
        <f t="shared" si="143"/>
        <v>151</v>
      </c>
      <c r="R1845" s="2" t="s">
        <v>26</v>
      </c>
      <c r="S1845" s="9">
        <f t="shared" si="144"/>
        <v>6.24</v>
      </c>
    </row>
    <row r="1846" spans="1:19" x14ac:dyDescent="0.3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str">
        <f>IFERROR(VLOOKUP('Customer Info'!A1838,'Customer Info'!A1838:C2337,2,FALSE),"Not Found")</f>
        <v>Not Found</v>
      </c>
      <c r="H1846" s="6" t="str">
        <f>IFERROR(VLOOKUP('Customer Info'!A1838,'Customer Info'!A1838:C2337,3,FALSE),"Not Found")</f>
        <v>Not Found</v>
      </c>
      <c r="I1846" s="6" t="str">
        <f>IFERROR(VLOOKUP('Customer Info'!A1838,'Customer Info'!A1838:E2337,5,FALSE),"Not Found")</f>
        <v>Not Found</v>
      </c>
      <c r="J1846" s="2">
        <v>1983</v>
      </c>
      <c r="K1846" s="2">
        <v>1908</v>
      </c>
      <c r="L1846" s="2">
        <v>3</v>
      </c>
      <c r="M1846" s="7">
        <f t="shared" si="140"/>
        <v>5724</v>
      </c>
      <c r="N1846" s="7">
        <f t="shared" si="141"/>
        <v>5949</v>
      </c>
      <c r="O1846" s="2">
        <v>50</v>
      </c>
      <c r="P1846" s="8">
        <f t="shared" si="142"/>
        <v>5999</v>
      </c>
      <c r="Q1846" s="8">
        <f t="shared" si="143"/>
        <v>4041</v>
      </c>
      <c r="R1846" s="2" t="s">
        <v>28</v>
      </c>
      <c r="S1846" s="9">
        <f t="shared" si="144"/>
        <v>299.95</v>
      </c>
    </row>
    <row r="1847" spans="1:19" x14ac:dyDescent="0.3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str">
        <f>IFERROR(VLOOKUP('Customer Info'!A1839,'Customer Info'!A1839:C2338,2,FALSE),"Not Found")</f>
        <v>Not Found</v>
      </c>
      <c r="H1847" s="6" t="str">
        <f>IFERROR(VLOOKUP('Customer Info'!A1839,'Customer Info'!A1839:C2338,3,FALSE),"Not Found")</f>
        <v>Not Found</v>
      </c>
      <c r="I1847" s="6" t="str">
        <f>IFERROR(VLOOKUP('Customer Info'!A1839,'Customer Info'!A1839:E2338,5,FALSE),"Not Found")</f>
        <v>Not Found</v>
      </c>
      <c r="J1847" s="2">
        <v>1882</v>
      </c>
      <c r="K1847" s="2">
        <v>1792</v>
      </c>
      <c r="L1847" s="2">
        <v>1</v>
      </c>
      <c r="M1847" s="7">
        <f t="shared" si="140"/>
        <v>1792</v>
      </c>
      <c r="N1847" s="7">
        <f t="shared" si="141"/>
        <v>1882</v>
      </c>
      <c r="O1847" s="2">
        <v>76</v>
      </c>
      <c r="P1847" s="8">
        <f t="shared" si="142"/>
        <v>1958</v>
      </c>
      <c r="Q1847" s="8">
        <f t="shared" si="143"/>
        <v>90</v>
      </c>
      <c r="R1847" s="2" t="s">
        <v>28</v>
      </c>
      <c r="S1847" s="9">
        <f t="shared" si="144"/>
        <v>39.160000000000004</v>
      </c>
    </row>
    <row r="1848" spans="1:19" x14ac:dyDescent="0.3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str">
        <f>IFERROR(VLOOKUP('Customer Info'!A1840,'Customer Info'!A1840:C2339,2,FALSE),"Not Found")</f>
        <v>Not Found</v>
      </c>
      <c r="H1848" s="6" t="str">
        <f>IFERROR(VLOOKUP('Customer Info'!A1840,'Customer Info'!A1840:C2339,3,FALSE),"Not Found")</f>
        <v>Not Found</v>
      </c>
      <c r="I1848" s="6" t="str">
        <f>IFERROR(VLOOKUP('Customer Info'!A1840,'Customer Info'!A1840:E2339,5,FALSE),"Not Found")</f>
        <v>Not Found</v>
      </c>
      <c r="J1848" s="2">
        <v>224</v>
      </c>
      <c r="K1848" s="2">
        <v>210</v>
      </c>
      <c r="L1848" s="2">
        <v>1</v>
      </c>
      <c r="M1848" s="7">
        <f t="shared" si="140"/>
        <v>210</v>
      </c>
      <c r="N1848" s="7">
        <f t="shared" si="141"/>
        <v>224</v>
      </c>
      <c r="O1848" s="2">
        <v>27</v>
      </c>
      <c r="P1848" s="8">
        <f t="shared" si="142"/>
        <v>251</v>
      </c>
      <c r="Q1848" s="8">
        <f t="shared" si="143"/>
        <v>14</v>
      </c>
      <c r="R1848" s="2" t="s">
        <v>28</v>
      </c>
      <c r="S1848" s="9">
        <f t="shared" si="144"/>
        <v>5.0200000000000005</v>
      </c>
    </row>
    <row r="1849" spans="1:19" x14ac:dyDescent="0.3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str">
        <f>IFERROR(VLOOKUP('Customer Info'!A1841,'Customer Info'!A1841:C2340,2,FALSE),"Not Found")</f>
        <v>Not Found</v>
      </c>
      <c r="H1849" s="6" t="str">
        <f>IFERROR(VLOOKUP('Customer Info'!A1841,'Customer Info'!A1841:C2340,3,FALSE),"Not Found")</f>
        <v>Not Found</v>
      </c>
      <c r="I1849" s="6" t="str">
        <f>IFERROR(VLOOKUP('Customer Info'!A1841,'Customer Info'!A1841:E2340,5,FALSE),"Not Found")</f>
        <v>Not Found</v>
      </c>
      <c r="J1849" s="2">
        <v>1441</v>
      </c>
      <c r="K1849" s="2">
        <v>1360</v>
      </c>
      <c r="L1849" s="2">
        <v>2</v>
      </c>
      <c r="M1849" s="7">
        <f t="shared" si="140"/>
        <v>2720</v>
      </c>
      <c r="N1849" s="7">
        <f t="shared" si="141"/>
        <v>2882</v>
      </c>
      <c r="O1849" s="2">
        <v>92</v>
      </c>
      <c r="P1849" s="8">
        <f t="shared" si="142"/>
        <v>2974</v>
      </c>
      <c r="Q1849" s="8">
        <f t="shared" si="143"/>
        <v>1522</v>
      </c>
      <c r="R1849" s="2" t="s">
        <v>50</v>
      </c>
      <c r="S1849" s="9">
        <f t="shared" si="144"/>
        <v>59.480000000000004</v>
      </c>
    </row>
    <row r="1850" spans="1:19" x14ac:dyDescent="0.3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str">
        <f>IFERROR(VLOOKUP('Customer Info'!A1842,'Customer Info'!A1842:C2341,2,FALSE),"Not Found")</f>
        <v>Not Found</v>
      </c>
      <c r="H1850" s="6" t="str">
        <f>IFERROR(VLOOKUP('Customer Info'!A1842,'Customer Info'!A1842:C2341,3,FALSE),"Not Found")</f>
        <v>Not Found</v>
      </c>
      <c r="I1850" s="6" t="str">
        <f>IFERROR(VLOOKUP('Customer Info'!A1842,'Customer Info'!A1842:E2341,5,FALSE),"Not Found")</f>
        <v>Not Found</v>
      </c>
      <c r="J1850" s="2">
        <v>1983</v>
      </c>
      <c r="K1850" s="2">
        <v>1908</v>
      </c>
      <c r="L1850" s="2">
        <v>4</v>
      </c>
      <c r="M1850" s="7">
        <f t="shared" si="140"/>
        <v>7632</v>
      </c>
      <c r="N1850" s="7">
        <f t="shared" si="141"/>
        <v>7932</v>
      </c>
      <c r="O1850" s="2">
        <v>41</v>
      </c>
      <c r="P1850" s="8">
        <f t="shared" si="142"/>
        <v>7973</v>
      </c>
      <c r="Q1850" s="8">
        <f t="shared" si="143"/>
        <v>6024</v>
      </c>
      <c r="R1850" s="2" t="s">
        <v>50</v>
      </c>
      <c r="S1850" s="9">
        <f t="shared" si="144"/>
        <v>398.65000000000003</v>
      </c>
    </row>
    <row r="1851" spans="1:19" x14ac:dyDescent="0.3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str">
        <f>IFERROR(VLOOKUP('Customer Info'!A1843,'Customer Info'!A1843:C2342,2,FALSE),"Not Found")</f>
        <v>Not Found</v>
      </c>
      <c r="H1851" s="6" t="str">
        <f>IFERROR(VLOOKUP('Customer Info'!A1843,'Customer Info'!A1843:C2342,3,FALSE),"Not Found")</f>
        <v>Not Found</v>
      </c>
      <c r="I1851" s="6" t="str">
        <f>IFERROR(VLOOKUP('Customer Info'!A1843,'Customer Info'!A1843:E2342,5,FALSE),"Not Found")</f>
        <v>Not Found</v>
      </c>
      <c r="J1851" s="2">
        <v>2200</v>
      </c>
      <c r="K1851" s="2">
        <v>2020</v>
      </c>
      <c r="L1851" s="2">
        <v>2</v>
      </c>
      <c r="M1851" s="7">
        <f t="shared" si="140"/>
        <v>4040</v>
      </c>
      <c r="N1851" s="7">
        <f t="shared" si="141"/>
        <v>4400</v>
      </c>
      <c r="O1851" s="2">
        <v>67</v>
      </c>
      <c r="P1851" s="8">
        <f t="shared" si="142"/>
        <v>4467</v>
      </c>
      <c r="Q1851" s="8">
        <f t="shared" si="143"/>
        <v>2380</v>
      </c>
      <c r="R1851" s="2" t="s">
        <v>28</v>
      </c>
      <c r="S1851" s="9">
        <f t="shared" si="144"/>
        <v>89.34</v>
      </c>
    </row>
    <row r="1852" spans="1:19" x14ac:dyDescent="0.3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str">
        <f>IFERROR(VLOOKUP('Customer Info'!A1844,'Customer Info'!A1844:C2343,2,FALSE),"Not Found")</f>
        <v>Not Found</v>
      </c>
      <c r="H1852" s="6" t="str">
        <f>IFERROR(VLOOKUP('Customer Info'!A1844,'Customer Info'!A1844:C2343,3,FALSE),"Not Found")</f>
        <v>Not Found</v>
      </c>
      <c r="I1852" s="6" t="str">
        <f>IFERROR(VLOOKUP('Customer Info'!A1844,'Customer Info'!A1844:E2343,5,FALSE),"Not Found")</f>
        <v>Not Found</v>
      </c>
      <c r="J1852" s="2">
        <v>1222</v>
      </c>
      <c r="K1852" s="2">
        <v>1187</v>
      </c>
      <c r="L1852" s="2">
        <v>2</v>
      </c>
      <c r="M1852" s="7">
        <f t="shared" si="140"/>
        <v>2374</v>
      </c>
      <c r="N1852" s="7">
        <f t="shared" si="141"/>
        <v>2444</v>
      </c>
      <c r="O1852" s="2">
        <v>20</v>
      </c>
      <c r="P1852" s="8">
        <f t="shared" si="142"/>
        <v>2464</v>
      </c>
      <c r="Q1852" s="8">
        <f t="shared" si="143"/>
        <v>1257</v>
      </c>
      <c r="R1852" s="2" t="s">
        <v>28</v>
      </c>
      <c r="S1852" s="9">
        <f t="shared" si="144"/>
        <v>49.28</v>
      </c>
    </row>
    <row r="1853" spans="1:19" x14ac:dyDescent="0.3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str">
        <f>IFERROR(VLOOKUP('Customer Info'!A1845,'Customer Info'!A1845:C2344,2,FALSE),"Not Found")</f>
        <v>Not Found</v>
      </c>
      <c r="H1853" s="6" t="str">
        <f>IFERROR(VLOOKUP('Customer Info'!A1845,'Customer Info'!A1845:C2344,3,FALSE),"Not Found")</f>
        <v>Not Found</v>
      </c>
      <c r="I1853" s="6" t="str">
        <f>IFERROR(VLOOKUP('Customer Info'!A1845,'Customer Info'!A1845:E2344,5,FALSE),"Not Found")</f>
        <v>Not Found</v>
      </c>
      <c r="J1853" s="2">
        <v>2205</v>
      </c>
      <c r="K1853" s="2">
        <v>2061</v>
      </c>
      <c r="L1853" s="2">
        <v>4</v>
      </c>
      <c r="M1853" s="7">
        <f t="shared" si="140"/>
        <v>8244</v>
      </c>
      <c r="N1853" s="7">
        <f t="shared" si="141"/>
        <v>8820</v>
      </c>
      <c r="O1853" s="2">
        <v>85</v>
      </c>
      <c r="P1853" s="8">
        <f t="shared" si="142"/>
        <v>8905</v>
      </c>
      <c r="Q1853" s="8">
        <f t="shared" si="143"/>
        <v>6759</v>
      </c>
      <c r="R1853" s="2" t="s">
        <v>50</v>
      </c>
      <c r="S1853" s="9">
        <f t="shared" si="144"/>
        <v>445.25</v>
      </c>
    </row>
    <row r="1854" spans="1:19" x14ac:dyDescent="0.3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str">
        <f>IFERROR(VLOOKUP('Customer Info'!A1846,'Customer Info'!A1846:C2345,2,FALSE),"Not Found")</f>
        <v>Not Found</v>
      </c>
      <c r="H1854" s="6" t="str">
        <f>IFERROR(VLOOKUP('Customer Info'!A1846,'Customer Info'!A1846:C2345,3,FALSE),"Not Found")</f>
        <v>Not Found</v>
      </c>
      <c r="I1854" s="6" t="str">
        <f>IFERROR(VLOOKUP('Customer Info'!A1846,'Customer Info'!A1846:E2345,5,FALSE),"Not Found")</f>
        <v>Not Found</v>
      </c>
      <c r="J1854" s="2">
        <v>6012</v>
      </c>
      <c r="K1854" s="2">
        <v>5677</v>
      </c>
      <c r="L1854" s="2">
        <v>3</v>
      </c>
      <c r="M1854" s="7">
        <f t="shared" si="140"/>
        <v>17031</v>
      </c>
      <c r="N1854" s="7">
        <f t="shared" si="141"/>
        <v>18036</v>
      </c>
      <c r="O1854" s="2">
        <v>32</v>
      </c>
      <c r="P1854" s="8">
        <f t="shared" si="142"/>
        <v>18068</v>
      </c>
      <c r="Q1854" s="8">
        <f t="shared" si="143"/>
        <v>12359</v>
      </c>
      <c r="R1854" s="2" t="s">
        <v>28</v>
      </c>
      <c r="S1854" s="9">
        <f t="shared" si="144"/>
        <v>903.40000000000009</v>
      </c>
    </row>
    <row r="1855" spans="1:19" x14ac:dyDescent="0.3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str">
        <f>IFERROR(VLOOKUP('Customer Info'!A1847,'Customer Info'!A1847:C2346,2,FALSE),"Not Found")</f>
        <v>Not Found</v>
      </c>
      <c r="H1855" s="6" t="str">
        <f>IFERROR(VLOOKUP('Customer Info'!A1847,'Customer Info'!A1847:C2346,3,FALSE),"Not Found")</f>
        <v>Not Found</v>
      </c>
      <c r="I1855" s="6" t="str">
        <f>IFERROR(VLOOKUP('Customer Info'!A1847,'Customer Info'!A1847:E2346,5,FALSE),"Not Found")</f>
        <v>Not Found</v>
      </c>
      <c r="J1855" s="2">
        <v>4577</v>
      </c>
      <c r="K1855" s="2">
        <v>4280</v>
      </c>
      <c r="L1855" s="2">
        <v>2</v>
      </c>
      <c r="M1855" s="7">
        <f t="shared" si="140"/>
        <v>8560</v>
      </c>
      <c r="N1855" s="7">
        <f t="shared" si="141"/>
        <v>9154</v>
      </c>
      <c r="O1855" s="2">
        <v>99</v>
      </c>
      <c r="P1855" s="8">
        <f t="shared" si="142"/>
        <v>9253</v>
      </c>
      <c r="Q1855" s="8">
        <f t="shared" si="143"/>
        <v>4874</v>
      </c>
      <c r="R1855" s="2" t="s">
        <v>28</v>
      </c>
      <c r="S1855" s="9">
        <f t="shared" si="144"/>
        <v>462.65000000000003</v>
      </c>
    </row>
    <row r="1856" spans="1:19" x14ac:dyDescent="0.3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str">
        <f>IFERROR(VLOOKUP('Customer Info'!A1848,'Customer Info'!A1848:C2347,2,FALSE),"Not Found")</f>
        <v>Not Found</v>
      </c>
      <c r="H1856" s="6" t="str">
        <f>IFERROR(VLOOKUP('Customer Info'!A1848,'Customer Info'!A1848:C2347,3,FALSE),"Not Found")</f>
        <v>Not Found</v>
      </c>
      <c r="I1856" s="6" t="str">
        <f>IFERROR(VLOOKUP('Customer Info'!A1848,'Customer Info'!A1848:E2347,5,FALSE),"Not Found")</f>
        <v>Not Found</v>
      </c>
      <c r="J1856" s="2">
        <v>101</v>
      </c>
      <c r="K1856" s="2">
        <v>98</v>
      </c>
      <c r="L1856" s="2">
        <v>2</v>
      </c>
      <c r="M1856" s="7">
        <f t="shared" si="140"/>
        <v>196</v>
      </c>
      <c r="N1856" s="7">
        <f t="shared" si="141"/>
        <v>202</v>
      </c>
      <c r="O1856" s="2">
        <v>10</v>
      </c>
      <c r="P1856" s="8">
        <f t="shared" si="142"/>
        <v>212</v>
      </c>
      <c r="Q1856" s="8">
        <f t="shared" si="143"/>
        <v>104</v>
      </c>
      <c r="R1856" s="2" t="s">
        <v>28</v>
      </c>
      <c r="S1856" s="9">
        <f t="shared" si="144"/>
        <v>4.24</v>
      </c>
    </row>
    <row r="1857" spans="1:19" x14ac:dyDescent="0.3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str">
        <f>IFERROR(VLOOKUP('Customer Info'!A1849,'Customer Info'!A1849:C2348,2,FALSE),"Not Found")</f>
        <v>Not Found</v>
      </c>
      <c r="H1857" s="6" t="str">
        <f>IFERROR(VLOOKUP('Customer Info'!A1849,'Customer Info'!A1849:C2348,3,FALSE),"Not Found")</f>
        <v>Not Found</v>
      </c>
      <c r="I1857" s="6" t="str">
        <f>IFERROR(VLOOKUP('Customer Info'!A1849,'Customer Info'!A1849:E2348,5,FALSE),"Not Found")</f>
        <v>Not Found</v>
      </c>
      <c r="J1857" s="2">
        <v>5882</v>
      </c>
      <c r="K1857" s="2">
        <v>5713</v>
      </c>
      <c r="L1857" s="2">
        <v>1</v>
      </c>
      <c r="M1857" s="7">
        <f t="shared" si="140"/>
        <v>5713</v>
      </c>
      <c r="N1857" s="7">
        <f t="shared" si="141"/>
        <v>5882</v>
      </c>
      <c r="O1857" s="2">
        <v>97</v>
      </c>
      <c r="P1857" s="8">
        <f t="shared" si="142"/>
        <v>5979</v>
      </c>
      <c r="Q1857" s="8">
        <f t="shared" si="143"/>
        <v>169</v>
      </c>
      <c r="R1857" s="2" t="s">
        <v>28</v>
      </c>
      <c r="S1857" s="9">
        <f t="shared" si="144"/>
        <v>298.95</v>
      </c>
    </row>
    <row r="1858" spans="1:19" x14ac:dyDescent="0.3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str">
        <f>IFERROR(VLOOKUP('Customer Info'!A1850,'Customer Info'!A1850:C2349,2,FALSE),"Not Found")</f>
        <v>Not Found</v>
      </c>
      <c r="H1858" s="6" t="str">
        <f>IFERROR(VLOOKUP('Customer Info'!A1850,'Customer Info'!A1850:C2349,3,FALSE),"Not Found")</f>
        <v>Not Found</v>
      </c>
      <c r="I1858" s="6" t="str">
        <f>IFERROR(VLOOKUP('Customer Info'!A1850,'Customer Info'!A1850:E2349,5,FALSE),"Not Found")</f>
        <v>Not Found</v>
      </c>
      <c r="J1858" s="2">
        <v>1623</v>
      </c>
      <c r="K1858" s="2">
        <v>1546</v>
      </c>
      <c r="L1858" s="2">
        <v>7</v>
      </c>
      <c r="M1858" s="7">
        <f t="shared" si="140"/>
        <v>10822</v>
      </c>
      <c r="N1858" s="7">
        <f t="shared" si="141"/>
        <v>11361</v>
      </c>
      <c r="O1858" s="2">
        <v>88</v>
      </c>
      <c r="P1858" s="8">
        <f t="shared" si="142"/>
        <v>11449</v>
      </c>
      <c r="Q1858" s="8">
        <f t="shared" si="143"/>
        <v>9815</v>
      </c>
      <c r="R1858" s="2" t="s">
        <v>28</v>
      </c>
      <c r="S1858" s="9">
        <f t="shared" si="144"/>
        <v>572.45000000000005</v>
      </c>
    </row>
    <row r="1859" spans="1:19" x14ac:dyDescent="0.3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str">
        <f>IFERROR(VLOOKUP('Customer Info'!A1851,'Customer Info'!A1851:C2350,2,FALSE),"Not Found")</f>
        <v>Not Found</v>
      </c>
      <c r="H1859" s="6" t="str">
        <f>IFERROR(VLOOKUP('Customer Info'!A1851,'Customer Info'!A1851:C2350,3,FALSE),"Not Found")</f>
        <v>Not Found</v>
      </c>
      <c r="I1859" s="6" t="str">
        <f>IFERROR(VLOOKUP('Customer Info'!A1851,'Customer Info'!A1851:E2350,5,FALSE),"Not Found")</f>
        <v>Not Found</v>
      </c>
      <c r="J1859" s="2">
        <v>173</v>
      </c>
      <c r="K1859" s="2">
        <v>155</v>
      </c>
      <c r="L1859" s="2">
        <v>1</v>
      </c>
      <c r="M1859" s="7">
        <f t="shared" si="140"/>
        <v>155</v>
      </c>
      <c r="N1859" s="7">
        <f t="shared" si="141"/>
        <v>173</v>
      </c>
      <c r="O1859" s="2">
        <v>30</v>
      </c>
      <c r="P1859" s="8">
        <f t="shared" si="142"/>
        <v>203</v>
      </c>
      <c r="Q1859" s="8">
        <f t="shared" si="143"/>
        <v>18</v>
      </c>
      <c r="R1859" s="2" t="s">
        <v>28</v>
      </c>
      <c r="S1859" s="9">
        <f t="shared" si="144"/>
        <v>4.0600000000000005</v>
      </c>
    </row>
    <row r="1860" spans="1:19" x14ac:dyDescent="0.3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str">
        <f>IFERROR(VLOOKUP('Customer Info'!A1852,'Customer Info'!A1852:C2351,2,FALSE),"Not Found")</f>
        <v>Not Found</v>
      </c>
      <c r="H1860" s="6" t="str">
        <f>IFERROR(VLOOKUP('Customer Info'!A1852,'Customer Info'!A1852:C2351,3,FALSE),"Not Found")</f>
        <v>Not Found</v>
      </c>
      <c r="I1860" s="6" t="str">
        <f>IFERROR(VLOOKUP('Customer Info'!A1852,'Customer Info'!A1852:E2351,5,FALSE),"Not Found")</f>
        <v>Not Found</v>
      </c>
      <c r="J1860" s="2">
        <v>142</v>
      </c>
      <c r="K1860" s="2">
        <v>134</v>
      </c>
      <c r="L1860" s="2">
        <v>1</v>
      </c>
      <c r="M1860" s="7">
        <f t="shared" si="140"/>
        <v>134</v>
      </c>
      <c r="N1860" s="7">
        <f t="shared" si="141"/>
        <v>142</v>
      </c>
      <c r="O1860" s="2">
        <v>30</v>
      </c>
      <c r="P1860" s="8">
        <f t="shared" si="142"/>
        <v>172</v>
      </c>
      <c r="Q1860" s="8">
        <f t="shared" si="143"/>
        <v>8</v>
      </c>
      <c r="R1860" s="2" t="s">
        <v>28</v>
      </c>
      <c r="S1860" s="9">
        <f t="shared" si="144"/>
        <v>3.44</v>
      </c>
    </row>
    <row r="1861" spans="1:19" x14ac:dyDescent="0.3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str">
        <f>IFERROR(VLOOKUP('Customer Info'!A1853,'Customer Info'!A1853:C2352,2,FALSE),"Not Found")</f>
        <v>Not Found</v>
      </c>
      <c r="H1861" s="6" t="str">
        <f>IFERROR(VLOOKUP('Customer Info'!A1853,'Customer Info'!A1853:C2352,3,FALSE),"Not Found")</f>
        <v>Not Found</v>
      </c>
      <c r="I1861" s="6" t="str">
        <f>IFERROR(VLOOKUP('Customer Info'!A1853,'Customer Info'!A1853:E2352,5,FALSE),"Not Found")</f>
        <v>Not Found</v>
      </c>
      <c r="J1861" s="2">
        <v>1601</v>
      </c>
      <c r="K1861" s="2">
        <v>1510</v>
      </c>
      <c r="L1861" s="2">
        <v>7</v>
      </c>
      <c r="M1861" s="7">
        <f t="shared" si="140"/>
        <v>10570</v>
      </c>
      <c r="N1861" s="7">
        <f t="shared" si="141"/>
        <v>11207</v>
      </c>
      <c r="O1861" s="2">
        <v>77</v>
      </c>
      <c r="P1861" s="8">
        <f t="shared" si="142"/>
        <v>11284</v>
      </c>
      <c r="Q1861" s="8">
        <f t="shared" si="143"/>
        <v>9697</v>
      </c>
      <c r="R1861" s="2" t="s">
        <v>28</v>
      </c>
      <c r="S1861" s="9">
        <f t="shared" si="144"/>
        <v>564.20000000000005</v>
      </c>
    </row>
    <row r="1862" spans="1:19" x14ac:dyDescent="0.3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str">
        <f>IFERROR(VLOOKUP('Customer Info'!A1854,'Customer Info'!A1854:C2353,2,FALSE),"Not Found")</f>
        <v>Not Found</v>
      </c>
      <c r="H1862" s="6" t="str">
        <f>IFERROR(VLOOKUP('Customer Info'!A1854,'Customer Info'!A1854:C2353,3,FALSE),"Not Found")</f>
        <v>Not Found</v>
      </c>
      <c r="I1862" s="6" t="str">
        <f>IFERROR(VLOOKUP('Customer Info'!A1854,'Customer Info'!A1854:E2353,5,FALSE),"Not Found")</f>
        <v>Not Found</v>
      </c>
      <c r="J1862" s="2">
        <v>6027</v>
      </c>
      <c r="K1862" s="2">
        <v>5694</v>
      </c>
      <c r="L1862" s="2">
        <v>2</v>
      </c>
      <c r="M1862" s="7">
        <f t="shared" si="140"/>
        <v>11388</v>
      </c>
      <c r="N1862" s="7">
        <f t="shared" si="141"/>
        <v>12054</v>
      </c>
      <c r="O1862" s="2">
        <v>95</v>
      </c>
      <c r="P1862" s="8">
        <f t="shared" si="142"/>
        <v>12149</v>
      </c>
      <c r="Q1862" s="8">
        <f t="shared" si="143"/>
        <v>6360</v>
      </c>
      <c r="R1862" s="2" t="s">
        <v>28</v>
      </c>
      <c r="S1862" s="9">
        <f t="shared" si="144"/>
        <v>607.45000000000005</v>
      </c>
    </row>
    <row r="1863" spans="1:19" x14ac:dyDescent="0.3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str">
        <f>IFERROR(VLOOKUP('Customer Info'!A1855,'Customer Info'!A1855:C2354,2,FALSE),"Not Found")</f>
        <v>Not Found</v>
      </c>
      <c r="H1863" s="6" t="str">
        <f>IFERROR(VLOOKUP('Customer Info'!A1855,'Customer Info'!A1855:C2354,3,FALSE),"Not Found")</f>
        <v>Not Found</v>
      </c>
      <c r="I1863" s="6" t="str">
        <f>IFERROR(VLOOKUP('Customer Info'!A1855,'Customer Info'!A1855:E2354,5,FALSE),"Not Found")</f>
        <v>Not Found</v>
      </c>
      <c r="J1863" s="2">
        <v>8026</v>
      </c>
      <c r="K1863" s="2">
        <v>7572</v>
      </c>
      <c r="L1863" s="2">
        <v>1</v>
      </c>
      <c r="M1863" s="7">
        <f t="shared" si="140"/>
        <v>7572</v>
      </c>
      <c r="N1863" s="7">
        <f t="shared" si="141"/>
        <v>8026</v>
      </c>
      <c r="O1863" s="2">
        <v>47</v>
      </c>
      <c r="P1863" s="8">
        <f t="shared" si="142"/>
        <v>8073</v>
      </c>
      <c r="Q1863" s="8">
        <f t="shared" si="143"/>
        <v>454</v>
      </c>
      <c r="R1863" s="2" t="s">
        <v>50</v>
      </c>
      <c r="S1863" s="9">
        <f t="shared" si="144"/>
        <v>403.65000000000003</v>
      </c>
    </row>
    <row r="1864" spans="1:19" x14ac:dyDescent="0.3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str">
        <f>IFERROR(VLOOKUP('Customer Info'!A1856,'Customer Info'!A1856:C2355,2,FALSE),"Not Found")</f>
        <v>Not Found</v>
      </c>
      <c r="H1864" s="6" t="str">
        <f>IFERROR(VLOOKUP('Customer Info'!A1856,'Customer Info'!A1856:C2355,3,FALSE),"Not Found")</f>
        <v>Not Found</v>
      </c>
      <c r="I1864" s="6" t="str">
        <f>IFERROR(VLOOKUP('Customer Info'!A1856,'Customer Info'!A1856:E2355,5,FALSE),"Not Found")</f>
        <v>Not Found</v>
      </c>
      <c r="J1864" s="2">
        <v>92</v>
      </c>
      <c r="K1864" s="2">
        <v>85</v>
      </c>
      <c r="L1864" s="2">
        <v>3</v>
      </c>
      <c r="M1864" s="7">
        <f t="shared" si="140"/>
        <v>255</v>
      </c>
      <c r="N1864" s="7">
        <f t="shared" si="141"/>
        <v>276</v>
      </c>
      <c r="O1864" s="2">
        <v>10</v>
      </c>
      <c r="P1864" s="8">
        <f t="shared" si="142"/>
        <v>286</v>
      </c>
      <c r="Q1864" s="8">
        <f t="shared" si="143"/>
        <v>191</v>
      </c>
      <c r="R1864" s="2" t="s">
        <v>28</v>
      </c>
      <c r="S1864" s="9">
        <f t="shared" si="144"/>
        <v>5.72</v>
      </c>
    </row>
    <row r="1865" spans="1:19" x14ac:dyDescent="0.3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str">
        <f>IFERROR(VLOOKUP('Customer Info'!A1857,'Customer Info'!A1857:C2356,2,FALSE),"Not Found")</f>
        <v>Not Found</v>
      </c>
      <c r="H1865" s="6" t="str">
        <f>IFERROR(VLOOKUP('Customer Info'!A1857,'Customer Info'!A1857:C2356,3,FALSE),"Not Found")</f>
        <v>Not Found</v>
      </c>
      <c r="I1865" s="6" t="str">
        <f>IFERROR(VLOOKUP('Customer Info'!A1857,'Customer Info'!A1857:E2356,5,FALSE),"Not Found")</f>
        <v>Not Found</v>
      </c>
      <c r="J1865" s="2">
        <v>1637</v>
      </c>
      <c r="K1865" s="2">
        <v>1591</v>
      </c>
      <c r="L1865" s="2">
        <v>4</v>
      </c>
      <c r="M1865" s="7">
        <f t="shared" si="140"/>
        <v>6364</v>
      </c>
      <c r="N1865" s="7">
        <f t="shared" si="141"/>
        <v>6548</v>
      </c>
      <c r="O1865" s="2">
        <v>79</v>
      </c>
      <c r="P1865" s="8">
        <f t="shared" si="142"/>
        <v>6627</v>
      </c>
      <c r="Q1865" s="8">
        <f t="shared" si="143"/>
        <v>4957</v>
      </c>
      <c r="R1865" s="2" t="s">
        <v>28</v>
      </c>
      <c r="S1865" s="9">
        <f t="shared" si="144"/>
        <v>331.35</v>
      </c>
    </row>
    <row r="1866" spans="1:19" x14ac:dyDescent="0.3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str">
        <f>IFERROR(VLOOKUP('Customer Info'!A1858,'Customer Info'!A1858:C2357,2,FALSE),"Not Found")</f>
        <v>Not Found</v>
      </c>
      <c r="H1866" s="6" t="str">
        <f>IFERROR(VLOOKUP('Customer Info'!A1858,'Customer Info'!A1858:C2357,3,FALSE),"Not Found")</f>
        <v>Not Found</v>
      </c>
      <c r="I1866" s="6" t="str">
        <f>IFERROR(VLOOKUP('Customer Info'!A1858,'Customer Info'!A1858:E2357,5,FALSE),"Not Found")</f>
        <v>Not Found</v>
      </c>
      <c r="J1866" s="2">
        <v>691</v>
      </c>
      <c r="K1866" s="2">
        <v>627</v>
      </c>
      <c r="L1866" s="2">
        <v>7</v>
      </c>
      <c r="M1866" s="7">
        <f t="shared" si="140"/>
        <v>4389</v>
      </c>
      <c r="N1866" s="7">
        <f t="shared" si="141"/>
        <v>4837</v>
      </c>
      <c r="O1866" s="2">
        <v>77</v>
      </c>
      <c r="P1866" s="8">
        <f t="shared" si="142"/>
        <v>4914</v>
      </c>
      <c r="Q1866" s="8">
        <f t="shared" si="143"/>
        <v>4210</v>
      </c>
      <c r="R1866" s="2" t="s">
        <v>28</v>
      </c>
      <c r="S1866" s="9">
        <f t="shared" si="144"/>
        <v>98.28</v>
      </c>
    </row>
    <row r="1867" spans="1:19" x14ac:dyDescent="0.3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str">
        <f>IFERROR(VLOOKUP('Customer Info'!A1859,'Customer Info'!A1859:C2358,2,FALSE),"Not Found")</f>
        <v>Not Found</v>
      </c>
      <c r="H1867" s="6" t="str">
        <f>IFERROR(VLOOKUP('Customer Info'!A1859,'Customer Info'!A1859:C2358,3,FALSE),"Not Found")</f>
        <v>Not Found</v>
      </c>
      <c r="I1867" s="6" t="str">
        <f>IFERROR(VLOOKUP('Customer Info'!A1859,'Customer Info'!A1859:E2358,5,FALSE),"Not Found")</f>
        <v>Not Found</v>
      </c>
      <c r="J1867" s="2">
        <v>25155</v>
      </c>
      <c r="K1867" s="2">
        <v>23753</v>
      </c>
      <c r="L1867" s="2">
        <v>3</v>
      </c>
      <c r="M1867" s="7">
        <f t="shared" ref="M1867:M1930" si="145">$K1867*$L1867</f>
        <v>71259</v>
      </c>
      <c r="N1867" s="7">
        <f t="shared" ref="N1867:N1930" si="146">$J1867*$L1867</f>
        <v>75465</v>
      </c>
      <c r="O1867" s="2">
        <v>36</v>
      </c>
      <c r="P1867" s="8">
        <f t="shared" ref="P1867:P1930" si="147">$N1867+$O1867</f>
        <v>75501</v>
      </c>
      <c r="Q1867" s="8">
        <f t="shared" ref="Q1867:Q1930" si="148">$N1867-$K1867</f>
        <v>51712</v>
      </c>
      <c r="R1867" s="2" t="s">
        <v>28</v>
      </c>
      <c r="S1867" s="9">
        <f t="shared" ref="S1867:S1930" si="149" xml:space="preserve"> P1867 * VLOOKUP(P1867, $T$2:$U$6, 2, TRUE)</f>
        <v>6795.09</v>
      </c>
    </row>
    <row r="1868" spans="1:19" x14ac:dyDescent="0.3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str">
        <f>IFERROR(VLOOKUP('Customer Info'!A1860,'Customer Info'!A1860:C2359,2,FALSE),"Not Found")</f>
        <v>Not Found</v>
      </c>
      <c r="H1868" s="6" t="str">
        <f>IFERROR(VLOOKUP('Customer Info'!A1860,'Customer Info'!A1860:C2359,3,FALSE),"Not Found")</f>
        <v>Not Found</v>
      </c>
      <c r="I1868" s="6" t="str">
        <f>IFERROR(VLOOKUP('Customer Info'!A1860,'Customer Info'!A1860:E2359,5,FALSE),"Not Found")</f>
        <v>Not Found</v>
      </c>
      <c r="J1868" s="2">
        <v>6027</v>
      </c>
      <c r="K1868" s="2">
        <v>5694</v>
      </c>
      <c r="L1868" s="2">
        <v>1</v>
      </c>
      <c r="M1868" s="7">
        <f t="shared" si="145"/>
        <v>5694</v>
      </c>
      <c r="N1868" s="7">
        <f t="shared" si="146"/>
        <v>6027</v>
      </c>
      <c r="O1868" s="2">
        <v>44</v>
      </c>
      <c r="P1868" s="8">
        <f t="shared" si="147"/>
        <v>6071</v>
      </c>
      <c r="Q1868" s="8">
        <f t="shared" si="148"/>
        <v>333</v>
      </c>
      <c r="R1868" s="2" t="s">
        <v>56</v>
      </c>
      <c r="S1868" s="9">
        <f t="shared" si="149"/>
        <v>303.55</v>
      </c>
    </row>
    <row r="1869" spans="1:19" x14ac:dyDescent="0.3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str">
        <f>IFERROR(VLOOKUP('Customer Info'!A1861,'Customer Info'!A1861:C2360,2,FALSE),"Not Found")</f>
        <v>Not Found</v>
      </c>
      <c r="H1869" s="6" t="str">
        <f>IFERROR(VLOOKUP('Customer Info'!A1861,'Customer Info'!A1861:C2360,3,FALSE),"Not Found")</f>
        <v>Not Found</v>
      </c>
      <c r="I1869" s="6" t="str">
        <f>IFERROR(VLOOKUP('Customer Info'!A1861,'Customer Info'!A1861:E2360,5,FALSE),"Not Found")</f>
        <v>Not Found</v>
      </c>
      <c r="J1869" s="2">
        <v>206</v>
      </c>
      <c r="K1869" s="2">
        <v>189</v>
      </c>
      <c r="L1869" s="2">
        <v>1</v>
      </c>
      <c r="M1869" s="7">
        <f t="shared" si="145"/>
        <v>189</v>
      </c>
      <c r="N1869" s="7">
        <f t="shared" si="146"/>
        <v>206</v>
      </c>
      <c r="O1869" s="2">
        <v>30</v>
      </c>
      <c r="P1869" s="8">
        <f t="shared" si="147"/>
        <v>236</v>
      </c>
      <c r="Q1869" s="8">
        <f t="shared" si="148"/>
        <v>17</v>
      </c>
      <c r="R1869" s="2" t="s">
        <v>28</v>
      </c>
      <c r="S1869" s="9">
        <f t="shared" si="149"/>
        <v>4.72</v>
      </c>
    </row>
    <row r="1870" spans="1:19" x14ac:dyDescent="0.3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str">
        <f>IFERROR(VLOOKUP('Customer Info'!A1862,'Customer Info'!A1862:C2361,2,FALSE),"Not Found")</f>
        <v>Not Found</v>
      </c>
      <c r="H1870" s="6" t="str">
        <f>IFERROR(VLOOKUP('Customer Info'!A1862,'Customer Info'!A1862:C2361,3,FALSE),"Not Found")</f>
        <v>Not Found</v>
      </c>
      <c r="I1870" s="6" t="str">
        <f>IFERROR(VLOOKUP('Customer Info'!A1862,'Customer Info'!A1862:E2361,5,FALSE),"Not Found")</f>
        <v>Not Found</v>
      </c>
      <c r="J1870" s="2">
        <v>8617</v>
      </c>
      <c r="K1870" s="2">
        <v>7900</v>
      </c>
      <c r="L1870" s="2">
        <v>2</v>
      </c>
      <c r="M1870" s="7">
        <f t="shared" si="145"/>
        <v>15800</v>
      </c>
      <c r="N1870" s="7">
        <f t="shared" si="146"/>
        <v>17234</v>
      </c>
      <c r="O1870" s="2">
        <v>64</v>
      </c>
      <c r="P1870" s="8">
        <f t="shared" si="147"/>
        <v>17298</v>
      </c>
      <c r="Q1870" s="8">
        <f t="shared" si="148"/>
        <v>9334</v>
      </c>
      <c r="R1870" s="2" t="s">
        <v>26</v>
      </c>
      <c r="S1870" s="9">
        <f t="shared" si="149"/>
        <v>864.90000000000009</v>
      </c>
    </row>
    <row r="1871" spans="1:19" x14ac:dyDescent="0.3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str">
        <f>IFERROR(VLOOKUP('Customer Info'!A1863,'Customer Info'!A1863:C2362,2,FALSE),"Not Found")</f>
        <v>Not Found</v>
      </c>
      <c r="H1871" s="6" t="str">
        <f>IFERROR(VLOOKUP('Customer Info'!A1863,'Customer Info'!A1863:C2362,3,FALSE),"Not Found")</f>
        <v>Not Found</v>
      </c>
      <c r="I1871" s="6" t="str">
        <f>IFERROR(VLOOKUP('Customer Info'!A1863,'Customer Info'!A1863:E2362,5,FALSE),"Not Found")</f>
        <v>Not Found</v>
      </c>
      <c r="J1871" s="2">
        <v>827</v>
      </c>
      <c r="K1871" s="2">
        <v>788</v>
      </c>
      <c r="L1871" s="2">
        <v>3</v>
      </c>
      <c r="M1871" s="7">
        <f t="shared" si="145"/>
        <v>2364</v>
      </c>
      <c r="N1871" s="7">
        <f t="shared" si="146"/>
        <v>2481</v>
      </c>
      <c r="O1871" s="2">
        <v>91</v>
      </c>
      <c r="P1871" s="8">
        <f t="shared" si="147"/>
        <v>2572</v>
      </c>
      <c r="Q1871" s="8">
        <f t="shared" si="148"/>
        <v>1693</v>
      </c>
      <c r="R1871" s="2" t="s">
        <v>28</v>
      </c>
      <c r="S1871" s="9">
        <f t="shared" si="149"/>
        <v>51.44</v>
      </c>
    </row>
    <row r="1872" spans="1:19" x14ac:dyDescent="0.3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str">
        <f>IFERROR(VLOOKUP('Customer Info'!A1864,'Customer Info'!A1864:C2363,2,FALSE),"Not Found")</f>
        <v>Not Found</v>
      </c>
      <c r="H1872" s="6" t="str">
        <f>IFERROR(VLOOKUP('Customer Info'!A1864,'Customer Info'!A1864:C2363,3,FALSE),"Not Found")</f>
        <v>Not Found</v>
      </c>
      <c r="I1872" s="6" t="str">
        <f>IFERROR(VLOOKUP('Customer Info'!A1864,'Customer Info'!A1864:E2363,5,FALSE),"Not Found")</f>
        <v>Not Found</v>
      </c>
      <c r="J1872" s="2">
        <v>465</v>
      </c>
      <c r="K1872" s="2">
        <v>439</v>
      </c>
      <c r="L1872" s="2">
        <v>9</v>
      </c>
      <c r="M1872" s="7">
        <f t="shared" si="145"/>
        <v>3951</v>
      </c>
      <c r="N1872" s="7">
        <f t="shared" si="146"/>
        <v>4185</v>
      </c>
      <c r="O1872" s="2">
        <v>80</v>
      </c>
      <c r="P1872" s="8">
        <f t="shared" si="147"/>
        <v>4265</v>
      </c>
      <c r="Q1872" s="8">
        <f t="shared" si="148"/>
        <v>3746</v>
      </c>
      <c r="R1872" s="2" t="s">
        <v>50</v>
      </c>
      <c r="S1872" s="9">
        <f t="shared" si="149"/>
        <v>85.3</v>
      </c>
    </row>
    <row r="1873" spans="1:19" x14ac:dyDescent="0.3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str">
        <f>IFERROR(VLOOKUP('Customer Info'!A1865,'Customer Info'!A1865:C2364,2,FALSE),"Not Found")</f>
        <v>Not Found</v>
      </c>
      <c r="H1873" s="6" t="str">
        <f>IFERROR(VLOOKUP('Customer Info'!A1865,'Customer Info'!A1865:C2364,3,FALSE),"Not Found")</f>
        <v>Not Found</v>
      </c>
      <c r="I1873" s="6" t="str">
        <f>IFERROR(VLOOKUP('Customer Info'!A1865,'Customer Info'!A1865:E2364,5,FALSE),"Not Found")</f>
        <v>Not Found</v>
      </c>
      <c r="J1873" s="2">
        <v>2808</v>
      </c>
      <c r="K1873" s="2">
        <v>2674</v>
      </c>
      <c r="L1873" s="2">
        <v>3</v>
      </c>
      <c r="M1873" s="7">
        <f t="shared" si="145"/>
        <v>8022</v>
      </c>
      <c r="N1873" s="7">
        <f t="shared" si="146"/>
        <v>8424</v>
      </c>
      <c r="O1873" s="2">
        <v>86</v>
      </c>
      <c r="P1873" s="8">
        <f t="shared" si="147"/>
        <v>8510</v>
      </c>
      <c r="Q1873" s="8">
        <f t="shared" si="148"/>
        <v>5750</v>
      </c>
      <c r="R1873" s="2" t="s">
        <v>26</v>
      </c>
      <c r="S1873" s="9">
        <f t="shared" si="149"/>
        <v>425.5</v>
      </c>
    </row>
    <row r="1874" spans="1:19" x14ac:dyDescent="0.3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str">
        <f>IFERROR(VLOOKUP('Customer Info'!A1866,'Customer Info'!A1866:C2365,2,FALSE),"Not Found")</f>
        <v>Not Found</v>
      </c>
      <c r="H1874" s="6" t="str">
        <f>IFERROR(VLOOKUP('Customer Info'!A1866,'Customer Info'!A1866:C2365,3,FALSE),"Not Found")</f>
        <v>Not Found</v>
      </c>
      <c r="I1874" s="6" t="str">
        <f>IFERROR(VLOOKUP('Customer Info'!A1866,'Customer Info'!A1866:E2365,5,FALSE),"Not Found")</f>
        <v>Not Found</v>
      </c>
      <c r="J1874" s="2">
        <v>1635</v>
      </c>
      <c r="K1874" s="2">
        <v>1573</v>
      </c>
      <c r="L1874" s="2">
        <v>5</v>
      </c>
      <c r="M1874" s="7">
        <f t="shared" si="145"/>
        <v>7865</v>
      </c>
      <c r="N1874" s="7">
        <f t="shared" si="146"/>
        <v>8175</v>
      </c>
      <c r="O1874" s="2">
        <v>89</v>
      </c>
      <c r="P1874" s="8">
        <f t="shared" si="147"/>
        <v>8264</v>
      </c>
      <c r="Q1874" s="8">
        <f t="shared" si="148"/>
        <v>6602</v>
      </c>
      <c r="R1874" s="2" t="s">
        <v>50</v>
      </c>
      <c r="S1874" s="9">
        <f t="shared" si="149"/>
        <v>413.20000000000005</v>
      </c>
    </row>
    <row r="1875" spans="1:19" x14ac:dyDescent="0.3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str">
        <f>IFERROR(VLOOKUP('Customer Info'!A1867,'Customer Info'!A1867:C2366,2,FALSE),"Not Found")</f>
        <v>Not Found</v>
      </c>
      <c r="H1875" s="6" t="str">
        <f>IFERROR(VLOOKUP('Customer Info'!A1867,'Customer Info'!A1867:C2366,3,FALSE),"Not Found")</f>
        <v>Not Found</v>
      </c>
      <c r="I1875" s="6" t="str">
        <f>IFERROR(VLOOKUP('Customer Info'!A1867,'Customer Info'!A1867:E2366,5,FALSE),"Not Found")</f>
        <v>Not Found</v>
      </c>
      <c r="J1875" s="2">
        <v>1901</v>
      </c>
      <c r="K1875" s="2">
        <v>1810</v>
      </c>
      <c r="L1875" s="2">
        <v>2</v>
      </c>
      <c r="M1875" s="7">
        <f t="shared" si="145"/>
        <v>3620</v>
      </c>
      <c r="N1875" s="7">
        <f t="shared" si="146"/>
        <v>3802</v>
      </c>
      <c r="O1875" s="2">
        <v>28</v>
      </c>
      <c r="P1875" s="8">
        <f t="shared" si="147"/>
        <v>3830</v>
      </c>
      <c r="Q1875" s="8">
        <f t="shared" si="148"/>
        <v>1992</v>
      </c>
      <c r="R1875" s="2" t="s">
        <v>28</v>
      </c>
      <c r="S1875" s="9">
        <f t="shared" si="149"/>
        <v>76.600000000000009</v>
      </c>
    </row>
    <row r="1876" spans="1:19" x14ac:dyDescent="0.3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str">
        <f>IFERROR(VLOOKUP('Customer Info'!A1868,'Customer Info'!A1868:C2367,2,FALSE),"Not Found")</f>
        <v>Not Found</v>
      </c>
      <c r="H1876" s="6" t="str">
        <f>IFERROR(VLOOKUP('Customer Info'!A1868,'Customer Info'!A1868:C2367,3,FALSE),"Not Found")</f>
        <v>Not Found</v>
      </c>
      <c r="I1876" s="6" t="str">
        <f>IFERROR(VLOOKUP('Customer Info'!A1868,'Customer Info'!A1868:E2367,5,FALSE),"Not Found")</f>
        <v>Not Found</v>
      </c>
      <c r="J1876" s="2">
        <v>28522</v>
      </c>
      <c r="K1876" s="2">
        <v>26384</v>
      </c>
      <c r="L1876" s="2">
        <v>2</v>
      </c>
      <c r="M1876" s="7">
        <f t="shared" si="145"/>
        <v>52768</v>
      </c>
      <c r="N1876" s="7">
        <f t="shared" si="146"/>
        <v>57044</v>
      </c>
      <c r="O1876" s="2">
        <v>99</v>
      </c>
      <c r="P1876" s="8">
        <f t="shared" si="147"/>
        <v>57143</v>
      </c>
      <c r="Q1876" s="8">
        <f t="shared" si="148"/>
        <v>30660</v>
      </c>
      <c r="R1876" s="2" t="s">
        <v>28</v>
      </c>
      <c r="S1876" s="9">
        <f t="shared" si="149"/>
        <v>5142.87</v>
      </c>
    </row>
    <row r="1877" spans="1:19" x14ac:dyDescent="0.3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str">
        <f>IFERROR(VLOOKUP('Customer Info'!A1869,'Customer Info'!A1869:C2368,2,FALSE),"Not Found")</f>
        <v>Not Found</v>
      </c>
      <c r="H1877" s="6" t="str">
        <f>IFERROR(VLOOKUP('Customer Info'!A1869,'Customer Info'!A1869:C2368,3,FALSE),"Not Found")</f>
        <v>Not Found</v>
      </c>
      <c r="I1877" s="6" t="str">
        <f>IFERROR(VLOOKUP('Customer Info'!A1869,'Customer Info'!A1869:E2368,5,FALSE),"Not Found")</f>
        <v>Not Found</v>
      </c>
      <c r="J1877" s="2">
        <v>923</v>
      </c>
      <c r="K1877" s="2">
        <v>879</v>
      </c>
      <c r="L1877" s="2">
        <v>2</v>
      </c>
      <c r="M1877" s="7">
        <f t="shared" si="145"/>
        <v>1758</v>
      </c>
      <c r="N1877" s="7">
        <f t="shared" si="146"/>
        <v>1846</v>
      </c>
      <c r="O1877" s="2">
        <v>60</v>
      </c>
      <c r="P1877" s="8">
        <f t="shared" si="147"/>
        <v>1906</v>
      </c>
      <c r="Q1877" s="8">
        <f t="shared" si="148"/>
        <v>967</v>
      </c>
      <c r="R1877" s="2" t="s">
        <v>50</v>
      </c>
      <c r="S1877" s="9">
        <f t="shared" si="149"/>
        <v>38.119999999999997</v>
      </c>
    </row>
    <row r="1878" spans="1:19" x14ac:dyDescent="0.3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str">
        <f>IFERROR(VLOOKUP('Customer Info'!A1870,'Customer Info'!A1870:C2369,2,FALSE),"Not Found")</f>
        <v>Not Found</v>
      </c>
      <c r="H1878" s="6" t="str">
        <f>IFERROR(VLOOKUP('Customer Info'!A1870,'Customer Info'!A1870:C2369,3,FALSE),"Not Found")</f>
        <v>Not Found</v>
      </c>
      <c r="I1878" s="6" t="str">
        <f>IFERROR(VLOOKUP('Customer Info'!A1870,'Customer Info'!A1870:E2369,5,FALSE),"Not Found")</f>
        <v>Not Found</v>
      </c>
      <c r="J1878" s="2">
        <v>4737</v>
      </c>
      <c r="K1878" s="2">
        <v>4473</v>
      </c>
      <c r="L1878" s="2">
        <v>1</v>
      </c>
      <c r="M1878" s="7">
        <f t="shared" si="145"/>
        <v>4473</v>
      </c>
      <c r="N1878" s="7">
        <f t="shared" si="146"/>
        <v>4737</v>
      </c>
      <c r="O1878" s="2">
        <v>63</v>
      </c>
      <c r="P1878" s="8">
        <f t="shared" si="147"/>
        <v>4800</v>
      </c>
      <c r="Q1878" s="8">
        <f t="shared" si="148"/>
        <v>264</v>
      </c>
      <c r="R1878" s="2" t="s">
        <v>28</v>
      </c>
      <c r="S1878" s="9">
        <f t="shared" si="149"/>
        <v>96</v>
      </c>
    </row>
    <row r="1879" spans="1:19" x14ac:dyDescent="0.3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str">
        <f>IFERROR(VLOOKUP('Customer Info'!A1871,'Customer Info'!A1871:C2370,2,FALSE),"Not Found")</f>
        <v>Not Found</v>
      </c>
      <c r="H1879" s="6" t="str">
        <f>IFERROR(VLOOKUP('Customer Info'!A1871,'Customer Info'!A1871:C2370,3,FALSE),"Not Found")</f>
        <v>Not Found</v>
      </c>
      <c r="I1879" s="6" t="str">
        <f>IFERROR(VLOOKUP('Customer Info'!A1871,'Customer Info'!A1871:E2370,5,FALSE),"Not Found")</f>
        <v>Not Found</v>
      </c>
      <c r="J1879" s="2">
        <v>2342</v>
      </c>
      <c r="K1879" s="2">
        <v>2210</v>
      </c>
      <c r="L1879" s="2">
        <v>3</v>
      </c>
      <c r="M1879" s="7">
        <f t="shared" si="145"/>
        <v>6630</v>
      </c>
      <c r="N1879" s="7">
        <f t="shared" si="146"/>
        <v>7026</v>
      </c>
      <c r="O1879" s="2">
        <v>34</v>
      </c>
      <c r="P1879" s="8">
        <f t="shared" si="147"/>
        <v>7060</v>
      </c>
      <c r="Q1879" s="8">
        <f t="shared" si="148"/>
        <v>4816</v>
      </c>
      <c r="R1879" s="2" t="s">
        <v>50</v>
      </c>
      <c r="S1879" s="9">
        <f t="shared" si="149"/>
        <v>353</v>
      </c>
    </row>
    <row r="1880" spans="1:19" x14ac:dyDescent="0.3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str">
        <f>IFERROR(VLOOKUP('Customer Info'!A1872,'Customer Info'!A1872:C2371,2,FALSE),"Not Found")</f>
        <v>Not Found</v>
      </c>
      <c r="H1880" s="6" t="str">
        <f>IFERROR(VLOOKUP('Customer Info'!A1872,'Customer Info'!A1872:C2371,3,FALSE),"Not Found")</f>
        <v>Not Found</v>
      </c>
      <c r="I1880" s="6" t="str">
        <f>IFERROR(VLOOKUP('Customer Info'!A1872,'Customer Info'!A1872:E2371,5,FALSE),"Not Found")</f>
        <v>Not Found</v>
      </c>
      <c r="J1880" s="2">
        <v>2007</v>
      </c>
      <c r="K1880" s="2">
        <v>1839</v>
      </c>
      <c r="L1880" s="2">
        <v>3</v>
      </c>
      <c r="M1880" s="7">
        <f t="shared" si="145"/>
        <v>5517</v>
      </c>
      <c r="N1880" s="7">
        <f t="shared" si="146"/>
        <v>6021</v>
      </c>
      <c r="O1880" s="2">
        <v>41</v>
      </c>
      <c r="P1880" s="8">
        <f t="shared" si="147"/>
        <v>6062</v>
      </c>
      <c r="Q1880" s="8">
        <f t="shared" si="148"/>
        <v>4182</v>
      </c>
      <c r="R1880" s="2" t="s">
        <v>28</v>
      </c>
      <c r="S1880" s="9">
        <f t="shared" si="149"/>
        <v>303.10000000000002</v>
      </c>
    </row>
    <row r="1881" spans="1:19" x14ac:dyDescent="0.3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str">
        <f>IFERROR(VLOOKUP('Customer Info'!A1873,'Customer Info'!A1873:C2372,2,FALSE),"Not Found")</f>
        <v>Not Found</v>
      </c>
      <c r="H1881" s="6" t="str">
        <f>IFERROR(VLOOKUP('Customer Info'!A1873,'Customer Info'!A1873:C2372,3,FALSE),"Not Found")</f>
        <v>Not Found</v>
      </c>
      <c r="I1881" s="6" t="str">
        <f>IFERROR(VLOOKUP('Customer Info'!A1873,'Customer Info'!A1873:E2372,5,FALSE),"Not Found")</f>
        <v>Not Found</v>
      </c>
      <c r="J1881" s="2">
        <v>1210</v>
      </c>
      <c r="K1881" s="2">
        <v>1164</v>
      </c>
      <c r="L1881" s="2">
        <v>4</v>
      </c>
      <c r="M1881" s="7">
        <f t="shared" si="145"/>
        <v>4656</v>
      </c>
      <c r="N1881" s="7">
        <f t="shared" si="146"/>
        <v>4840</v>
      </c>
      <c r="O1881" s="2">
        <v>41</v>
      </c>
      <c r="P1881" s="8">
        <f t="shared" si="147"/>
        <v>4881</v>
      </c>
      <c r="Q1881" s="8">
        <f t="shared" si="148"/>
        <v>3676</v>
      </c>
      <c r="R1881" s="2" t="s">
        <v>28</v>
      </c>
      <c r="S1881" s="9">
        <f t="shared" si="149"/>
        <v>97.62</v>
      </c>
    </row>
    <row r="1882" spans="1:19" x14ac:dyDescent="0.3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str">
        <f>IFERROR(VLOOKUP('Customer Info'!A1874,'Customer Info'!A1874:C2373,2,FALSE),"Not Found")</f>
        <v>Not Found</v>
      </c>
      <c r="H1882" s="6" t="str">
        <f>IFERROR(VLOOKUP('Customer Info'!A1874,'Customer Info'!A1874:C2373,3,FALSE),"Not Found")</f>
        <v>Not Found</v>
      </c>
      <c r="I1882" s="6" t="str">
        <f>IFERROR(VLOOKUP('Customer Info'!A1874,'Customer Info'!A1874:E2373,5,FALSE),"Not Found")</f>
        <v>Not Found</v>
      </c>
      <c r="J1882" s="2">
        <v>666</v>
      </c>
      <c r="K1882" s="2">
        <v>641</v>
      </c>
      <c r="L1882" s="2">
        <v>7</v>
      </c>
      <c r="M1882" s="7">
        <f t="shared" si="145"/>
        <v>4487</v>
      </c>
      <c r="N1882" s="7">
        <f t="shared" si="146"/>
        <v>4662</v>
      </c>
      <c r="O1882" s="2">
        <v>35</v>
      </c>
      <c r="P1882" s="8">
        <f t="shared" si="147"/>
        <v>4697</v>
      </c>
      <c r="Q1882" s="8">
        <f t="shared" si="148"/>
        <v>4021</v>
      </c>
      <c r="R1882" s="2" t="s">
        <v>28</v>
      </c>
      <c r="S1882" s="9">
        <f t="shared" si="149"/>
        <v>93.94</v>
      </c>
    </row>
    <row r="1883" spans="1:19" x14ac:dyDescent="0.3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str">
        <f>IFERROR(VLOOKUP('Customer Info'!A1875,'Customer Info'!A1875:C2374,2,FALSE),"Not Found")</f>
        <v>Not Found</v>
      </c>
      <c r="H1883" s="6" t="str">
        <f>IFERROR(VLOOKUP('Customer Info'!A1875,'Customer Info'!A1875:C2374,3,FALSE),"Not Found")</f>
        <v>Not Found</v>
      </c>
      <c r="I1883" s="6" t="str">
        <f>IFERROR(VLOOKUP('Customer Info'!A1875,'Customer Info'!A1875:E2374,5,FALSE),"Not Found")</f>
        <v>Not Found</v>
      </c>
      <c r="J1883" s="2">
        <v>7623</v>
      </c>
      <c r="K1883" s="2">
        <v>7064</v>
      </c>
      <c r="L1883" s="2">
        <v>1</v>
      </c>
      <c r="M1883" s="7">
        <f t="shared" si="145"/>
        <v>7064</v>
      </c>
      <c r="N1883" s="7">
        <f t="shared" si="146"/>
        <v>7623</v>
      </c>
      <c r="O1883" s="2">
        <v>57</v>
      </c>
      <c r="P1883" s="8">
        <f t="shared" si="147"/>
        <v>7680</v>
      </c>
      <c r="Q1883" s="8">
        <f t="shared" si="148"/>
        <v>559</v>
      </c>
      <c r="R1883" s="2" t="s">
        <v>28</v>
      </c>
      <c r="S1883" s="9">
        <f t="shared" si="149"/>
        <v>384</v>
      </c>
    </row>
    <row r="1884" spans="1:19" x14ac:dyDescent="0.3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str">
        <f>IFERROR(VLOOKUP('Customer Info'!A1876,'Customer Info'!A1876:C2375,2,FALSE),"Not Found")</f>
        <v>Not Found</v>
      </c>
      <c r="H1884" s="6" t="str">
        <f>IFERROR(VLOOKUP('Customer Info'!A1876,'Customer Info'!A1876:C2375,3,FALSE),"Not Found")</f>
        <v>Not Found</v>
      </c>
      <c r="I1884" s="6" t="str">
        <f>IFERROR(VLOOKUP('Customer Info'!A1876,'Customer Info'!A1876:E2375,5,FALSE),"Not Found")</f>
        <v>Not Found</v>
      </c>
      <c r="J1884" s="2">
        <v>7361</v>
      </c>
      <c r="K1884" s="2">
        <v>6887</v>
      </c>
      <c r="L1884" s="2">
        <v>2</v>
      </c>
      <c r="M1884" s="7">
        <f t="shared" si="145"/>
        <v>13774</v>
      </c>
      <c r="N1884" s="7">
        <f t="shared" si="146"/>
        <v>14722</v>
      </c>
      <c r="O1884" s="2">
        <v>98</v>
      </c>
      <c r="P1884" s="8">
        <f t="shared" si="147"/>
        <v>14820</v>
      </c>
      <c r="Q1884" s="8">
        <f t="shared" si="148"/>
        <v>7835</v>
      </c>
      <c r="R1884" s="2" t="s">
        <v>28</v>
      </c>
      <c r="S1884" s="9">
        <f t="shared" si="149"/>
        <v>741</v>
      </c>
    </row>
    <row r="1885" spans="1:19" x14ac:dyDescent="0.3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str">
        <f>IFERROR(VLOOKUP('Customer Info'!A1877,'Customer Info'!A1877:C2376,2,FALSE),"Not Found")</f>
        <v>Not Found</v>
      </c>
      <c r="H1885" s="6" t="str">
        <f>IFERROR(VLOOKUP('Customer Info'!A1877,'Customer Info'!A1877:C2376,3,FALSE),"Not Found")</f>
        <v>Not Found</v>
      </c>
      <c r="I1885" s="6" t="str">
        <f>IFERROR(VLOOKUP('Customer Info'!A1877,'Customer Info'!A1877:E2376,5,FALSE),"Not Found")</f>
        <v>Not Found</v>
      </c>
      <c r="J1885" s="2">
        <v>2960</v>
      </c>
      <c r="K1885" s="2">
        <v>2635</v>
      </c>
      <c r="L1885" s="2">
        <v>2</v>
      </c>
      <c r="M1885" s="7">
        <f t="shared" si="145"/>
        <v>5270</v>
      </c>
      <c r="N1885" s="7">
        <f t="shared" si="146"/>
        <v>5920</v>
      </c>
      <c r="O1885" s="2">
        <v>82</v>
      </c>
      <c r="P1885" s="8">
        <f t="shared" si="147"/>
        <v>6002</v>
      </c>
      <c r="Q1885" s="8">
        <f t="shared" si="148"/>
        <v>3285</v>
      </c>
      <c r="R1885" s="2" t="s">
        <v>28</v>
      </c>
      <c r="S1885" s="9">
        <f t="shared" si="149"/>
        <v>300.10000000000002</v>
      </c>
    </row>
    <row r="1886" spans="1:19" x14ac:dyDescent="0.3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str">
        <f>IFERROR(VLOOKUP('Customer Info'!A1878,'Customer Info'!A1878:C2377,2,FALSE),"Not Found")</f>
        <v>Not Found</v>
      </c>
      <c r="H1886" s="6" t="str">
        <f>IFERROR(VLOOKUP('Customer Info'!A1878,'Customer Info'!A1878:C2377,3,FALSE),"Not Found")</f>
        <v>Not Found</v>
      </c>
      <c r="I1886" s="6" t="str">
        <f>IFERROR(VLOOKUP('Customer Info'!A1878,'Customer Info'!A1878:E2377,5,FALSE),"Not Found")</f>
        <v>Not Found</v>
      </c>
      <c r="J1886" s="2">
        <v>2365</v>
      </c>
      <c r="K1886" s="2">
        <v>2232</v>
      </c>
      <c r="L1886" s="2">
        <v>5</v>
      </c>
      <c r="M1886" s="7">
        <f t="shared" si="145"/>
        <v>11160</v>
      </c>
      <c r="N1886" s="7">
        <f t="shared" si="146"/>
        <v>11825</v>
      </c>
      <c r="O1886" s="2">
        <v>35</v>
      </c>
      <c r="P1886" s="8">
        <f t="shared" si="147"/>
        <v>11860</v>
      </c>
      <c r="Q1886" s="8">
        <f t="shared" si="148"/>
        <v>9593</v>
      </c>
      <c r="R1886" s="2" t="s">
        <v>28</v>
      </c>
      <c r="S1886" s="9">
        <f t="shared" si="149"/>
        <v>593</v>
      </c>
    </row>
    <row r="1887" spans="1:19" x14ac:dyDescent="0.3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str">
        <f>IFERROR(VLOOKUP('Customer Info'!A1879,'Customer Info'!A1879:C2378,2,FALSE),"Not Found")</f>
        <v>Not Found</v>
      </c>
      <c r="H1887" s="6" t="str">
        <f>IFERROR(VLOOKUP('Customer Info'!A1879,'Customer Info'!A1879:C2378,3,FALSE),"Not Found")</f>
        <v>Not Found</v>
      </c>
      <c r="I1887" s="6" t="str">
        <f>IFERROR(VLOOKUP('Customer Info'!A1879,'Customer Info'!A1879:E2378,5,FALSE),"Not Found")</f>
        <v>Not Found</v>
      </c>
      <c r="J1887" s="2">
        <v>2250</v>
      </c>
      <c r="K1887" s="2">
        <v>2207</v>
      </c>
      <c r="L1887" s="2">
        <v>3</v>
      </c>
      <c r="M1887" s="7">
        <f t="shared" si="145"/>
        <v>6621</v>
      </c>
      <c r="N1887" s="7">
        <f t="shared" si="146"/>
        <v>6750</v>
      </c>
      <c r="O1887" s="2">
        <v>91</v>
      </c>
      <c r="P1887" s="8">
        <f t="shared" si="147"/>
        <v>6841</v>
      </c>
      <c r="Q1887" s="8">
        <f t="shared" si="148"/>
        <v>4543</v>
      </c>
      <c r="R1887" s="2" t="s">
        <v>28</v>
      </c>
      <c r="S1887" s="9">
        <f t="shared" si="149"/>
        <v>342.05</v>
      </c>
    </row>
    <row r="1888" spans="1:19" x14ac:dyDescent="0.3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str">
        <f>IFERROR(VLOOKUP('Customer Info'!A1880,'Customer Info'!A1880:C2379,2,FALSE),"Not Found")</f>
        <v>Not Found</v>
      </c>
      <c r="H1888" s="6" t="str">
        <f>IFERROR(VLOOKUP('Customer Info'!A1880,'Customer Info'!A1880:C2379,3,FALSE),"Not Found")</f>
        <v>Not Found</v>
      </c>
      <c r="I1888" s="6" t="str">
        <f>IFERROR(VLOOKUP('Customer Info'!A1880,'Customer Info'!A1880:E2379,5,FALSE),"Not Found")</f>
        <v>Not Found</v>
      </c>
      <c r="J1888" s="2">
        <v>1576</v>
      </c>
      <c r="K1888" s="2">
        <v>1531</v>
      </c>
      <c r="L1888" s="2">
        <v>2</v>
      </c>
      <c r="M1888" s="7">
        <f t="shared" si="145"/>
        <v>3062</v>
      </c>
      <c r="N1888" s="7">
        <f t="shared" si="146"/>
        <v>3152</v>
      </c>
      <c r="O1888" s="2">
        <v>63</v>
      </c>
      <c r="P1888" s="8">
        <f t="shared" si="147"/>
        <v>3215</v>
      </c>
      <c r="Q1888" s="8">
        <f t="shared" si="148"/>
        <v>1621</v>
      </c>
      <c r="R1888" s="2" t="s">
        <v>50</v>
      </c>
      <c r="S1888" s="9">
        <f t="shared" si="149"/>
        <v>64.3</v>
      </c>
    </row>
    <row r="1889" spans="1:19" x14ac:dyDescent="0.3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str">
        <f>IFERROR(VLOOKUP('Customer Info'!A1881,'Customer Info'!A1881:C2380,2,FALSE),"Not Found")</f>
        <v>Not Found</v>
      </c>
      <c r="H1889" s="6" t="str">
        <f>IFERROR(VLOOKUP('Customer Info'!A1881,'Customer Info'!A1881:C2380,3,FALSE),"Not Found")</f>
        <v>Not Found</v>
      </c>
      <c r="I1889" s="6" t="str">
        <f>IFERROR(VLOOKUP('Customer Info'!A1881,'Customer Info'!A1881:E2380,5,FALSE),"Not Found")</f>
        <v>Not Found</v>
      </c>
      <c r="J1889" s="2">
        <v>1364</v>
      </c>
      <c r="K1889" s="2">
        <v>1274</v>
      </c>
      <c r="L1889" s="2">
        <v>1</v>
      </c>
      <c r="M1889" s="7">
        <f t="shared" si="145"/>
        <v>1274</v>
      </c>
      <c r="N1889" s="7">
        <f t="shared" si="146"/>
        <v>1364</v>
      </c>
      <c r="O1889" s="2">
        <v>50</v>
      </c>
      <c r="P1889" s="8">
        <f t="shared" si="147"/>
        <v>1414</v>
      </c>
      <c r="Q1889" s="8">
        <f t="shared" si="148"/>
        <v>90</v>
      </c>
      <c r="R1889" s="2" t="s">
        <v>28</v>
      </c>
      <c r="S1889" s="9">
        <f t="shared" si="149"/>
        <v>28.28</v>
      </c>
    </row>
    <row r="1890" spans="1:19" x14ac:dyDescent="0.3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str">
        <f>IFERROR(VLOOKUP('Customer Info'!A1882,'Customer Info'!A1882:C2381,2,FALSE),"Not Found")</f>
        <v>Not Found</v>
      </c>
      <c r="H1890" s="6" t="str">
        <f>IFERROR(VLOOKUP('Customer Info'!A1882,'Customer Info'!A1882:C2381,3,FALSE),"Not Found")</f>
        <v>Not Found</v>
      </c>
      <c r="I1890" s="6" t="str">
        <f>IFERROR(VLOOKUP('Customer Info'!A1882,'Customer Info'!A1882:E2381,5,FALSE),"Not Found")</f>
        <v>Not Found</v>
      </c>
      <c r="J1890" s="2">
        <v>2981</v>
      </c>
      <c r="K1890" s="2">
        <v>2870</v>
      </c>
      <c r="L1890" s="2">
        <v>4</v>
      </c>
      <c r="M1890" s="7">
        <f t="shared" si="145"/>
        <v>11480</v>
      </c>
      <c r="N1890" s="7">
        <f t="shared" si="146"/>
        <v>11924</v>
      </c>
      <c r="O1890" s="2">
        <v>85</v>
      </c>
      <c r="P1890" s="8">
        <f t="shared" si="147"/>
        <v>12009</v>
      </c>
      <c r="Q1890" s="8">
        <f t="shared" si="148"/>
        <v>9054</v>
      </c>
      <c r="R1890" s="2" t="s">
        <v>28</v>
      </c>
      <c r="S1890" s="9">
        <f t="shared" si="149"/>
        <v>600.45000000000005</v>
      </c>
    </row>
    <row r="1891" spans="1:19" x14ac:dyDescent="0.3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str">
        <f>IFERROR(VLOOKUP('Customer Info'!A1883,'Customer Info'!A1883:C2382,2,FALSE),"Not Found")</f>
        <v>Not Found</v>
      </c>
      <c r="H1891" s="6" t="str">
        <f>IFERROR(VLOOKUP('Customer Info'!A1883,'Customer Info'!A1883:C2382,3,FALSE),"Not Found")</f>
        <v>Not Found</v>
      </c>
      <c r="I1891" s="6" t="str">
        <f>IFERROR(VLOOKUP('Customer Info'!A1883,'Customer Info'!A1883:E2382,5,FALSE),"Not Found")</f>
        <v>Not Found</v>
      </c>
      <c r="J1891" s="2">
        <v>3256</v>
      </c>
      <c r="K1891" s="2">
        <v>3044</v>
      </c>
      <c r="L1891" s="2">
        <v>5</v>
      </c>
      <c r="M1891" s="7">
        <f t="shared" si="145"/>
        <v>15220</v>
      </c>
      <c r="N1891" s="7">
        <f t="shared" si="146"/>
        <v>16280</v>
      </c>
      <c r="O1891" s="2">
        <v>50</v>
      </c>
      <c r="P1891" s="8">
        <f t="shared" si="147"/>
        <v>16330</v>
      </c>
      <c r="Q1891" s="8">
        <f t="shared" si="148"/>
        <v>13236</v>
      </c>
      <c r="R1891" s="2" t="s">
        <v>50</v>
      </c>
      <c r="S1891" s="9">
        <f t="shared" si="149"/>
        <v>816.5</v>
      </c>
    </row>
    <row r="1892" spans="1:19" x14ac:dyDescent="0.3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str">
        <f>IFERROR(VLOOKUP('Customer Info'!A1884,'Customer Info'!A1884:C2383,2,FALSE),"Not Found")</f>
        <v>Not Found</v>
      </c>
      <c r="H1892" s="6" t="str">
        <f>IFERROR(VLOOKUP('Customer Info'!A1884,'Customer Info'!A1884:C2383,3,FALSE),"Not Found")</f>
        <v>Not Found</v>
      </c>
      <c r="I1892" s="6" t="str">
        <f>IFERROR(VLOOKUP('Customer Info'!A1884,'Customer Info'!A1884:E2383,5,FALSE),"Not Found")</f>
        <v>Not Found</v>
      </c>
      <c r="J1892" s="2">
        <v>1637</v>
      </c>
      <c r="K1892" s="2">
        <v>1591</v>
      </c>
      <c r="L1892" s="2">
        <v>2</v>
      </c>
      <c r="M1892" s="7">
        <f t="shared" si="145"/>
        <v>3182</v>
      </c>
      <c r="N1892" s="7">
        <f t="shared" si="146"/>
        <v>3274</v>
      </c>
      <c r="O1892" s="2">
        <v>37</v>
      </c>
      <c r="P1892" s="8">
        <f t="shared" si="147"/>
        <v>3311</v>
      </c>
      <c r="Q1892" s="8">
        <f t="shared" si="148"/>
        <v>1683</v>
      </c>
      <c r="R1892" s="2" t="s">
        <v>50</v>
      </c>
      <c r="S1892" s="9">
        <f t="shared" si="149"/>
        <v>66.22</v>
      </c>
    </row>
    <row r="1893" spans="1:19" x14ac:dyDescent="0.3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str">
        <f>IFERROR(VLOOKUP('Customer Info'!A1885,'Customer Info'!A1885:C2384,2,FALSE),"Not Found")</f>
        <v>Not Found</v>
      </c>
      <c r="H1893" s="6" t="str">
        <f>IFERROR(VLOOKUP('Customer Info'!A1885,'Customer Info'!A1885:C2384,3,FALSE),"Not Found")</f>
        <v>Not Found</v>
      </c>
      <c r="I1893" s="6" t="str">
        <f>IFERROR(VLOOKUP('Customer Info'!A1885,'Customer Info'!A1885:E2384,5,FALSE),"Not Found")</f>
        <v>Not Found</v>
      </c>
      <c r="J1893" s="2">
        <v>128</v>
      </c>
      <c r="K1893" s="2">
        <v>115</v>
      </c>
      <c r="L1893" s="2">
        <v>3</v>
      </c>
      <c r="M1893" s="7">
        <f t="shared" si="145"/>
        <v>345</v>
      </c>
      <c r="N1893" s="7">
        <f t="shared" si="146"/>
        <v>384</v>
      </c>
      <c r="O1893" s="2">
        <v>30</v>
      </c>
      <c r="P1893" s="8">
        <f t="shared" si="147"/>
        <v>414</v>
      </c>
      <c r="Q1893" s="8">
        <f t="shared" si="148"/>
        <v>269</v>
      </c>
      <c r="R1893" s="2" t="s">
        <v>28</v>
      </c>
      <c r="S1893" s="9">
        <f t="shared" si="149"/>
        <v>8.2799999999999994</v>
      </c>
    </row>
    <row r="1894" spans="1:19" x14ac:dyDescent="0.3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str">
        <f>IFERROR(VLOOKUP('Customer Info'!A1886,'Customer Info'!A1886:C2385,2,FALSE),"Not Found")</f>
        <v>Not Found</v>
      </c>
      <c r="H1894" s="6" t="str">
        <f>IFERROR(VLOOKUP('Customer Info'!A1886,'Customer Info'!A1886:C2385,3,FALSE),"Not Found")</f>
        <v>Not Found</v>
      </c>
      <c r="I1894" s="6" t="str">
        <f>IFERROR(VLOOKUP('Customer Info'!A1886,'Customer Info'!A1886:E2385,5,FALSE),"Not Found")</f>
        <v>Not Found</v>
      </c>
      <c r="J1894" s="2">
        <v>177</v>
      </c>
      <c r="K1894" s="2">
        <v>169</v>
      </c>
      <c r="L1894" s="2">
        <v>5</v>
      </c>
      <c r="M1894" s="7">
        <f t="shared" si="145"/>
        <v>845</v>
      </c>
      <c r="N1894" s="7">
        <f t="shared" si="146"/>
        <v>885</v>
      </c>
      <c r="O1894" s="2">
        <v>30</v>
      </c>
      <c r="P1894" s="8">
        <f t="shared" si="147"/>
        <v>915</v>
      </c>
      <c r="Q1894" s="8">
        <f t="shared" si="148"/>
        <v>716</v>
      </c>
      <c r="R1894" s="2" t="s">
        <v>26</v>
      </c>
      <c r="S1894" s="9">
        <f t="shared" si="149"/>
        <v>18.3</v>
      </c>
    </row>
    <row r="1895" spans="1:19" x14ac:dyDescent="0.3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str">
        <f>IFERROR(VLOOKUP('Customer Info'!A1887,'Customer Info'!A1887:C2386,2,FALSE),"Not Found")</f>
        <v>Not Found</v>
      </c>
      <c r="H1895" s="6" t="str">
        <f>IFERROR(VLOOKUP('Customer Info'!A1887,'Customer Info'!A1887:C2386,3,FALSE),"Not Found")</f>
        <v>Not Found</v>
      </c>
      <c r="I1895" s="6" t="str">
        <f>IFERROR(VLOOKUP('Customer Info'!A1887,'Customer Info'!A1887:E2386,5,FALSE),"Not Found")</f>
        <v>Not Found</v>
      </c>
      <c r="J1895" s="2">
        <v>151</v>
      </c>
      <c r="K1895" s="2">
        <v>139</v>
      </c>
      <c r="L1895" s="2">
        <v>5</v>
      </c>
      <c r="M1895" s="7">
        <f t="shared" si="145"/>
        <v>695</v>
      </c>
      <c r="N1895" s="7">
        <f t="shared" si="146"/>
        <v>755</v>
      </c>
      <c r="O1895" s="2">
        <v>30</v>
      </c>
      <c r="P1895" s="8">
        <f t="shared" si="147"/>
        <v>785</v>
      </c>
      <c r="Q1895" s="8">
        <f t="shared" si="148"/>
        <v>616</v>
      </c>
      <c r="R1895" s="2" t="s">
        <v>28</v>
      </c>
      <c r="S1895" s="9">
        <f t="shared" si="149"/>
        <v>15.700000000000001</v>
      </c>
    </row>
    <row r="1896" spans="1:19" x14ac:dyDescent="0.3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str">
        <f>IFERROR(VLOOKUP('Customer Info'!A1888,'Customer Info'!A1888:C2387,2,FALSE),"Not Found")</f>
        <v>Not Found</v>
      </c>
      <c r="H1896" s="6" t="str">
        <f>IFERROR(VLOOKUP('Customer Info'!A1888,'Customer Info'!A1888:C2387,3,FALSE),"Not Found")</f>
        <v>Not Found</v>
      </c>
      <c r="I1896" s="6" t="str">
        <f>IFERROR(VLOOKUP('Customer Info'!A1888,'Customer Info'!A1888:E2387,5,FALSE),"Not Found")</f>
        <v>Not Found</v>
      </c>
      <c r="J1896" s="2">
        <v>135</v>
      </c>
      <c r="K1896" s="2">
        <v>129</v>
      </c>
      <c r="L1896" s="2">
        <v>2</v>
      </c>
      <c r="M1896" s="7">
        <f t="shared" si="145"/>
        <v>258</v>
      </c>
      <c r="N1896" s="7">
        <f t="shared" si="146"/>
        <v>270</v>
      </c>
      <c r="O1896" s="2">
        <v>30</v>
      </c>
      <c r="P1896" s="8">
        <f t="shared" si="147"/>
        <v>300</v>
      </c>
      <c r="Q1896" s="8">
        <f t="shared" si="148"/>
        <v>141</v>
      </c>
      <c r="R1896" s="2" t="s">
        <v>56</v>
      </c>
      <c r="S1896" s="9">
        <f t="shared" si="149"/>
        <v>6</v>
      </c>
    </row>
    <row r="1897" spans="1:19" x14ac:dyDescent="0.3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str">
        <f>IFERROR(VLOOKUP('Customer Info'!A1889,'Customer Info'!A1889:C2388,2,FALSE),"Not Found")</f>
        <v>Not Found</v>
      </c>
      <c r="H1897" s="6" t="str">
        <f>IFERROR(VLOOKUP('Customer Info'!A1889,'Customer Info'!A1889:C2388,3,FALSE),"Not Found")</f>
        <v>Not Found</v>
      </c>
      <c r="I1897" s="6" t="str">
        <f>IFERROR(VLOOKUP('Customer Info'!A1889,'Customer Info'!A1889:E2388,5,FALSE),"Not Found")</f>
        <v>Not Found</v>
      </c>
      <c r="J1897" s="2">
        <v>1700</v>
      </c>
      <c r="K1897" s="2">
        <v>1620</v>
      </c>
      <c r="L1897" s="2">
        <v>4</v>
      </c>
      <c r="M1897" s="7">
        <f t="shared" si="145"/>
        <v>6480</v>
      </c>
      <c r="N1897" s="7">
        <f t="shared" si="146"/>
        <v>6800</v>
      </c>
      <c r="O1897" s="2">
        <v>75</v>
      </c>
      <c r="P1897" s="8">
        <f t="shared" si="147"/>
        <v>6875</v>
      </c>
      <c r="Q1897" s="8">
        <f t="shared" si="148"/>
        <v>5180</v>
      </c>
      <c r="R1897" s="2" t="s">
        <v>28</v>
      </c>
      <c r="S1897" s="9">
        <f t="shared" si="149"/>
        <v>343.75</v>
      </c>
    </row>
    <row r="1898" spans="1:19" x14ac:dyDescent="0.3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str">
        <f>IFERROR(VLOOKUP('Customer Info'!A1890,'Customer Info'!A1890:C2389,2,FALSE),"Not Found")</f>
        <v>Not Found</v>
      </c>
      <c r="H1898" s="6" t="str">
        <f>IFERROR(VLOOKUP('Customer Info'!A1890,'Customer Info'!A1890:C2389,3,FALSE),"Not Found")</f>
        <v>Not Found</v>
      </c>
      <c r="I1898" s="6" t="str">
        <f>IFERROR(VLOOKUP('Customer Info'!A1890,'Customer Info'!A1890:E2389,5,FALSE),"Not Found")</f>
        <v>Not Found</v>
      </c>
      <c r="J1898" s="2">
        <v>63</v>
      </c>
      <c r="K1898" s="2">
        <v>58</v>
      </c>
      <c r="L1898" s="2">
        <v>3</v>
      </c>
      <c r="M1898" s="7">
        <f t="shared" si="145"/>
        <v>174</v>
      </c>
      <c r="N1898" s="7">
        <f t="shared" si="146"/>
        <v>189</v>
      </c>
      <c r="O1898" s="2">
        <v>10</v>
      </c>
      <c r="P1898" s="8">
        <f t="shared" si="147"/>
        <v>199</v>
      </c>
      <c r="Q1898" s="8">
        <f t="shared" si="148"/>
        <v>131</v>
      </c>
      <c r="R1898" s="2" t="s">
        <v>50</v>
      </c>
      <c r="S1898" s="9">
        <f t="shared" si="149"/>
        <v>3.98</v>
      </c>
    </row>
    <row r="1899" spans="1:19" x14ac:dyDescent="0.3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str">
        <f>IFERROR(VLOOKUP('Customer Info'!A1891,'Customer Info'!A1891:C2390,2,FALSE),"Not Found")</f>
        <v>Not Found</v>
      </c>
      <c r="H1899" s="6" t="str">
        <f>IFERROR(VLOOKUP('Customer Info'!A1891,'Customer Info'!A1891:C2390,3,FALSE),"Not Found")</f>
        <v>Not Found</v>
      </c>
      <c r="I1899" s="6" t="str">
        <f>IFERROR(VLOOKUP('Customer Info'!A1891,'Customer Info'!A1891:E2390,5,FALSE),"Not Found")</f>
        <v>Not Found</v>
      </c>
      <c r="J1899" s="2">
        <v>7534</v>
      </c>
      <c r="K1899" s="2">
        <v>7106</v>
      </c>
      <c r="L1899" s="2">
        <v>1</v>
      </c>
      <c r="M1899" s="7">
        <f t="shared" si="145"/>
        <v>7106</v>
      </c>
      <c r="N1899" s="7">
        <f t="shared" si="146"/>
        <v>7534</v>
      </c>
      <c r="O1899" s="2">
        <v>34</v>
      </c>
      <c r="P1899" s="8">
        <f t="shared" si="147"/>
        <v>7568</v>
      </c>
      <c r="Q1899" s="8">
        <f t="shared" si="148"/>
        <v>428</v>
      </c>
      <c r="R1899" s="2" t="s">
        <v>28</v>
      </c>
      <c r="S1899" s="9">
        <f t="shared" si="149"/>
        <v>378.40000000000003</v>
      </c>
    </row>
    <row r="1900" spans="1:19" x14ac:dyDescent="0.3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str">
        <f>IFERROR(VLOOKUP('Customer Info'!A1892,'Customer Info'!A1892:C2391,2,FALSE),"Not Found")</f>
        <v>Not Found</v>
      </c>
      <c r="H1900" s="6" t="str">
        <f>IFERROR(VLOOKUP('Customer Info'!A1892,'Customer Info'!A1892:C2391,3,FALSE),"Not Found")</f>
        <v>Not Found</v>
      </c>
      <c r="I1900" s="6" t="str">
        <f>IFERROR(VLOOKUP('Customer Info'!A1892,'Customer Info'!A1892:E2391,5,FALSE),"Not Found")</f>
        <v>Not Found</v>
      </c>
      <c r="J1900" s="2">
        <v>179</v>
      </c>
      <c r="K1900" s="2">
        <v>166</v>
      </c>
      <c r="L1900" s="2">
        <v>1</v>
      </c>
      <c r="M1900" s="7">
        <f t="shared" si="145"/>
        <v>166</v>
      </c>
      <c r="N1900" s="7">
        <f t="shared" si="146"/>
        <v>179</v>
      </c>
      <c r="O1900" s="2">
        <v>30</v>
      </c>
      <c r="P1900" s="8">
        <f t="shared" si="147"/>
        <v>209</v>
      </c>
      <c r="Q1900" s="8">
        <f t="shared" si="148"/>
        <v>13</v>
      </c>
      <c r="R1900" s="2" t="s">
        <v>28</v>
      </c>
      <c r="S1900" s="9">
        <f t="shared" si="149"/>
        <v>4.18</v>
      </c>
    </row>
    <row r="1901" spans="1:19" x14ac:dyDescent="0.3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str">
        <f>IFERROR(VLOOKUP('Customer Info'!A1893,'Customer Info'!A1893:C2392,2,FALSE),"Not Found")</f>
        <v>Not Found</v>
      </c>
      <c r="H1901" s="6" t="str">
        <f>IFERROR(VLOOKUP('Customer Info'!A1893,'Customer Info'!A1893:C2392,3,FALSE),"Not Found")</f>
        <v>Not Found</v>
      </c>
      <c r="I1901" s="6" t="str">
        <f>IFERROR(VLOOKUP('Customer Info'!A1893,'Customer Info'!A1893:E2392,5,FALSE),"Not Found")</f>
        <v>Not Found</v>
      </c>
      <c r="J1901" s="2">
        <v>1125</v>
      </c>
      <c r="K1901" s="2">
        <v>1040</v>
      </c>
      <c r="L1901" s="2">
        <v>2</v>
      </c>
      <c r="M1901" s="7">
        <f t="shared" si="145"/>
        <v>2080</v>
      </c>
      <c r="N1901" s="7">
        <f t="shared" si="146"/>
        <v>2250</v>
      </c>
      <c r="O1901" s="2">
        <v>71</v>
      </c>
      <c r="P1901" s="8">
        <f t="shared" si="147"/>
        <v>2321</v>
      </c>
      <c r="Q1901" s="8">
        <f t="shared" si="148"/>
        <v>1210</v>
      </c>
      <c r="R1901" s="2" t="s">
        <v>28</v>
      </c>
      <c r="S1901" s="9">
        <f t="shared" si="149"/>
        <v>46.42</v>
      </c>
    </row>
    <row r="1902" spans="1:19" x14ac:dyDescent="0.3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str">
        <f>IFERROR(VLOOKUP('Customer Info'!A1894,'Customer Info'!A1894:C2393,2,FALSE),"Not Found")</f>
        <v>Not Found</v>
      </c>
      <c r="H1902" s="6" t="str">
        <f>IFERROR(VLOOKUP('Customer Info'!A1894,'Customer Info'!A1894:C2393,3,FALSE),"Not Found")</f>
        <v>Not Found</v>
      </c>
      <c r="I1902" s="6" t="str">
        <f>IFERROR(VLOOKUP('Customer Info'!A1894,'Customer Info'!A1894:E2393,5,FALSE),"Not Found")</f>
        <v>Not Found</v>
      </c>
      <c r="J1902" s="2">
        <v>8202</v>
      </c>
      <c r="K1902" s="2">
        <v>7594</v>
      </c>
      <c r="L1902" s="2">
        <v>4</v>
      </c>
      <c r="M1902" s="7">
        <f t="shared" si="145"/>
        <v>30376</v>
      </c>
      <c r="N1902" s="7">
        <f t="shared" si="146"/>
        <v>32808</v>
      </c>
      <c r="O1902" s="2">
        <v>56</v>
      </c>
      <c r="P1902" s="8">
        <f t="shared" si="147"/>
        <v>32864</v>
      </c>
      <c r="Q1902" s="8">
        <f t="shared" si="148"/>
        <v>25214</v>
      </c>
      <c r="R1902" s="2" t="s">
        <v>50</v>
      </c>
      <c r="S1902" s="9">
        <f t="shared" si="149"/>
        <v>2300.48</v>
      </c>
    </row>
    <row r="1903" spans="1:19" x14ac:dyDescent="0.3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str">
        <f>IFERROR(VLOOKUP('Customer Info'!A1895,'Customer Info'!A1895:C2394,2,FALSE),"Not Found")</f>
        <v>Not Found</v>
      </c>
      <c r="H1903" s="6" t="str">
        <f>IFERROR(VLOOKUP('Customer Info'!A1895,'Customer Info'!A1895:C2394,3,FALSE),"Not Found")</f>
        <v>Not Found</v>
      </c>
      <c r="I1903" s="6" t="str">
        <f>IFERROR(VLOOKUP('Customer Info'!A1895,'Customer Info'!A1895:E2394,5,FALSE),"Not Found")</f>
        <v>Not Found</v>
      </c>
      <c r="J1903" s="2">
        <v>148</v>
      </c>
      <c r="K1903" s="2">
        <v>136</v>
      </c>
      <c r="L1903" s="2">
        <v>4</v>
      </c>
      <c r="M1903" s="7">
        <f t="shared" si="145"/>
        <v>544</v>
      </c>
      <c r="N1903" s="7">
        <f t="shared" si="146"/>
        <v>592</v>
      </c>
      <c r="O1903" s="2">
        <v>30</v>
      </c>
      <c r="P1903" s="8">
        <f t="shared" si="147"/>
        <v>622</v>
      </c>
      <c r="Q1903" s="8">
        <f t="shared" si="148"/>
        <v>456</v>
      </c>
      <c r="R1903" s="2" t="s">
        <v>28</v>
      </c>
      <c r="S1903" s="9">
        <f t="shared" si="149"/>
        <v>12.44</v>
      </c>
    </row>
    <row r="1904" spans="1:19" x14ac:dyDescent="0.3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str">
        <f>IFERROR(VLOOKUP('Customer Info'!A1896,'Customer Info'!A1896:C2395,2,FALSE),"Not Found")</f>
        <v>Not Found</v>
      </c>
      <c r="H1904" s="6" t="str">
        <f>IFERROR(VLOOKUP('Customer Info'!A1896,'Customer Info'!A1896:C2395,3,FALSE),"Not Found")</f>
        <v>Not Found</v>
      </c>
      <c r="I1904" s="6" t="str">
        <f>IFERROR(VLOOKUP('Customer Info'!A1896,'Customer Info'!A1896:E2395,5,FALSE),"Not Found")</f>
        <v>Not Found</v>
      </c>
      <c r="J1904" s="2">
        <v>1533</v>
      </c>
      <c r="K1904" s="2">
        <v>1406</v>
      </c>
      <c r="L1904" s="2">
        <v>3</v>
      </c>
      <c r="M1904" s="7">
        <f t="shared" si="145"/>
        <v>4218</v>
      </c>
      <c r="N1904" s="7">
        <f t="shared" si="146"/>
        <v>4599</v>
      </c>
      <c r="O1904" s="2">
        <v>75</v>
      </c>
      <c r="P1904" s="8">
        <f t="shared" si="147"/>
        <v>4674</v>
      </c>
      <c r="Q1904" s="8">
        <f t="shared" si="148"/>
        <v>3193</v>
      </c>
      <c r="R1904" s="2" t="s">
        <v>28</v>
      </c>
      <c r="S1904" s="9">
        <f t="shared" si="149"/>
        <v>93.48</v>
      </c>
    </row>
    <row r="1905" spans="1:19" x14ac:dyDescent="0.3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str">
        <f>IFERROR(VLOOKUP('Customer Info'!A1897,'Customer Info'!A1897:C2396,2,FALSE),"Not Found")</f>
        <v>Not Found</v>
      </c>
      <c r="H1905" s="6" t="str">
        <f>IFERROR(VLOOKUP('Customer Info'!A1897,'Customer Info'!A1897:C2396,3,FALSE),"Not Found")</f>
        <v>Not Found</v>
      </c>
      <c r="I1905" s="6" t="str">
        <f>IFERROR(VLOOKUP('Customer Info'!A1897,'Customer Info'!A1897:E2396,5,FALSE),"Not Found")</f>
        <v>Not Found</v>
      </c>
      <c r="J1905" s="2">
        <v>1372</v>
      </c>
      <c r="K1905" s="2">
        <v>1308</v>
      </c>
      <c r="L1905" s="2">
        <v>1</v>
      </c>
      <c r="M1905" s="7">
        <f t="shared" si="145"/>
        <v>1308</v>
      </c>
      <c r="N1905" s="7">
        <f t="shared" si="146"/>
        <v>1372</v>
      </c>
      <c r="O1905" s="2">
        <v>21</v>
      </c>
      <c r="P1905" s="8">
        <f t="shared" si="147"/>
        <v>1393</v>
      </c>
      <c r="Q1905" s="8">
        <f t="shared" si="148"/>
        <v>64</v>
      </c>
      <c r="R1905" s="2" t="s">
        <v>26</v>
      </c>
      <c r="S1905" s="9">
        <f t="shared" si="149"/>
        <v>27.86</v>
      </c>
    </row>
    <row r="1906" spans="1:19" x14ac:dyDescent="0.3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str">
        <f>IFERROR(VLOOKUP('Customer Info'!A1898,'Customer Info'!A1898:C2397,2,FALSE),"Not Found")</f>
        <v>Not Found</v>
      </c>
      <c r="H1906" s="6" t="str">
        <f>IFERROR(VLOOKUP('Customer Info'!A1898,'Customer Info'!A1898:C2397,3,FALSE),"Not Found")</f>
        <v>Not Found</v>
      </c>
      <c r="I1906" s="6" t="str">
        <f>IFERROR(VLOOKUP('Customer Info'!A1898,'Customer Info'!A1898:E2397,5,FALSE),"Not Found")</f>
        <v>Not Found</v>
      </c>
      <c r="J1906" s="2">
        <v>27691</v>
      </c>
      <c r="K1906" s="2">
        <v>25616</v>
      </c>
      <c r="L1906" s="2">
        <v>2</v>
      </c>
      <c r="M1906" s="7">
        <f t="shared" si="145"/>
        <v>51232</v>
      </c>
      <c r="N1906" s="7">
        <f t="shared" si="146"/>
        <v>55382</v>
      </c>
      <c r="O1906" s="2">
        <v>69</v>
      </c>
      <c r="P1906" s="8">
        <f t="shared" si="147"/>
        <v>55451</v>
      </c>
      <c r="Q1906" s="8">
        <f t="shared" si="148"/>
        <v>29766</v>
      </c>
      <c r="R1906" s="2" t="s">
        <v>28</v>
      </c>
      <c r="S1906" s="9">
        <f t="shared" si="149"/>
        <v>4990.59</v>
      </c>
    </row>
    <row r="1907" spans="1:19" x14ac:dyDescent="0.3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str">
        <f>IFERROR(VLOOKUP('Customer Info'!A1899,'Customer Info'!A1899:C2398,2,FALSE),"Not Found")</f>
        <v>Not Found</v>
      </c>
      <c r="H1907" s="6" t="str">
        <f>IFERROR(VLOOKUP('Customer Info'!A1899,'Customer Info'!A1899:C2398,3,FALSE),"Not Found")</f>
        <v>Not Found</v>
      </c>
      <c r="I1907" s="6" t="str">
        <f>IFERROR(VLOOKUP('Customer Info'!A1899,'Customer Info'!A1899:E2398,5,FALSE),"Not Found")</f>
        <v>Not Found</v>
      </c>
      <c r="J1907" s="2">
        <v>1605</v>
      </c>
      <c r="K1907" s="2">
        <v>1487</v>
      </c>
      <c r="L1907" s="2">
        <v>6</v>
      </c>
      <c r="M1907" s="7">
        <f t="shared" si="145"/>
        <v>8922</v>
      </c>
      <c r="N1907" s="7">
        <f t="shared" si="146"/>
        <v>9630</v>
      </c>
      <c r="O1907" s="2">
        <v>27</v>
      </c>
      <c r="P1907" s="8">
        <f t="shared" si="147"/>
        <v>9657</v>
      </c>
      <c r="Q1907" s="8">
        <f t="shared" si="148"/>
        <v>8143</v>
      </c>
      <c r="R1907" s="2" t="s">
        <v>50</v>
      </c>
      <c r="S1907" s="9">
        <f t="shared" si="149"/>
        <v>482.85</v>
      </c>
    </row>
    <row r="1908" spans="1:19" x14ac:dyDescent="0.3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str">
        <f>IFERROR(VLOOKUP('Customer Info'!A1900,'Customer Info'!A1900:C2399,2,FALSE),"Not Found")</f>
        <v>Not Found</v>
      </c>
      <c r="H1908" s="6" t="str">
        <f>IFERROR(VLOOKUP('Customer Info'!A1900,'Customer Info'!A1900:C2399,3,FALSE),"Not Found")</f>
        <v>Not Found</v>
      </c>
      <c r="I1908" s="6" t="str">
        <f>IFERROR(VLOOKUP('Customer Info'!A1900,'Customer Info'!A1900:E2399,5,FALSE),"Not Found")</f>
        <v>Not Found</v>
      </c>
      <c r="J1908" s="2">
        <v>474</v>
      </c>
      <c r="K1908" s="2">
        <v>443</v>
      </c>
      <c r="L1908" s="2">
        <v>3</v>
      </c>
      <c r="M1908" s="7">
        <f t="shared" si="145"/>
        <v>1329</v>
      </c>
      <c r="N1908" s="7">
        <f t="shared" si="146"/>
        <v>1422</v>
      </c>
      <c r="O1908" s="2">
        <v>26</v>
      </c>
      <c r="P1908" s="8">
        <f t="shared" si="147"/>
        <v>1448</v>
      </c>
      <c r="Q1908" s="8">
        <f t="shared" si="148"/>
        <v>979</v>
      </c>
      <c r="R1908" s="2" t="s">
        <v>28</v>
      </c>
      <c r="S1908" s="9">
        <f t="shared" si="149"/>
        <v>28.96</v>
      </c>
    </row>
    <row r="1909" spans="1:19" x14ac:dyDescent="0.3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str">
        <f>IFERROR(VLOOKUP('Customer Info'!A1901,'Customer Info'!A1901:C2400,2,FALSE),"Not Found")</f>
        <v>Not Found</v>
      </c>
      <c r="H1909" s="6" t="str">
        <f>IFERROR(VLOOKUP('Customer Info'!A1901,'Customer Info'!A1901:C2400,3,FALSE),"Not Found")</f>
        <v>Not Found</v>
      </c>
      <c r="I1909" s="6" t="str">
        <f>IFERROR(VLOOKUP('Customer Info'!A1901,'Customer Info'!A1901:E2400,5,FALSE),"Not Found")</f>
        <v>Not Found</v>
      </c>
      <c r="J1909" s="2">
        <v>2627</v>
      </c>
      <c r="K1909" s="2">
        <v>2528</v>
      </c>
      <c r="L1909" s="2">
        <v>1</v>
      </c>
      <c r="M1909" s="7">
        <f t="shared" si="145"/>
        <v>2528</v>
      </c>
      <c r="N1909" s="7">
        <f t="shared" si="146"/>
        <v>2627</v>
      </c>
      <c r="O1909" s="2">
        <v>95</v>
      </c>
      <c r="P1909" s="8">
        <f t="shared" si="147"/>
        <v>2722</v>
      </c>
      <c r="Q1909" s="8">
        <f t="shared" si="148"/>
        <v>99</v>
      </c>
      <c r="R1909" s="2" t="s">
        <v>28</v>
      </c>
      <c r="S1909" s="9">
        <f t="shared" si="149"/>
        <v>54.44</v>
      </c>
    </row>
    <row r="1910" spans="1:19" x14ac:dyDescent="0.3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str">
        <f>IFERROR(VLOOKUP('Customer Info'!A1902,'Customer Info'!A1902:C2401,2,FALSE),"Not Found")</f>
        <v>Not Found</v>
      </c>
      <c r="H1910" s="6" t="str">
        <f>IFERROR(VLOOKUP('Customer Info'!A1902,'Customer Info'!A1902:C2401,3,FALSE),"Not Found")</f>
        <v>Not Found</v>
      </c>
      <c r="I1910" s="6" t="str">
        <f>IFERROR(VLOOKUP('Customer Info'!A1902,'Customer Info'!A1902:E2401,5,FALSE),"Not Found")</f>
        <v>Not Found</v>
      </c>
      <c r="J1910" s="2">
        <v>1859</v>
      </c>
      <c r="K1910" s="2">
        <v>1755</v>
      </c>
      <c r="L1910" s="2">
        <v>8</v>
      </c>
      <c r="M1910" s="7">
        <f t="shared" si="145"/>
        <v>14040</v>
      </c>
      <c r="N1910" s="7">
        <f t="shared" si="146"/>
        <v>14872</v>
      </c>
      <c r="O1910" s="2">
        <v>28</v>
      </c>
      <c r="P1910" s="8">
        <f t="shared" si="147"/>
        <v>14900</v>
      </c>
      <c r="Q1910" s="8">
        <f t="shared" si="148"/>
        <v>13117</v>
      </c>
      <c r="R1910" s="2" t="s">
        <v>28</v>
      </c>
      <c r="S1910" s="9">
        <f t="shared" si="149"/>
        <v>745</v>
      </c>
    </row>
    <row r="1911" spans="1:19" x14ac:dyDescent="0.3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str">
        <f>IFERROR(VLOOKUP('Customer Info'!A1903,'Customer Info'!A1903:C2402,2,FALSE),"Not Found")</f>
        <v>Not Found</v>
      </c>
      <c r="H1911" s="6" t="str">
        <f>IFERROR(VLOOKUP('Customer Info'!A1903,'Customer Info'!A1903:C2402,3,FALSE),"Not Found")</f>
        <v>Not Found</v>
      </c>
      <c r="I1911" s="6" t="str">
        <f>IFERROR(VLOOKUP('Customer Info'!A1903,'Customer Info'!A1903:E2402,5,FALSE),"Not Found")</f>
        <v>Not Found</v>
      </c>
      <c r="J1911" s="2">
        <v>139</v>
      </c>
      <c r="K1911" s="2">
        <v>133</v>
      </c>
      <c r="L1911" s="2">
        <v>3</v>
      </c>
      <c r="M1911" s="7">
        <f t="shared" si="145"/>
        <v>399</v>
      </c>
      <c r="N1911" s="7">
        <f t="shared" si="146"/>
        <v>417</v>
      </c>
      <c r="O1911" s="2">
        <v>30</v>
      </c>
      <c r="P1911" s="8">
        <f t="shared" si="147"/>
        <v>447</v>
      </c>
      <c r="Q1911" s="8">
        <f t="shared" si="148"/>
        <v>284</v>
      </c>
      <c r="R1911" s="2" t="s">
        <v>28</v>
      </c>
      <c r="S1911" s="9">
        <f t="shared" si="149"/>
        <v>8.94</v>
      </c>
    </row>
    <row r="1912" spans="1:19" x14ac:dyDescent="0.3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str">
        <f>IFERROR(VLOOKUP('Customer Info'!A1904,'Customer Info'!A1904:C2403,2,FALSE),"Not Found")</f>
        <v>Not Found</v>
      </c>
      <c r="H1912" s="6" t="str">
        <f>IFERROR(VLOOKUP('Customer Info'!A1904,'Customer Info'!A1904:C2403,3,FALSE),"Not Found")</f>
        <v>Not Found</v>
      </c>
      <c r="I1912" s="6" t="str">
        <f>IFERROR(VLOOKUP('Customer Info'!A1904,'Customer Info'!A1904:E2403,5,FALSE),"Not Found")</f>
        <v>Not Found</v>
      </c>
      <c r="J1912" s="2">
        <v>1790</v>
      </c>
      <c r="K1912" s="2">
        <v>1706</v>
      </c>
      <c r="L1912" s="2">
        <v>4</v>
      </c>
      <c r="M1912" s="7">
        <f t="shared" si="145"/>
        <v>6824</v>
      </c>
      <c r="N1912" s="7">
        <f t="shared" si="146"/>
        <v>7160</v>
      </c>
      <c r="O1912" s="2">
        <v>94</v>
      </c>
      <c r="P1912" s="8">
        <f t="shared" si="147"/>
        <v>7254</v>
      </c>
      <c r="Q1912" s="8">
        <f t="shared" si="148"/>
        <v>5454</v>
      </c>
      <c r="R1912" s="2" t="s">
        <v>26</v>
      </c>
      <c r="S1912" s="9">
        <f t="shared" si="149"/>
        <v>362.70000000000005</v>
      </c>
    </row>
    <row r="1913" spans="1:19" x14ac:dyDescent="0.3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str">
        <f>IFERROR(VLOOKUP('Customer Info'!A1905,'Customer Info'!A1905:C2404,2,FALSE),"Not Found")</f>
        <v>Not Found</v>
      </c>
      <c r="H1913" s="6" t="str">
        <f>IFERROR(VLOOKUP('Customer Info'!A1905,'Customer Info'!A1905:C2404,3,FALSE),"Not Found")</f>
        <v>Not Found</v>
      </c>
      <c r="I1913" s="6" t="str">
        <f>IFERROR(VLOOKUP('Customer Info'!A1905,'Customer Info'!A1905:E2404,5,FALSE),"Not Found")</f>
        <v>Not Found</v>
      </c>
      <c r="J1913" s="2">
        <v>1405</v>
      </c>
      <c r="K1913" s="2">
        <v>1287</v>
      </c>
      <c r="L1913" s="2">
        <v>4</v>
      </c>
      <c r="M1913" s="7">
        <f t="shared" si="145"/>
        <v>5148</v>
      </c>
      <c r="N1913" s="7">
        <f t="shared" si="146"/>
        <v>5620</v>
      </c>
      <c r="O1913" s="2">
        <v>48</v>
      </c>
      <c r="P1913" s="8">
        <f t="shared" si="147"/>
        <v>5668</v>
      </c>
      <c r="Q1913" s="8">
        <f t="shared" si="148"/>
        <v>4333</v>
      </c>
      <c r="R1913" s="2" t="s">
        <v>28</v>
      </c>
      <c r="S1913" s="9">
        <f t="shared" si="149"/>
        <v>283.40000000000003</v>
      </c>
    </row>
    <row r="1914" spans="1:19" x14ac:dyDescent="0.3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str">
        <f>IFERROR(VLOOKUP('Customer Info'!A1906,'Customer Info'!A1906:C2405,2,FALSE),"Not Found")</f>
        <v>Not Found</v>
      </c>
      <c r="H1914" s="6" t="str">
        <f>IFERROR(VLOOKUP('Customer Info'!A1906,'Customer Info'!A1906:C2405,3,FALSE),"Not Found")</f>
        <v>Not Found</v>
      </c>
      <c r="I1914" s="6" t="str">
        <f>IFERROR(VLOOKUP('Customer Info'!A1906,'Customer Info'!A1906:E2405,5,FALSE),"Not Found")</f>
        <v>Not Found</v>
      </c>
      <c r="J1914" s="2">
        <v>726</v>
      </c>
      <c r="K1914" s="2">
        <v>646</v>
      </c>
      <c r="L1914" s="2">
        <v>3</v>
      </c>
      <c r="M1914" s="7">
        <f t="shared" si="145"/>
        <v>1938</v>
      </c>
      <c r="N1914" s="7">
        <f t="shared" si="146"/>
        <v>2178</v>
      </c>
      <c r="O1914" s="2">
        <v>75</v>
      </c>
      <c r="P1914" s="8">
        <f t="shared" si="147"/>
        <v>2253</v>
      </c>
      <c r="Q1914" s="8">
        <f t="shared" si="148"/>
        <v>1532</v>
      </c>
      <c r="R1914" s="2" t="s">
        <v>28</v>
      </c>
      <c r="S1914" s="9">
        <f t="shared" si="149"/>
        <v>45.06</v>
      </c>
    </row>
    <row r="1915" spans="1:19" x14ac:dyDescent="0.3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str">
        <f>IFERROR(VLOOKUP('Customer Info'!A1907,'Customer Info'!A1907:C2406,2,FALSE),"Not Found")</f>
        <v>Not Found</v>
      </c>
      <c r="H1915" s="6" t="str">
        <f>IFERROR(VLOOKUP('Customer Info'!A1907,'Customer Info'!A1907:C2406,3,FALSE),"Not Found")</f>
        <v>Not Found</v>
      </c>
      <c r="I1915" s="6" t="str">
        <f>IFERROR(VLOOKUP('Customer Info'!A1907,'Customer Info'!A1907:E2406,5,FALSE),"Not Found")</f>
        <v>Not Found</v>
      </c>
      <c r="J1915" s="2">
        <v>2244</v>
      </c>
      <c r="K1915" s="2">
        <v>2143</v>
      </c>
      <c r="L1915" s="2">
        <v>1</v>
      </c>
      <c r="M1915" s="7">
        <f t="shared" si="145"/>
        <v>2143</v>
      </c>
      <c r="N1915" s="7">
        <f t="shared" si="146"/>
        <v>2244</v>
      </c>
      <c r="O1915" s="2">
        <v>39</v>
      </c>
      <c r="P1915" s="8">
        <f t="shared" si="147"/>
        <v>2283</v>
      </c>
      <c r="Q1915" s="8">
        <f t="shared" si="148"/>
        <v>101</v>
      </c>
      <c r="R1915" s="2" t="s">
        <v>50</v>
      </c>
      <c r="S1915" s="9">
        <f t="shared" si="149"/>
        <v>45.660000000000004</v>
      </c>
    </row>
    <row r="1916" spans="1:19" x14ac:dyDescent="0.3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str">
        <f>IFERROR(VLOOKUP('Customer Info'!A1908,'Customer Info'!A1908:C2407,2,FALSE),"Not Found")</f>
        <v>Not Found</v>
      </c>
      <c r="H1916" s="6" t="str">
        <f>IFERROR(VLOOKUP('Customer Info'!A1908,'Customer Info'!A1908:C2407,3,FALSE),"Not Found")</f>
        <v>Not Found</v>
      </c>
      <c r="I1916" s="6" t="str">
        <f>IFERROR(VLOOKUP('Customer Info'!A1908,'Customer Info'!A1908:E2407,5,FALSE),"Not Found")</f>
        <v>Not Found</v>
      </c>
      <c r="J1916" s="2">
        <v>7212</v>
      </c>
      <c r="K1916" s="2">
        <v>6737</v>
      </c>
      <c r="L1916" s="2">
        <v>1</v>
      </c>
      <c r="M1916" s="7">
        <f t="shared" si="145"/>
        <v>6737</v>
      </c>
      <c r="N1916" s="7">
        <f t="shared" si="146"/>
        <v>7212</v>
      </c>
      <c r="O1916" s="2">
        <v>24</v>
      </c>
      <c r="P1916" s="8">
        <f t="shared" si="147"/>
        <v>7236</v>
      </c>
      <c r="Q1916" s="8">
        <f t="shared" si="148"/>
        <v>475</v>
      </c>
      <c r="R1916" s="2" t="s">
        <v>50</v>
      </c>
      <c r="S1916" s="9">
        <f t="shared" si="149"/>
        <v>361.8</v>
      </c>
    </row>
    <row r="1917" spans="1:19" x14ac:dyDescent="0.3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str">
        <f>IFERROR(VLOOKUP('Customer Info'!A1909,'Customer Info'!A1909:C2408,2,FALSE),"Not Found")</f>
        <v>Not Found</v>
      </c>
      <c r="H1917" s="6" t="str">
        <f>IFERROR(VLOOKUP('Customer Info'!A1909,'Customer Info'!A1909:C2408,3,FALSE),"Not Found")</f>
        <v>Not Found</v>
      </c>
      <c r="I1917" s="6" t="str">
        <f>IFERROR(VLOOKUP('Customer Info'!A1909,'Customer Info'!A1909:E2408,5,FALSE),"Not Found")</f>
        <v>Not Found</v>
      </c>
      <c r="J1917" s="2">
        <v>1039</v>
      </c>
      <c r="K1917" s="2">
        <v>954</v>
      </c>
      <c r="L1917" s="2">
        <v>2</v>
      </c>
      <c r="M1917" s="7">
        <f t="shared" si="145"/>
        <v>1908</v>
      </c>
      <c r="N1917" s="7">
        <f t="shared" si="146"/>
        <v>2078</v>
      </c>
      <c r="O1917" s="2">
        <v>85</v>
      </c>
      <c r="P1917" s="8">
        <f t="shared" si="147"/>
        <v>2163</v>
      </c>
      <c r="Q1917" s="8">
        <f t="shared" si="148"/>
        <v>1124</v>
      </c>
      <c r="R1917" s="2" t="s">
        <v>28</v>
      </c>
      <c r="S1917" s="9">
        <f t="shared" si="149"/>
        <v>43.26</v>
      </c>
    </row>
    <row r="1918" spans="1:19" x14ac:dyDescent="0.3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str">
        <f>IFERROR(VLOOKUP('Customer Info'!A1910,'Customer Info'!A1910:C2409,2,FALSE),"Not Found")</f>
        <v>Not Found</v>
      </c>
      <c r="H1918" s="6" t="str">
        <f>IFERROR(VLOOKUP('Customer Info'!A1910,'Customer Info'!A1910:C2409,3,FALSE),"Not Found")</f>
        <v>Not Found</v>
      </c>
      <c r="I1918" s="6" t="str">
        <f>IFERROR(VLOOKUP('Customer Info'!A1910,'Customer Info'!A1910:E2409,5,FALSE),"Not Found")</f>
        <v>Not Found</v>
      </c>
      <c r="J1918" s="2">
        <v>8433</v>
      </c>
      <c r="K1918" s="2">
        <v>7801</v>
      </c>
      <c r="L1918" s="2">
        <v>4</v>
      </c>
      <c r="M1918" s="7">
        <f t="shared" si="145"/>
        <v>31204</v>
      </c>
      <c r="N1918" s="7">
        <f t="shared" si="146"/>
        <v>33732</v>
      </c>
      <c r="O1918" s="2">
        <v>34</v>
      </c>
      <c r="P1918" s="8">
        <f t="shared" si="147"/>
        <v>33766</v>
      </c>
      <c r="Q1918" s="8">
        <f t="shared" si="148"/>
        <v>25931</v>
      </c>
      <c r="R1918" s="2" t="s">
        <v>26</v>
      </c>
      <c r="S1918" s="9">
        <f t="shared" si="149"/>
        <v>2363.6200000000003</v>
      </c>
    </row>
    <row r="1919" spans="1:19" x14ac:dyDescent="0.3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str">
        <f>IFERROR(VLOOKUP('Customer Info'!A1911,'Customer Info'!A1911:C2410,2,FALSE),"Not Found")</f>
        <v>Not Found</v>
      </c>
      <c r="H1919" s="6" t="str">
        <f>IFERROR(VLOOKUP('Customer Info'!A1911,'Customer Info'!A1911:C2410,3,FALSE),"Not Found")</f>
        <v>Not Found</v>
      </c>
      <c r="I1919" s="6" t="str">
        <f>IFERROR(VLOOKUP('Customer Info'!A1911,'Customer Info'!A1911:E2410,5,FALSE),"Not Found")</f>
        <v>Not Found</v>
      </c>
      <c r="J1919" s="2">
        <v>92</v>
      </c>
      <c r="K1919" s="2">
        <v>82</v>
      </c>
      <c r="L1919" s="2">
        <v>1</v>
      </c>
      <c r="M1919" s="7">
        <f t="shared" si="145"/>
        <v>82</v>
      </c>
      <c r="N1919" s="7">
        <f t="shared" si="146"/>
        <v>92</v>
      </c>
      <c r="O1919" s="2">
        <v>10</v>
      </c>
      <c r="P1919" s="8">
        <f t="shared" si="147"/>
        <v>102</v>
      </c>
      <c r="Q1919" s="8">
        <f t="shared" si="148"/>
        <v>10</v>
      </c>
      <c r="R1919" s="2" t="s">
        <v>50</v>
      </c>
      <c r="S1919" s="9">
        <f t="shared" si="149"/>
        <v>2.04</v>
      </c>
    </row>
    <row r="1920" spans="1:19" x14ac:dyDescent="0.3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str">
        <f>IFERROR(VLOOKUP('Customer Info'!A1912,'Customer Info'!A1912:C2411,2,FALSE),"Not Found")</f>
        <v>Not Found</v>
      </c>
      <c r="H1920" s="6" t="str">
        <f>IFERROR(VLOOKUP('Customer Info'!A1912,'Customer Info'!A1912:C2411,3,FALSE),"Not Found")</f>
        <v>Not Found</v>
      </c>
      <c r="I1920" s="6" t="str">
        <f>IFERROR(VLOOKUP('Customer Info'!A1912,'Customer Info'!A1912:E2411,5,FALSE),"Not Found")</f>
        <v>Not Found</v>
      </c>
      <c r="J1920" s="2">
        <v>224</v>
      </c>
      <c r="K1920" s="2">
        <v>210</v>
      </c>
      <c r="L1920" s="2">
        <v>8</v>
      </c>
      <c r="M1920" s="7">
        <f t="shared" si="145"/>
        <v>1680</v>
      </c>
      <c r="N1920" s="7">
        <f t="shared" si="146"/>
        <v>1792</v>
      </c>
      <c r="O1920" s="2">
        <v>20</v>
      </c>
      <c r="P1920" s="8">
        <f t="shared" si="147"/>
        <v>1812</v>
      </c>
      <c r="Q1920" s="8">
        <f t="shared" si="148"/>
        <v>1582</v>
      </c>
      <c r="R1920" s="2" t="s">
        <v>50</v>
      </c>
      <c r="S1920" s="9">
        <f t="shared" si="149"/>
        <v>36.24</v>
      </c>
    </row>
    <row r="1921" spans="1:19" x14ac:dyDescent="0.3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str">
        <f>IFERROR(VLOOKUP('Customer Info'!A1913,'Customer Info'!A1913:C2412,2,FALSE),"Not Found")</f>
        <v>Not Found</v>
      </c>
      <c r="H1921" s="6" t="str">
        <f>IFERROR(VLOOKUP('Customer Info'!A1913,'Customer Info'!A1913:C2412,3,FALSE),"Not Found")</f>
        <v>Not Found</v>
      </c>
      <c r="I1921" s="6" t="str">
        <f>IFERROR(VLOOKUP('Customer Info'!A1913,'Customer Info'!A1913:E2412,5,FALSE),"Not Found")</f>
        <v>Not Found</v>
      </c>
      <c r="J1921" s="2">
        <v>1564</v>
      </c>
      <c r="K1921" s="2">
        <v>1420</v>
      </c>
      <c r="L1921" s="2">
        <v>2</v>
      </c>
      <c r="M1921" s="7">
        <f t="shared" si="145"/>
        <v>2840</v>
      </c>
      <c r="N1921" s="7">
        <f t="shared" si="146"/>
        <v>3128</v>
      </c>
      <c r="O1921" s="2">
        <v>35</v>
      </c>
      <c r="P1921" s="8">
        <f t="shared" si="147"/>
        <v>3163</v>
      </c>
      <c r="Q1921" s="8">
        <f t="shared" si="148"/>
        <v>1708</v>
      </c>
      <c r="R1921" s="2" t="s">
        <v>28</v>
      </c>
      <c r="S1921" s="9">
        <f t="shared" si="149"/>
        <v>63.26</v>
      </c>
    </row>
    <row r="1922" spans="1:19" x14ac:dyDescent="0.3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str">
        <f>IFERROR(VLOOKUP('Customer Info'!A1914,'Customer Info'!A1914:C2413,2,FALSE),"Not Found")</f>
        <v>Not Found</v>
      </c>
      <c r="H1922" s="6" t="str">
        <f>IFERROR(VLOOKUP('Customer Info'!A1914,'Customer Info'!A1914:C2413,3,FALSE),"Not Found")</f>
        <v>Not Found</v>
      </c>
      <c r="I1922" s="6" t="str">
        <f>IFERROR(VLOOKUP('Customer Info'!A1914,'Customer Info'!A1914:E2413,5,FALSE),"Not Found")</f>
        <v>Not Found</v>
      </c>
      <c r="J1922" s="2">
        <v>1574</v>
      </c>
      <c r="K1922" s="2">
        <v>1458</v>
      </c>
      <c r="L1922" s="2">
        <v>4</v>
      </c>
      <c r="M1922" s="7">
        <f t="shared" si="145"/>
        <v>5832</v>
      </c>
      <c r="N1922" s="7">
        <f t="shared" si="146"/>
        <v>6296</v>
      </c>
      <c r="O1922" s="2">
        <v>52</v>
      </c>
      <c r="P1922" s="8">
        <f t="shared" si="147"/>
        <v>6348</v>
      </c>
      <c r="Q1922" s="8">
        <f t="shared" si="148"/>
        <v>4838</v>
      </c>
      <c r="R1922" s="2" t="s">
        <v>28</v>
      </c>
      <c r="S1922" s="9">
        <f t="shared" si="149"/>
        <v>317.40000000000003</v>
      </c>
    </row>
    <row r="1923" spans="1:19" x14ac:dyDescent="0.3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str">
        <f>IFERROR(VLOOKUP('Customer Info'!A1915,'Customer Info'!A1915:C2414,2,FALSE),"Not Found")</f>
        <v>Not Found</v>
      </c>
      <c r="H1923" s="6" t="str">
        <f>IFERROR(VLOOKUP('Customer Info'!A1915,'Customer Info'!A1915:C2414,3,FALSE),"Not Found")</f>
        <v>Not Found</v>
      </c>
      <c r="I1923" s="6" t="str">
        <f>IFERROR(VLOOKUP('Customer Info'!A1915,'Customer Info'!A1915:E2414,5,FALSE),"Not Found")</f>
        <v>Not Found</v>
      </c>
      <c r="J1923" s="2">
        <v>7864</v>
      </c>
      <c r="K1923" s="2">
        <v>7563</v>
      </c>
      <c r="L1923" s="2">
        <v>1</v>
      </c>
      <c r="M1923" s="7">
        <f t="shared" si="145"/>
        <v>7563</v>
      </c>
      <c r="N1923" s="7">
        <f t="shared" si="146"/>
        <v>7864</v>
      </c>
      <c r="O1923" s="2">
        <v>47</v>
      </c>
      <c r="P1923" s="8">
        <f t="shared" si="147"/>
        <v>7911</v>
      </c>
      <c r="Q1923" s="8">
        <f t="shared" si="148"/>
        <v>301</v>
      </c>
      <c r="R1923" s="2" t="s">
        <v>28</v>
      </c>
      <c r="S1923" s="9">
        <f t="shared" si="149"/>
        <v>395.55</v>
      </c>
    </row>
    <row r="1924" spans="1:19" x14ac:dyDescent="0.3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str">
        <f>IFERROR(VLOOKUP('Customer Info'!A1916,'Customer Info'!A1916:C2415,2,FALSE),"Not Found")</f>
        <v>Not Found</v>
      </c>
      <c r="H1924" s="6" t="str">
        <f>IFERROR(VLOOKUP('Customer Info'!A1916,'Customer Info'!A1916:C2415,3,FALSE),"Not Found")</f>
        <v>Not Found</v>
      </c>
      <c r="I1924" s="6" t="str">
        <f>IFERROR(VLOOKUP('Customer Info'!A1916,'Customer Info'!A1916:E2415,5,FALSE),"Not Found")</f>
        <v>Not Found</v>
      </c>
      <c r="J1924" s="2">
        <v>38328</v>
      </c>
      <c r="K1924" s="2">
        <v>35164</v>
      </c>
      <c r="L1924" s="2">
        <v>3</v>
      </c>
      <c r="M1924" s="7">
        <f t="shared" si="145"/>
        <v>105492</v>
      </c>
      <c r="N1924" s="7">
        <f t="shared" si="146"/>
        <v>114984</v>
      </c>
      <c r="O1924" s="2">
        <v>71</v>
      </c>
      <c r="P1924" s="8">
        <f t="shared" si="147"/>
        <v>115055</v>
      </c>
      <c r="Q1924" s="8">
        <f t="shared" si="148"/>
        <v>79820</v>
      </c>
      <c r="R1924" s="2" t="s">
        <v>28</v>
      </c>
      <c r="S1924" s="9">
        <f t="shared" si="149"/>
        <v>13806.6</v>
      </c>
    </row>
    <row r="1925" spans="1:19" x14ac:dyDescent="0.3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str">
        <f>IFERROR(VLOOKUP('Customer Info'!A1917,'Customer Info'!A1917:C2416,2,FALSE),"Not Found")</f>
        <v>Not Found</v>
      </c>
      <c r="H1925" s="6" t="str">
        <f>IFERROR(VLOOKUP('Customer Info'!A1917,'Customer Info'!A1917:C2416,3,FALSE),"Not Found")</f>
        <v>Not Found</v>
      </c>
      <c r="I1925" s="6" t="str">
        <f>IFERROR(VLOOKUP('Customer Info'!A1917,'Customer Info'!A1917:E2416,5,FALSE),"Not Found")</f>
        <v>Not Found</v>
      </c>
      <c r="J1925" s="2">
        <v>1413</v>
      </c>
      <c r="K1925" s="2">
        <v>1334</v>
      </c>
      <c r="L1925" s="2">
        <v>1</v>
      </c>
      <c r="M1925" s="7">
        <f t="shared" si="145"/>
        <v>1334</v>
      </c>
      <c r="N1925" s="7">
        <f t="shared" si="146"/>
        <v>1413</v>
      </c>
      <c r="O1925" s="2">
        <v>70</v>
      </c>
      <c r="P1925" s="8">
        <f t="shared" si="147"/>
        <v>1483</v>
      </c>
      <c r="Q1925" s="8">
        <f t="shared" si="148"/>
        <v>79</v>
      </c>
      <c r="R1925" s="2" t="s">
        <v>50</v>
      </c>
      <c r="S1925" s="9">
        <f t="shared" si="149"/>
        <v>29.66</v>
      </c>
    </row>
    <row r="1926" spans="1:19" x14ac:dyDescent="0.3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str">
        <f>IFERROR(VLOOKUP('Customer Info'!A1918,'Customer Info'!A1918:C2417,2,FALSE),"Not Found")</f>
        <v>Not Found</v>
      </c>
      <c r="H1926" s="6" t="str">
        <f>IFERROR(VLOOKUP('Customer Info'!A1918,'Customer Info'!A1918:C2417,3,FALSE),"Not Found")</f>
        <v>Not Found</v>
      </c>
      <c r="I1926" s="6" t="str">
        <f>IFERROR(VLOOKUP('Customer Info'!A1918,'Customer Info'!A1918:E2417,5,FALSE),"Not Found")</f>
        <v>Not Found</v>
      </c>
      <c r="J1926" s="2">
        <v>6087</v>
      </c>
      <c r="K1926" s="2">
        <v>5808</v>
      </c>
      <c r="L1926" s="2">
        <v>2</v>
      </c>
      <c r="M1926" s="7">
        <f t="shared" si="145"/>
        <v>11616</v>
      </c>
      <c r="N1926" s="7">
        <f t="shared" si="146"/>
        <v>12174</v>
      </c>
      <c r="O1926" s="2">
        <v>51</v>
      </c>
      <c r="P1926" s="8">
        <f t="shared" si="147"/>
        <v>12225</v>
      </c>
      <c r="Q1926" s="8">
        <f t="shared" si="148"/>
        <v>6366</v>
      </c>
      <c r="R1926" s="2" t="s">
        <v>26</v>
      </c>
      <c r="S1926" s="9">
        <f t="shared" si="149"/>
        <v>611.25</v>
      </c>
    </row>
    <row r="1927" spans="1:19" x14ac:dyDescent="0.3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str">
        <f>IFERROR(VLOOKUP('Customer Info'!A1919,'Customer Info'!A1919:C2418,2,FALSE),"Not Found")</f>
        <v>Not Found</v>
      </c>
      <c r="H1927" s="6" t="str">
        <f>IFERROR(VLOOKUP('Customer Info'!A1919,'Customer Info'!A1919:C2418,3,FALSE),"Not Found")</f>
        <v>Not Found</v>
      </c>
      <c r="I1927" s="6" t="str">
        <f>IFERROR(VLOOKUP('Customer Info'!A1919,'Customer Info'!A1919:E2418,5,FALSE),"Not Found")</f>
        <v>Not Found</v>
      </c>
      <c r="J1927" s="2">
        <v>1882</v>
      </c>
      <c r="K1927" s="2">
        <v>1792</v>
      </c>
      <c r="L1927" s="2">
        <v>5</v>
      </c>
      <c r="M1927" s="7">
        <f t="shared" si="145"/>
        <v>8960</v>
      </c>
      <c r="N1927" s="7">
        <f t="shared" si="146"/>
        <v>9410</v>
      </c>
      <c r="O1927" s="2">
        <v>36</v>
      </c>
      <c r="P1927" s="8">
        <f t="shared" si="147"/>
        <v>9446</v>
      </c>
      <c r="Q1927" s="8">
        <f t="shared" si="148"/>
        <v>7618</v>
      </c>
      <c r="R1927" s="2" t="s">
        <v>26</v>
      </c>
      <c r="S1927" s="9">
        <f t="shared" si="149"/>
        <v>472.3</v>
      </c>
    </row>
    <row r="1928" spans="1:19" x14ac:dyDescent="0.3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str">
        <f>IFERROR(VLOOKUP('Customer Info'!A1920,'Customer Info'!A1920:C2419,2,FALSE),"Not Found")</f>
        <v>Not Found</v>
      </c>
      <c r="H1928" s="6" t="str">
        <f>IFERROR(VLOOKUP('Customer Info'!A1920,'Customer Info'!A1920:C2419,3,FALSE),"Not Found")</f>
        <v>Not Found</v>
      </c>
      <c r="I1928" s="6" t="str">
        <f>IFERROR(VLOOKUP('Customer Info'!A1920,'Customer Info'!A1920:E2419,5,FALSE),"Not Found")</f>
        <v>Not Found</v>
      </c>
      <c r="J1928" s="2">
        <v>206</v>
      </c>
      <c r="K1928" s="2">
        <v>189</v>
      </c>
      <c r="L1928" s="2">
        <v>2</v>
      </c>
      <c r="M1928" s="7">
        <f t="shared" si="145"/>
        <v>378</v>
      </c>
      <c r="N1928" s="7">
        <f t="shared" si="146"/>
        <v>412</v>
      </c>
      <c r="O1928" s="2">
        <v>30</v>
      </c>
      <c r="P1928" s="8">
        <f t="shared" si="147"/>
        <v>442</v>
      </c>
      <c r="Q1928" s="8">
        <f t="shared" si="148"/>
        <v>223</v>
      </c>
      <c r="R1928" s="2" t="s">
        <v>28</v>
      </c>
      <c r="S1928" s="9">
        <f t="shared" si="149"/>
        <v>8.84</v>
      </c>
    </row>
    <row r="1929" spans="1:19" x14ac:dyDescent="0.3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str">
        <f>IFERROR(VLOOKUP('Customer Info'!A1921,'Customer Info'!A1921:C2420,2,FALSE),"Not Found")</f>
        <v>Not Found</v>
      </c>
      <c r="H1929" s="6" t="str">
        <f>IFERROR(VLOOKUP('Customer Info'!A1921,'Customer Info'!A1921:C2420,3,FALSE),"Not Found")</f>
        <v>Not Found</v>
      </c>
      <c r="I1929" s="6" t="str">
        <f>IFERROR(VLOOKUP('Customer Info'!A1921,'Customer Info'!A1921:E2420,5,FALSE),"Not Found")</f>
        <v>Not Found</v>
      </c>
      <c r="J1929" s="2">
        <v>162</v>
      </c>
      <c r="K1929" s="2">
        <v>148</v>
      </c>
      <c r="L1929" s="2">
        <v>3</v>
      </c>
      <c r="M1929" s="7">
        <f t="shared" si="145"/>
        <v>444</v>
      </c>
      <c r="N1929" s="7">
        <f t="shared" si="146"/>
        <v>486</v>
      </c>
      <c r="O1929" s="2">
        <v>30</v>
      </c>
      <c r="P1929" s="8">
        <f t="shared" si="147"/>
        <v>516</v>
      </c>
      <c r="Q1929" s="8">
        <f t="shared" si="148"/>
        <v>338</v>
      </c>
      <c r="R1929" s="2" t="s">
        <v>28</v>
      </c>
      <c r="S1929" s="9">
        <f t="shared" si="149"/>
        <v>10.32</v>
      </c>
    </row>
    <row r="1930" spans="1:19" x14ac:dyDescent="0.3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str">
        <f>IFERROR(VLOOKUP('Customer Info'!A1922,'Customer Info'!A1922:C2421,2,FALSE),"Not Found")</f>
        <v>Not Found</v>
      </c>
      <c r="H1930" s="6" t="str">
        <f>IFERROR(VLOOKUP('Customer Info'!A1922,'Customer Info'!A1922:C2421,3,FALSE),"Not Found")</f>
        <v>Not Found</v>
      </c>
      <c r="I1930" s="6" t="str">
        <f>IFERROR(VLOOKUP('Customer Info'!A1922,'Customer Info'!A1922:E2421,5,FALSE),"Not Found")</f>
        <v>Not Found</v>
      </c>
      <c r="J1930" s="2">
        <v>1210</v>
      </c>
      <c r="K1930" s="2">
        <v>1164</v>
      </c>
      <c r="L1930" s="2">
        <v>7</v>
      </c>
      <c r="M1930" s="7">
        <f t="shared" si="145"/>
        <v>8148</v>
      </c>
      <c r="N1930" s="7">
        <f t="shared" si="146"/>
        <v>8470</v>
      </c>
      <c r="O1930" s="2">
        <v>25</v>
      </c>
      <c r="P1930" s="8">
        <f t="shared" si="147"/>
        <v>8495</v>
      </c>
      <c r="Q1930" s="8">
        <f t="shared" si="148"/>
        <v>7306</v>
      </c>
      <c r="R1930" s="2" t="s">
        <v>28</v>
      </c>
      <c r="S1930" s="9">
        <f t="shared" si="149"/>
        <v>424.75</v>
      </c>
    </row>
    <row r="1931" spans="1:19" x14ac:dyDescent="0.3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str">
        <f>IFERROR(VLOOKUP('Customer Info'!A1923,'Customer Info'!A1923:C2422,2,FALSE),"Not Found")</f>
        <v>Not Found</v>
      </c>
      <c r="H1931" s="6" t="str">
        <f>IFERROR(VLOOKUP('Customer Info'!A1923,'Customer Info'!A1923:C2422,3,FALSE),"Not Found")</f>
        <v>Not Found</v>
      </c>
      <c r="I1931" s="6" t="str">
        <f>IFERROR(VLOOKUP('Customer Info'!A1923,'Customer Info'!A1923:E2422,5,FALSE),"Not Found")</f>
        <v>Not Found</v>
      </c>
      <c r="J1931" s="2">
        <v>220</v>
      </c>
      <c r="K1931" s="2">
        <v>206</v>
      </c>
      <c r="L1931" s="2">
        <v>4</v>
      </c>
      <c r="M1931" s="7">
        <f t="shared" ref="M1931:M1994" si="150">$K1931*$L1931</f>
        <v>824</v>
      </c>
      <c r="N1931" s="7">
        <f t="shared" ref="N1931:N1994" si="151">$J1931*$L1931</f>
        <v>880</v>
      </c>
      <c r="O1931" s="2">
        <v>41</v>
      </c>
      <c r="P1931" s="8">
        <f t="shared" ref="P1931:P1994" si="152">$N1931+$O1931</f>
        <v>921</v>
      </c>
      <c r="Q1931" s="8">
        <f t="shared" ref="Q1931:Q1994" si="153">$N1931-$K1931</f>
        <v>674</v>
      </c>
      <c r="R1931" s="2" t="s">
        <v>28</v>
      </c>
      <c r="S1931" s="9">
        <f t="shared" ref="S1931:S1994" si="154" xml:space="preserve"> P1931 * VLOOKUP(P1931, $T$2:$U$6, 2, TRUE)</f>
        <v>18.420000000000002</v>
      </c>
    </row>
    <row r="1932" spans="1:19" x14ac:dyDescent="0.3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str">
        <f>IFERROR(VLOOKUP('Customer Info'!A1924,'Customer Info'!A1924:C2423,2,FALSE),"Not Found")</f>
        <v>Not Found</v>
      </c>
      <c r="H1932" s="6" t="str">
        <f>IFERROR(VLOOKUP('Customer Info'!A1924,'Customer Info'!A1924:C2423,3,FALSE),"Not Found")</f>
        <v>Not Found</v>
      </c>
      <c r="I1932" s="6" t="str">
        <f>IFERROR(VLOOKUP('Customer Info'!A1924,'Customer Info'!A1924:E2423,5,FALSE),"Not Found")</f>
        <v>Not Found</v>
      </c>
      <c r="J1932" s="2">
        <v>474</v>
      </c>
      <c r="K1932" s="2">
        <v>443</v>
      </c>
      <c r="L1932" s="2">
        <v>3</v>
      </c>
      <c r="M1932" s="7">
        <f t="shared" si="150"/>
        <v>1329</v>
      </c>
      <c r="N1932" s="7">
        <f t="shared" si="151"/>
        <v>1422</v>
      </c>
      <c r="O1932" s="2">
        <v>72</v>
      </c>
      <c r="P1932" s="8">
        <f t="shared" si="152"/>
        <v>1494</v>
      </c>
      <c r="Q1932" s="8">
        <f t="shared" si="153"/>
        <v>979</v>
      </c>
      <c r="R1932" s="2" t="s">
        <v>28</v>
      </c>
      <c r="S1932" s="9">
        <f t="shared" si="154"/>
        <v>29.88</v>
      </c>
    </row>
    <row r="1933" spans="1:19" x14ac:dyDescent="0.3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str">
        <f>IFERROR(VLOOKUP('Customer Info'!A1925,'Customer Info'!A1925:C2424,2,FALSE),"Not Found")</f>
        <v>Not Found</v>
      </c>
      <c r="H1933" s="6" t="str">
        <f>IFERROR(VLOOKUP('Customer Info'!A1925,'Customer Info'!A1925:C2424,3,FALSE),"Not Found")</f>
        <v>Not Found</v>
      </c>
      <c r="I1933" s="6" t="str">
        <f>IFERROR(VLOOKUP('Customer Info'!A1925,'Customer Info'!A1925:E2424,5,FALSE),"Not Found")</f>
        <v>Not Found</v>
      </c>
      <c r="J1933" s="2">
        <v>2242</v>
      </c>
      <c r="K1933" s="2">
        <v>2075</v>
      </c>
      <c r="L1933" s="2">
        <v>2</v>
      </c>
      <c r="M1933" s="7">
        <f t="shared" si="150"/>
        <v>4150</v>
      </c>
      <c r="N1933" s="7">
        <f t="shared" si="151"/>
        <v>4484</v>
      </c>
      <c r="O1933" s="2">
        <v>88</v>
      </c>
      <c r="P1933" s="8">
        <f t="shared" si="152"/>
        <v>4572</v>
      </c>
      <c r="Q1933" s="8">
        <f t="shared" si="153"/>
        <v>2409</v>
      </c>
      <c r="R1933" s="2" t="s">
        <v>26</v>
      </c>
      <c r="S1933" s="9">
        <f t="shared" si="154"/>
        <v>91.44</v>
      </c>
    </row>
    <row r="1934" spans="1:19" x14ac:dyDescent="0.3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str">
        <f>IFERROR(VLOOKUP('Customer Info'!A1926,'Customer Info'!A1926:C2425,2,FALSE),"Not Found")</f>
        <v>Not Found</v>
      </c>
      <c r="H1934" s="6" t="str">
        <f>IFERROR(VLOOKUP('Customer Info'!A1926,'Customer Info'!A1926:C2425,3,FALSE),"Not Found")</f>
        <v>Not Found</v>
      </c>
      <c r="I1934" s="6" t="str">
        <f>IFERROR(VLOOKUP('Customer Info'!A1926,'Customer Info'!A1926:E2425,5,FALSE),"Not Found")</f>
        <v>Not Found</v>
      </c>
      <c r="J1934" s="2">
        <v>36057</v>
      </c>
      <c r="K1934" s="2">
        <v>34028</v>
      </c>
      <c r="L1934" s="2">
        <v>2</v>
      </c>
      <c r="M1934" s="7">
        <f t="shared" si="150"/>
        <v>68056</v>
      </c>
      <c r="N1934" s="7">
        <f t="shared" si="151"/>
        <v>72114</v>
      </c>
      <c r="O1934" s="2">
        <v>68</v>
      </c>
      <c r="P1934" s="8">
        <f t="shared" si="152"/>
        <v>72182</v>
      </c>
      <c r="Q1934" s="8">
        <f t="shared" si="153"/>
        <v>38086</v>
      </c>
      <c r="R1934" s="2" t="s">
        <v>50</v>
      </c>
      <c r="S1934" s="9">
        <f t="shared" si="154"/>
        <v>6496.38</v>
      </c>
    </row>
    <row r="1935" spans="1:19" x14ac:dyDescent="0.3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str">
        <f>IFERROR(VLOOKUP('Customer Info'!A1927,'Customer Info'!A1927:C2426,2,FALSE),"Not Found")</f>
        <v>Not Found</v>
      </c>
      <c r="H1935" s="6" t="str">
        <f>IFERROR(VLOOKUP('Customer Info'!A1927,'Customer Info'!A1927:C2426,3,FALSE),"Not Found")</f>
        <v>Not Found</v>
      </c>
      <c r="I1935" s="6" t="str">
        <f>IFERROR(VLOOKUP('Customer Info'!A1927,'Customer Info'!A1927:E2426,5,FALSE),"Not Found")</f>
        <v>Not Found</v>
      </c>
      <c r="J1935" s="2">
        <v>2747</v>
      </c>
      <c r="K1935" s="2">
        <v>2545</v>
      </c>
      <c r="L1935" s="2">
        <v>1</v>
      </c>
      <c r="M1935" s="7">
        <f t="shared" si="150"/>
        <v>2545</v>
      </c>
      <c r="N1935" s="7">
        <f t="shared" si="151"/>
        <v>2747</v>
      </c>
      <c r="O1935" s="2">
        <v>38</v>
      </c>
      <c r="P1935" s="8">
        <f t="shared" si="152"/>
        <v>2785</v>
      </c>
      <c r="Q1935" s="8">
        <f t="shared" si="153"/>
        <v>202</v>
      </c>
      <c r="R1935" s="2" t="s">
        <v>28</v>
      </c>
      <c r="S1935" s="9">
        <f t="shared" si="154"/>
        <v>55.7</v>
      </c>
    </row>
    <row r="1936" spans="1:19" x14ac:dyDescent="0.3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str">
        <f>IFERROR(VLOOKUP('Customer Info'!A1928,'Customer Info'!A1928:C2427,2,FALSE),"Not Found")</f>
        <v>Not Found</v>
      </c>
      <c r="H1936" s="6" t="str">
        <f>IFERROR(VLOOKUP('Customer Info'!A1928,'Customer Info'!A1928:C2427,3,FALSE),"Not Found")</f>
        <v>Not Found</v>
      </c>
      <c r="I1936" s="6" t="str">
        <f>IFERROR(VLOOKUP('Customer Info'!A1928,'Customer Info'!A1928:E2427,5,FALSE),"Not Found")</f>
        <v>Not Found</v>
      </c>
      <c r="J1936" s="2">
        <v>167</v>
      </c>
      <c r="K1936" s="2">
        <v>155</v>
      </c>
      <c r="L1936" s="2">
        <v>3</v>
      </c>
      <c r="M1936" s="7">
        <f t="shared" si="150"/>
        <v>465</v>
      </c>
      <c r="N1936" s="7">
        <f t="shared" si="151"/>
        <v>501</v>
      </c>
      <c r="O1936" s="2">
        <v>30</v>
      </c>
      <c r="P1936" s="8">
        <f t="shared" si="152"/>
        <v>531</v>
      </c>
      <c r="Q1936" s="8">
        <f t="shared" si="153"/>
        <v>346</v>
      </c>
      <c r="R1936" s="2" t="s">
        <v>28</v>
      </c>
      <c r="S1936" s="9">
        <f t="shared" si="154"/>
        <v>10.620000000000001</v>
      </c>
    </row>
    <row r="1937" spans="1:19" x14ac:dyDescent="0.3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str">
        <f>IFERROR(VLOOKUP('Customer Info'!A1929,'Customer Info'!A1929:C2428,2,FALSE),"Not Found")</f>
        <v>Not Found</v>
      </c>
      <c r="H1937" s="6" t="str">
        <f>IFERROR(VLOOKUP('Customer Info'!A1929,'Customer Info'!A1929:C2428,3,FALSE),"Not Found")</f>
        <v>Not Found</v>
      </c>
      <c r="I1937" s="6" t="str">
        <f>IFERROR(VLOOKUP('Customer Info'!A1929,'Customer Info'!A1929:E2428,5,FALSE),"Not Found")</f>
        <v>Not Found</v>
      </c>
      <c r="J1937" s="2">
        <v>7021</v>
      </c>
      <c r="K1937" s="2">
        <v>6686</v>
      </c>
      <c r="L1937" s="2">
        <v>3</v>
      </c>
      <c r="M1937" s="7">
        <f t="shared" si="150"/>
        <v>20058</v>
      </c>
      <c r="N1937" s="7">
        <f t="shared" si="151"/>
        <v>21063</v>
      </c>
      <c r="O1937" s="2">
        <v>36</v>
      </c>
      <c r="P1937" s="8">
        <f t="shared" si="152"/>
        <v>21099</v>
      </c>
      <c r="Q1937" s="8">
        <f t="shared" si="153"/>
        <v>14377</v>
      </c>
      <c r="R1937" s="2" t="s">
        <v>50</v>
      </c>
      <c r="S1937" s="9">
        <f t="shared" si="154"/>
        <v>1054.95</v>
      </c>
    </row>
    <row r="1938" spans="1:19" x14ac:dyDescent="0.3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str">
        <f>IFERROR(VLOOKUP('Customer Info'!A1930,'Customer Info'!A1930:C2429,2,FALSE),"Not Found")</f>
        <v>Not Found</v>
      </c>
      <c r="H1938" s="6" t="str">
        <f>IFERROR(VLOOKUP('Customer Info'!A1930,'Customer Info'!A1930:C2429,3,FALSE),"Not Found")</f>
        <v>Not Found</v>
      </c>
      <c r="I1938" s="6" t="str">
        <f>IFERROR(VLOOKUP('Customer Info'!A1930,'Customer Info'!A1930:E2429,5,FALSE),"Not Found")</f>
        <v>Not Found</v>
      </c>
      <c r="J1938" s="2">
        <v>474</v>
      </c>
      <c r="K1938" s="2">
        <v>443</v>
      </c>
      <c r="L1938" s="2">
        <v>3</v>
      </c>
      <c r="M1938" s="7">
        <f t="shared" si="150"/>
        <v>1329</v>
      </c>
      <c r="N1938" s="7">
        <f t="shared" si="151"/>
        <v>1422</v>
      </c>
      <c r="O1938" s="2">
        <v>35</v>
      </c>
      <c r="P1938" s="8">
        <f t="shared" si="152"/>
        <v>1457</v>
      </c>
      <c r="Q1938" s="8">
        <f t="shared" si="153"/>
        <v>979</v>
      </c>
      <c r="R1938" s="2" t="s">
        <v>28</v>
      </c>
      <c r="S1938" s="9">
        <f t="shared" si="154"/>
        <v>29.14</v>
      </c>
    </row>
    <row r="1939" spans="1:19" x14ac:dyDescent="0.3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str">
        <f>IFERROR(VLOOKUP('Customer Info'!A1931,'Customer Info'!A1931:C2430,2,FALSE),"Not Found")</f>
        <v>Not Found</v>
      </c>
      <c r="H1939" s="6" t="str">
        <f>IFERROR(VLOOKUP('Customer Info'!A1931,'Customer Info'!A1931:C2430,3,FALSE),"Not Found")</f>
        <v>Not Found</v>
      </c>
      <c r="I1939" s="6" t="str">
        <f>IFERROR(VLOOKUP('Customer Info'!A1931,'Customer Info'!A1931:E2430,5,FALSE),"Not Found")</f>
        <v>Not Found</v>
      </c>
      <c r="J1939" s="2">
        <v>27691</v>
      </c>
      <c r="K1939" s="2">
        <v>25616</v>
      </c>
      <c r="L1939" s="2">
        <v>1</v>
      </c>
      <c r="M1939" s="7">
        <f t="shared" si="150"/>
        <v>25616</v>
      </c>
      <c r="N1939" s="7">
        <f t="shared" si="151"/>
        <v>27691</v>
      </c>
      <c r="O1939" s="2">
        <v>80</v>
      </c>
      <c r="P1939" s="8">
        <f t="shared" si="152"/>
        <v>27771</v>
      </c>
      <c r="Q1939" s="8">
        <f t="shared" si="153"/>
        <v>2075</v>
      </c>
      <c r="R1939" s="2" t="s">
        <v>28</v>
      </c>
      <c r="S1939" s="9">
        <f t="shared" si="154"/>
        <v>1943.9700000000003</v>
      </c>
    </row>
    <row r="1940" spans="1:19" x14ac:dyDescent="0.3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str">
        <f>IFERROR(VLOOKUP('Customer Info'!A1932,'Customer Info'!A1932:C2431,2,FALSE),"Not Found")</f>
        <v>Not Found</v>
      </c>
      <c r="H1940" s="6" t="str">
        <f>IFERROR(VLOOKUP('Customer Info'!A1932,'Customer Info'!A1932:C2431,3,FALSE),"Not Found")</f>
        <v>Not Found</v>
      </c>
      <c r="I1940" s="6" t="str">
        <f>IFERROR(VLOOKUP('Customer Info'!A1932,'Customer Info'!A1932:E2431,5,FALSE),"Not Found")</f>
        <v>Not Found</v>
      </c>
      <c r="J1940" s="2">
        <v>9033</v>
      </c>
      <c r="K1940" s="2">
        <v>8132</v>
      </c>
      <c r="L1940" s="2">
        <v>3</v>
      </c>
      <c r="M1940" s="7">
        <f t="shared" si="150"/>
        <v>24396</v>
      </c>
      <c r="N1940" s="7">
        <f t="shared" si="151"/>
        <v>27099</v>
      </c>
      <c r="O1940" s="2">
        <v>43</v>
      </c>
      <c r="P1940" s="8">
        <f t="shared" si="152"/>
        <v>27142</v>
      </c>
      <c r="Q1940" s="8">
        <f t="shared" si="153"/>
        <v>18967</v>
      </c>
      <c r="R1940" s="2" t="s">
        <v>28</v>
      </c>
      <c r="S1940" s="9">
        <f t="shared" si="154"/>
        <v>1899.9400000000003</v>
      </c>
    </row>
    <row r="1941" spans="1:19" x14ac:dyDescent="0.3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str">
        <f>IFERROR(VLOOKUP('Customer Info'!A1933,'Customer Info'!A1933:C2432,2,FALSE),"Not Found")</f>
        <v>Not Found</v>
      </c>
      <c r="H1941" s="6" t="str">
        <f>IFERROR(VLOOKUP('Customer Info'!A1933,'Customer Info'!A1933:C2432,3,FALSE),"Not Found")</f>
        <v>Not Found</v>
      </c>
      <c r="I1941" s="6" t="str">
        <f>IFERROR(VLOOKUP('Customer Info'!A1933,'Customer Info'!A1933:E2432,5,FALSE),"Not Found")</f>
        <v>Not Found</v>
      </c>
      <c r="J1941" s="2">
        <v>2551</v>
      </c>
      <c r="K1941" s="2">
        <v>2456</v>
      </c>
      <c r="L1941" s="2">
        <v>4</v>
      </c>
      <c r="M1941" s="7">
        <f t="shared" si="150"/>
        <v>9824</v>
      </c>
      <c r="N1941" s="7">
        <f t="shared" si="151"/>
        <v>10204</v>
      </c>
      <c r="O1941" s="2">
        <v>52</v>
      </c>
      <c r="P1941" s="8">
        <f t="shared" si="152"/>
        <v>10256</v>
      </c>
      <c r="Q1941" s="8">
        <f t="shared" si="153"/>
        <v>7748</v>
      </c>
      <c r="R1941" s="2" t="s">
        <v>28</v>
      </c>
      <c r="S1941" s="9">
        <f t="shared" si="154"/>
        <v>512.80000000000007</v>
      </c>
    </row>
    <row r="1942" spans="1:19" x14ac:dyDescent="0.3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str">
        <f>IFERROR(VLOOKUP('Customer Info'!A1934,'Customer Info'!A1934:C2433,2,FALSE),"Not Found")</f>
        <v>Not Found</v>
      </c>
      <c r="H1942" s="6" t="str">
        <f>IFERROR(VLOOKUP('Customer Info'!A1934,'Customer Info'!A1934:C2433,3,FALSE),"Not Found")</f>
        <v>Not Found</v>
      </c>
      <c r="I1942" s="6" t="str">
        <f>IFERROR(VLOOKUP('Customer Info'!A1934,'Customer Info'!A1934:E2433,5,FALSE),"Not Found")</f>
        <v>Not Found</v>
      </c>
      <c r="J1942" s="2">
        <v>135</v>
      </c>
      <c r="K1942" s="2">
        <v>129</v>
      </c>
      <c r="L1942" s="2">
        <v>3</v>
      </c>
      <c r="M1942" s="7">
        <f t="shared" si="150"/>
        <v>387</v>
      </c>
      <c r="N1942" s="7">
        <f t="shared" si="151"/>
        <v>405</v>
      </c>
      <c r="O1942" s="2">
        <v>30</v>
      </c>
      <c r="P1942" s="8">
        <f t="shared" si="152"/>
        <v>435</v>
      </c>
      <c r="Q1942" s="8">
        <f t="shared" si="153"/>
        <v>276</v>
      </c>
      <c r="R1942" s="2" t="s">
        <v>50</v>
      </c>
      <c r="S1942" s="9">
        <f t="shared" si="154"/>
        <v>8.7000000000000011</v>
      </c>
    </row>
    <row r="1943" spans="1:19" x14ac:dyDescent="0.3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str">
        <f>IFERROR(VLOOKUP('Customer Info'!A1935,'Customer Info'!A1935:C2434,2,FALSE),"Not Found")</f>
        <v>Not Found</v>
      </c>
      <c r="H1943" s="6" t="str">
        <f>IFERROR(VLOOKUP('Customer Info'!A1935,'Customer Info'!A1935:C2434,3,FALSE),"Not Found")</f>
        <v>Not Found</v>
      </c>
      <c r="I1943" s="6" t="str">
        <f>IFERROR(VLOOKUP('Customer Info'!A1935,'Customer Info'!A1935:E2434,5,FALSE),"Not Found")</f>
        <v>Not Found</v>
      </c>
      <c r="J1943" s="2">
        <v>9214</v>
      </c>
      <c r="K1943" s="2">
        <v>8295</v>
      </c>
      <c r="L1943" s="2">
        <v>1</v>
      </c>
      <c r="M1943" s="7">
        <f t="shared" si="150"/>
        <v>8295</v>
      </c>
      <c r="N1943" s="7">
        <f t="shared" si="151"/>
        <v>9214</v>
      </c>
      <c r="O1943" s="2">
        <v>78</v>
      </c>
      <c r="P1943" s="8">
        <f t="shared" si="152"/>
        <v>9292</v>
      </c>
      <c r="Q1943" s="8">
        <f t="shared" si="153"/>
        <v>919</v>
      </c>
      <c r="R1943" s="2" t="s">
        <v>50</v>
      </c>
      <c r="S1943" s="9">
        <f t="shared" si="154"/>
        <v>464.6</v>
      </c>
    </row>
    <row r="1944" spans="1:19" x14ac:dyDescent="0.3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str">
        <f>IFERROR(VLOOKUP('Customer Info'!A1936,'Customer Info'!A1936:C2435,2,FALSE),"Not Found")</f>
        <v>Not Found</v>
      </c>
      <c r="H1944" s="6" t="str">
        <f>IFERROR(VLOOKUP('Customer Info'!A1936,'Customer Info'!A1936:C2435,3,FALSE),"Not Found")</f>
        <v>Not Found</v>
      </c>
      <c r="I1944" s="6" t="str">
        <f>IFERROR(VLOOKUP('Customer Info'!A1936,'Customer Info'!A1936:E2435,5,FALSE),"Not Found")</f>
        <v>Not Found</v>
      </c>
      <c r="J1944" s="2">
        <v>145</v>
      </c>
      <c r="K1944" s="2">
        <v>130</v>
      </c>
      <c r="L1944" s="2">
        <v>5</v>
      </c>
      <c r="M1944" s="7">
        <f t="shared" si="150"/>
        <v>650</v>
      </c>
      <c r="N1944" s="7">
        <f t="shared" si="151"/>
        <v>725</v>
      </c>
      <c r="O1944" s="2">
        <v>30</v>
      </c>
      <c r="P1944" s="8">
        <f t="shared" si="152"/>
        <v>755</v>
      </c>
      <c r="Q1944" s="8">
        <f t="shared" si="153"/>
        <v>595</v>
      </c>
      <c r="R1944" s="2" t="s">
        <v>56</v>
      </c>
      <c r="S1944" s="9">
        <f t="shared" si="154"/>
        <v>15.1</v>
      </c>
    </row>
    <row r="1945" spans="1:19" x14ac:dyDescent="0.3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str">
        <f>IFERROR(VLOOKUP('Customer Info'!A1937,'Customer Info'!A1937:C2436,2,FALSE),"Not Found")</f>
        <v>Not Found</v>
      </c>
      <c r="H1945" s="6" t="str">
        <f>IFERROR(VLOOKUP('Customer Info'!A1937,'Customer Info'!A1937:C2436,3,FALSE),"Not Found")</f>
        <v>Not Found</v>
      </c>
      <c r="I1945" s="6" t="str">
        <f>IFERROR(VLOOKUP('Customer Info'!A1937,'Customer Info'!A1937:E2436,5,FALSE),"Not Found")</f>
        <v>Not Found</v>
      </c>
      <c r="J1945" s="2">
        <v>208</v>
      </c>
      <c r="K1945" s="2">
        <v>187</v>
      </c>
      <c r="L1945" s="2">
        <v>4</v>
      </c>
      <c r="M1945" s="7">
        <f t="shared" si="150"/>
        <v>748</v>
      </c>
      <c r="N1945" s="7">
        <f t="shared" si="151"/>
        <v>832</v>
      </c>
      <c r="O1945" s="2">
        <v>72</v>
      </c>
      <c r="P1945" s="8">
        <f t="shared" si="152"/>
        <v>904</v>
      </c>
      <c r="Q1945" s="8">
        <f t="shared" si="153"/>
        <v>645</v>
      </c>
      <c r="R1945" s="2" t="s">
        <v>28</v>
      </c>
      <c r="S1945" s="9">
        <f t="shared" si="154"/>
        <v>18.080000000000002</v>
      </c>
    </row>
    <row r="1946" spans="1:19" x14ac:dyDescent="0.3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str">
        <f>IFERROR(VLOOKUP('Customer Info'!A1938,'Customer Info'!A1938:C2437,2,FALSE),"Not Found")</f>
        <v>Not Found</v>
      </c>
      <c r="H1946" s="6" t="str">
        <f>IFERROR(VLOOKUP('Customer Info'!A1938,'Customer Info'!A1938:C2437,3,FALSE),"Not Found")</f>
        <v>Not Found</v>
      </c>
      <c r="I1946" s="6" t="str">
        <f>IFERROR(VLOOKUP('Customer Info'!A1938,'Customer Info'!A1938:E2437,5,FALSE),"Not Found")</f>
        <v>Not Found</v>
      </c>
      <c r="J1946" s="2">
        <v>2681</v>
      </c>
      <c r="K1946" s="2">
        <v>2458</v>
      </c>
      <c r="L1946" s="2">
        <v>2</v>
      </c>
      <c r="M1946" s="7">
        <f t="shared" si="150"/>
        <v>4916</v>
      </c>
      <c r="N1946" s="7">
        <f t="shared" si="151"/>
        <v>5362</v>
      </c>
      <c r="O1946" s="2">
        <v>60</v>
      </c>
      <c r="P1946" s="8">
        <f t="shared" si="152"/>
        <v>5422</v>
      </c>
      <c r="Q1946" s="8">
        <f t="shared" si="153"/>
        <v>2904</v>
      </c>
      <c r="R1946" s="2" t="s">
        <v>50</v>
      </c>
      <c r="S1946" s="9">
        <f t="shared" si="154"/>
        <v>271.10000000000002</v>
      </c>
    </row>
    <row r="1947" spans="1:19" x14ac:dyDescent="0.3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str">
        <f>IFERROR(VLOOKUP('Customer Info'!A1939,'Customer Info'!A1939:C2438,2,FALSE),"Not Found")</f>
        <v>Not Found</v>
      </c>
      <c r="H1947" s="6" t="str">
        <f>IFERROR(VLOOKUP('Customer Info'!A1939,'Customer Info'!A1939:C2438,3,FALSE),"Not Found")</f>
        <v>Not Found</v>
      </c>
      <c r="I1947" s="6" t="str">
        <f>IFERROR(VLOOKUP('Customer Info'!A1939,'Customer Info'!A1939:E2438,5,FALSE),"Not Found")</f>
        <v>Not Found</v>
      </c>
      <c r="J1947" s="2">
        <v>1772</v>
      </c>
      <c r="K1947" s="2">
        <v>1656</v>
      </c>
      <c r="L1947" s="2">
        <v>3</v>
      </c>
      <c r="M1947" s="7">
        <f t="shared" si="150"/>
        <v>4968</v>
      </c>
      <c r="N1947" s="7">
        <f t="shared" si="151"/>
        <v>5316</v>
      </c>
      <c r="O1947" s="2">
        <v>25</v>
      </c>
      <c r="P1947" s="8">
        <f t="shared" si="152"/>
        <v>5341</v>
      </c>
      <c r="Q1947" s="8">
        <f t="shared" si="153"/>
        <v>3660</v>
      </c>
      <c r="R1947" s="2" t="s">
        <v>50</v>
      </c>
      <c r="S1947" s="9">
        <f t="shared" si="154"/>
        <v>267.05</v>
      </c>
    </row>
    <row r="1948" spans="1:19" x14ac:dyDescent="0.3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str">
        <f>IFERROR(VLOOKUP('Customer Info'!A1940,'Customer Info'!A1940:C2439,2,FALSE),"Not Found")</f>
        <v>Not Found</v>
      </c>
      <c r="H1948" s="6" t="str">
        <f>IFERROR(VLOOKUP('Customer Info'!A1940,'Customer Info'!A1940:C2439,3,FALSE),"Not Found")</f>
        <v>Not Found</v>
      </c>
      <c r="I1948" s="6" t="str">
        <f>IFERROR(VLOOKUP('Customer Info'!A1940,'Customer Info'!A1940:E2439,5,FALSE),"Not Found")</f>
        <v>Not Found</v>
      </c>
      <c r="J1948" s="2">
        <v>2243</v>
      </c>
      <c r="K1948" s="2">
        <v>2000</v>
      </c>
      <c r="L1948" s="2">
        <v>4</v>
      </c>
      <c r="M1948" s="7">
        <f t="shared" si="150"/>
        <v>8000</v>
      </c>
      <c r="N1948" s="7">
        <f t="shared" si="151"/>
        <v>8972</v>
      </c>
      <c r="O1948" s="2">
        <v>40</v>
      </c>
      <c r="P1948" s="8">
        <f t="shared" si="152"/>
        <v>9012</v>
      </c>
      <c r="Q1948" s="8">
        <f t="shared" si="153"/>
        <v>6972</v>
      </c>
      <c r="R1948" s="2" t="s">
        <v>56</v>
      </c>
      <c r="S1948" s="9">
        <f t="shared" si="154"/>
        <v>450.6</v>
      </c>
    </row>
    <row r="1949" spans="1:19" x14ac:dyDescent="0.3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str">
        <f>IFERROR(VLOOKUP('Customer Info'!A1941,'Customer Info'!A1941:C2440,2,FALSE),"Not Found")</f>
        <v>Not Found</v>
      </c>
      <c r="H1949" s="6" t="str">
        <f>IFERROR(VLOOKUP('Customer Info'!A1941,'Customer Info'!A1941:C2440,3,FALSE),"Not Found")</f>
        <v>Not Found</v>
      </c>
      <c r="I1949" s="6" t="str">
        <f>IFERROR(VLOOKUP('Customer Info'!A1941,'Customer Info'!A1941:E2440,5,FALSE),"Not Found")</f>
        <v>Not Found</v>
      </c>
      <c r="J1949" s="2">
        <v>511</v>
      </c>
      <c r="K1949" s="2">
        <v>477</v>
      </c>
      <c r="L1949" s="2">
        <v>2</v>
      </c>
      <c r="M1949" s="7">
        <f t="shared" si="150"/>
        <v>954</v>
      </c>
      <c r="N1949" s="7">
        <f t="shared" si="151"/>
        <v>1022</v>
      </c>
      <c r="O1949" s="2">
        <v>70</v>
      </c>
      <c r="P1949" s="8">
        <f t="shared" si="152"/>
        <v>1092</v>
      </c>
      <c r="Q1949" s="8">
        <f t="shared" si="153"/>
        <v>545</v>
      </c>
      <c r="R1949" s="2" t="s">
        <v>28</v>
      </c>
      <c r="S1949" s="9">
        <f t="shared" si="154"/>
        <v>21.84</v>
      </c>
    </row>
    <row r="1950" spans="1:19" x14ac:dyDescent="0.3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str">
        <f>IFERROR(VLOOKUP('Customer Info'!A1942,'Customer Info'!A1942:C2441,2,FALSE),"Not Found")</f>
        <v>Not Found</v>
      </c>
      <c r="H1950" s="6" t="str">
        <f>IFERROR(VLOOKUP('Customer Info'!A1942,'Customer Info'!A1942:C2441,3,FALSE),"Not Found")</f>
        <v>Not Found</v>
      </c>
      <c r="I1950" s="6" t="str">
        <f>IFERROR(VLOOKUP('Customer Info'!A1942,'Customer Info'!A1942:E2441,5,FALSE),"Not Found")</f>
        <v>Not Found</v>
      </c>
      <c r="J1950" s="2">
        <v>809</v>
      </c>
      <c r="K1950" s="2">
        <v>770</v>
      </c>
      <c r="L1950" s="2">
        <v>3</v>
      </c>
      <c r="M1950" s="7">
        <f t="shared" si="150"/>
        <v>2310</v>
      </c>
      <c r="N1950" s="7">
        <f t="shared" si="151"/>
        <v>2427</v>
      </c>
      <c r="O1950" s="2">
        <v>74</v>
      </c>
      <c r="P1950" s="8">
        <f t="shared" si="152"/>
        <v>2501</v>
      </c>
      <c r="Q1950" s="8">
        <f t="shared" si="153"/>
        <v>1657</v>
      </c>
      <c r="R1950" s="2" t="s">
        <v>28</v>
      </c>
      <c r="S1950" s="9">
        <f t="shared" si="154"/>
        <v>50.02</v>
      </c>
    </row>
    <row r="1951" spans="1:19" x14ac:dyDescent="0.3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str">
        <f>IFERROR(VLOOKUP('Customer Info'!A1943,'Customer Info'!A1943:C2442,2,FALSE),"Not Found")</f>
        <v>Not Found</v>
      </c>
      <c r="H1951" s="6" t="str">
        <f>IFERROR(VLOOKUP('Customer Info'!A1943,'Customer Info'!A1943:C2442,3,FALSE),"Not Found")</f>
        <v>Not Found</v>
      </c>
      <c r="I1951" s="6" t="str">
        <f>IFERROR(VLOOKUP('Customer Info'!A1943,'Customer Info'!A1943:E2442,5,FALSE),"Not Found")</f>
        <v>Not Found</v>
      </c>
      <c r="J1951" s="2">
        <v>8781</v>
      </c>
      <c r="K1951" s="2">
        <v>7828</v>
      </c>
      <c r="L1951" s="2">
        <v>1</v>
      </c>
      <c r="M1951" s="7">
        <f t="shared" si="150"/>
        <v>7828</v>
      </c>
      <c r="N1951" s="7">
        <f t="shared" si="151"/>
        <v>8781</v>
      </c>
      <c r="O1951" s="2">
        <v>61</v>
      </c>
      <c r="P1951" s="8">
        <f t="shared" si="152"/>
        <v>8842</v>
      </c>
      <c r="Q1951" s="8">
        <f t="shared" si="153"/>
        <v>953</v>
      </c>
      <c r="R1951" s="2" t="s">
        <v>28</v>
      </c>
      <c r="S1951" s="9">
        <f t="shared" si="154"/>
        <v>442.1</v>
      </c>
    </row>
    <row r="1952" spans="1:19" x14ac:dyDescent="0.3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str">
        <f>IFERROR(VLOOKUP('Customer Info'!A1944,'Customer Info'!A1944:C2443,2,FALSE),"Not Found")</f>
        <v>Not Found</v>
      </c>
      <c r="H1952" s="6" t="str">
        <f>IFERROR(VLOOKUP('Customer Info'!A1944,'Customer Info'!A1944:C2443,3,FALSE),"Not Found")</f>
        <v>Not Found</v>
      </c>
      <c r="I1952" s="6" t="str">
        <f>IFERROR(VLOOKUP('Customer Info'!A1944,'Customer Info'!A1944:E2443,5,FALSE),"Not Found")</f>
        <v>Not Found</v>
      </c>
      <c r="J1952" s="2">
        <v>179</v>
      </c>
      <c r="K1952" s="2">
        <v>166</v>
      </c>
      <c r="L1952" s="2">
        <v>2</v>
      </c>
      <c r="M1952" s="7">
        <f t="shared" si="150"/>
        <v>332</v>
      </c>
      <c r="N1952" s="7">
        <f t="shared" si="151"/>
        <v>358</v>
      </c>
      <c r="O1952" s="2">
        <v>30</v>
      </c>
      <c r="P1952" s="8">
        <f t="shared" si="152"/>
        <v>388</v>
      </c>
      <c r="Q1952" s="8">
        <f t="shared" si="153"/>
        <v>192</v>
      </c>
      <c r="R1952" s="2" t="s">
        <v>50</v>
      </c>
      <c r="S1952" s="9">
        <f t="shared" si="154"/>
        <v>7.76</v>
      </c>
    </row>
    <row r="1953" spans="1:19" x14ac:dyDescent="0.3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str">
        <f>IFERROR(VLOOKUP('Customer Info'!A1945,'Customer Info'!A1945:C2444,2,FALSE),"Not Found")</f>
        <v>Not Found</v>
      </c>
      <c r="H1953" s="6" t="str">
        <f>IFERROR(VLOOKUP('Customer Info'!A1945,'Customer Info'!A1945:C2444,3,FALSE),"Not Found")</f>
        <v>Not Found</v>
      </c>
      <c r="I1953" s="6" t="str">
        <f>IFERROR(VLOOKUP('Customer Info'!A1945,'Customer Info'!A1945:E2444,5,FALSE),"Not Found")</f>
        <v>Not Found</v>
      </c>
      <c r="J1953" s="2">
        <v>7232</v>
      </c>
      <c r="K1953" s="2">
        <v>6753</v>
      </c>
      <c r="L1953" s="2">
        <v>1</v>
      </c>
      <c r="M1953" s="7">
        <f t="shared" si="150"/>
        <v>6753</v>
      </c>
      <c r="N1953" s="7">
        <f t="shared" si="151"/>
        <v>7232</v>
      </c>
      <c r="O1953" s="2">
        <v>54</v>
      </c>
      <c r="P1953" s="8">
        <f t="shared" si="152"/>
        <v>7286</v>
      </c>
      <c r="Q1953" s="8">
        <f t="shared" si="153"/>
        <v>479</v>
      </c>
      <c r="R1953" s="2" t="s">
        <v>28</v>
      </c>
      <c r="S1953" s="9">
        <f t="shared" si="154"/>
        <v>364.3</v>
      </c>
    </row>
    <row r="1954" spans="1:19" x14ac:dyDescent="0.3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str">
        <f>IFERROR(VLOOKUP('Customer Info'!A1946,'Customer Info'!A1946:C2445,2,FALSE),"Not Found")</f>
        <v>Not Found</v>
      </c>
      <c r="H1954" s="6" t="str">
        <f>IFERROR(VLOOKUP('Customer Info'!A1946,'Customer Info'!A1946:C2445,3,FALSE),"Not Found")</f>
        <v>Not Found</v>
      </c>
      <c r="I1954" s="6" t="str">
        <f>IFERROR(VLOOKUP('Customer Info'!A1946,'Customer Info'!A1946:E2445,5,FALSE),"Not Found")</f>
        <v>Not Found</v>
      </c>
      <c r="J1954" s="2">
        <v>7141</v>
      </c>
      <c r="K1954" s="2">
        <v>6541</v>
      </c>
      <c r="L1954" s="2">
        <v>2</v>
      </c>
      <c r="M1954" s="7">
        <f t="shared" si="150"/>
        <v>13082</v>
      </c>
      <c r="N1954" s="7">
        <f t="shared" si="151"/>
        <v>14282</v>
      </c>
      <c r="O1954" s="2">
        <v>58</v>
      </c>
      <c r="P1954" s="8">
        <f t="shared" si="152"/>
        <v>14340</v>
      </c>
      <c r="Q1954" s="8">
        <f t="shared" si="153"/>
        <v>7741</v>
      </c>
      <c r="R1954" s="2" t="s">
        <v>56</v>
      </c>
      <c r="S1954" s="9">
        <f t="shared" si="154"/>
        <v>717</v>
      </c>
    </row>
    <row r="1955" spans="1:19" x14ac:dyDescent="0.3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str">
        <f>IFERROR(VLOOKUP('Customer Info'!A1947,'Customer Info'!A1947:C2446,2,FALSE),"Not Found")</f>
        <v>Not Found</v>
      </c>
      <c r="H1955" s="6" t="str">
        <f>IFERROR(VLOOKUP('Customer Info'!A1947,'Customer Info'!A1947:C2446,3,FALSE),"Not Found")</f>
        <v>Not Found</v>
      </c>
      <c r="I1955" s="6" t="str">
        <f>IFERROR(VLOOKUP('Customer Info'!A1947,'Customer Info'!A1947:E2446,5,FALSE),"Not Found")</f>
        <v>Not Found</v>
      </c>
      <c r="J1955" s="2">
        <v>1859</v>
      </c>
      <c r="K1955" s="2">
        <v>1755</v>
      </c>
      <c r="L1955" s="2">
        <v>1</v>
      </c>
      <c r="M1955" s="7">
        <f t="shared" si="150"/>
        <v>1755</v>
      </c>
      <c r="N1955" s="7">
        <f t="shared" si="151"/>
        <v>1859</v>
      </c>
      <c r="O1955" s="2">
        <v>75</v>
      </c>
      <c r="P1955" s="8">
        <f t="shared" si="152"/>
        <v>1934</v>
      </c>
      <c r="Q1955" s="8">
        <f t="shared" si="153"/>
        <v>104</v>
      </c>
      <c r="R1955" s="2" t="s">
        <v>50</v>
      </c>
      <c r="S1955" s="9">
        <f t="shared" si="154"/>
        <v>38.68</v>
      </c>
    </row>
    <row r="1956" spans="1:19" x14ac:dyDescent="0.3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str">
        <f>IFERROR(VLOOKUP('Customer Info'!A1948,'Customer Info'!A1948:C2447,2,FALSE),"Not Found")</f>
        <v>Not Found</v>
      </c>
      <c r="H1956" s="6" t="str">
        <f>IFERROR(VLOOKUP('Customer Info'!A1948,'Customer Info'!A1948:C2447,3,FALSE),"Not Found")</f>
        <v>Not Found</v>
      </c>
      <c r="I1956" s="6" t="str">
        <f>IFERROR(VLOOKUP('Customer Info'!A1948,'Customer Info'!A1948:E2447,5,FALSE),"Not Found")</f>
        <v>Not Found</v>
      </c>
      <c r="J1956" s="2">
        <v>1364</v>
      </c>
      <c r="K1956" s="2">
        <v>1274</v>
      </c>
      <c r="L1956" s="2">
        <v>6</v>
      </c>
      <c r="M1956" s="7">
        <f t="shared" si="150"/>
        <v>7644</v>
      </c>
      <c r="N1956" s="7">
        <f t="shared" si="151"/>
        <v>8184</v>
      </c>
      <c r="O1956" s="2">
        <v>96</v>
      </c>
      <c r="P1956" s="8">
        <f t="shared" si="152"/>
        <v>8280</v>
      </c>
      <c r="Q1956" s="8">
        <f t="shared" si="153"/>
        <v>6910</v>
      </c>
      <c r="R1956" s="2" t="s">
        <v>28</v>
      </c>
      <c r="S1956" s="9">
        <f t="shared" si="154"/>
        <v>414</v>
      </c>
    </row>
    <row r="1957" spans="1:19" x14ac:dyDescent="0.3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str">
        <f>IFERROR(VLOOKUP('Customer Info'!A1949,'Customer Info'!A1949:C2448,2,FALSE),"Not Found")</f>
        <v>Not Found</v>
      </c>
      <c r="H1957" s="6" t="str">
        <f>IFERROR(VLOOKUP('Customer Info'!A1949,'Customer Info'!A1949:C2448,3,FALSE),"Not Found")</f>
        <v>Not Found</v>
      </c>
      <c r="I1957" s="6" t="str">
        <f>IFERROR(VLOOKUP('Customer Info'!A1949,'Customer Info'!A1949:E2448,5,FALSE),"Not Found")</f>
        <v>Not Found</v>
      </c>
      <c r="J1957" s="2">
        <v>932</v>
      </c>
      <c r="K1957" s="2">
        <v>838</v>
      </c>
      <c r="L1957" s="2">
        <v>4</v>
      </c>
      <c r="M1957" s="7">
        <f t="shared" si="150"/>
        <v>3352</v>
      </c>
      <c r="N1957" s="7">
        <f t="shared" si="151"/>
        <v>3728</v>
      </c>
      <c r="O1957" s="2">
        <v>75</v>
      </c>
      <c r="P1957" s="8">
        <f t="shared" si="152"/>
        <v>3803</v>
      </c>
      <c r="Q1957" s="8">
        <f t="shared" si="153"/>
        <v>2890</v>
      </c>
      <c r="R1957" s="2" t="s">
        <v>50</v>
      </c>
      <c r="S1957" s="9">
        <f t="shared" si="154"/>
        <v>76.06</v>
      </c>
    </row>
    <row r="1958" spans="1:19" x14ac:dyDescent="0.3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str">
        <f>IFERROR(VLOOKUP('Customer Info'!A1950,'Customer Info'!A1950:C2449,2,FALSE),"Not Found")</f>
        <v>Not Found</v>
      </c>
      <c r="H1958" s="6" t="str">
        <f>IFERROR(VLOOKUP('Customer Info'!A1950,'Customer Info'!A1950:C2449,3,FALSE),"Not Found")</f>
        <v>Not Found</v>
      </c>
      <c r="I1958" s="6" t="str">
        <f>IFERROR(VLOOKUP('Customer Info'!A1950,'Customer Info'!A1950:E2449,5,FALSE),"Not Found")</f>
        <v>Not Found</v>
      </c>
      <c r="J1958" s="2">
        <v>4784</v>
      </c>
      <c r="K1958" s="2">
        <v>4518</v>
      </c>
      <c r="L1958" s="2">
        <v>1</v>
      </c>
      <c r="M1958" s="7">
        <f t="shared" si="150"/>
        <v>4518</v>
      </c>
      <c r="N1958" s="7">
        <f t="shared" si="151"/>
        <v>4784</v>
      </c>
      <c r="O1958" s="2">
        <v>64</v>
      </c>
      <c r="P1958" s="8">
        <f t="shared" si="152"/>
        <v>4848</v>
      </c>
      <c r="Q1958" s="8">
        <f t="shared" si="153"/>
        <v>266</v>
      </c>
      <c r="R1958" s="2" t="s">
        <v>50</v>
      </c>
      <c r="S1958" s="9">
        <f t="shared" si="154"/>
        <v>96.960000000000008</v>
      </c>
    </row>
    <row r="1959" spans="1:19" x14ac:dyDescent="0.3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str">
        <f>IFERROR(VLOOKUP('Customer Info'!A1951,'Customer Info'!A1951:C2450,2,FALSE),"Not Found")</f>
        <v>Not Found</v>
      </c>
      <c r="H1959" s="6" t="str">
        <f>IFERROR(VLOOKUP('Customer Info'!A1951,'Customer Info'!A1951:C2450,3,FALSE),"Not Found")</f>
        <v>Not Found</v>
      </c>
      <c r="I1959" s="6" t="str">
        <f>IFERROR(VLOOKUP('Customer Info'!A1951,'Customer Info'!A1951:E2450,5,FALSE),"Not Found")</f>
        <v>Not Found</v>
      </c>
      <c r="J1959" s="2">
        <v>68</v>
      </c>
      <c r="K1959" s="2">
        <v>63</v>
      </c>
      <c r="L1959" s="2">
        <v>2</v>
      </c>
      <c r="M1959" s="7">
        <f t="shared" si="150"/>
        <v>126</v>
      </c>
      <c r="N1959" s="7">
        <f t="shared" si="151"/>
        <v>136</v>
      </c>
      <c r="O1959" s="2">
        <v>10</v>
      </c>
      <c r="P1959" s="8">
        <f t="shared" si="152"/>
        <v>146</v>
      </c>
      <c r="Q1959" s="8">
        <f t="shared" si="153"/>
        <v>73</v>
      </c>
      <c r="R1959" s="2" t="s">
        <v>28</v>
      </c>
      <c r="S1959" s="9">
        <f t="shared" si="154"/>
        <v>2.92</v>
      </c>
    </row>
    <row r="1960" spans="1:19" x14ac:dyDescent="0.3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str">
        <f>IFERROR(VLOOKUP('Customer Info'!A1952,'Customer Info'!A1952:C2451,2,FALSE),"Not Found")</f>
        <v>Not Found</v>
      </c>
      <c r="H1960" s="6" t="str">
        <f>IFERROR(VLOOKUP('Customer Info'!A1952,'Customer Info'!A1952:C2451,3,FALSE),"Not Found")</f>
        <v>Not Found</v>
      </c>
      <c r="I1960" s="6" t="str">
        <f>IFERROR(VLOOKUP('Customer Info'!A1952,'Customer Info'!A1952:E2451,5,FALSE),"Not Found")</f>
        <v>Not Found</v>
      </c>
      <c r="J1960" s="2">
        <v>93</v>
      </c>
      <c r="K1960" s="2">
        <v>86</v>
      </c>
      <c r="L1960" s="2">
        <v>2</v>
      </c>
      <c r="M1960" s="7">
        <f t="shared" si="150"/>
        <v>172</v>
      </c>
      <c r="N1960" s="7">
        <f t="shared" si="151"/>
        <v>186</v>
      </c>
      <c r="O1960" s="2">
        <v>10</v>
      </c>
      <c r="P1960" s="8">
        <f t="shared" si="152"/>
        <v>196</v>
      </c>
      <c r="Q1960" s="8">
        <f t="shared" si="153"/>
        <v>100</v>
      </c>
      <c r="R1960" s="2" t="s">
        <v>50</v>
      </c>
      <c r="S1960" s="9">
        <f t="shared" si="154"/>
        <v>3.92</v>
      </c>
    </row>
    <row r="1961" spans="1:19" x14ac:dyDescent="0.3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str">
        <f>IFERROR(VLOOKUP('Customer Info'!A1953,'Customer Info'!A1953:C2452,2,FALSE),"Not Found")</f>
        <v>Not Found</v>
      </c>
      <c r="H1961" s="6" t="str">
        <f>IFERROR(VLOOKUP('Customer Info'!A1953,'Customer Info'!A1953:C2452,3,FALSE),"Not Found")</f>
        <v>Not Found</v>
      </c>
      <c r="I1961" s="6" t="str">
        <f>IFERROR(VLOOKUP('Customer Info'!A1953,'Customer Info'!A1953:E2452,5,FALSE),"Not Found")</f>
        <v>Not Found</v>
      </c>
      <c r="J1961" s="2">
        <v>1545</v>
      </c>
      <c r="K1961" s="2">
        <v>1486</v>
      </c>
      <c r="L1961" s="2">
        <v>1</v>
      </c>
      <c r="M1961" s="7">
        <f t="shared" si="150"/>
        <v>1486</v>
      </c>
      <c r="N1961" s="7">
        <f t="shared" si="151"/>
        <v>1545</v>
      </c>
      <c r="O1961" s="2">
        <v>96</v>
      </c>
      <c r="P1961" s="8">
        <f t="shared" si="152"/>
        <v>1641</v>
      </c>
      <c r="Q1961" s="8">
        <f t="shared" si="153"/>
        <v>59</v>
      </c>
      <c r="R1961" s="2" t="s">
        <v>28</v>
      </c>
      <c r="S1961" s="9">
        <f t="shared" si="154"/>
        <v>32.82</v>
      </c>
    </row>
    <row r="1962" spans="1:19" x14ac:dyDescent="0.3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str">
        <f>IFERROR(VLOOKUP('Customer Info'!A1954,'Customer Info'!A1954:C2453,2,FALSE),"Not Found")</f>
        <v>Not Found</v>
      </c>
      <c r="H1962" s="6" t="str">
        <f>IFERROR(VLOOKUP('Customer Info'!A1954,'Customer Info'!A1954:C2453,3,FALSE),"Not Found")</f>
        <v>Not Found</v>
      </c>
      <c r="I1962" s="6" t="str">
        <f>IFERROR(VLOOKUP('Customer Info'!A1954,'Customer Info'!A1954:E2453,5,FALSE),"Not Found")</f>
        <v>Not Found</v>
      </c>
      <c r="J1962" s="2">
        <v>1292</v>
      </c>
      <c r="K1962" s="2">
        <v>1185</v>
      </c>
      <c r="L1962" s="2">
        <v>3</v>
      </c>
      <c r="M1962" s="7">
        <f t="shared" si="150"/>
        <v>3555</v>
      </c>
      <c r="N1962" s="7">
        <f t="shared" si="151"/>
        <v>3876</v>
      </c>
      <c r="O1962" s="2">
        <v>61</v>
      </c>
      <c r="P1962" s="8">
        <f t="shared" si="152"/>
        <v>3937</v>
      </c>
      <c r="Q1962" s="8">
        <f t="shared" si="153"/>
        <v>2691</v>
      </c>
      <c r="R1962" s="2" t="s">
        <v>50</v>
      </c>
      <c r="S1962" s="9">
        <f t="shared" si="154"/>
        <v>78.739999999999995</v>
      </c>
    </row>
    <row r="1963" spans="1:19" x14ac:dyDescent="0.3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str">
        <f>IFERROR(VLOOKUP('Customer Info'!A1955,'Customer Info'!A1955:C2454,2,FALSE),"Not Found")</f>
        <v>Not Found</v>
      </c>
      <c r="H1963" s="6" t="str">
        <f>IFERROR(VLOOKUP('Customer Info'!A1955,'Customer Info'!A1955:C2454,3,FALSE),"Not Found")</f>
        <v>Not Found</v>
      </c>
      <c r="I1963" s="6" t="str">
        <f>IFERROR(VLOOKUP('Customer Info'!A1955,'Customer Info'!A1955:E2454,5,FALSE),"Not Found")</f>
        <v>Not Found</v>
      </c>
      <c r="J1963" s="2">
        <v>4761</v>
      </c>
      <c r="K1963" s="2">
        <v>4368</v>
      </c>
      <c r="L1963" s="2">
        <v>8</v>
      </c>
      <c r="M1963" s="7">
        <f t="shared" si="150"/>
        <v>34944</v>
      </c>
      <c r="N1963" s="7">
        <f t="shared" si="151"/>
        <v>38088</v>
      </c>
      <c r="O1963" s="2">
        <v>32</v>
      </c>
      <c r="P1963" s="8">
        <f t="shared" si="152"/>
        <v>38120</v>
      </c>
      <c r="Q1963" s="8">
        <f t="shared" si="153"/>
        <v>33720</v>
      </c>
      <c r="R1963" s="2" t="s">
        <v>50</v>
      </c>
      <c r="S1963" s="9">
        <f t="shared" si="154"/>
        <v>2668.4</v>
      </c>
    </row>
    <row r="1964" spans="1:19" x14ac:dyDescent="0.3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str">
        <f>IFERROR(VLOOKUP('Customer Info'!A1956,'Customer Info'!A1956:C2455,2,FALSE),"Not Found")</f>
        <v>Not Found</v>
      </c>
      <c r="H1964" s="6" t="str">
        <f>IFERROR(VLOOKUP('Customer Info'!A1956,'Customer Info'!A1956:C2455,3,FALSE),"Not Found")</f>
        <v>Not Found</v>
      </c>
      <c r="I1964" s="6" t="str">
        <f>IFERROR(VLOOKUP('Customer Info'!A1956,'Customer Info'!A1956:E2455,5,FALSE),"Not Found")</f>
        <v>Not Found</v>
      </c>
      <c r="J1964" s="2">
        <v>8651</v>
      </c>
      <c r="K1964" s="2">
        <v>8081</v>
      </c>
      <c r="L1964" s="2">
        <v>4</v>
      </c>
      <c r="M1964" s="7">
        <f t="shared" si="150"/>
        <v>32324</v>
      </c>
      <c r="N1964" s="7">
        <f t="shared" si="151"/>
        <v>34604</v>
      </c>
      <c r="O1964" s="2">
        <v>89</v>
      </c>
      <c r="P1964" s="8">
        <f t="shared" si="152"/>
        <v>34693</v>
      </c>
      <c r="Q1964" s="8">
        <f t="shared" si="153"/>
        <v>26523</v>
      </c>
      <c r="R1964" s="2" t="s">
        <v>50</v>
      </c>
      <c r="S1964" s="9">
        <f t="shared" si="154"/>
        <v>2428.5100000000002</v>
      </c>
    </row>
    <row r="1965" spans="1:19" x14ac:dyDescent="0.3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str">
        <f>IFERROR(VLOOKUP('Customer Info'!A1957,'Customer Info'!A1957:C2456,2,FALSE),"Not Found")</f>
        <v>Not Found</v>
      </c>
      <c r="H1965" s="6" t="str">
        <f>IFERROR(VLOOKUP('Customer Info'!A1957,'Customer Info'!A1957:C2456,3,FALSE),"Not Found")</f>
        <v>Not Found</v>
      </c>
      <c r="I1965" s="6" t="str">
        <f>IFERROR(VLOOKUP('Customer Info'!A1957,'Customer Info'!A1957:E2456,5,FALSE),"Not Found")</f>
        <v>Not Found</v>
      </c>
      <c r="J1965" s="2">
        <v>2778</v>
      </c>
      <c r="K1965" s="2">
        <v>2573</v>
      </c>
      <c r="L1965" s="2">
        <v>1</v>
      </c>
      <c r="M1965" s="7">
        <f t="shared" si="150"/>
        <v>2573</v>
      </c>
      <c r="N1965" s="7">
        <f t="shared" si="151"/>
        <v>2778</v>
      </c>
      <c r="O1965" s="2">
        <v>34</v>
      </c>
      <c r="P1965" s="8">
        <f t="shared" si="152"/>
        <v>2812</v>
      </c>
      <c r="Q1965" s="8">
        <f t="shared" si="153"/>
        <v>205</v>
      </c>
      <c r="R1965" s="2" t="s">
        <v>50</v>
      </c>
      <c r="S1965" s="9">
        <f t="shared" si="154"/>
        <v>56.24</v>
      </c>
    </row>
    <row r="1966" spans="1:19" x14ac:dyDescent="0.3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str">
        <f>IFERROR(VLOOKUP('Customer Info'!A1958,'Customer Info'!A1958:C2457,2,FALSE),"Not Found")</f>
        <v>Not Found</v>
      </c>
      <c r="H1966" s="6" t="str">
        <f>IFERROR(VLOOKUP('Customer Info'!A1958,'Customer Info'!A1958:C2457,3,FALSE),"Not Found")</f>
        <v>Not Found</v>
      </c>
      <c r="I1966" s="6" t="str">
        <f>IFERROR(VLOOKUP('Customer Info'!A1958,'Customer Info'!A1958:E2457,5,FALSE),"Not Found")</f>
        <v>Not Found</v>
      </c>
      <c r="J1966" s="2">
        <v>9033</v>
      </c>
      <c r="K1966" s="2">
        <v>8132</v>
      </c>
      <c r="L1966" s="2">
        <v>1</v>
      </c>
      <c r="M1966" s="7">
        <f t="shared" si="150"/>
        <v>8132</v>
      </c>
      <c r="N1966" s="7">
        <f t="shared" si="151"/>
        <v>9033</v>
      </c>
      <c r="O1966" s="2">
        <v>82</v>
      </c>
      <c r="P1966" s="8">
        <f t="shared" si="152"/>
        <v>9115</v>
      </c>
      <c r="Q1966" s="8">
        <f t="shared" si="153"/>
        <v>901</v>
      </c>
      <c r="R1966" s="2" t="s">
        <v>50</v>
      </c>
      <c r="S1966" s="9">
        <f t="shared" si="154"/>
        <v>455.75</v>
      </c>
    </row>
    <row r="1967" spans="1:19" x14ac:dyDescent="0.3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str">
        <f>IFERROR(VLOOKUP('Customer Info'!A1959,'Customer Info'!A1959:C2458,2,FALSE),"Not Found")</f>
        <v>Not Found</v>
      </c>
      <c r="H1967" s="6" t="str">
        <f>IFERROR(VLOOKUP('Customer Info'!A1959,'Customer Info'!A1959:C2458,3,FALSE),"Not Found")</f>
        <v>Not Found</v>
      </c>
      <c r="I1967" s="6" t="str">
        <f>IFERROR(VLOOKUP('Customer Info'!A1959,'Customer Info'!A1959:E2458,5,FALSE),"Not Found")</f>
        <v>Not Found</v>
      </c>
      <c r="J1967" s="2">
        <v>900</v>
      </c>
      <c r="K1967" s="2">
        <v>834</v>
      </c>
      <c r="L1967" s="2">
        <v>2</v>
      </c>
      <c r="M1967" s="7">
        <f t="shared" si="150"/>
        <v>1668</v>
      </c>
      <c r="N1967" s="7">
        <f t="shared" si="151"/>
        <v>1800</v>
      </c>
      <c r="O1967" s="2">
        <v>62</v>
      </c>
      <c r="P1967" s="8">
        <f t="shared" si="152"/>
        <v>1862</v>
      </c>
      <c r="Q1967" s="8">
        <f t="shared" si="153"/>
        <v>966</v>
      </c>
      <c r="R1967" s="2" t="s">
        <v>50</v>
      </c>
      <c r="S1967" s="9">
        <f t="shared" si="154"/>
        <v>37.24</v>
      </c>
    </row>
    <row r="1968" spans="1:19" x14ac:dyDescent="0.3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str">
        <f>IFERROR(VLOOKUP('Customer Info'!A1960,'Customer Info'!A1960:C2459,2,FALSE),"Not Found")</f>
        <v>Not Found</v>
      </c>
      <c r="H1968" s="6" t="str">
        <f>IFERROR(VLOOKUP('Customer Info'!A1960,'Customer Info'!A1960:C2459,3,FALSE),"Not Found")</f>
        <v>Not Found</v>
      </c>
      <c r="I1968" s="6" t="str">
        <f>IFERROR(VLOOKUP('Customer Info'!A1960,'Customer Info'!A1960:E2459,5,FALSE),"Not Found")</f>
        <v>Not Found</v>
      </c>
      <c r="J1968" s="2">
        <v>7658</v>
      </c>
      <c r="K1968" s="2">
        <v>7026</v>
      </c>
      <c r="L1968" s="2">
        <v>1</v>
      </c>
      <c r="M1968" s="7">
        <f t="shared" si="150"/>
        <v>7026</v>
      </c>
      <c r="N1968" s="7">
        <f t="shared" si="151"/>
        <v>7658</v>
      </c>
      <c r="O1968" s="2">
        <v>76</v>
      </c>
      <c r="P1968" s="8">
        <f t="shared" si="152"/>
        <v>7734</v>
      </c>
      <c r="Q1968" s="8">
        <f t="shared" si="153"/>
        <v>632</v>
      </c>
      <c r="R1968" s="2" t="s">
        <v>50</v>
      </c>
      <c r="S1968" s="9">
        <f t="shared" si="154"/>
        <v>386.70000000000005</v>
      </c>
    </row>
    <row r="1969" spans="1:19" x14ac:dyDescent="0.3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str">
        <f>IFERROR(VLOOKUP('Customer Info'!A1961,'Customer Info'!A1961:C2460,2,FALSE),"Not Found")</f>
        <v>Not Found</v>
      </c>
      <c r="H1969" s="6" t="str">
        <f>IFERROR(VLOOKUP('Customer Info'!A1961,'Customer Info'!A1961:C2460,3,FALSE),"Not Found")</f>
        <v>Not Found</v>
      </c>
      <c r="I1969" s="6" t="str">
        <f>IFERROR(VLOOKUP('Customer Info'!A1961,'Customer Info'!A1961:E2460,5,FALSE),"Not Found")</f>
        <v>Not Found</v>
      </c>
      <c r="J1969" s="2">
        <v>1968</v>
      </c>
      <c r="K1969" s="2">
        <v>1821</v>
      </c>
      <c r="L1969" s="2">
        <v>5</v>
      </c>
      <c r="M1969" s="7">
        <f t="shared" si="150"/>
        <v>9105</v>
      </c>
      <c r="N1969" s="7">
        <f t="shared" si="151"/>
        <v>9840</v>
      </c>
      <c r="O1969" s="2">
        <v>49</v>
      </c>
      <c r="P1969" s="8">
        <f t="shared" si="152"/>
        <v>9889</v>
      </c>
      <c r="Q1969" s="8">
        <f t="shared" si="153"/>
        <v>8019</v>
      </c>
      <c r="R1969" s="2" t="s">
        <v>28</v>
      </c>
      <c r="S1969" s="9">
        <f t="shared" si="154"/>
        <v>494.45000000000005</v>
      </c>
    </row>
    <row r="1970" spans="1:19" x14ac:dyDescent="0.3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str">
        <f>IFERROR(VLOOKUP('Customer Info'!A1962,'Customer Info'!A1962:C2461,2,FALSE),"Not Found")</f>
        <v>Not Found</v>
      </c>
      <c r="H1970" s="6" t="str">
        <f>IFERROR(VLOOKUP('Customer Info'!A1962,'Customer Info'!A1962:C2461,3,FALSE),"Not Found")</f>
        <v>Not Found</v>
      </c>
      <c r="I1970" s="6" t="str">
        <f>IFERROR(VLOOKUP('Customer Info'!A1962,'Customer Info'!A1962:E2461,5,FALSE),"Not Found")</f>
        <v>Not Found</v>
      </c>
      <c r="J1970" s="2">
        <v>1533</v>
      </c>
      <c r="K1970" s="2">
        <v>1406</v>
      </c>
      <c r="L1970" s="2">
        <v>5</v>
      </c>
      <c r="M1970" s="7">
        <f t="shared" si="150"/>
        <v>7030</v>
      </c>
      <c r="N1970" s="7">
        <f t="shared" si="151"/>
        <v>7665</v>
      </c>
      <c r="O1970" s="2">
        <v>52</v>
      </c>
      <c r="P1970" s="8">
        <f t="shared" si="152"/>
        <v>7717</v>
      </c>
      <c r="Q1970" s="8">
        <f t="shared" si="153"/>
        <v>6259</v>
      </c>
      <c r="R1970" s="2" t="s">
        <v>50</v>
      </c>
      <c r="S1970" s="9">
        <f t="shared" si="154"/>
        <v>385.85</v>
      </c>
    </row>
    <row r="1971" spans="1:19" x14ac:dyDescent="0.3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str">
        <f>IFERROR(VLOOKUP('Customer Info'!A1963,'Customer Info'!A1963:C2462,2,FALSE),"Not Found")</f>
        <v>Not Found</v>
      </c>
      <c r="H1971" s="6" t="str">
        <f>IFERROR(VLOOKUP('Customer Info'!A1963,'Customer Info'!A1963:C2462,3,FALSE),"Not Found")</f>
        <v>Not Found</v>
      </c>
      <c r="I1971" s="6" t="str">
        <f>IFERROR(VLOOKUP('Customer Info'!A1963,'Customer Info'!A1963:E2462,5,FALSE),"Not Found")</f>
        <v>Not Found</v>
      </c>
      <c r="J1971" s="2">
        <v>2244</v>
      </c>
      <c r="K1971" s="2">
        <v>2143</v>
      </c>
      <c r="L1971" s="2">
        <v>1</v>
      </c>
      <c r="M1971" s="7">
        <f t="shared" si="150"/>
        <v>2143</v>
      </c>
      <c r="N1971" s="7">
        <f t="shared" si="151"/>
        <v>2244</v>
      </c>
      <c r="O1971" s="2">
        <v>35</v>
      </c>
      <c r="P1971" s="8">
        <f t="shared" si="152"/>
        <v>2279</v>
      </c>
      <c r="Q1971" s="8">
        <f t="shared" si="153"/>
        <v>101</v>
      </c>
      <c r="R1971" s="2" t="s">
        <v>28</v>
      </c>
      <c r="S1971" s="9">
        <f t="shared" si="154"/>
        <v>45.58</v>
      </c>
    </row>
    <row r="1972" spans="1:19" x14ac:dyDescent="0.3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str">
        <f>IFERROR(VLOOKUP('Customer Info'!A1964,'Customer Info'!A1964:C2463,2,FALSE),"Not Found")</f>
        <v>Not Found</v>
      </c>
      <c r="H1972" s="6" t="str">
        <f>IFERROR(VLOOKUP('Customer Info'!A1964,'Customer Info'!A1964:C2463,3,FALSE),"Not Found")</f>
        <v>Not Found</v>
      </c>
      <c r="I1972" s="6" t="str">
        <f>IFERROR(VLOOKUP('Customer Info'!A1964,'Customer Info'!A1964:E2463,5,FALSE),"Not Found")</f>
        <v>Not Found</v>
      </c>
      <c r="J1972" s="2">
        <v>954</v>
      </c>
      <c r="K1972" s="2">
        <v>901</v>
      </c>
      <c r="L1972" s="2">
        <v>2</v>
      </c>
      <c r="M1972" s="7">
        <f t="shared" si="150"/>
        <v>1802</v>
      </c>
      <c r="N1972" s="7">
        <f t="shared" si="151"/>
        <v>1908</v>
      </c>
      <c r="O1972" s="2">
        <v>62</v>
      </c>
      <c r="P1972" s="8">
        <f t="shared" si="152"/>
        <v>1970</v>
      </c>
      <c r="Q1972" s="8">
        <f t="shared" si="153"/>
        <v>1007</v>
      </c>
      <c r="R1972" s="2" t="s">
        <v>28</v>
      </c>
      <c r="S1972" s="9">
        <f t="shared" si="154"/>
        <v>39.4</v>
      </c>
    </row>
    <row r="1973" spans="1:19" x14ac:dyDescent="0.3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str">
        <f>IFERROR(VLOOKUP('Customer Info'!A1965,'Customer Info'!A1965:C2464,2,FALSE),"Not Found")</f>
        <v>Not Found</v>
      </c>
      <c r="H1973" s="6" t="str">
        <f>IFERROR(VLOOKUP('Customer Info'!A1965,'Customer Info'!A1965:C2464,3,FALSE),"Not Found")</f>
        <v>Not Found</v>
      </c>
      <c r="I1973" s="6" t="str">
        <f>IFERROR(VLOOKUP('Customer Info'!A1965,'Customer Info'!A1965:E2464,5,FALSE),"Not Found")</f>
        <v>Not Found</v>
      </c>
      <c r="J1973" s="2">
        <v>140</v>
      </c>
      <c r="K1973" s="2">
        <v>137</v>
      </c>
      <c r="L1973" s="2">
        <v>4</v>
      </c>
      <c r="M1973" s="7">
        <f t="shared" si="150"/>
        <v>548</v>
      </c>
      <c r="N1973" s="7">
        <f t="shared" si="151"/>
        <v>560</v>
      </c>
      <c r="O1973" s="2">
        <v>30</v>
      </c>
      <c r="P1973" s="8">
        <f t="shared" si="152"/>
        <v>590</v>
      </c>
      <c r="Q1973" s="8">
        <f t="shared" si="153"/>
        <v>423</v>
      </c>
      <c r="R1973" s="2" t="s">
        <v>28</v>
      </c>
      <c r="S1973" s="9">
        <f t="shared" si="154"/>
        <v>11.8</v>
      </c>
    </row>
    <row r="1974" spans="1:19" x14ac:dyDescent="0.3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str">
        <f>IFERROR(VLOOKUP('Customer Info'!A1966,'Customer Info'!A1966:C2465,2,FALSE),"Not Found")</f>
        <v>Not Found</v>
      </c>
      <c r="H1974" s="6" t="str">
        <f>IFERROR(VLOOKUP('Customer Info'!A1966,'Customer Info'!A1966:C2465,3,FALSE),"Not Found")</f>
        <v>Not Found</v>
      </c>
      <c r="I1974" s="6" t="str">
        <f>IFERROR(VLOOKUP('Customer Info'!A1966,'Customer Info'!A1966:E2465,5,FALSE),"Not Found")</f>
        <v>Not Found</v>
      </c>
      <c r="J1974" s="2">
        <v>128</v>
      </c>
      <c r="K1974" s="2">
        <v>115</v>
      </c>
      <c r="L1974" s="2">
        <v>7</v>
      </c>
      <c r="M1974" s="7">
        <f t="shared" si="150"/>
        <v>805</v>
      </c>
      <c r="N1974" s="7">
        <f t="shared" si="151"/>
        <v>896</v>
      </c>
      <c r="O1974" s="2">
        <v>30</v>
      </c>
      <c r="P1974" s="8">
        <f t="shared" si="152"/>
        <v>926</v>
      </c>
      <c r="Q1974" s="8">
        <f t="shared" si="153"/>
        <v>781</v>
      </c>
      <c r="R1974" s="2" t="s">
        <v>28</v>
      </c>
      <c r="S1974" s="9">
        <f t="shared" si="154"/>
        <v>18.52</v>
      </c>
    </row>
    <row r="1975" spans="1:19" x14ac:dyDescent="0.3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str">
        <f>IFERROR(VLOOKUP('Customer Info'!A1967,'Customer Info'!A1967:C2466,2,FALSE),"Not Found")</f>
        <v>Not Found</v>
      </c>
      <c r="H1975" s="6" t="str">
        <f>IFERROR(VLOOKUP('Customer Info'!A1967,'Customer Info'!A1967:C2466,3,FALSE),"Not Found")</f>
        <v>Not Found</v>
      </c>
      <c r="I1975" s="6" t="str">
        <f>IFERROR(VLOOKUP('Customer Info'!A1967,'Customer Info'!A1967:E2466,5,FALSE),"Not Found")</f>
        <v>Not Found</v>
      </c>
      <c r="J1975" s="2">
        <v>27691</v>
      </c>
      <c r="K1975" s="2">
        <v>25616</v>
      </c>
      <c r="L1975" s="2">
        <v>3</v>
      </c>
      <c r="M1975" s="7">
        <f t="shared" si="150"/>
        <v>76848</v>
      </c>
      <c r="N1975" s="7">
        <f t="shared" si="151"/>
        <v>83073</v>
      </c>
      <c r="O1975" s="2">
        <v>75</v>
      </c>
      <c r="P1975" s="8">
        <f t="shared" si="152"/>
        <v>83148</v>
      </c>
      <c r="Q1975" s="8">
        <f t="shared" si="153"/>
        <v>57457</v>
      </c>
      <c r="R1975" s="2" t="s">
        <v>28</v>
      </c>
      <c r="S1975" s="9">
        <f t="shared" si="154"/>
        <v>7483.32</v>
      </c>
    </row>
    <row r="1976" spans="1:19" x14ac:dyDescent="0.3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str">
        <f>IFERROR(VLOOKUP('Customer Info'!A1968,'Customer Info'!A1968:C2467,2,FALSE),"Not Found")</f>
        <v>Not Found</v>
      </c>
      <c r="H1976" s="6" t="str">
        <f>IFERROR(VLOOKUP('Customer Info'!A1968,'Customer Info'!A1968:C2467,3,FALSE),"Not Found")</f>
        <v>Not Found</v>
      </c>
      <c r="I1976" s="6" t="str">
        <f>IFERROR(VLOOKUP('Customer Info'!A1968,'Customer Info'!A1968:E2467,5,FALSE),"Not Found")</f>
        <v>Not Found</v>
      </c>
      <c r="J1976" s="2">
        <v>1246</v>
      </c>
      <c r="K1976" s="2">
        <v>1164</v>
      </c>
      <c r="L1976" s="2">
        <v>1</v>
      </c>
      <c r="M1976" s="7">
        <f t="shared" si="150"/>
        <v>1164</v>
      </c>
      <c r="N1976" s="7">
        <f t="shared" si="151"/>
        <v>1246</v>
      </c>
      <c r="O1976" s="2">
        <v>58</v>
      </c>
      <c r="P1976" s="8">
        <f t="shared" si="152"/>
        <v>1304</v>
      </c>
      <c r="Q1976" s="8">
        <f t="shared" si="153"/>
        <v>82</v>
      </c>
      <c r="R1976" s="2" t="s">
        <v>50</v>
      </c>
      <c r="S1976" s="9">
        <f t="shared" si="154"/>
        <v>26.080000000000002</v>
      </c>
    </row>
    <row r="1977" spans="1:19" x14ac:dyDescent="0.3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str">
        <f>IFERROR(VLOOKUP('Customer Info'!A1969,'Customer Info'!A1969:C2468,2,FALSE),"Not Found")</f>
        <v>Not Found</v>
      </c>
      <c r="H1977" s="6" t="str">
        <f>IFERROR(VLOOKUP('Customer Info'!A1969,'Customer Info'!A1969:C2468,3,FALSE),"Not Found")</f>
        <v>Not Found</v>
      </c>
      <c r="I1977" s="6" t="str">
        <f>IFERROR(VLOOKUP('Customer Info'!A1969,'Customer Info'!A1969:E2468,5,FALSE),"Not Found")</f>
        <v>Not Found</v>
      </c>
      <c r="J1977" s="2">
        <v>1772</v>
      </c>
      <c r="K1977" s="2">
        <v>1656</v>
      </c>
      <c r="L1977" s="2">
        <v>3</v>
      </c>
      <c r="M1977" s="7">
        <f t="shared" si="150"/>
        <v>4968</v>
      </c>
      <c r="N1977" s="7">
        <f t="shared" si="151"/>
        <v>5316</v>
      </c>
      <c r="O1977" s="2">
        <v>67</v>
      </c>
      <c r="P1977" s="8">
        <f t="shared" si="152"/>
        <v>5383</v>
      </c>
      <c r="Q1977" s="8">
        <f t="shared" si="153"/>
        <v>3660</v>
      </c>
      <c r="R1977" s="2" t="s">
        <v>28</v>
      </c>
      <c r="S1977" s="9">
        <f t="shared" si="154"/>
        <v>269.15000000000003</v>
      </c>
    </row>
    <row r="1978" spans="1:19" x14ac:dyDescent="0.3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str">
        <f>IFERROR(VLOOKUP('Customer Info'!A1970,'Customer Info'!A1970:C2469,2,FALSE),"Not Found")</f>
        <v>Not Found</v>
      </c>
      <c r="H1978" s="6" t="str">
        <f>IFERROR(VLOOKUP('Customer Info'!A1970,'Customer Info'!A1970:C2469,3,FALSE),"Not Found")</f>
        <v>Not Found</v>
      </c>
      <c r="I1978" s="6" t="str">
        <f>IFERROR(VLOOKUP('Customer Info'!A1970,'Customer Info'!A1970:E2469,5,FALSE),"Not Found")</f>
        <v>Not Found</v>
      </c>
      <c r="J1978" s="2">
        <v>392</v>
      </c>
      <c r="K1978" s="2">
        <v>356</v>
      </c>
      <c r="L1978" s="2">
        <v>3</v>
      </c>
      <c r="M1978" s="7">
        <f t="shared" si="150"/>
        <v>1068</v>
      </c>
      <c r="N1978" s="7">
        <f t="shared" si="151"/>
        <v>1176</v>
      </c>
      <c r="O1978" s="2">
        <v>58</v>
      </c>
      <c r="P1978" s="8">
        <f t="shared" si="152"/>
        <v>1234</v>
      </c>
      <c r="Q1978" s="8">
        <f t="shared" si="153"/>
        <v>820</v>
      </c>
      <c r="R1978" s="2" t="s">
        <v>50</v>
      </c>
      <c r="S1978" s="9">
        <f t="shared" si="154"/>
        <v>24.68</v>
      </c>
    </row>
    <row r="1979" spans="1:19" x14ac:dyDescent="0.3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str">
        <f>IFERROR(VLOOKUP('Customer Info'!A1971,'Customer Info'!A1971:C2470,2,FALSE),"Not Found")</f>
        <v>Not Found</v>
      </c>
      <c r="H1979" s="6" t="str">
        <f>IFERROR(VLOOKUP('Customer Info'!A1971,'Customer Info'!A1971:C2470,3,FALSE),"Not Found")</f>
        <v>Not Found</v>
      </c>
      <c r="I1979" s="6" t="str">
        <f>IFERROR(VLOOKUP('Customer Info'!A1971,'Customer Info'!A1971:E2470,5,FALSE),"Not Found")</f>
        <v>Not Found</v>
      </c>
      <c r="J1979" s="2">
        <v>7065</v>
      </c>
      <c r="K1979" s="2">
        <v>6545</v>
      </c>
      <c r="L1979" s="2">
        <v>4</v>
      </c>
      <c r="M1979" s="7">
        <f t="shared" si="150"/>
        <v>26180</v>
      </c>
      <c r="N1979" s="7">
        <f t="shared" si="151"/>
        <v>28260</v>
      </c>
      <c r="O1979" s="2">
        <v>63</v>
      </c>
      <c r="P1979" s="8">
        <f t="shared" si="152"/>
        <v>28323</v>
      </c>
      <c r="Q1979" s="8">
        <f t="shared" si="153"/>
        <v>21715</v>
      </c>
      <c r="R1979" s="2" t="s">
        <v>56</v>
      </c>
      <c r="S1979" s="9">
        <f t="shared" si="154"/>
        <v>1982.6100000000001</v>
      </c>
    </row>
    <row r="1980" spans="1:19" x14ac:dyDescent="0.3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str">
        <f>IFERROR(VLOOKUP('Customer Info'!A1972,'Customer Info'!A1972:C2471,2,FALSE),"Not Found")</f>
        <v>Not Found</v>
      </c>
      <c r="H1980" s="6" t="str">
        <f>IFERROR(VLOOKUP('Customer Info'!A1972,'Customer Info'!A1972:C2471,3,FALSE),"Not Found")</f>
        <v>Not Found</v>
      </c>
      <c r="I1980" s="6" t="str">
        <f>IFERROR(VLOOKUP('Customer Info'!A1972,'Customer Info'!A1972:E2471,5,FALSE),"Not Found")</f>
        <v>Not Found</v>
      </c>
      <c r="J1980" s="2">
        <v>167</v>
      </c>
      <c r="K1980" s="2">
        <v>155</v>
      </c>
      <c r="L1980" s="2">
        <v>2</v>
      </c>
      <c r="M1980" s="7">
        <f t="shared" si="150"/>
        <v>310</v>
      </c>
      <c r="N1980" s="7">
        <f t="shared" si="151"/>
        <v>334</v>
      </c>
      <c r="O1980" s="2">
        <v>30</v>
      </c>
      <c r="P1980" s="8">
        <f t="shared" si="152"/>
        <v>364</v>
      </c>
      <c r="Q1980" s="8">
        <f t="shared" si="153"/>
        <v>179</v>
      </c>
      <c r="R1980" s="2" t="s">
        <v>28</v>
      </c>
      <c r="S1980" s="9">
        <f t="shared" si="154"/>
        <v>7.28</v>
      </c>
    </row>
    <row r="1981" spans="1:19" x14ac:dyDescent="0.3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str">
        <f>IFERROR(VLOOKUP('Customer Info'!A1973,'Customer Info'!A1973:C2472,2,FALSE),"Not Found")</f>
        <v>Not Found</v>
      </c>
      <c r="H1981" s="6" t="str">
        <f>IFERROR(VLOOKUP('Customer Info'!A1973,'Customer Info'!A1973:C2472,3,FALSE),"Not Found")</f>
        <v>Not Found</v>
      </c>
      <c r="I1981" s="6" t="str">
        <f>IFERROR(VLOOKUP('Customer Info'!A1973,'Customer Info'!A1973:E2472,5,FALSE),"Not Found")</f>
        <v>Not Found</v>
      </c>
      <c r="J1981" s="2">
        <v>1654</v>
      </c>
      <c r="K1981" s="2">
        <v>1577</v>
      </c>
      <c r="L1981" s="2">
        <v>5</v>
      </c>
      <c r="M1981" s="7">
        <f t="shared" si="150"/>
        <v>7885</v>
      </c>
      <c r="N1981" s="7">
        <f t="shared" si="151"/>
        <v>8270</v>
      </c>
      <c r="O1981" s="2">
        <v>21</v>
      </c>
      <c r="P1981" s="8">
        <f t="shared" si="152"/>
        <v>8291</v>
      </c>
      <c r="Q1981" s="8">
        <f t="shared" si="153"/>
        <v>6693</v>
      </c>
      <c r="R1981" s="2" t="s">
        <v>26</v>
      </c>
      <c r="S1981" s="9">
        <f t="shared" si="154"/>
        <v>414.55</v>
      </c>
    </row>
    <row r="1982" spans="1:19" x14ac:dyDescent="0.3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str">
        <f>IFERROR(VLOOKUP('Customer Info'!A1974,'Customer Info'!A1974:C2473,2,FALSE),"Not Found")</f>
        <v>Not Found</v>
      </c>
      <c r="H1982" s="6" t="str">
        <f>IFERROR(VLOOKUP('Customer Info'!A1974,'Customer Info'!A1974:C2473,3,FALSE),"Not Found")</f>
        <v>Not Found</v>
      </c>
      <c r="I1982" s="6" t="str">
        <f>IFERROR(VLOOKUP('Customer Info'!A1974,'Customer Info'!A1974:E2473,5,FALSE),"Not Found")</f>
        <v>Not Found</v>
      </c>
      <c r="J1982" s="2">
        <v>2697</v>
      </c>
      <c r="K1982" s="2">
        <v>2498</v>
      </c>
      <c r="L1982" s="2">
        <v>4</v>
      </c>
      <c r="M1982" s="7">
        <f t="shared" si="150"/>
        <v>9992</v>
      </c>
      <c r="N1982" s="7">
        <f t="shared" si="151"/>
        <v>10788</v>
      </c>
      <c r="O1982" s="2">
        <v>90</v>
      </c>
      <c r="P1982" s="8">
        <f t="shared" si="152"/>
        <v>10878</v>
      </c>
      <c r="Q1982" s="8">
        <f t="shared" si="153"/>
        <v>8290</v>
      </c>
      <c r="R1982" s="2" t="s">
        <v>56</v>
      </c>
      <c r="S1982" s="9">
        <f t="shared" si="154"/>
        <v>543.9</v>
      </c>
    </row>
    <row r="1983" spans="1:19" x14ac:dyDescent="0.3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str">
        <f>IFERROR(VLOOKUP('Customer Info'!A1975,'Customer Info'!A1975:C2474,2,FALSE),"Not Found")</f>
        <v>Not Found</v>
      </c>
      <c r="H1983" s="6" t="str">
        <f>IFERROR(VLOOKUP('Customer Info'!A1975,'Customer Info'!A1975:C2474,3,FALSE),"Not Found")</f>
        <v>Not Found</v>
      </c>
      <c r="I1983" s="6" t="str">
        <f>IFERROR(VLOOKUP('Customer Info'!A1975,'Customer Info'!A1975:E2474,5,FALSE),"Not Found")</f>
        <v>Not Found</v>
      </c>
      <c r="J1983" s="2">
        <v>2857</v>
      </c>
      <c r="K1983" s="2">
        <v>2622</v>
      </c>
      <c r="L1983" s="2">
        <v>1</v>
      </c>
      <c r="M1983" s="7">
        <f t="shared" si="150"/>
        <v>2622</v>
      </c>
      <c r="N1983" s="7">
        <f t="shared" si="151"/>
        <v>2857</v>
      </c>
      <c r="O1983" s="2">
        <v>85</v>
      </c>
      <c r="P1983" s="8">
        <f t="shared" si="152"/>
        <v>2942</v>
      </c>
      <c r="Q1983" s="8">
        <f t="shared" si="153"/>
        <v>235</v>
      </c>
      <c r="R1983" s="2" t="s">
        <v>28</v>
      </c>
      <c r="S1983" s="9">
        <f t="shared" si="154"/>
        <v>58.84</v>
      </c>
    </row>
    <row r="1984" spans="1:19" x14ac:dyDescent="0.3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str">
        <f>IFERROR(VLOOKUP('Customer Info'!A1976,'Customer Info'!A1976:C2475,2,FALSE),"Not Found")</f>
        <v>Not Found</v>
      </c>
      <c r="H1984" s="6" t="str">
        <f>IFERROR(VLOOKUP('Customer Info'!A1976,'Customer Info'!A1976:C2475,3,FALSE),"Not Found")</f>
        <v>Not Found</v>
      </c>
      <c r="I1984" s="6" t="str">
        <f>IFERROR(VLOOKUP('Customer Info'!A1976,'Customer Info'!A1976:E2475,5,FALSE),"Not Found")</f>
        <v>Not Found</v>
      </c>
      <c r="J1984" s="2">
        <v>2466</v>
      </c>
      <c r="K1984" s="2">
        <v>2327</v>
      </c>
      <c r="L1984" s="2">
        <v>3</v>
      </c>
      <c r="M1984" s="7">
        <f t="shared" si="150"/>
        <v>6981</v>
      </c>
      <c r="N1984" s="7">
        <f t="shared" si="151"/>
        <v>7398</v>
      </c>
      <c r="O1984" s="2">
        <v>99</v>
      </c>
      <c r="P1984" s="8">
        <f t="shared" si="152"/>
        <v>7497</v>
      </c>
      <c r="Q1984" s="8">
        <f t="shared" si="153"/>
        <v>5071</v>
      </c>
      <c r="R1984" s="2" t="s">
        <v>28</v>
      </c>
      <c r="S1984" s="9">
        <f t="shared" si="154"/>
        <v>374.85</v>
      </c>
    </row>
    <row r="1985" spans="1:19" x14ac:dyDescent="0.3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str">
        <f>IFERROR(VLOOKUP('Customer Info'!A1977,'Customer Info'!A1977:C2476,2,FALSE),"Not Found")</f>
        <v>Not Found</v>
      </c>
      <c r="H1985" s="6" t="str">
        <f>IFERROR(VLOOKUP('Customer Info'!A1977,'Customer Info'!A1977:C2476,3,FALSE),"Not Found")</f>
        <v>Not Found</v>
      </c>
      <c r="I1985" s="6" t="str">
        <f>IFERROR(VLOOKUP('Customer Info'!A1977,'Customer Info'!A1977:E2476,5,FALSE),"Not Found")</f>
        <v>Not Found</v>
      </c>
      <c r="J1985" s="2">
        <v>3091</v>
      </c>
      <c r="K1985" s="2">
        <v>2889</v>
      </c>
      <c r="L1985" s="2">
        <v>4</v>
      </c>
      <c r="M1985" s="7">
        <f t="shared" si="150"/>
        <v>11556</v>
      </c>
      <c r="N1985" s="7">
        <f t="shared" si="151"/>
        <v>12364</v>
      </c>
      <c r="O1985" s="2">
        <v>64</v>
      </c>
      <c r="P1985" s="8">
        <f t="shared" si="152"/>
        <v>12428</v>
      </c>
      <c r="Q1985" s="8">
        <f t="shared" si="153"/>
        <v>9475</v>
      </c>
      <c r="R1985" s="2" t="s">
        <v>50</v>
      </c>
      <c r="S1985" s="9">
        <f t="shared" si="154"/>
        <v>621.40000000000009</v>
      </c>
    </row>
    <row r="1986" spans="1:19" x14ac:dyDescent="0.3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str">
        <f>IFERROR(VLOOKUP('Customer Info'!A1978,'Customer Info'!A1978:C2477,2,FALSE),"Not Found")</f>
        <v>Not Found</v>
      </c>
      <c r="H1986" s="6" t="str">
        <f>IFERROR(VLOOKUP('Customer Info'!A1978,'Customer Info'!A1978:C2477,3,FALSE),"Not Found")</f>
        <v>Not Found</v>
      </c>
      <c r="I1986" s="6" t="str">
        <f>IFERROR(VLOOKUP('Customer Info'!A1978,'Customer Info'!A1978:E2477,5,FALSE),"Not Found")</f>
        <v>Not Found</v>
      </c>
      <c r="J1986" s="2">
        <v>2540</v>
      </c>
      <c r="K1986" s="2">
        <v>2397</v>
      </c>
      <c r="L1986" s="2">
        <v>1</v>
      </c>
      <c r="M1986" s="7">
        <f t="shared" si="150"/>
        <v>2397</v>
      </c>
      <c r="N1986" s="7">
        <f t="shared" si="151"/>
        <v>2540</v>
      </c>
      <c r="O1986" s="2">
        <v>37</v>
      </c>
      <c r="P1986" s="8">
        <f t="shared" si="152"/>
        <v>2577</v>
      </c>
      <c r="Q1986" s="8">
        <f t="shared" si="153"/>
        <v>143</v>
      </c>
      <c r="R1986" s="2" t="s">
        <v>28</v>
      </c>
      <c r="S1986" s="9">
        <f t="shared" si="154"/>
        <v>51.54</v>
      </c>
    </row>
    <row r="1987" spans="1:19" x14ac:dyDescent="0.3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str">
        <f>IFERROR(VLOOKUP('Customer Info'!A1979,'Customer Info'!A1979:C2478,2,FALSE),"Not Found")</f>
        <v>Not Found</v>
      </c>
      <c r="H1987" s="6" t="str">
        <f>IFERROR(VLOOKUP('Customer Info'!A1979,'Customer Info'!A1979:C2478,3,FALSE),"Not Found")</f>
        <v>Not Found</v>
      </c>
      <c r="I1987" s="6" t="str">
        <f>IFERROR(VLOOKUP('Customer Info'!A1979,'Customer Info'!A1979:E2478,5,FALSE),"Not Found")</f>
        <v>Not Found</v>
      </c>
      <c r="J1987" s="2">
        <v>2273</v>
      </c>
      <c r="K1987" s="2">
        <v>2229</v>
      </c>
      <c r="L1987" s="2">
        <v>3</v>
      </c>
      <c r="M1987" s="7">
        <f t="shared" si="150"/>
        <v>6687</v>
      </c>
      <c r="N1987" s="7">
        <f t="shared" si="151"/>
        <v>6819</v>
      </c>
      <c r="O1987" s="2">
        <v>49</v>
      </c>
      <c r="P1987" s="8">
        <f t="shared" si="152"/>
        <v>6868</v>
      </c>
      <c r="Q1987" s="8">
        <f t="shared" si="153"/>
        <v>4590</v>
      </c>
      <c r="R1987" s="2" t="s">
        <v>50</v>
      </c>
      <c r="S1987" s="9">
        <f t="shared" si="154"/>
        <v>343.40000000000003</v>
      </c>
    </row>
    <row r="1988" spans="1:19" x14ac:dyDescent="0.3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str">
        <f>IFERROR(VLOOKUP('Customer Info'!A1980,'Customer Info'!A1980:C2479,2,FALSE),"Not Found")</f>
        <v>Not Found</v>
      </c>
      <c r="H1988" s="6" t="str">
        <f>IFERROR(VLOOKUP('Customer Info'!A1980,'Customer Info'!A1980:C2479,3,FALSE),"Not Found")</f>
        <v>Not Found</v>
      </c>
      <c r="I1988" s="6" t="str">
        <f>IFERROR(VLOOKUP('Customer Info'!A1980,'Customer Info'!A1980:E2479,5,FALSE),"Not Found")</f>
        <v>Not Found</v>
      </c>
      <c r="J1988" s="2">
        <v>142</v>
      </c>
      <c r="K1988" s="2">
        <v>134</v>
      </c>
      <c r="L1988" s="2">
        <v>3</v>
      </c>
      <c r="M1988" s="7">
        <f t="shared" si="150"/>
        <v>402</v>
      </c>
      <c r="N1988" s="7">
        <f t="shared" si="151"/>
        <v>426</v>
      </c>
      <c r="O1988" s="2">
        <v>30</v>
      </c>
      <c r="P1988" s="8">
        <f t="shared" si="152"/>
        <v>456</v>
      </c>
      <c r="Q1988" s="8">
        <f t="shared" si="153"/>
        <v>292</v>
      </c>
      <c r="R1988" s="2" t="s">
        <v>28</v>
      </c>
      <c r="S1988" s="9">
        <f t="shared" si="154"/>
        <v>9.120000000000001</v>
      </c>
    </row>
    <row r="1989" spans="1:19" x14ac:dyDescent="0.3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str">
        <f>IFERROR(VLOOKUP('Customer Info'!A1981,'Customer Info'!A1981:C2480,2,FALSE),"Not Found")</f>
        <v>Not Found</v>
      </c>
      <c r="H1989" s="6" t="str">
        <f>IFERROR(VLOOKUP('Customer Info'!A1981,'Customer Info'!A1981:C2480,3,FALSE),"Not Found")</f>
        <v>Not Found</v>
      </c>
      <c r="I1989" s="6" t="str">
        <f>IFERROR(VLOOKUP('Customer Info'!A1981,'Customer Info'!A1981:E2480,5,FALSE),"Not Found")</f>
        <v>Not Found</v>
      </c>
      <c r="J1989" s="2">
        <v>8281</v>
      </c>
      <c r="K1989" s="2">
        <v>7673</v>
      </c>
      <c r="L1989" s="2">
        <v>1</v>
      </c>
      <c r="M1989" s="7">
        <f t="shared" si="150"/>
        <v>7673</v>
      </c>
      <c r="N1989" s="7">
        <f t="shared" si="151"/>
        <v>8281</v>
      </c>
      <c r="O1989" s="2">
        <v>51</v>
      </c>
      <c r="P1989" s="8">
        <f t="shared" si="152"/>
        <v>8332</v>
      </c>
      <c r="Q1989" s="8">
        <f t="shared" si="153"/>
        <v>608</v>
      </c>
      <c r="R1989" s="2" t="s">
        <v>28</v>
      </c>
      <c r="S1989" s="9">
        <f t="shared" si="154"/>
        <v>416.6</v>
      </c>
    </row>
    <row r="1990" spans="1:19" x14ac:dyDescent="0.3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str">
        <f>IFERROR(VLOOKUP('Customer Info'!A1982,'Customer Info'!A1982:C2481,2,FALSE),"Not Found")</f>
        <v>Not Found</v>
      </c>
      <c r="H1990" s="6" t="str">
        <f>IFERROR(VLOOKUP('Customer Info'!A1982,'Customer Info'!A1982:C2481,3,FALSE),"Not Found")</f>
        <v>Not Found</v>
      </c>
      <c r="I1990" s="6" t="str">
        <f>IFERROR(VLOOKUP('Customer Info'!A1982,'Customer Info'!A1982:E2481,5,FALSE),"Not Found")</f>
        <v>Not Found</v>
      </c>
      <c r="J1990" s="2">
        <v>1413</v>
      </c>
      <c r="K1990" s="2">
        <v>1334</v>
      </c>
      <c r="L1990" s="2">
        <v>3</v>
      </c>
      <c r="M1990" s="7">
        <f t="shared" si="150"/>
        <v>4002</v>
      </c>
      <c r="N1990" s="7">
        <f t="shared" si="151"/>
        <v>4239</v>
      </c>
      <c r="O1990" s="2">
        <v>42</v>
      </c>
      <c r="P1990" s="8">
        <f t="shared" si="152"/>
        <v>4281</v>
      </c>
      <c r="Q1990" s="8">
        <f t="shared" si="153"/>
        <v>2905</v>
      </c>
      <c r="R1990" s="2" t="s">
        <v>28</v>
      </c>
      <c r="S1990" s="9">
        <f t="shared" si="154"/>
        <v>85.62</v>
      </c>
    </row>
    <row r="1991" spans="1:19" x14ac:dyDescent="0.3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str">
        <f>IFERROR(VLOOKUP('Customer Info'!A1983,'Customer Info'!A1983:C2482,2,FALSE),"Not Found")</f>
        <v>Not Found</v>
      </c>
      <c r="H1991" s="6" t="str">
        <f>IFERROR(VLOOKUP('Customer Info'!A1983,'Customer Info'!A1983:C2482,3,FALSE),"Not Found")</f>
        <v>Not Found</v>
      </c>
      <c r="I1991" s="6" t="str">
        <f>IFERROR(VLOOKUP('Customer Info'!A1983,'Customer Info'!A1983:E2482,5,FALSE),"Not Found")</f>
        <v>Not Found</v>
      </c>
      <c r="J1991" s="2">
        <v>3192</v>
      </c>
      <c r="K1991" s="2">
        <v>3011</v>
      </c>
      <c r="L1991" s="2">
        <v>2</v>
      </c>
      <c r="M1991" s="7">
        <f t="shared" si="150"/>
        <v>6022</v>
      </c>
      <c r="N1991" s="7">
        <f t="shared" si="151"/>
        <v>6384</v>
      </c>
      <c r="O1991" s="2">
        <v>97</v>
      </c>
      <c r="P1991" s="8">
        <f t="shared" si="152"/>
        <v>6481</v>
      </c>
      <c r="Q1991" s="8">
        <f t="shared" si="153"/>
        <v>3373</v>
      </c>
      <c r="R1991" s="2" t="s">
        <v>28</v>
      </c>
      <c r="S1991" s="9">
        <f t="shared" si="154"/>
        <v>324.05</v>
      </c>
    </row>
    <row r="1992" spans="1:19" x14ac:dyDescent="0.3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str">
        <f>IFERROR(VLOOKUP('Customer Info'!A1984,'Customer Info'!A1984:C2483,2,FALSE),"Not Found")</f>
        <v>Not Found</v>
      </c>
      <c r="H1992" s="6" t="str">
        <f>IFERROR(VLOOKUP('Customer Info'!A1984,'Customer Info'!A1984:C2483,3,FALSE),"Not Found")</f>
        <v>Not Found</v>
      </c>
      <c r="I1992" s="6" t="str">
        <f>IFERROR(VLOOKUP('Customer Info'!A1984,'Customer Info'!A1984:E2483,5,FALSE),"Not Found")</f>
        <v>Not Found</v>
      </c>
      <c r="J1992" s="2">
        <v>2759</v>
      </c>
      <c r="K1992" s="2">
        <v>2628</v>
      </c>
      <c r="L1992" s="2">
        <v>2</v>
      </c>
      <c r="M1992" s="7">
        <f t="shared" si="150"/>
        <v>5256</v>
      </c>
      <c r="N1992" s="7">
        <f t="shared" si="151"/>
        <v>5518</v>
      </c>
      <c r="O1992" s="2">
        <v>26</v>
      </c>
      <c r="P1992" s="8">
        <f t="shared" si="152"/>
        <v>5544</v>
      </c>
      <c r="Q1992" s="8">
        <f t="shared" si="153"/>
        <v>2890</v>
      </c>
      <c r="R1992" s="2" t="s">
        <v>28</v>
      </c>
      <c r="S1992" s="9">
        <f t="shared" si="154"/>
        <v>277.2</v>
      </c>
    </row>
    <row r="1993" spans="1:19" x14ac:dyDescent="0.3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str">
        <f>IFERROR(VLOOKUP('Customer Info'!A1985,'Customer Info'!A1985:C2484,2,FALSE),"Not Found")</f>
        <v>Not Found</v>
      </c>
      <c r="H1993" s="6" t="str">
        <f>IFERROR(VLOOKUP('Customer Info'!A1985,'Customer Info'!A1985:C2484,3,FALSE),"Not Found")</f>
        <v>Not Found</v>
      </c>
      <c r="I1993" s="6" t="str">
        <f>IFERROR(VLOOKUP('Customer Info'!A1985,'Customer Info'!A1985:E2484,5,FALSE),"Not Found")</f>
        <v>Not Found</v>
      </c>
      <c r="J1993" s="2">
        <v>90</v>
      </c>
      <c r="K1993" s="2">
        <v>81</v>
      </c>
      <c r="L1993" s="2">
        <v>1</v>
      </c>
      <c r="M1993" s="7">
        <f t="shared" si="150"/>
        <v>81</v>
      </c>
      <c r="N1993" s="7">
        <f t="shared" si="151"/>
        <v>90</v>
      </c>
      <c r="O1993" s="2">
        <v>10</v>
      </c>
      <c r="P1993" s="8">
        <f t="shared" si="152"/>
        <v>100</v>
      </c>
      <c r="Q1993" s="8">
        <f t="shared" si="153"/>
        <v>9</v>
      </c>
      <c r="R1993" s="2" t="s">
        <v>28</v>
      </c>
      <c r="S1993" s="9">
        <f t="shared" si="154"/>
        <v>2</v>
      </c>
    </row>
    <row r="1994" spans="1:19" x14ac:dyDescent="0.3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str">
        <f>IFERROR(VLOOKUP('Customer Info'!A1986,'Customer Info'!A1986:C2485,2,FALSE),"Not Found")</f>
        <v>Not Found</v>
      </c>
      <c r="H1994" s="6" t="str">
        <f>IFERROR(VLOOKUP('Customer Info'!A1986,'Customer Info'!A1986:C2485,3,FALSE),"Not Found")</f>
        <v>Not Found</v>
      </c>
      <c r="I1994" s="6" t="str">
        <f>IFERROR(VLOOKUP('Customer Info'!A1986,'Customer Info'!A1986:E2485,5,FALSE),"Not Found")</f>
        <v>Not Found</v>
      </c>
      <c r="J1994" s="2">
        <v>69</v>
      </c>
      <c r="K1994" s="2">
        <v>64</v>
      </c>
      <c r="L1994" s="2">
        <v>1</v>
      </c>
      <c r="M1994" s="7">
        <f t="shared" si="150"/>
        <v>64</v>
      </c>
      <c r="N1994" s="7">
        <f t="shared" si="151"/>
        <v>69</v>
      </c>
      <c r="O1994" s="2">
        <v>10</v>
      </c>
      <c r="P1994" s="8">
        <f t="shared" si="152"/>
        <v>79</v>
      </c>
      <c r="Q1994" s="8">
        <f t="shared" si="153"/>
        <v>5</v>
      </c>
      <c r="R1994" s="2" t="s">
        <v>28</v>
      </c>
      <c r="S1994" s="9">
        <f t="shared" si="154"/>
        <v>1.58</v>
      </c>
    </row>
    <row r="1995" spans="1:19" x14ac:dyDescent="0.3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str">
        <f>IFERROR(VLOOKUP('Customer Info'!A1987,'Customer Info'!A1987:C2486,2,FALSE),"Not Found")</f>
        <v>Not Found</v>
      </c>
      <c r="H1995" s="6" t="str">
        <f>IFERROR(VLOOKUP('Customer Info'!A1987,'Customer Info'!A1987:C2486,3,FALSE),"Not Found")</f>
        <v>Not Found</v>
      </c>
      <c r="I1995" s="6" t="str">
        <f>IFERROR(VLOOKUP('Customer Info'!A1987,'Customer Info'!A1987:E2486,5,FALSE),"Not Found")</f>
        <v>Not Found</v>
      </c>
      <c r="J1995" s="2">
        <v>37949</v>
      </c>
      <c r="K1995" s="2">
        <v>34816</v>
      </c>
      <c r="L1995" s="2">
        <v>1</v>
      </c>
      <c r="M1995" s="7">
        <f t="shared" ref="M1995:M2058" si="155">$K1995*$L1995</f>
        <v>34816</v>
      </c>
      <c r="N1995" s="7">
        <f t="shared" ref="N1995:N2058" si="156">$J1995*$L1995</f>
        <v>37949</v>
      </c>
      <c r="O1995" s="2">
        <v>25</v>
      </c>
      <c r="P1995" s="8">
        <f t="shared" ref="P1995:P2058" si="157">$N1995+$O1995</f>
        <v>37974</v>
      </c>
      <c r="Q1995" s="8">
        <f t="shared" ref="Q1995:Q2058" si="158">$N1995-$K1995</f>
        <v>3133</v>
      </c>
      <c r="R1995" s="2" t="s">
        <v>28</v>
      </c>
      <c r="S1995" s="9">
        <f t="shared" ref="S1995:S2058" si="159" xml:space="preserve"> P1995 * VLOOKUP(P1995, $T$2:$U$6, 2, TRUE)</f>
        <v>2658.1800000000003</v>
      </c>
    </row>
    <row r="1996" spans="1:19" x14ac:dyDescent="0.3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str">
        <f>IFERROR(VLOOKUP('Customer Info'!A1988,'Customer Info'!A1988:C2487,2,FALSE),"Not Found")</f>
        <v>Not Found</v>
      </c>
      <c r="H1996" s="6" t="str">
        <f>IFERROR(VLOOKUP('Customer Info'!A1988,'Customer Info'!A1988:C2487,3,FALSE),"Not Found")</f>
        <v>Not Found</v>
      </c>
      <c r="I1996" s="6" t="str">
        <f>IFERROR(VLOOKUP('Customer Info'!A1988,'Customer Info'!A1988:E2487,5,FALSE),"Not Found")</f>
        <v>Not Found</v>
      </c>
      <c r="J1996" s="2">
        <v>1564</v>
      </c>
      <c r="K1996" s="2">
        <v>1420</v>
      </c>
      <c r="L1996" s="2">
        <v>7</v>
      </c>
      <c r="M1996" s="7">
        <f t="shared" si="155"/>
        <v>9940</v>
      </c>
      <c r="N1996" s="7">
        <f t="shared" si="156"/>
        <v>10948</v>
      </c>
      <c r="O1996" s="2">
        <v>95</v>
      </c>
      <c r="P1996" s="8">
        <f t="shared" si="157"/>
        <v>11043</v>
      </c>
      <c r="Q1996" s="8">
        <f t="shared" si="158"/>
        <v>9528</v>
      </c>
      <c r="R1996" s="2" t="s">
        <v>28</v>
      </c>
      <c r="S1996" s="9">
        <f t="shared" si="159"/>
        <v>552.15</v>
      </c>
    </row>
    <row r="1997" spans="1:19" x14ac:dyDescent="0.3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str">
        <f>IFERROR(VLOOKUP('Customer Info'!A1989,'Customer Info'!A1989:C2488,2,FALSE),"Not Found")</f>
        <v>Not Found</v>
      </c>
      <c r="H1997" s="6" t="str">
        <f>IFERROR(VLOOKUP('Customer Info'!A1989,'Customer Info'!A1989:C2488,3,FALSE),"Not Found")</f>
        <v>Not Found</v>
      </c>
      <c r="I1997" s="6" t="str">
        <f>IFERROR(VLOOKUP('Customer Info'!A1989,'Customer Info'!A1989:E2488,5,FALSE),"Not Found")</f>
        <v>Not Found</v>
      </c>
      <c r="J1997" s="2">
        <v>954</v>
      </c>
      <c r="K1997" s="2">
        <v>901</v>
      </c>
      <c r="L1997" s="2">
        <v>2</v>
      </c>
      <c r="M1997" s="7">
        <f t="shared" si="155"/>
        <v>1802</v>
      </c>
      <c r="N1997" s="7">
        <f t="shared" si="156"/>
        <v>1908</v>
      </c>
      <c r="O1997" s="2">
        <v>62</v>
      </c>
      <c r="P1997" s="8">
        <f t="shared" si="157"/>
        <v>1970</v>
      </c>
      <c r="Q1997" s="8">
        <f t="shared" si="158"/>
        <v>1007</v>
      </c>
      <c r="R1997" s="2" t="s">
        <v>56</v>
      </c>
      <c r="S1997" s="9">
        <f t="shared" si="159"/>
        <v>39.4</v>
      </c>
    </row>
    <row r="1998" spans="1:19" x14ac:dyDescent="0.3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str">
        <f>IFERROR(VLOOKUP('Customer Info'!A1990,'Customer Info'!A1990:C2489,2,FALSE),"Not Found")</f>
        <v>Not Found</v>
      </c>
      <c r="H1998" s="6" t="str">
        <f>IFERROR(VLOOKUP('Customer Info'!A1990,'Customer Info'!A1990:C2489,3,FALSE),"Not Found")</f>
        <v>Not Found</v>
      </c>
      <c r="I1998" s="6" t="str">
        <f>IFERROR(VLOOKUP('Customer Info'!A1990,'Customer Info'!A1990:E2489,5,FALSE),"Not Found")</f>
        <v>Not Found</v>
      </c>
      <c r="J1998" s="2">
        <v>1405</v>
      </c>
      <c r="K1998" s="2">
        <v>1287</v>
      </c>
      <c r="L1998" s="2">
        <v>3</v>
      </c>
      <c r="M1998" s="7">
        <f t="shared" si="155"/>
        <v>3861</v>
      </c>
      <c r="N1998" s="7">
        <f t="shared" si="156"/>
        <v>4215</v>
      </c>
      <c r="O1998" s="2">
        <v>25</v>
      </c>
      <c r="P1998" s="8">
        <f t="shared" si="157"/>
        <v>4240</v>
      </c>
      <c r="Q1998" s="8">
        <f t="shared" si="158"/>
        <v>2928</v>
      </c>
      <c r="R1998" s="2" t="s">
        <v>28</v>
      </c>
      <c r="S1998" s="9">
        <f t="shared" si="159"/>
        <v>84.8</v>
      </c>
    </row>
    <row r="1999" spans="1:19" x14ac:dyDescent="0.3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str">
        <f>IFERROR(VLOOKUP('Customer Info'!A1991,'Customer Info'!A1991:C2490,2,FALSE),"Not Found")</f>
        <v>Not Found</v>
      </c>
      <c r="H1999" s="6" t="str">
        <f>IFERROR(VLOOKUP('Customer Info'!A1991,'Customer Info'!A1991:C2490,3,FALSE),"Not Found")</f>
        <v>Not Found</v>
      </c>
      <c r="I1999" s="6" t="str">
        <f>IFERROR(VLOOKUP('Customer Info'!A1991,'Customer Info'!A1991:E2490,5,FALSE),"Not Found")</f>
        <v>Not Found</v>
      </c>
      <c r="J1999" s="2">
        <v>214</v>
      </c>
      <c r="K1999" s="2">
        <v>199</v>
      </c>
      <c r="L1999" s="2">
        <v>3</v>
      </c>
      <c r="M1999" s="7">
        <f t="shared" si="155"/>
        <v>597</v>
      </c>
      <c r="N1999" s="7">
        <f t="shared" si="156"/>
        <v>642</v>
      </c>
      <c r="O1999" s="2">
        <v>99</v>
      </c>
      <c r="P1999" s="8">
        <f t="shared" si="157"/>
        <v>741</v>
      </c>
      <c r="Q1999" s="8">
        <f t="shared" si="158"/>
        <v>443</v>
      </c>
      <c r="R1999" s="2" t="s">
        <v>50</v>
      </c>
      <c r="S1999" s="9">
        <f t="shared" si="159"/>
        <v>14.82</v>
      </c>
    </row>
    <row r="2000" spans="1:19" x14ac:dyDescent="0.3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str">
        <f>IFERROR(VLOOKUP('Customer Info'!A1992,'Customer Info'!A1992:C2491,2,FALSE),"Not Found")</f>
        <v>Not Found</v>
      </c>
      <c r="H2000" s="6" t="str">
        <f>IFERROR(VLOOKUP('Customer Info'!A1992,'Customer Info'!A1992:C2491,3,FALSE),"Not Found")</f>
        <v>Not Found</v>
      </c>
      <c r="I2000" s="6" t="str">
        <f>IFERROR(VLOOKUP('Customer Info'!A1992,'Customer Info'!A1992:E2491,5,FALSE),"Not Found")</f>
        <v>Not Found</v>
      </c>
      <c r="J2000" s="2">
        <v>693</v>
      </c>
      <c r="K2000" s="2">
        <v>667</v>
      </c>
      <c r="L2000" s="2">
        <v>8</v>
      </c>
      <c r="M2000" s="7">
        <f t="shared" si="155"/>
        <v>5336</v>
      </c>
      <c r="N2000" s="7">
        <f t="shared" si="156"/>
        <v>5544</v>
      </c>
      <c r="O2000" s="2">
        <v>95</v>
      </c>
      <c r="P2000" s="8">
        <f t="shared" si="157"/>
        <v>5639</v>
      </c>
      <c r="Q2000" s="8">
        <f t="shared" si="158"/>
        <v>4877</v>
      </c>
      <c r="R2000" s="2" t="s">
        <v>28</v>
      </c>
      <c r="S2000" s="9">
        <f t="shared" si="159"/>
        <v>281.95</v>
      </c>
    </row>
    <row r="2001" spans="1:19" x14ac:dyDescent="0.3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str">
        <f>IFERROR(VLOOKUP('Customer Info'!A1993,'Customer Info'!A1993:C2492,2,FALSE),"Not Found")</f>
        <v>Not Found</v>
      </c>
      <c r="H2001" s="6" t="str">
        <f>IFERROR(VLOOKUP('Customer Info'!A1993,'Customer Info'!A1993:C2492,3,FALSE),"Not Found")</f>
        <v>Not Found</v>
      </c>
      <c r="I2001" s="6" t="str">
        <f>IFERROR(VLOOKUP('Customer Info'!A1993,'Customer Info'!A1993:E2492,5,FALSE),"Not Found")</f>
        <v>Not Found</v>
      </c>
      <c r="J2001" s="2">
        <v>7534</v>
      </c>
      <c r="K2001" s="2">
        <v>7106</v>
      </c>
      <c r="L2001" s="2">
        <v>7</v>
      </c>
      <c r="M2001" s="7">
        <f t="shared" si="155"/>
        <v>49742</v>
      </c>
      <c r="N2001" s="7">
        <f t="shared" si="156"/>
        <v>52738</v>
      </c>
      <c r="O2001" s="2">
        <v>37</v>
      </c>
      <c r="P2001" s="8">
        <f t="shared" si="157"/>
        <v>52775</v>
      </c>
      <c r="Q2001" s="8">
        <f t="shared" si="158"/>
        <v>45632</v>
      </c>
      <c r="R2001" s="2" t="s">
        <v>28</v>
      </c>
      <c r="S2001" s="9">
        <f t="shared" si="159"/>
        <v>4749.75</v>
      </c>
    </row>
    <row r="2002" spans="1:19" x14ac:dyDescent="0.3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str">
        <f>IFERROR(VLOOKUP('Customer Info'!A1994,'Customer Info'!A1994:C2493,2,FALSE),"Not Found")</f>
        <v>Not Found</v>
      </c>
      <c r="H2002" s="6" t="str">
        <f>IFERROR(VLOOKUP('Customer Info'!A1994,'Customer Info'!A1994:C2493,3,FALSE),"Not Found")</f>
        <v>Not Found</v>
      </c>
      <c r="I2002" s="6" t="str">
        <f>IFERROR(VLOOKUP('Customer Info'!A1994,'Customer Info'!A1994:E2493,5,FALSE),"Not Found")</f>
        <v>Not Found</v>
      </c>
      <c r="J2002" s="2">
        <v>208</v>
      </c>
      <c r="K2002" s="2">
        <v>187</v>
      </c>
      <c r="L2002" s="2">
        <v>2</v>
      </c>
      <c r="M2002" s="7">
        <f t="shared" si="155"/>
        <v>374</v>
      </c>
      <c r="N2002" s="7">
        <f t="shared" si="156"/>
        <v>416</v>
      </c>
      <c r="O2002" s="2">
        <v>90</v>
      </c>
      <c r="P2002" s="8">
        <f t="shared" si="157"/>
        <v>506</v>
      </c>
      <c r="Q2002" s="8">
        <f t="shared" si="158"/>
        <v>229</v>
      </c>
      <c r="R2002" s="2" t="s">
        <v>28</v>
      </c>
      <c r="S2002" s="9">
        <f t="shared" si="159"/>
        <v>10.120000000000001</v>
      </c>
    </row>
    <row r="2003" spans="1:19" x14ac:dyDescent="0.3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str">
        <f>IFERROR(VLOOKUP('Customer Info'!A1995,'Customer Info'!A1995:C2494,2,FALSE),"Not Found")</f>
        <v>Not Found</v>
      </c>
      <c r="H2003" s="6" t="str">
        <f>IFERROR(VLOOKUP('Customer Info'!A1995,'Customer Info'!A1995:C2494,3,FALSE),"Not Found")</f>
        <v>Not Found</v>
      </c>
      <c r="I2003" s="6" t="str">
        <f>IFERROR(VLOOKUP('Customer Info'!A1995,'Customer Info'!A1995:E2494,5,FALSE),"Not Found")</f>
        <v>Not Found</v>
      </c>
      <c r="J2003" s="2">
        <v>191</v>
      </c>
      <c r="K2003" s="2">
        <v>170</v>
      </c>
      <c r="L2003" s="2">
        <v>2</v>
      </c>
      <c r="M2003" s="7">
        <f t="shared" si="155"/>
        <v>340</v>
      </c>
      <c r="N2003" s="7">
        <f t="shared" si="156"/>
        <v>382</v>
      </c>
      <c r="O2003" s="2">
        <v>30</v>
      </c>
      <c r="P2003" s="8">
        <f t="shared" si="157"/>
        <v>412</v>
      </c>
      <c r="Q2003" s="8">
        <f t="shared" si="158"/>
        <v>212</v>
      </c>
      <c r="R2003" s="2" t="s">
        <v>28</v>
      </c>
      <c r="S2003" s="9">
        <f t="shared" si="159"/>
        <v>8.24</v>
      </c>
    </row>
    <row r="2004" spans="1:19" x14ac:dyDescent="0.3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str">
        <f>IFERROR(VLOOKUP('Customer Info'!A1996,'Customer Info'!A1996:C2495,2,FALSE),"Not Found")</f>
        <v>Not Found</v>
      </c>
      <c r="H2004" s="6" t="str">
        <f>IFERROR(VLOOKUP('Customer Info'!A1996,'Customer Info'!A1996:C2495,3,FALSE),"Not Found")</f>
        <v>Not Found</v>
      </c>
      <c r="I2004" s="6" t="str">
        <f>IFERROR(VLOOKUP('Customer Info'!A1996,'Customer Info'!A1996:E2495,5,FALSE),"Not Found")</f>
        <v>Not Found</v>
      </c>
      <c r="J2004" s="2">
        <v>4577</v>
      </c>
      <c r="K2004" s="2">
        <v>4280</v>
      </c>
      <c r="L2004" s="2">
        <v>7</v>
      </c>
      <c r="M2004" s="7">
        <f t="shared" si="155"/>
        <v>29960</v>
      </c>
      <c r="N2004" s="7">
        <f t="shared" si="156"/>
        <v>32039</v>
      </c>
      <c r="O2004" s="2">
        <v>66</v>
      </c>
      <c r="P2004" s="8">
        <f t="shared" si="157"/>
        <v>32105</v>
      </c>
      <c r="Q2004" s="8">
        <f t="shared" si="158"/>
        <v>27759</v>
      </c>
      <c r="R2004" s="2" t="s">
        <v>50</v>
      </c>
      <c r="S2004" s="9">
        <f t="shared" si="159"/>
        <v>2247.3500000000004</v>
      </c>
    </row>
    <row r="2005" spans="1:19" x14ac:dyDescent="0.3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str">
        <f>IFERROR(VLOOKUP('Customer Info'!A1997,'Customer Info'!A1997:C2496,2,FALSE),"Not Found")</f>
        <v>Not Found</v>
      </c>
      <c r="H2005" s="6" t="str">
        <f>IFERROR(VLOOKUP('Customer Info'!A1997,'Customer Info'!A1997:C2496,3,FALSE),"Not Found")</f>
        <v>Not Found</v>
      </c>
      <c r="I2005" s="6" t="str">
        <f>IFERROR(VLOOKUP('Customer Info'!A1997,'Customer Info'!A1997:E2496,5,FALSE),"Not Found")</f>
        <v>Not Found</v>
      </c>
      <c r="J2005" s="2">
        <v>2965</v>
      </c>
      <c r="K2005" s="2">
        <v>2694</v>
      </c>
      <c r="L2005" s="2">
        <v>2</v>
      </c>
      <c r="M2005" s="7">
        <f t="shared" si="155"/>
        <v>5388</v>
      </c>
      <c r="N2005" s="7">
        <f t="shared" si="156"/>
        <v>5930</v>
      </c>
      <c r="O2005" s="2">
        <v>30</v>
      </c>
      <c r="P2005" s="8">
        <f t="shared" si="157"/>
        <v>5960</v>
      </c>
      <c r="Q2005" s="8">
        <f t="shared" si="158"/>
        <v>3236</v>
      </c>
      <c r="R2005" s="2" t="s">
        <v>50</v>
      </c>
      <c r="S2005" s="9">
        <f t="shared" si="159"/>
        <v>298</v>
      </c>
    </row>
    <row r="2006" spans="1:19" x14ac:dyDescent="0.3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str">
        <f>IFERROR(VLOOKUP('Customer Info'!A1998,'Customer Info'!A1998:C2497,2,FALSE),"Not Found")</f>
        <v>Not Found</v>
      </c>
      <c r="H2006" s="6" t="str">
        <f>IFERROR(VLOOKUP('Customer Info'!A1998,'Customer Info'!A1998:C2497,3,FALSE),"Not Found")</f>
        <v>Not Found</v>
      </c>
      <c r="I2006" s="6" t="str">
        <f>IFERROR(VLOOKUP('Customer Info'!A1998,'Customer Info'!A1998:E2497,5,FALSE),"Not Found")</f>
        <v>Not Found</v>
      </c>
      <c r="J2006" s="2">
        <v>62</v>
      </c>
      <c r="K2006" s="2">
        <v>58</v>
      </c>
      <c r="L2006" s="2">
        <v>2</v>
      </c>
      <c r="M2006" s="7">
        <f t="shared" si="155"/>
        <v>116</v>
      </c>
      <c r="N2006" s="7">
        <f t="shared" si="156"/>
        <v>124</v>
      </c>
      <c r="O2006" s="2">
        <v>10</v>
      </c>
      <c r="P2006" s="8">
        <f t="shared" si="157"/>
        <v>134</v>
      </c>
      <c r="Q2006" s="8">
        <f t="shared" si="158"/>
        <v>66</v>
      </c>
      <c r="R2006" s="2" t="s">
        <v>28</v>
      </c>
      <c r="S2006" s="9">
        <f t="shared" si="159"/>
        <v>2.68</v>
      </c>
    </row>
    <row r="2007" spans="1:19" x14ac:dyDescent="0.3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str">
        <f>IFERROR(VLOOKUP('Customer Info'!A1999,'Customer Info'!A1999:C2498,2,FALSE),"Not Found")</f>
        <v>Not Found</v>
      </c>
      <c r="H2007" s="6" t="str">
        <f>IFERROR(VLOOKUP('Customer Info'!A1999,'Customer Info'!A1999:C2498,3,FALSE),"Not Found")</f>
        <v>Not Found</v>
      </c>
      <c r="I2007" s="6" t="str">
        <f>IFERROR(VLOOKUP('Customer Info'!A1999,'Customer Info'!A1999:E2498,5,FALSE),"Not Found")</f>
        <v>Not Found</v>
      </c>
      <c r="J2007" s="2">
        <v>67</v>
      </c>
      <c r="K2007" s="2">
        <v>62</v>
      </c>
      <c r="L2007" s="2">
        <v>1</v>
      </c>
      <c r="M2007" s="7">
        <f t="shared" si="155"/>
        <v>62</v>
      </c>
      <c r="N2007" s="7">
        <f t="shared" si="156"/>
        <v>67</v>
      </c>
      <c r="O2007" s="2">
        <v>10</v>
      </c>
      <c r="P2007" s="8">
        <f t="shared" si="157"/>
        <v>77</v>
      </c>
      <c r="Q2007" s="8">
        <f t="shared" si="158"/>
        <v>5</v>
      </c>
      <c r="R2007" s="2" t="s">
        <v>28</v>
      </c>
      <c r="S2007" s="9">
        <f t="shared" si="159"/>
        <v>1.54</v>
      </c>
    </row>
    <row r="2008" spans="1:19" x14ac:dyDescent="0.3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str">
        <f>IFERROR(VLOOKUP('Customer Info'!A2000,'Customer Info'!A2000:C2499,2,FALSE),"Not Found")</f>
        <v>Not Found</v>
      </c>
      <c r="H2008" s="6" t="str">
        <f>IFERROR(VLOOKUP('Customer Info'!A2000,'Customer Info'!A2000:C2499,3,FALSE),"Not Found")</f>
        <v>Not Found</v>
      </c>
      <c r="I2008" s="6" t="str">
        <f>IFERROR(VLOOKUP('Customer Info'!A2000,'Customer Info'!A2000:E2499,5,FALSE),"Not Found")</f>
        <v>Not Found</v>
      </c>
      <c r="J2008" s="2">
        <v>4784</v>
      </c>
      <c r="K2008" s="2">
        <v>4518</v>
      </c>
      <c r="L2008" s="2">
        <v>3</v>
      </c>
      <c r="M2008" s="7">
        <f t="shared" si="155"/>
        <v>13554</v>
      </c>
      <c r="N2008" s="7">
        <f t="shared" si="156"/>
        <v>14352</v>
      </c>
      <c r="O2008" s="2">
        <v>91</v>
      </c>
      <c r="P2008" s="8">
        <f t="shared" si="157"/>
        <v>14443</v>
      </c>
      <c r="Q2008" s="8">
        <f t="shared" si="158"/>
        <v>9834</v>
      </c>
      <c r="R2008" s="2" t="s">
        <v>26</v>
      </c>
      <c r="S2008" s="9">
        <f t="shared" si="159"/>
        <v>722.15000000000009</v>
      </c>
    </row>
    <row r="2009" spans="1:19" x14ac:dyDescent="0.3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str">
        <f>IFERROR(VLOOKUP('Customer Info'!A2001,'Customer Info'!A2001:C2500,2,FALSE),"Not Found")</f>
        <v>Not Found</v>
      </c>
      <c r="H2009" s="6" t="str">
        <f>IFERROR(VLOOKUP('Customer Info'!A2001,'Customer Info'!A2001:C2500,3,FALSE),"Not Found")</f>
        <v>Not Found</v>
      </c>
      <c r="I2009" s="6" t="str">
        <f>IFERROR(VLOOKUP('Customer Info'!A2001,'Customer Info'!A2001:E2500,5,FALSE),"Not Found")</f>
        <v>Not Found</v>
      </c>
      <c r="J2009" s="2">
        <v>825</v>
      </c>
      <c r="K2009" s="2">
        <v>793</v>
      </c>
      <c r="L2009" s="2">
        <v>6</v>
      </c>
      <c r="M2009" s="7">
        <f t="shared" si="155"/>
        <v>4758</v>
      </c>
      <c r="N2009" s="7">
        <f t="shared" si="156"/>
        <v>4950</v>
      </c>
      <c r="O2009" s="2">
        <v>48</v>
      </c>
      <c r="P2009" s="8">
        <f t="shared" si="157"/>
        <v>4998</v>
      </c>
      <c r="Q2009" s="8">
        <f t="shared" si="158"/>
        <v>4157</v>
      </c>
      <c r="R2009" s="2" t="s">
        <v>26</v>
      </c>
      <c r="S2009" s="9">
        <f t="shared" si="159"/>
        <v>99.960000000000008</v>
      </c>
    </row>
    <row r="2010" spans="1:19" x14ac:dyDescent="0.3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str">
        <f>IFERROR(VLOOKUP('Customer Info'!A2002,'Customer Info'!A2002:C2501,2,FALSE),"Not Found")</f>
        <v>Not Found</v>
      </c>
      <c r="H2010" s="6" t="str">
        <f>IFERROR(VLOOKUP('Customer Info'!A2002,'Customer Info'!A2002:C2501,3,FALSE),"Not Found")</f>
        <v>Not Found</v>
      </c>
      <c r="I2010" s="6" t="str">
        <f>IFERROR(VLOOKUP('Customer Info'!A2002,'Customer Info'!A2002:E2501,5,FALSE),"Not Found")</f>
        <v>Not Found</v>
      </c>
      <c r="J2010" s="2">
        <v>2453</v>
      </c>
      <c r="K2010" s="2">
        <v>2336</v>
      </c>
      <c r="L2010" s="2">
        <v>3</v>
      </c>
      <c r="M2010" s="7">
        <f t="shared" si="155"/>
        <v>7008</v>
      </c>
      <c r="N2010" s="7">
        <f t="shared" si="156"/>
        <v>7359</v>
      </c>
      <c r="O2010" s="2">
        <v>89</v>
      </c>
      <c r="P2010" s="8">
        <f t="shared" si="157"/>
        <v>7448</v>
      </c>
      <c r="Q2010" s="8">
        <f t="shared" si="158"/>
        <v>5023</v>
      </c>
      <c r="R2010" s="2" t="s">
        <v>28</v>
      </c>
      <c r="S2010" s="9">
        <f t="shared" si="159"/>
        <v>372.40000000000003</v>
      </c>
    </row>
    <row r="2011" spans="1:19" x14ac:dyDescent="0.3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str">
        <f>IFERROR(VLOOKUP('Customer Info'!A2003,'Customer Info'!A2003:C2502,2,FALSE),"Not Found")</f>
        <v>Not Found</v>
      </c>
      <c r="H2011" s="6" t="str">
        <f>IFERROR(VLOOKUP('Customer Info'!A2003,'Customer Info'!A2003:C2502,3,FALSE),"Not Found")</f>
        <v>Not Found</v>
      </c>
      <c r="I2011" s="6" t="str">
        <f>IFERROR(VLOOKUP('Customer Info'!A2003,'Customer Info'!A2003:E2502,5,FALSE),"Not Found")</f>
        <v>Not Found</v>
      </c>
      <c r="J2011" s="2">
        <v>1770</v>
      </c>
      <c r="K2011" s="2">
        <v>1592</v>
      </c>
      <c r="L2011" s="2">
        <v>1</v>
      </c>
      <c r="M2011" s="7">
        <f t="shared" si="155"/>
        <v>1592</v>
      </c>
      <c r="N2011" s="7">
        <f t="shared" si="156"/>
        <v>1770</v>
      </c>
      <c r="O2011" s="2">
        <v>76</v>
      </c>
      <c r="P2011" s="8">
        <f t="shared" si="157"/>
        <v>1846</v>
      </c>
      <c r="Q2011" s="8">
        <f t="shared" si="158"/>
        <v>178</v>
      </c>
      <c r="R2011" s="2" t="s">
        <v>50</v>
      </c>
      <c r="S2011" s="9">
        <f t="shared" si="159"/>
        <v>36.92</v>
      </c>
    </row>
    <row r="2012" spans="1:19" x14ac:dyDescent="0.3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str">
        <f>IFERROR(VLOOKUP('Customer Info'!A2004,'Customer Info'!A2004:C2503,2,FALSE),"Not Found")</f>
        <v>Not Found</v>
      </c>
      <c r="H2012" s="6" t="str">
        <f>IFERROR(VLOOKUP('Customer Info'!A2004,'Customer Info'!A2004:C2503,3,FALSE),"Not Found")</f>
        <v>Not Found</v>
      </c>
      <c r="I2012" s="6" t="str">
        <f>IFERROR(VLOOKUP('Customer Info'!A2004,'Customer Info'!A2004:E2503,5,FALSE),"Not Found")</f>
        <v>Not Found</v>
      </c>
      <c r="J2012" s="2">
        <v>38328</v>
      </c>
      <c r="K2012" s="2">
        <v>35164</v>
      </c>
      <c r="L2012" s="2">
        <v>2</v>
      </c>
      <c r="M2012" s="7">
        <f t="shared" si="155"/>
        <v>70328</v>
      </c>
      <c r="N2012" s="7">
        <f t="shared" si="156"/>
        <v>76656</v>
      </c>
      <c r="O2012" s="2">
        <v>23</v>
      </c>
      <c r="P2012" s="8">
        <f t="shared" si="157"/>
        <v>76679</v>
      </c>
      <c r="Q2012" s="8">
        <f t="shared" si="158"/>
        <v>41492</v>
      </c>
      <c r="R2012" s="2" t="s">
        <v>50</v>
      </c>
      <c r="S2012" s="9">
        <f t="shared" si="159"/>
        <v>6901.11</v>
      </c>
    </row>
    <row r="2013" spans="1:19" x14ac:dyDescent="0.3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str">
        <f>IFERROR(VLOOKUP('Customer Info'!A2005,'Customer Info'!A2005:C2504,2,FALSE),"Not Found")</f>
        <v>Not Found</v>
      </c>
      <c r="H2013" s="6" t="str">
        <f>IFERROR(VLOOKUP('Customer Info'!A2005,'Customer Info'!A2005:C2504,3,FALSE),"Not Found")</f>
        <v>Not Found</v>
      </c>
      <c r="I2013" s="6" t="str">
        <f>IFERROR(VLOOKUP('Customer Info'!A2005,'Customer Info'!A2005:E2504,5,FALSE),"Not Found")</f>
        <v>Not Found</v>
      </c>
      <c r="J2013" s="2">
        <v>285</v>
      </c>
      <c r="K2013" s="2">
        <v>259</v>
      </c>
      <c r="L2013" s="2">
        <v>9</v>
      </c>
      <c r="M2013" s="7">
        <f t="shared" si="155"/>
        <v>2331</v>
      </c>
      <c r="N2013" s="7">
        <f t="shared" si="156"/>
        <v>2565</v>
      </c>
      <c r="O2013" s="2">
        <v>60</v>
      </c>
      <c r="P2013" s="8">
        <f t="shared" si="157"/>
        <v>2625</v>
      </c>
      <c r="Q2013" s="8">
        <f t="shared" si="158"/>
        <v>2306</v>
      </c>
      <c r="R2013" s="2" t="s">
        <v>50</v>
      </c>
      <c r="S2013" s="9">
        <f t="shared" si="159"/>
        <v>52.5</v>
      </c>
    </row>
    <row r="2014" spans="1:19" x14ac:dyDescent="0.3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str">
        <f>IFERROR(VLOOKUP('Customer Info'!A2006,'Customer Info'!A2006:C2505,2,FALSE),"Not Found")</f>
        <v>Not Found</v>
      </c>
      <c r="H2014" s="6" t="str">
        <f>IFERROR(VLOOKUP('Customer Info'!A2006,'Customer Info'!A2006:C2505,3,FALSE),"Not Found")</f>
        <v>Not Found</v>
      </c>
      <c r="I2014" s="6" t="str">
        <f>IFERROR(VLOOKUP('Customer Info'!A2006,'Customer Info'!A2006:E2505,5,FALSE),"Not Found")</f>
        <v>Not Found</v>
      </c>
      <c r="J2014" s="2">
        <v>1364</v>
      </c>
      <c r="K2014" s="2">
        <v>1274</v>
      </c>
      <c r="L2014" s="2">
        <v>8</v>
      </c>
      <c r="M2014" s="7">
        <f t="shared" si="155"/>
        <v>10192</v>
      </c>
      <c r="N2014" s="7">
        <f t="shared" si="156"/>
        <v>10912</v>
      </c>
      <c r="O2014" s="2">
        <v>37</v>
      </c>
      <c r="P2014" s="8">
        <f t="shared" si="157"/>
        <v>10949</v>
      </c>
      <c r="Q2014" s="8">
        <f t="shared" si="158"/>
        <v>9638</v>
      </c>
      <c r="R2014" s="2" t="s">
        <v>28</v>
      </c>
      <c r="S2014" s="9">
        <f t="shared" si="159"/>
        <v>547.45000000000005</v>
      </c>
    </row>
    <row r="2015" spans="1:19" x14ac:dyDescent="0.3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str">
        <f>IFERROR(VLOOKUP('Customer Info'!A2007,'Customer Info'!A2007:C2506,2,FALSE),"Not Found")</f>
        <v>Not Found</v>
      </c>
      <c r="H2015" s="6" t="str">
        <f>IFERROR(VLOOKUP('Customer Info'!A2007,'Customer Info'!A2007:C2506,3,FALSE),"Not Found")</f>
        <v>Not Found</v>
      </c>
      <c r="I2015" s="6" t="str">
        <f>IFERROR(VLOOKUP('Customer Info'!A2007,'Customer Info'!A2007:E2506,5,FALSE),"Not Found")</f>
        <v>Not Found</v>
      </c>
      <c r="J2015" s="2">
        <v>63</v>
      </c>
      <c r="K2015" s="2">
        <v>58</v>
      </c>
      <c r="L2015" s="2">
        <v>7</v>
      </c>
      <c r="M2015" s="7">
        <f t="shared" si="155"/>
        <v>406</v>
      </c>
      <c r="N2015" s="7">
        <f t="shared" si="156"/>
        <v>441</v>
      </c>
      <c r="O2015" s="2">
        <v>10</v>
      </c>
      <c r="P2015" s="8">
        <f t="shared" si="157"/>
        <v>451</v>
      </c>
      <c r="Q2015" s="8">
        <f t="shared" si="158"/>
        <v>383</v>
      </c>
      <c r="R2015" s="2" t="s">
        <v>28</v>
      </c>
      <c r="S2015" s="9">
        <f t="shared" si="159"/>
        <v>9.02</v>
      </c>
    </row>
    <row r="2016" spans="1:19" x14ac:dyDescent="0.3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str">
        <f>IFERROR(VLOOKUP('Customer Info'!A2008,'Customer Info'!A2008:C2507,2,FALSE),"Not Found")</f>
        <v>Not Found</v>
      </c>
      <c r="H2016" s="6" t="str">
        <f>IFERROR(VLOOKUP('Customer Info'!A2008,'Customer Info'!A2008:C2507,3,FALSE),"Not Found")</f>
        <v>Not Found</v>
      </c>
      <c r="I2016" s="6" t="str">
        <f>IFERROR(VLOOKUP('Customer Info'!A2008,'Customer Info'!A2008:E2507,5,FALSE),"Not Found")</f>
        <v>Not Found</v>
      </c>
      <c r="J2016" s="2">
        <v>1533</v>
      </c>
      <c r="K2016" s="2">
        <v>1406</v>
      </c>
      <c r="L2016" s="2">
        <v>2</v>
      </c>
      <c r="M2016" s="7">
        <f t="shared" si="155"/>
        <v>2812</v>
      </c>
      <c r="N2016" s="7">
        <f t="shared" si="156"/>
        <v>3066</v>
      </c>
      <c r="O2016" s="2">
        <v>66</v>
      </c>
      <c r="P2016" s="8">
        <f t="shared" si="157"/>
        <v>3132</v>
      </c>
      <c r="Q2016" s="8">
        <f t="shared" si="158"/>
        <v>1660</v>
      </c>
      <c r="R2016" s="2" t="s">
        <v>26</v>
      </c>
      <c r="S2016" s="9">
        <f t="shared" si="159"/>
        <v>62.64</v>
      </c>
    </row>
    <row r="2017" spans="1:19" x14ac:dyDescent="0.3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str">
        <f>IFERROR(VLOOKUP('Customer Info'!A2009,'Customer Info'!A2009:C2508,2,FALSE),"Not Found")</f>
        <v>Not Found</v>
      </c>
      <c r="H2017" s="6" t="str">
        <f>IFERROR(VLOOKUP('Customer Info'!A2009,'Customer Info'!A2009:C2508,3,FALSE),"Not Found")</f>
        <v>Not Found</v>
      </c>
      <c r="I2017" s="6" t="str">
        <f>IFERROR(VLOOKUP('Customer Info'!A2009,'Customer Info'!A2009:E2508,5,FALSE),"Not Found")</f>
        <v>Not Found</v>
      </c>
      <c r="J2017" s="2">
        <v>2602</v>
      </c>
      <c r="K2017" s="2">
        <v>2363</v>
      </c>
      <c r="L2017" s="2">
        <v>2</v>
      </c>
      <c r="M2017" s="7">
        <f t="shared" si="155"/>
        <v>4726</v>
      </c>
      <c r="N2017" s="7">
        <f t="shared" si="156"/>
        <v>5204</v>
      </c>
      <c r="O2017" s="2">
        <v>78</v>
      </c>
      <c r="P2017" s="8">
        <f t="shared" si="157"/>
        <v>5282</v>
      </c>
      <c r="Q2017" s="8">
        <f t="shared" si="158"/>
        <v>2841</v>
      </c>
      <c r="R2017" s="2" t="s">
        <v>50</v>
      </c>
      <c r="S2017" s="9">
        <f t="shared" si="159"/>
        <v>264.10000000000002</v>
      </c>
    </row>
    <row r="2018" spans="1:19" x14ac:dyDescent="0.3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str">
        <f>IFERROR(VLOOKUP('Customer Info'!A2010,'Customer Info'!A2010:C2509,2,FALSE),"Not Found")</f>
        <v>Not Found</v>
      </c>
      <c r="H2018" s="6" t="str">
        <f>IFERROR(VLOOKUP('Customer Info'!A2010,'Customer Info'!A2010:C2509,3,FALSE),"Not Found")</f>
        <v>Not Found</v>
      </c>
      <c r="I2018" s="6" t="str">
        <f>IFERROR(VLOOKUP('Customer Info'!A2010,'Customer Info'!A2010:E2509,5,FALSE),"Not Found")</f>
        <v>Not Found</v>
      </c>
      <c r="J2018" s="2">
        <v>729</v>
      </c>
      <c r="K2018" s="2">
        <v>689</v>
      </c>
      <c r="L2018" s="2">
        <v>3</v>
      </c>
      <c r="M2018" s="7">
        <f t="shared" si="155"/>
        <v>2067</v>
      </c>
      <c r="N2018" s="7">
        <f t="shared" si="156"/>
        <v>2187</v>
      </c>
      <c r="O2018" s="2">
        <v>49</v>
      </c>
      <c r="P2018" s="8">
        <f t="shared" si="157"/>
        <v>2236</v>
      </c>
      <c r="Q2018" s="8">
        <f t="shared" si="158"/>
        <v>1498</v>
      </c>
      <c r="R2018" s="2" t="s">
        <v>50</v>
      </c>
      <c r="S2018" s="9">
        <f t="shared" si="159"/>
        <v>44.72</v>
      </c>
    </row>
    <row r="2019" spans="1:19" x14ac:dyDescent="0.3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str">
        <f>IFERROR(VLOOKUP('Customer Info'!A2011,'Customer Info'!A2011:C2510,2,FALSE),"Not Found")</f>
        <v>Not Found</v>
      </c>
      <c r="H2019" s="6" t="str">
        <f>IFERROR(VLOOKUP('Customer Info'!A2011,'Customer Info'!A2011:C2510,3,FALSE),"Not Found")</f>
        <v>Not Found</v>
      </c>
      <c r="I2019" s="6" t="str">
        <f>IFERROR(VLOOKUP('Customer Info'!A2011,'Customer Info'!A2011:E2510,5,FALSE),"Not Found")</f>
        <v>Not Found</v>
      </c>
      <c r="J2019" s="2">
        <v>2857</v>
      </c>
      <c r="K2019" s="2">
        <v>2622</v>
      </c>
      <c r="L2019" s="2">
        <v>7</v>
      </c>
      <c r="M2019" s="7">
        <f t="shared" si="155"/>
        <v>18354</v>
      </c>
      <c r="N2019" s="7">
        <f t="shared" si="156"/>
        <v>19999</v>
      </c>
      <c r="O2019" s="2">
        <v>78</v>
      </c>
      <c r="P2019" s="8">
        <f t="shared" si="157"/>
        <v>20077</v>
      </c>
      <c r="Q2019" s="8">
        <f t="shared" si="158"/>
        <v>17377</v>
      </c>
      <c r="R2019" s="2" t="s">
        <v>28</v>
      </c>
      <c r="S2019" s="9">
        <f t="shared" si="159"/>
        <v>1003.85</v>
      </c>
    </row>
    <row r="2020" spans="1:19" x14ac:dyDescent="0.3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str">
        <f>IFERROR(VLOOKUP('Customer Info'!A2012,'Customer Info'!A2012:C2511,2,FALSE),"Not Found")</f>
        <v>Not Found</v>
      </c>
      <c r="H2020" s="6" t="str">
        <f>IFERROR(VLOOKUP('Customer Info'!A2012,'Customer Info'!A2012:C2511,3,FALSE),"Not Found")</f>
        <v>Not Found</v>
      </c>
      <c r="I2020" s="6" t="str">
        <f>IFERROR(VLOOKUP('Customer Info'!A2012,'Customer Info'!A2012:E2511,5,FALSE),"Not Found")</f>
        <v>Not Found</v>
      </c>
      <c r="J2020" s="2">
        <v>4904</v>
      </c>
      <c r="K2020" s="2">
        <v>4499</v>
      </c>
      <c r="L2020" s="2">
        <v>2</v>
      </c>
      <c r="M2020" s="7">
        <f t="shared" si="155"/>
        <v>8998</v>
      </c>
      <c r="N2020" s="7">
        <f t="shared" si="156"/>
        <v>9808</v>
      </c>
      <c r="O2020" s="2">
        <v>24</v>
      </c>
      <c r="P2020" s="8">
        <f t="shared" si="157"/>
        <v>9832</v>
      </c>
      <c r="Q2020" s="8">
        <f t="shared" si="158"/>
        <v>5309</v>
      </c>
      <c r="R2020" s="2" t="s">
        <v>50</v>
      </c>
      <c r="S2020" s="9">
        <f t="shared" si="159"/>
        <v>491.6</v>
      </c>
    </row>
    <row r="2021" spans="1:19" x14ac:dyDescent="0.3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str">
        <f>IFERROR(VLOOKUP('Customer Info'!A2013,'Customer Info'!A2013:C2512,2,FALSE),"Not Found")</f>
        <v>Not Found</v>
      </c>
      <c r="H2021" s="6" t="str">
        <f>IFERROR(VLOOKUP('Customer Info'!A2013,'Customer Info'!A2013:C2512,3,FALSE),"Not Found")</f>
        <v>Not Found</v>
      </c>
      <c r="I2021" s="6" t="str">
        <f>IFERROR(VLOOKUP('Customer Info'!A2013,'Customer Info'!A2013:E2512,5,FALSE),"Not Found")</f>
        <v>Not Found</v>
      </c>
      <c r="J2021" s="2">
        <v>3288</v>
      </c>
      <c r="K2021" s="2">
        <v>3041</v>
      </c>
      <c r="L2021" s="2">
        <v>1</v>
      </c>
      <c r="M2021" s="7">
        <f t="shared" si="155"/>
        <v>3041</v>
      </c>
      <c r="N2021" s="7">
        <f t="shared" si="156"/>
        <v>3288</v>
      </c>
      <c r="O2021" s="2">
        <v>46</v>
      </c>
      <c r="P2021" s="8">
        <f t="shared" si="157"/>
        <v>3334</v>
      </c>
      <c r="Q2021" s="8">
        <f t="shared" si="158"/>
        <v>247</v>
      </c>
      <c r="R2021" s="2" t="s">
        <v>28</v>
      </c>
      <c r="S2021" s="9">
        <f t="shared" si="159"/>
        <v>66.680000000000007</v>
      </c>
    </row>
    <row r="2022" spans="1:19" x14ac:dyDescent="0.3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str">
        <f>IFERROR(VLOOKUP('Customer Info'!A2014,'Customer Info'!A2014:C2513,2,FALSE),"Not Found")</f>
        <v>Not Found</v>
      </c>
      <c r="H2022" s="6" t="str">
        <f>IFERROR(VLOOKUP('Customer Info'!A2014,'Customer Info'!A2014:C2513,3,FALSE),"Not Found")</f>
        <v>Not Found</v>
      </c>
      <c r="I2022" s="6" t="str">
        <f>IFERROR(VLOOKUP('Customer Info'!A2014,'Customer Info'!A2014:E2513,5,FALSE),"Not Found")</f>
        <v>Not Found</v>
      </c>
      <c r="J2022" s="2">
        <v>1774</v>
      </c>
      <c r="K2022" s="2">
        <v>1642</v>
      </c>
      <c r="L2022" s="2">
        <v>1</v>
      </c>
      <c r="M2022" s="7">
        <f t="shared" si="155"/>
        <v>1642</v>
      </c>
      <c r="N2022" s="7">
        <f t="shared" si="156"/>
        <v>1774</v>
      </c>
      <c r="O2022" s="2">
        <v>70</v>
      </c>
      <c r="P2022" s="8">
        <f t="shared" si="157"/>
        <v>1844</v>
      </c>
      <c r="Q2022" s="8">
        <f t="shared" si="158"/>
        <v>132</v>
      </c>
      <c r="R2022" s="2" t="s">
        <v>26</v>
      </c>
      <c r="S2022" s="9">
        <f t="shared" si="159"/>
        <v>36.880000000000003</v>
      </c>
    </row>
    <row r="2023" spans="1:19" x14ac:dyDescent="0.3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str">
        <f>IFERROR(VLOOKUP('Customer Info'!A2015,'Customer Info'!A2015:C2514,2,FALSE),"Not Found")</f>
        <v>Not Found</v>
      </c>
      <c r="H2023" s="6" t="str">
        <f>IFERROR(VLOOKUP('Customer Info'!A2015,'Customer Info'!A2015:C2514,3,FALSE),"Not Found")</f>
        <v>Not Found</v>
      </c>
      <c r="I2023" s="6" t="str">
        <f>IFERROR(VLOOKUP('Customer Info'!A2015,'Customer Info'!A2015:E2514,5,FALSE),"Not Found")</f>
        <v>Not Found</v>
      </c>
      <c r="J2023" s="2">
        <v>4904</v>
      </c>
      <c r="K2023" s="2">
        <v>4499</v>
      </c>
      <c r="L2023" s="2">
        <v>1</v>
      </c>
      <c r="M2023" s="7">
        <f t="shared" si="155"/>
        <v>4499</v>
      </c>
      <c r="N2023" s="7">
        <f t="shared" si="156"/>
        <v>4904</v>
      </c>
      <c r="O2023" s="2">
        <v>36</v>
      </c>
      <c r="P2023" s="8">
        <f t="shared" si="157"/>
        <v>4940</v>
      </c>
      <c r="Q2023" s="8">
        <f t="shared" si="158"/>
        <v>405</v>
      </c>
      <c r="R2023" s="2" t="s">
        <v>50</v>
      </c>
      <c r="S2023" s="9">
        <f t="shared" si="159"/>
        <v>98.8</v>
      </c>
    </row>
    <row r="2024" spans="1:19" x14ac:dyDescent="0.3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str">
        <f>IFERROR(VLOOKUP('Customer Info'!A2016,'Customer Info'!A2016:C2515,2,FALSE),"Not Found")</f>
        <v>Not Found</v>
      </c>
      <c r="H2024" s="6" t="str">
        <f>IFERROR(VLOOKUP('Customer Info'!A2016,'Customer Info'!A2016:C2515,3,FALSE),"Not Found")</f>
        <v>Not Found</v>
      </c>
      <c r="I2024" s="6" t="str">
        <f>IFERROR(VLOOKUP('Customer Info'!A2016,'Customer Info'!A2016:E2515,5,FALSE),"Not Found")</f>
        <v>Not Found</v>
      </c>
      <c r="J2024" s="2">
        <v>8878</v>
      </c>
      <c r="K2024" s="2">
        <v>7914</v>
      </c>
      <c r="L2024" s="2">
        <v>6</v>
      </c>
      <c r="M2024" s="7">
        <f t="shared" si="155"/>
        <v>47484</v>
      </c>
      <c r="N2024" s="7">
        <f t="shared" si="156"/>
        <v>53268</v>
      </c>
      <c r="O2024" s="2">
        <v>35</v>
      </c>
      <c r="P2024" s="8">
        <f t="shared" si="157"/>
        <v>53303</v>
      </c>
      <c r="Q2024" s="8">
        <f t="shared" si="158"/>
        <v>45354</v>
      </c>
      <c r="R2024" s="2" t="s">
        <v>26</v>
      </c>
      <c r="S2024" s="9">
        <f t="shared" si="159"/>
        <v>4797.2699999999995</v>
      </c>
    </row>
    <row r="2025" spans="1:19" x14ac:dyDescent="0.3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str">
        <f>IFERROR(VLOOKUP('Customer Info'!A2017,'Customer Info'!A2017:C2516,2,FALSE),"Not Found")</f>
        <v>Not Found</v>
      </c>
      <c r="H2025" s="6" t="str">
        <f>IFERROR(VLOOKUP('Customer Info'!A2017,'Customer Info'!A2017:C2516,3,FALSE),"Not Found")</f>
        <v>Not Found</v>
      </c>
      <c r="I2025" s="6" t="str">
        <f>IFERROR(VLOOKUP('Customer Info'!A2017,'Customer Info'!A2017:E2516,5,FALSE),"Not Found")</f>
        <v>Not Found</v>
      </c>
      <c r="J2025" s="2">
        <v>69</v>
      </c>
      <c r="K2025" s="2">
        <v>64</v>
      </c>
      <c r="L2025" s="2">
        <v>1</v>
      </c>
      <c r="M2025" s="7">
        <f t="shared" si="155"/>
        <v>64</v>
      </c>
      <c r="N2025" s="7">
        <f t="shared" si="156"/>
        <v>69</v>
      </c>
      <c r="O2025" s="2">
        <v>10</v>
      </c>
      <c r="P2025" s="8">
        <f t="shared" si="157"/>
        <v>79</v>
      </c>
      <c r="Q2025" s="8">
        <f t="shared" si="158"/>
        <v>5</v>
      </c>
      <c r="R2025" s="2" t="s">
        <v>28</v>
      </c>
      <c r="S2025" s="9">
        <f t="shared" si="159"/>
        <v>1.58</v>
      </c>
    </row>
    <row r="2026" spans="1:19" x14ac:dyDescent="0.3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str">
        <f>IFERROR(VLOOKUP('Customer Info'!A2018,'Customer Info'!A2018:C2517,2,FALSE),"Not Found")</f>
        <v>Not Found</v>
      </c>
      <c r="H2026" s="6" t="str">
        <f>IFERROR(VLOOKUP('Customer Info'!A2018,'Customer Info'!A2018:C2517,3,FALSE),"Not Found")</f>
        <v>Not Found</v>
      </c>
      <c r="I2026" s="6" t="str">
        <f>IFERROR(VLOOKUP('Customer Info'!A2018,'Customer Info'!A2018:E2517,5,FALSE),"Not Found")</f>
        <v>Not Found</v>
      </c>
      <c r="J2026" s="2">
        <v>179</v>
      </c>
      <c r="K2026" s="2">
        <v>166</v>
      </c>
      <c r="L2026" s="2">
        <v>1</v>
      </c>
      <c r="M2026" s="7">
        <f t="shared" si="155"/>
        <v>166</v>
      </c>
      <c r="N2026" s="7">
        <f t="shared" si="156"/>
        <v>179</v>
      </c>
      <c r="O2026" s="2">
        <v>30</v>
      </c>
      <c r="P2026" s="8">
        <f t="shared" si="157"/>
        <v>209</v>
      </c>
      <c r="Q2026" s="8">
        <f t="shared" si="158"/>
        <v>13</v>
      </c>
      <c r="R2026" s="2" t="s">
        <v>56</v>
      </c>
      <c r="S2026" s="9">
        <f t="shared" si="159"/>
        <v>4.18</v>
      </c>
    </row>
    <row r="2027" spans="1:19" x14ac:dyDescent="0.3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str">
        <f>IFERROR(VLOOKUP('Customer Info'!A2019,'Customer Info'!A2019:C2518,2,FALSE),"Not Found")</f>
        <v>Not Found</v>
      </c>
      <c r="H2027" s="6" t="str">
        <f>IFERROR(VLOOKUP('Customer Info'!A2019,'Customer Info'!A2019:C2518,3,FALSE),"Not Found")</f>
        <v>Not Found</v>
      </c>
      <c r="I2027" s="6" t="str">
        <f>IFERROR(VLOOKUP('Customer Info'!A2019,'Customer Info'!A2019:E2518,5,FALSE),"Not Found")</f>
        <v>Not Found</v>
      </c>
      <c r="J2027" s="2">
        <v>2526</v>
      </c>
      <c r="K2027" s="2">
        <v>2408</v>
      </c>
      <c r="L2027" s="2">
        <v>4</v>
      </c>
      <c r="M2027" s="7">
        <f t="shared" si="155"/>
        <v>9632</v>
      </c>
      <c r="N2027" s="7">
        <f t="shared" si="156"/>
        <v>10104</v>
      </c>
      <c r="O2027" s="2">
        <v>36</v>
      </c>
      <c r="P2027" s="8">
        <f t="shared" si="157"/>
        <v>10140</v>
      </c>
      <c r="Q2027" s="8">
        <f t="shared" si="158"/>
        <v>7696</v>
      </c>
      <c r="R2027" s="2" t="s">
        <v>56</v>
      </c>
      <c r="S2027" s="9">
        <f t="shared" si="159"/>
        <v>507</v>
      </c>
    </row>
    <row r="2028" spans="1:19" x14ac:dyDescent="0.3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str">
        <f>IFERROR(VLOOKUP('Customer Info'!A2020,'Customer Info'!A2020:C2519,2,FALSE),"Not Found")</f>
        <v>Not Found</v>
      </c>
      <c r="H2028" s="6" t="str">
        <f>IFERROR(VLOOKUP('Customer Info'!A2020,'Customer Info'!A2020:C2519,3,FALSE),"Not Found")</f>
        <v>Not Found</v>
      </c>
      <c r="I2028" s="6" t="str">
        <f>IFERROR(VLOOKUP('Customer Info'!A2020,'Customer Info'!A2020:E2519,5,FALSE),"Not Found")</f>
        <v>Not Found</v>
      </c>
      <c r="J2028" s="2">
        <v>954</v>
      </c>
      <c r="K2028" s="2">
        <v>901</v>
      </c>
      <c r="L2028" s="2">
        <v>3</v>
      </c>
      <c r="M2028" s="7">
        <f t="shared" si="155"/>
        <v>2703</v>
      </c>
      <c r="N2028" s="7">
        <f t="shared" si="156"/>
        <v>2862</v>
      </c>
      <c r="O2028" s="2">
        <v>95</v>
      </c>
      <c r="P2028" s="8">
        <f t="shared" si="157"/>
        <v>2957</v>
      </c>
      <c r="Q2028" s="8">
        <f t="shared" si="158"/>
        <v>1961</v>
      </c>
      <c r="R2028" s="2" t="s">
        <v>28</v>
      </c>
      <c r="S2028" s="9">
        <f t="shared" si="159"/>
        <v>59.14</v>
      </c>
    </row>
    <row r="2029" spans="1:19" x14ac:dyDescent="0.3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str">
        <f>IFERROR(VLOOKUP('Customer Info'!A2021,'Customer Info'!A2021:C2520,2,FALSE),"Not Found")</f>
        <v>Not Found</v>
      </c>
      <c r="H2029" s="6" t="str">
        <f>IFERROR(VLOOKUP('Customer Info'!A2021,'Customer Info'!A2021:C2520,3,FALSE),"Not Found")</f>
        <v>Not Found</v>
      </c>
      <c r="I2029" s="6" t="str">
        <f>IFERROR(VLOOKUP('Customer Info'!A2021,'Customer Info'!A2021:E2520,5,FALSE),"Not Found")</f>
        <v>Not Found</v>
      </c>
      <c r="J2029" s="2">
        <v>2551</v>
      </c>
      <c r="K2029" s="2">
        <v>2456</v>
      </c>
      <c r="L2029" s="2">
        <v>4</v>
      </c>
      <c r="M2029" s="7">
        <f t="shared" si="155"/>
        <v>9824</v>
      </c>
      <c r="N2029" s="7">
        <f t="shared" si="156"/>
        <v>10204</v>
      </c>
      <c r="O2029" s="2">
        <v>86</v>
      </c>
      <c r="P2029" s="8">
        <f t="shared" si="157"/>
        <v>10290</v>
      </c>
      <c r="Q2029" s="8">
        <f t="shared" si="158"/>
        <v>7748</v>
      </c>
      <c r="R2029" s="2" t="s">
        <v>28</v>
      </c>
      <c r="S2029" s="9">
        <f t="shared" si="159"/>
        <v>514.5</v>
      </c>
    </row>
    <row r="2030" spans="1:19" x14ac:dyDescent="0.3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str">
        <f>IFERROR(VLOOKUP('Customer Info'!A2022,'Customer Info'!A2022:C2521,2,FALSE),"Not Found")</f>
        <v>Not Found</v>
      </c>
      <c r="H2030" s="6" t="str">
        <f>IFERROR(VLOOKUP('Customer Info'!A2022,'Customer Info'!A2022:C2521,3,FALSE),"Not Found")</f>
        <v>Not Found</v>
      </c>
      <c r="I2030" s="6" t="str">
        <f>IFERROR(VLOOKUP('Customer Info'!A2022,'Customer Info'!A2022:E2521,5,FALSE),"Not Found")</f>
        <v>Not Found</v>
      </c>
      <c r="J2030" s="2">
        <v>2515</v>
      </c>
      <c r="K2030" s="2">
        <v>2397</v>
      </c>
      <c r="L2030" s="2">
        <v>6</v>
      </c>
      <c r="M2030" s="7">
        <f t="shared" si="155"/>
        <v>14382</v>
      </c>
      <c r="N2030" s="7">
        <f t="shared" si="156"/>
        <v>15090</v>
      </c>
      <c r="O2030" s="2">
        <v>26</v>
      </c>
      <c r="P2030" s="8">
        <f t="shared" si="157"/>
        <v>15116</v>
      </c>
      <c r="Q2030" s="8">
        <f t="shared" si="158"/>
        <v>12693</v>
      </c>
      <c r="R2030" s="2" t="s">
        <v>26</v>
      </c>
      <c r="S2030" s="9">
        <f t="shared" si="159"/>
        <v>755.80000000000007</v>
      </c>
    </row>
    <row r="2031" spans="1:19" x14ac:dyDescent="0.3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str">
        <f>IFERROR(VLOOKUP('Customer Info'!A2023,'Customer Info'!A2023:C2522,2,FALSE),"Not Found")</f>
        <v>Not Found</v>
      </c>
      <c r="H2031" s="6" t="str">
        <f>IFERROR(VLOOKUP('Customer Info'!A2023,'Customer Info'!A2023:C2522,3,FALSE),"Not Found")</f>
        <v>Not Found</v>
      </c>
      <c r="I2031" s="6" t="str">
        <f>IFERROR(VLOOKUP('Customer Info'!A2023,'Customer Info'!A2023:E2522,5,FALSE),"Not Found")</f>
        <v>Not Found</v>
      </c>
      <c r="J2031" s="2">
        <v>222</v>
      </c>
      <c r="K2031" s="2">
        <v>204</v>
      </c>
      <c r="L2031" s="2">
        <v>2</v>
      </c>
      <c r="M2031" s="7">
        <f t="shared" si="155"/>
        <v>408</v>
      </c>
      <c r="N2031" s="7">
        <f t="shared" si="156"/>
        <v>444</v>
      </c>
      <c r="O2031" s="2">
        <v>43</v>
      </c>
      <c r="P2031" s="8">
        <f t="shared" si="157"/>
        <v>487</v>
      </c>
      <c r="Q2031" s="8">
        <f t="shared" si="158"/>
        <v>240</v>
      </c>
      <c r="R2031" s="2" t="s">
        <v>28</v>
      </c>
      <c r="S2031" s="9">
        <f t="shared" si="159"/>
        <v>9.74</v>
      </c>
    </row>
    <row r="2032" spans="1:19" x14ac:dyDescent="0.3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str">
        <f>IFERROR(VLOOKUP('Customer Info'!A2024,'Customer Info'!A2024:C2523,2,FALSE),"Not Found")</f>
        <v>Not Found</v>
      </c>
      <c r="H2032" s="6" t="str">
        <f>IFERROR(VLOOKUP('Customer Info'!A2024,'Customer Info'!A2024:C2523,3,FALSE),"Not Found")</f>
        <v>Not Found</v>
      </c>
      <c r="I2032" s="6" t="str">
        <f>IFERROR(VLOOKUP('Customer Info'!A2024,'Customer Info'!A2024:E2523,5,FALSE),"Not Found")</f>
        <v>Not Found</v>
      </c>
      <c r="J2032" s="2">
        <v>5909</v>
      </c>
      <c r="K2032" s="2">
        <v>5528</v>
      </c>
      <c r="L2032" s="2">
        <v>1</v>
      </c>
      <c r="M2032" s="7">
        <f t="shared" si="155"/>
        <v>5528</v>
      </c>
      <c r="N2032" s="7">
        <f t="shared" si="156"/>
        <v>5909</v>
      </c>
      <c r="O2032" s="2">
        <v>83</v>
      </c>
      <c r="P2032" s="8">
        <f t="shared" si="157"/>
        <v>5992</v>
      </c>
      <c r="Q2032" s="8">
        <f t="shared" si="158"/>
        <v>381</v>
      </c>
      <c r="R2032" s="2" t="s">
        <v>28</v>
      </c>
      <c r="S2032" s="9">
        <f t="shared" si="159"/>
        <v>299.60000000000002</v>
      </c>
    </row>
    <row r="2033" spans="1:19" x14ac:dyDescent="0.3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str">
        <f>IFERROR(VLOOKUP('Customer Info'!A2025,'Customer Info'!A2025:C2524,2,FALSE),"Not Found")</f>
        <v>Not Found</v>
      </c>
      <c r="H2033" s="6" t="str">
        <f>IFERROR(VLOOKUP('Customer Info'!A2025,'Customer Info'!A2025:C2524,3,FALSE),"Not Found")</f>
        <v>Not Found</v>
      </c>
      <c r="I2033" s="6" t="str">
        <f>IFERROR(VLOOKUP('Customer Info'!A2025,'Customer Info'!A2025:E2524,5,FALSE),"Not Found")</f>
        <v>Not Found</v>
      </c>
      <c r="J2033" s="2">
        <v>9033</v>
      </c>
      <c r="K2033" s="2">
        <v>8132</v>
      </c>
      <c r="L2033" s="2">
        <v>4</v>
      </c>
      <c r="M2033" s="7">
        <f t="shared" si="155"/>
        <v>32528</v>
      </c>
      <c r="N2033" s="7">
        <f t="shared" si="156"/>
        <v>36132</v>
      </c>
      <c r="O2033" s="2">
        <v>36</v>
      </c>
      <c r="P2033" s="8">
        <f t="shared" si="157"/>
        <v>36168</v>
      </c>
      <c r="Q2033" s="8">
        <f t="shared" si="158"/>
        <v>28000</v>
      </c>
      <c r="R2033" s="2" t="s">
        <v>28</v>
      </c>
      <c r="S2033" s="9">
        <f t="shared" si="159"/>
        <v>2531.7600000000002</v>
      </c>
    </row>
    <row r="2034" spans="1:19" x14ac:dyDescent="0.3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str">
        <f>IFERROR(VLOOKUP('Customer Info'!A2026,'Customer Info'!A2026:C2525,2,FALSE),"Not Found")</f>
        <v>Not Found</v>
      </c>
      <c r="H2034" s="6" t="str">
        <f>IFERROR(VLOOKUP('Customer Info'!A2026,'Customer Info'!A2026:C2525,3,FALSE),"Not Found")</f>
        <v>Not Found</v>
      </c>
      <c r="I2034" s="6" t="str">
        <f>IFERROR(VLOOKUP('Customer Info'!A2026,'Customer Info'!A2026:E2525,5,FALSE),"Not Found")</f>
        <v>Not Found</v>
      </c>
      <c r="J2034" s="2">
        <v>3354</v>
      </c>
      <c r="K2034" s="2">
        <v>3102</v>
      </c>
      <c r="L2034" s="2">
        <v>3</v>
      </c>
      <c r="M2034" s="7">
        <f t="shared" si="155"/>
        <v>9306</v>
      </c>
      <c r="N2034" s="7">
        <f t="shared" si="156"/>
        <v>10062</v>
      </c>
      <c r="O2034" s="2">
        <v>48</v>
      </c>
      <c r="P2034" s="8">
        <f t="shared" si="157"/>
        <v>10110</v>
      </c>
      <c r="Q2034" s="8">
        <f t="shared" si="158"/>
        <v>6960</v>
      </c>
      <c r="R2034" s="2" t="s">
        <v>50</v>
      </c>
      <c r="S2034" s="9">
        <f t="shared" si="159"/>
        <v>505.5</v>
      </c>
    </row>
    <row r="2035" spans="1:19" x14ac:dyDescent="0.3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str">
        <f>IFERROR(VLOOKUP('Customer Info'!A2027,'Customer Info'!A2027:C2526,2,FALSE),"Not Found")</f>
        <v>Not Found</v>
      </c>
      <c r="H2035" s="6" t="str">
        <f>IFERROR(VLOOKUP('Customer Info'!A2027,'Customer Info'!A2027:C2526,3,FALSE),"Not Found")</f>
        <v>Not Found</v>
      </c>
      <c r="I2035" s="6" t="str">
        <f>IFERROR(VLOOKUP('Customer Info'!A2027,'Customer Info'!A2027:E2526,5,FALSE),"Not Found")</f>
        <v>Not Found</v>
      </c>
      <c r="J2035" s="2">
        <v>2017</v>
      </c>
      <c r="K2035" s="2">
        <v>1834</v>
      </c>
      <c r="L2035" s="2">
        <v>1</v>
      </c>
      <c r="M2035" s="7">
        <f t="shared" si="155"/>
        <v>1834</v>
      </c>
      <c r="N2035" s="7">
        <f t="shared" si="156"/>
        <v>2017</v>
      </c>
      <c r="O2035" s="2">
        <v>44</v>
      </c>
      <c r="P2035" s="8">
        <f t="shared" si="157"/>
        <v>2061</v>
      </c>
      <c r="Q2035" s="8">
        <f t="shared" si="158"/>
        <v>183</v>
      </c>
      <c r="R2035" s="2" t="s">
        <v>50</v>
      </c>
      <c r="S2035" s="9">
        <f t="shared" si="159"/>
        <v>41.22</v>
      </c>
    </row>
    <row r="2036" spans="1:19" x14ac:dyDescent="0.3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str">
        <f>IFERROR(VLOOKUP('Customer Info'!A2028,'Customer Info'!A2028:C2527,2,FALSE),"Not Found")</f>
        <v>Not Found</v>
      </c>
      <c r="H2036" s="6" t="str">
        <f>IFERROR(VLOOKUP('Customer Info'!A2028,'Customer Info'!A2028:C2527,3,FALSE),"Not Found")</f>
        <v>Not Found</v>
      </c>
      <c r="I2036" s="6" t="str">
        <f>IFERROR(VLOOKUP('Customer Info'!A2028,'Customer Info'!A2028:E2527,5,FALSE),"Not Found")</f>
        <v>Not Found</v>
      </c>
      <c r="J2036" s="2">
        <v>9214</v>
      </c>
      <c r="K2036" s="2">
        <v>8295</v>
      </c>
      <c r="L2036" s="2">
        <v>1</v>
      </c>
      <c r="M2036" s="7">
        <f t="shared" si="155"/>
        <v>8295</v>
      </c>
      <c r="N2036" s="7">
        <f t="shared" si="156"/>
        <v>9214</v>
      </c>
      <c r="O2036" s="2">
        <v>84</v>
      </c>
      <c r="P2036" s="8">
        <f t="shared" si="157"/>
        <v>9298</v>
      </c>
      <c r="Q2036" s="8">
        <f t="shared" si="158"/>
        <v>919</v>
      </c>
      <c r="R2036" s="2" t="s">
        <v>50</v>
      </c>
      <c r="S2036" s="9">
        <f t="shared" si="159"/>
        <v>464.90000000000003</v>
      </c>
    </row>
    <row r="2037" spans="1:19" x14ac:dyDescent="0.3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str">
        <f>IFERROR(VLOOKUP('Customer Info'!A2029,'Customer Info'!A2029:C2528,2,FALSE),"Not Found")</f>
        <v>Not Found</v>
      </c>
      <c r="H2037" s="6" t="str">
        <f>IFERROR(VLOOKUP('Customer Info'!A2029,'Customer Info'!A2029:C2528,3,FALSE),"Not Found")</f>
        <v>Not Found</v>
      </c>
      <c r="I2037" s="6" t="str">
        <f>IFERROR(VLOOKUP('Customer Info'!A2029,'Customer Info'!A2029:E2528,5,FALSE),"Not Found")</f>
        <v>Not Found</v>
      </c>
      <c r="J2037" s="2">
        <v>93</v>
      </c>
      <c r="K2037" s="2">
        <v>86</v>
      </c>
      <c r="L2037" s="2">
        <v>8</v>
      </c>
      <c r="M2037" s="7">
        <f t="shared" si="155"/>
        <v>688</v>
      </c>
      <c r="N2037" s="7">
        <f t="shared" si="156"/>
        <v>744</v>
      </c>
      <c r="O2037" s="2">
        <v>10</v>
      </c>
      <c r="P2037" s="8">
        <f t="shared" si="157"/>
        <v>754</v>
      </c>
      <c r="Q2037" s="8">
        <f t="shared" si="158"/>
        <v>658</v>
      </c>
      <c r="R2037" s="2" t="s">
        <v>50</v>
      </c>
      <c r="S2037" s="9">
        <f t="shared" si="159"/>
        <v>15.08</v>
      </c>
    </row>
    <row r="2038" spans="1:19" x14ac:dyDescent="0.3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str">
        <f>IFERROR(VLOOKUP('Customer Info'!A2030,'Customer Info'!A2030:C2529,2,FALSE),"Not Found")</f>
        <v>Not Found</v>
      </c>
      <c r="H2038" s="6" t="str">
        <f>IFERROR(VLOOKUP('Customer Info'!A2030,'Customer Info'!A2030:C2529,3,FALSE),"Not Found")</f>
        <v>Not Found</v>
      </c>
      <c r="I2038" s="6" t="str">
        <f>IFERROR(VLOOKUP('Customer Info'!A2030,'Customer Info'!A2030:E2529,5,FALSE),"Not Found")</f>
        <v>Not Found</v>
      </c>
      <c r="J2038" s="2">
        <v>2205</v>
      </c>
      <c r="K2038" s="2">
        <v>2061</v>
      </c>
      <c r="L2038" s="2">
        <v>1</v>
      </c>
      <c r="M2038" s="7">
        <f t="shared" si="155"/>
        <v>2061</v>
      </c>
      <c r="N2038" s="7">
        <f t="shared" si="156"/>
        <v>2205</v>
      </c>
      <c r="O2038" s="2">
        <v>65</v>
      </c>
      <c r="P2038" s="8">
        <f t="shared" si="157"/>
        <v>2270</v>
      </c>
      <c r="Q2038" s="8">
        <f t="shared" si="158"/>
        <v>144</v>
      </c>
      <c r="R2038" s="2" t="s">
        <v>28</v>
      </c>
      <c r="S2038" s="9">
        <f t="shared" si="159"/>
        <v>45.4</v>
      </c>
    </row>
    <row r="2039" spans="1:19" x14ac:dyDescent="0.3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str">
        <f>IFERROR(VLOOKUP('Customer Info'!A2031,'Customer Info'!A2031:C2530,2,FALSE),"Not Found")</f>
        <v>Not Found</v>
      </c>
      <c r="H2039" s="6" t="str">
        <f>IFERROR(VLOOKUP('Customer Info'!A2031,'Customer Info'!A2031:C2530,3,FALSE),"Not Found")</f>
        <v>Not Found</v>
      </c>
      <c r="I2039" s="6" t="str">
        <f>IFERROR(VLOOKUP('Customer Info'!A2031,'Customer Info'!A2031:E2530,5,FALSE),"Not Found")</f>
        <v>Not Found</v>
      </c>
      <c r="J2039" s="2">
        <v>1364</v>
      </c>
      <c r="K2039" s="2">
        <v>1274</v>
      </c>
      <c r="L2039" s="2">
        <v>2</v>
      </c>
      <c r="M2039" s="7">
        <f t="shared" si="155"/>
        <v>2548</v>
      </c>
      <c r="N2039" s="7">
        <f t="shared" si="156"/>
        <v>2728</v>
      </c>
      <c r="O2039" s="2">
        <v>85</v>
      </c>
      <c r="P2039" s="8">
        <f t="shared" si="157"/>
        <v>2813</v>
      </c>
      <c r="Q2039" s="8">
        <f t="shared" si="158"/>
        <v>1454</v>
      </c>
      <c r="R2039" s="2" t="s">
        <v>28</v>
      </c>
      <c r="S2039" s="9">
        <f t="shared" si="159"/>
        <v>56.26</v>
      </c>
    </row>
    <row r="2040" spans="1:19" x14ac:dyDescent="0.3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str">
        <f>IFERROR(VLOOKUP('Customer Info'!A2032,'Customer Info'!A2032:C2531,2,FALSE),"Not Found")</f>
        <v>Not Found</v>
      </c>
      <c r="H2040" s="6" t="str">
        <f>IFERROR(VLOOKUP('Customer Info'!A2032,'Customer Info'!A2032:C2531,3,FALSE),"Not Found")</f>
        <v>Not Found</v>
      </c>
      <c r="I2040" s="6" t="str">
        <f>IFERROR(VLOOKUP('Customer Info'!A2032,'Customer Info'!A2032:E2531,5,FALSE),"Not Found")</f>
        <v>Not Found</v>
      </c>
      <c r="J2040" s="2">
        <v>1125</v>
      </c>
      <c r="K2040" s="2">
        <v>1040</v>
      </c>
      <c r="L2040" s="2">
        <v>3</v>
      </c>
      <c r="M2040" s="7">
        <f t="shared" si="155"/>
        <v>3120</v>
      </c>
      <c r="N2040" s="7">
        <f t="shared" si="156"/>
        <v>3375</v>
      </c>
      <c r="O2040" s="2">
        <v>45</v>
      </c>
      <c r="P2040" s="8">
        <f t="shared" si="157"/>
        <v>3420</v>
      </c>
      <c r="Q2040" s="8">
        <f t="shared" si="158"/>
        <v>2335</v>
      </c>
      <c r="R2040" s="2" t="s">
        <v>50</v>
      </c>
      <c r="S2040" s="9">
        <f t="shared" si="159"/>
        <v>68.400000000000006</v>
      </c>
    </row>
    <row r="2041" spans="1:19" x14ac:dyDescent="0.3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str">
        <f>IFERROR(VLOOKUP('Customer Info'!A2033,'Customer Info'!A2033:C2532,2,FALSE),"Not Found")</f>
        <v>Not Found</v>
      </c>
      <c r="H2041" s="6" t="str">
        <f>IFERROR(VLOOKUP('Customer Info'!A2033,'Customer Info'!A2033:C2532,3,FALSE),"Not Found")</f>
        <v>Not Found</v>
      </c>
      <c r="I2041" s="6" t="str">
        <f>IFERROR(VLOOKUP('Customer Info'!A2033,'Customer Info'!A2033:E2532,5,FALSE),"Not Found")</f>
        <v>Not Found</v>
      </c>
      <c r="J2041" s="2">
        <v>1997</v>
      </c>
      <c r="K2041" s="2">
        <v>1816</v>
      </c>
      <c r="L2041" s="2">
        <v>1</v>
      </c>
      <c r="M2041" s="7">
        <f t="shared" si="155"/>
        <v>1816</v>
      </c>
      <c r="N2041" s="7">
        <f t="shared" si="156"/>
        <v>1997</v>
      </c>
      <c r="O2041" s="2">
        <v>54</v>
      </c>
      <c r="P2041" s="8">
        <f t="shared" si="157"/>
        <v>2051</v>
      </c>
      <c r="Q2041" s="8">
        <f t="shared" si="158"/>
        <v>181</v>
      </c>
      <c r="R2041" s="2" t="s">
        <v>28</v>
      </c>
      <c r="S2041" s="9">
        <f t="shared" si="159"/>
        <v>41.02</v>
      </c>
    </row>
    <row r="2042" spans="1:19" x14ac:dyDescent="0.3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str">
        <f>IFERROR(VLOOKUP('Customer Info'!A2034,'Customer Info'!A2034:C2533,2,FALSE),"Not Found")</f>
        <v>Not Found</v>
      </c>
      <c r="H2042" s="6" t="str">
        <f>IFERROR(VLOOKUP('Customer Info'!A2034,'Customer Info'!A2034:C2533,3,FALSE),"Not Found")</f>
        <v>Not Found</v>
      </c>
      <c r="I2042" s="6" t="str">
        <f>IFERROR(VLOOKUP('Customer Info'!A2034,'Customer Info'!A2034:E2533,5,FALSE),"Not Found")</f>
        <v>Not Found</v>
      </c>
      <c r="J2042" s="2">
        <v>135</v>
      </c>
      <c r="K2042" s="2">
        <v>126</v>
      </c>
      <c r="L2042" s="2">
        <v>6</v>
      </c>
      <c r="M2042" s="7">
        <f t="shared" si="155"/>
        <v>756</v>
      </c>
      <c r="N2042" s="7">
        <f t="shared" si="156"/>
        <v>810</v>
      </c>
      <c r="O2042" s="2">
        <v>30</v>
      </c>
      <c r="P2042" s="8">
        <f t="shared" si="157"/>
        <v>840</v>
      </c>
      <c r="Q2042" s="8">
        <f t="shared" si="158"/>
        <v>684</v>
      </c>
      <c r="R2042" s="2" t="s">
        <v>28</v>
      </c>
      <c r="S2042" s="9">
        <f t="shared" si="159"/>
        <v>16.8</v>
      </c>
    </row>
    <row r="2043" spans="1:19" x14ac:dyDescent="0.3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str">
        <f>IFERROR(VLOOKUP('Customer Info'!A2035,'Customer Info'!A2035:C2534,2,FALSE),"Not Found")</f>
        <v>Not Found</v>
      </c>
      <c r="H2043" s="6" t="str">
        <f>IFERROR(VLOOKUP('Customer Info'!A2035,'Customer Info'!A2035:C2534,3,FALSE),"Not Found")</f>
        <v>Not Found</v>
      </c>
      <c r="I2043" s="6" t="str">
        <f>IFERROR(VLOOKUP('Customer Info'!A2035,'Customer Info'!A2035:E2534,5,FALSE),"Not Found")</f>
        <v>Not Found</v>
      </c>
      <c r="J2043" s="2">
        <v>1798</v>
      </c>
      <c r="K2043" s="2">
        <v>1650</v>
      </c>
      <c r="L2043" s="2">
        <v>2</v>
      </c>
      <c r="M2043" s="7">
        <f t="shared" si="155"/>
        <v>3300</v>
      </c>
      <c r="N2043" s="7">
        <f t="shared" si="156"/>
        <v>3596</v>
      </c>
      <c r="O2043" s="2">
        <v>73</v>
      </c>
      <c r="P2043" s="8">
        <f t="shared" si="157"/>
        <v>3669</v>
      </c>
      <c r="Q2043" s="8">
        <f t="shared" si="158"/>
        <v>1946</v>
      </c>
      <c r="R2043" s="2" t="s">
        <v>28</v>
      </c>
      <c r="S2043" s="9">
        <f t="shared" si="159"/>
        <v>73.38</v>
      </c>
    </row>
    <row r="2044" spans="1:19" x14ac:dyDescent="0.3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str">
        <f>IFERROR(VLOOKUP('Customer Info'!A2036,'Customer Info'!A2036:C2535,2,FALSE),"Not Found")</f>
        <v>Not Found</v>
      </c>
      <c r="H2044" s="6" t="str">
        <f>IFERROR(VLOOKUP('Customer Info'!A2036,'Customer Info'!A2036:C2535,3,FALSE),"Not Found")</f>
        <v>Not Found</v>
      </c>
      <c r="I2044" s="6" t="str">
        <f>IFERROR(VLOOKUP('Customer Info'!A2036,'Customer Info'!A2036:E2535,5,FALSE),"Not Found")</f>
        <v>Not Found</v>
      </c>
      <c r="J2044" s="2">
        <v>1169</v>
      </c>
      <c r="K2044" s="2">
        <v>1072</v>
      </c>
      <c r="L2044" s="2">
        <v>2</v>
      </c>
      <c r="M2044" s="7">
        <f t="shared" si="155"/>
        <v>2144</v>
      </c>
      <c r="N2044" s="7">
        <f t="shared" si="156"/>
        <v>2338</v>
      </c>
      <c r="O2044" s="2">
        <v>69</v>
      </c>
      <c r="P2044" s="8">
        <f t="shared" si="157"/>
        <v>2407</v>
      </c>
      <c r="Q2044" s="8">
        <f t="shared" si="158"/>
        <v>1266</v>
      </c>
      <c r="R2044" s="2" t="s">
        <v>28</v>
      </c>
      <c r="S2044" s="9">
        <f t="shared" si="159"/>
        <v>48.14</v>
      </c>
    </row>
    <row r="2045" spans="1:19" x14ac:dyDescent="0.3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str">
        <f>IFERROR(VLOOKUP('Customer Info'!A2037,'Customer Info'!A2037:C2536,2,FALSE),"Not Found")</f>
        <v>Not Found</v>
      </c>
      <c r="H2045" s="6" t="str">
        <f>IFERROR(VLOOKUP('Customer Info'!A2037,'Customer Info'!A2037:C2536,3,FALSE),"Not Found")</f>
        <v>Not Found</v>
      </c>
      <c r="I2045" s="6" t="str">
        <f>IFERROR(VLOOKUP('Customer Info'!A2037,'Customer Info'!A2037:E2536,5,FALSE),"Not Found")</f>
        <v>Not Found</v>
      </c>
      <c r="J2045" s="2">
        <v>1808</v>
      </c>
      <c r="K2045" s="2">
        <v>1740</v>
      </c>
      <c r="L2045" s="2">
        <v>6</v>
      </c>
      <c r="M2045" s="7">
        <f t="shared" si="155"/>
        <v>10440</v>
      </c>
      <c r="N2045" s="7">
        <f t="shared" si="156"/>
        <v>10848</v>
      </c>
      <c r="O2045" s="2">
        <v>84</v>
      </c>
      <c r="P2045" s="8">
        <f t="shared" si="157"/>
        <v>10932</v>
      </c>
      <c r="Q2045" s="8">
        <f t="shared" si="158"/>
        <v>9108</v>
      </c>
      <c r="R2045" s="2" t="s">
        <v>28</v>
      </c>
      <c r="S2045" s="9">
        <f t="shared" si="159"/>
        <v>546.6</v>
      </c>
    </row>
    <row r="2046" spans="1:19" x14ac:dyDescent="0.3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str">
        <f>IFERROR(VLOOKUP('Customer Info'!A2038,'Customer Info'!A2038:C2537,2,FALSE),"Not Found")</f>
        <v>Not Found</v>
      </c>
      <c r="H2046" s="6" t="str">
        <f>IFERROR(VLOOKUP('Customer Info'!A2038,'Customer Info'!A2038:C2537,3,FALSE),"Not Found")</f>
        <v>Not Found</v>
      </c>
      <c r="I2046" s="6" t="str">
        <f>IFERROR(VLOOKUP('Customer Info'!A2038,'Customer Info'!A2038:E2537,5,FALSE),"Not Found")</f>
        <v>Not Found</v>
      </c>
      <c r="J2046" s="2">
        <v>2515</v>
      </c>
      <c r="K2046" s="2">
        <v>2397</v>
      </c>
      <c r="L2046" s="2">
        <v>2</v>
      </c>
      <c r="M2046" s="7">
        <f t="shared" si="155"/>
        <v>4794</v>
      </c>
      <c r="N2046" s="7">
        <f t="shared" si="156"/>
        <v>5030</v>
      </c>
      <c r="O2046" s="2">
        <v>89</v>
      </c>
      <c r="P2046" s="8">
        <f t="shared" si="157"/>
        <v>5119</v>
      </c>
      <c r="Q2046" s="8">
        <f t="shared" si="158"/>
        <v>2633</v>
      </c>
      <c r="R2046" s="2" t="s">
        <v>28</v>
      </c>
      <c r="S2046" s="9">
        <f t="shared" si="159"/>
        <v>255.95000000000002</v>
      </c>
    </row>
    <row r="2047" spans="1:19" x14ac:dyDescent="0.3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str">
        <f>IFERROR(VLOOKUP('Customer Info'!A2039,'Customer Info'!A2039:C2538,2,FALSE),"Not Found")</f>
        <v>Not Found</v>
      </c>
      <c r="H2047" s="6" t="str">
        <f>IFERROR(VLOOKUP('Customer Info'!A2039,'Customer Info'!A2039:C2538,3,FALSE),"Not Found")</f>
        <v>Not Found</v>
      </c>
      <c r="I2047" s="6" t="str">
        <f>IFERROR(VLOOKUP('Customer Info'!A2039,'Customer Info'!A2039:E2538,5,FALSE),"Not Found")</f>
        <v>Not Found</v>
      </c>
      <c r="J2047" s="2">
        <v>1752</v>
      </c>
      <c r="K2047" s="2">
        <v>1576</v>
      </c>
      <c r="L2047" s="2">
        <v>3</v>
      </c>
      <c r="M2047" s="7">
        <f t="shared" si="155"/>
        <v>4728</v>
      </c>
      <c r="N2047" s="7">
        <f t="shared" si="156"/>
        <v>5256</v>
      </c>
      <c r="O2047" s="2">
        <v>88</v>
      </c>
      <c r="P2047" s="8">
        <f t="shared" si="157"/>
        <v>5344</v>
      </c>
      <c r="Q2047" s="8">
        <f t="shared" si="158"/>
        <v>3680</v>
      </c>
      <c r="R2047" s="2" t="s">
        <v>28</v>
      </c>
      <c r="S2047" s="9">
        <f t="shared" si="159"/>
        <v>267.2</v>
      </c>
    </row>
    <row r="2048" spans="1:19" x14ac:dyDescent="0.3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str">
        <f>IFERROR(VLOOKUP('Customer Info'!A2040,'Customer Info'!A2040:C2539,2,FALSE),"Not Found")</f>
        <v>Not Found</v>
      </c>
      <c r="H2048" s="6" t="str">
        <f>IFERROR(VLOOKUP('Customer Info'!A2040,'Customer Info'!A2040:C2539,3,FALSE),"Not Found")</f>
        <v>Not Found</v>
      </c>
      <c r="I2048" s="6" t="str">
        <f>IFERROR(VLOOKUP('Customer Info'!A2040,'Customer Info'!A2040:E2539,5,FALSE),"Not Found")</f>
        <v>Not Found</v>
      </c>
      <c r="J2048" s="2">
        <v>179</v>
      </c>
      <c r="K2048" s="2">
        <v>171</v>
      </c>
      <c r="L2048" s="2">
        <v>5</v>
      </c>
      <c r="M2048" s="7">
        <f t="shared" si="155"/>
        <v>855</v>
      </c>
      <c r="N2048" s="7">
        <f t="shared" si="156"/>
        <v>895</v>
      </c>
      <c r="O2048" s="2">
        <v>30</v>
      </c>
      <c r="P2048" s="8">
        <f t="shared" si="157"/>
        <v>925</v>
      </c>
      <c r="Q2048" s="8">
        <f t="shared" si="158"/>
        <v>724</v>
      </c>
      <c r="R2048" s="2" t="s">
        <v>50</v>
      </c>
      <c r="S2048" s="9">
        <f t="shared" si="159"/>
        <v>18.5</v>
      </c>
    </row>
    <row r="2049" spans="1:19" x14ac:dyDescent="0.3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str">
        <f>IFERROR(VLOOKUP('Customer Info'!A2041,'Customer Info'!A2041:C2540,2,FALSE),"Not Found")</f>
        <v>Not Found</v>
      </c>
      <c r="H2049" s="6" t="str">
        <f>IFERROR(VLOOKUP('Customer Info'!A2041,'Customer Info'!A2041:C2540,3,FALSE),"Not Found")</f>
        <v>Not Found</v>
      </c>
      <c r="I2049" s="6" t="str">
        <f>IFERROR(VLOOKUP('Customer Info'!A2041,'Customer Info'!A2041:E2540,5,FALSE),"Not Found")</f>
        <v>Not Found</v>
      </c>
      <c r="J2049" s="2">
        <v>1574</v>
      </c>
      <c r="K2049" s="2">
        <v>1458</v>
      </c>
      <c r="L2049" s="2">
        <v>3</v>
      </c>
      <c r="M2049" s="7">
        <f t="shared" si="155"/>
        <v>4374</v>
      </c>
      <c r="N2049" s="7">
        <f t="shared" si="156"/>
        <v>4722</v>
      </c>
      <c r="O2049" s="2">
        <v>59</v>
      </c>
      <c r="P2049" s="8">
        <f t="shared" si="157"/>
        <v>4781</v>
      </c>
      <c r="Q2049" s="8">
        <f t="shared" si="158"/>
        <v>3264</v>
      </c>
      <c r="R2049" s="2" t="s">
        <v>50</v>
      </c>
      <c r="S2049" s="9">
        <f t="shared" si="159"/>
        <v>95.62</v>
      </c>
    </row>
    <row r="2050" spans="1:19" x14ac:dyDescent="0.3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str">
        <f>IFERROR(VLOOKUP('Customer Info'!A2042,'Customer Info'!A2042:C2541,2,FALSE),"Not Found")</f>
        <v>Not Found</v>
      </c>
      <c r="H2050" s="6" t="str">
        <f>IFERROR(VLOOKUP('Customer Info'!A2042,'Customer Info'!A2042:C2541,3,FALSE),"Not Found")</f>
        <v>Not Found</v>
      </c>
      <c r="I2050" s="6" t="str">
        <f>IFERROR(VLOOKUP('Customer Info'!A2042,'Customer Info'!A2042:E2541,5,FALSE),"Not Found")</f>
        <v>Not Found</v>
      </c>
      <c r="J2050" s="2">
        <v>1752</v>
      </c>
      <c r="K2050" s="2">
        <v>1576</v>
      </c>
      <c r="L2050" s="2">
        <v>2</v>
      </c>
      <c r="M2050" s="7">
        <f t="shared" si="155"/>
        <v>3152</v>
      </c>
      <c r="N2050" s="7">
        <f t="shared" si="156"/>
        <v>3504</v>
      </c>
      <c r="O2050" s="2">
        <v>30</v>
      </c>
      <c r="P2050" s="8">
        <f t="shared" si="157"/>
        <v>3534</v>
      </c>
      <c r="Q2050" s="8">
        <f t="shared" si="158"/>
        <v>1928</v>
      </c>
      <c r="R2050" s="2" t="s">
        <v>28</v>
      </c>
      <c r="S2050" s="9">
        <f t="shared" si="159"/>
        <v>70.680000000000007</v>
      </c>
    </row>
    <row r="2051" spans="1:19" x14ac:dyDescent="0.3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str">
        <f>IFERROR(VLOOKUP('Customer Info'!A2043,'Customer Info'!A2043:C2542,2,FALSE),"Not Found")</f>
        <v>Not Found</v>
      </c>
      <c r="H2051" s="6" t="str">
        <f>IFERROR(VLOOKUP('Customer Info'!A2043,'Customer Info'!A2043:C2542,3,FALSE),"Not Found")</f>
        <v>Not Found</v>
      </c>
      <c r="I2051" s="6" t="str">
        <f>IFERROR(VLOOKUP('Customer Info'!A2043,'Customer Info'!A2043:E2542,5,FALSE),"Not Found")</f>
        <v>Not Found</v>
      </c>
      <c r="J2051" s="2">
        <v>2243</v>
      </c>
      <c r="K2051" s="2">
        <v>2000</v>
      </c>
      <c r="L2051" s="2">
        <v>3</v>
      </c>
      <c r="M2051" s="7">
        <f t="shared" si="155"/>
        <v>6000</v>
      </c>
      <c r="N2051" s="7">
        <f t="shared" si="156"/>
        <v>6729</v>
      </c>
      <c r="O2051" s="2">
        <v>58</v>
      </c>
      <c r="P2051" s="8">
        <f t="shared" si="157"/>
        <v>6787</v>
      </c>
      <c r="Q2051" s="8">
        <f t="shared" si="158"/>
        <v>4729</v>
      </c>
      <c r="R2051" s="2" t="s">
        <v>50</v>
      </c>
      <c r="S2051" s="9">
        <f t="shared" si="159"/>
        <v>339.35</v>
      </c>
    </row>
    <row r="2052" spans="1:19" x14ac:dyDescent="0.3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str">
        <f>IFERROR(VLOOKUP('Customer Info'!A2044,'Customer Info'!A2044:C2543,2,FALSE),"Not Found")</f>
        <v>Not Found</v>
      </c>
      <c r="H2052" s="6" t="str">
        <f>IFERROR(VLOOKUP('Customer Info'!A2044,'Customer Info'!A2044:C2543,3,FALSE),"Not Found")</f>
        <v>Not Found</v>
      </c>
      <c r="I2052" s="6" t="str">
        <f>IFERROR(VLOOKUP('Customer Info'!A2044,'Customer Info'!A2044:E2543,5,FALSE),"Not Found")</f>
        <v>Not Found</v>
      </c>
      <c r="J2052" s="2">
        <v>7943</v>
      </c>
      <c r="K2052" s="2">
        <v>7790</v>
      </c>
      <c r="L2052" s="2">
        <v>1</v>
      </c>
      <c r="M2052" s="7">
        <f t="shared" si="155"/>
        <v>7790</v>
      </c>
      <c r="N2052" s="7">
        <f t="shared" si="156"/>
        <v>7943</v>
      </c>
      <c r="O2052" s="2">
        <v>81</v>
      </c>
      <c r="P2052" s="8">
        <f t="shared" si="157"/>
        <v>8024</v>
      </c>
      <c r="Q2052" s="8">
        <f t="shared" si="158"/>
        <v>153</v>
      </c>
      <c r="R2052" s="2" t="s">
        <v>28</v>
      </c>
      <c r="S2052" s="9">
        <f t="shared" si="159"/>
        <v>401.20000000000005</v>
      </c>
    </row>
    <row r="2053" spans="1:19" x14ac:dyDescent="0.3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str">
        <f>IFERROR(VLOOKUP('Customer Info'!A2045,'Customer Info'!A2045:C2544,2,FALSE),"Not Found")</f>
        <v>Not Found</v>
      </c>
      <c r="H2053" s="6" t="str">
        <f>IFERROR(VLOOKUP('Customer Info'!A2045,'Customer Info'!A2045:C2544,3,FALSE),"Not Found")</f>
        <v>Not Found</v>
      </c>
      <c r="I2053" s="6" t="str">
        <f>IFERROR(VLOOKUP('Customer Info'!A2045,'Customer Info'!A2045:E2544,5,FALSE),"Not Found")</f>
        <v>Not Found</v>
      </c>
      <c r="J2053" s="2">
        <v>2759</v>
      </c>
      <c r="K2053" s="2">
        <v>2628</v>
      </c>
      <c r="L2053" s="2">
        <v>3</v>
      </c>
      <c r="M2053" s="7">
        <f t="shared" si="155"/>
        <v>7884</v>
      </c>
      <c r="N2053" s="7">
        <f t="shared" si="156"/>
        <v>8277</v>
      </c>
      <c r="O2053" s="2">
        <v>56</v>
      </c>
      <c r="P2053" s="8">
        <f t="shared" si="157"/>
        <v>8333</v>
      </c>
      <c r="Q2053" s="8">
        <f t="shared" si="158"/>
        <v>5649</v>
      </c>
      <c r="R2053" s="2" t="s">
        <v>28</v>
      </c>
      <c r="S2053" s="9">
        <f t="shared" si="159"/>
        <v>416.65000000000003</v>
      </c>
    </row>
    <row r="2054" spans="1:19" x14ac:dyDescent="0.3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str">
        <f>IFERROR(VLOOKUP('Customer Info'!A2046,'Customer Info'!A2046:C2545,2,FALSE),"Not Found")</f>
        <v>Not Found</v>
      </c>
      <c r="H2054" s="6" t="str">
        <f>IFERROR(VLOOKUP('Customer Info'!A2046,'Customer Info'!A2046:C2545,3,FALSE),"Not Found")</f>
        <v>Not Found</v>
      </c>
      <c r="I2054" s="6" t="str">
        <f>IFERROR(VLOOKUP('Customer Info'!A2046,'Customer Info'!A2046:E2545,5,FALSE),"Not Found")</f>
        <v>Not Found</v>
      </c>
      <c r="J2054" s="2">
        <v>8686</v>
      </c>
      <c r="K2054" s="2">
        <v>8035</v>
      </c>
      <c r="L2054" s="2">
        <v>1</v>
      </c>
      <c r="M2054" s="7">
        <f t="shared" si="155"/>
        <v>8035</v>
      </c>
      <c r="N2054" s="7">
        <f t="shared" si="156"/>
        <v>8686</v>
      </c>
      <c r="O2054" s="2">
        <v>54</v>
      </c>
      <c r="P2054" s="8">
        <f t="shared" si="157"/>
        <v>8740</v>
      </c>
      <c r="Q2054" s="8">
        <f t="shared" si="158"/>
        <v>651</v>
      </c>
      <c r="R2054" s="2" t="s">
        <v>28</v>
      </c>
      <c r="S2054" s="9">
        <f t="shared" si="159"/>
        <v>437</v>
      </c>
    </row>
    <row r="2055" spans="1:19" x14ac:dyDescent="0.3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str">
        <f>IFERROR(VLOOKUP('Customer Info'!A2047,'Customer Info'!A2047:C2546,2,FALSE),"Not Found")</f>
        <v>Not Found</v>
      </c>
      <c r="H2055" s="6" t="str">
        <f>IFERROR(VLOOKUP('Customer Info'!A2047,'Customer Info'!A2047:C2546,3,FALSE),"Not Found")</f>
        <v>Not Found</v>
      </c>
      <c r="I2055" s="6" t="str">
        <f>IFERROR(VLOOKUP('Customer Info'!A2047,'Customer Info'!A2047:E2546,5,FALSE),"Not Found")</f>
        <v>Not Found</v>
      </c>
      <c r="J2055" s="2">
        <v>90</v>
      </c>
      <c r="K2055" s="2">
        <v>81</v>
      </c>
      <c r="L2055" s="2">
        <v>4</v>
      </c>
      <c r="M2055" s="7">
        <f t="shared" si="155"/>
        <v>324</v>
      </c>
      <c r="N2055" s="7">
        <f t="shared" si="156"/>
        <v>360</v>
      </c>
      <c r="O2055" s="2">
        <v>10</v>
      </c>
      <c r="P2055" s="8">
        <f t="shared" si="157"/>
        <v>370</v>
      </c>
      <c r="Q2055" s="8">
        <f t="shared" si="158"/>
        <v>279</v>
      </c>
      <c r="R2055" s="2" t="s">
        <v>28</v>
      </c>
      <c r="S2055" s="9">
        <f t="shared" si="159"/>
        <v>7.4</v>
      </c>
    </row>
    <row r="2056" spans="1:19" x14ac:dyDescent="0.3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str">
        <f>IFERROR(VLOOKUP('Customer Info'!A2048,'Customer Info'!A2048:C2547,2,FALSE),"Not Found")</f>
        <v>Not Found</v>
      </c>
      <c r="H2056" s="6" t="str">
        <f>IFERROR(VLOOKUP('Customer Info'!A2048,'Customer Info'!A2048:C2547,3,FALSE),"Not Found")</f>
        <v>Not Found</v>
      </c>
      <c r="I2056" s="6" t="str">
        <f>IFERROR(VLOOKUP('Customer Info'!A2048,'Customer Info'!A2048:E2547,5,FALSE),"Not Found")</f>
        <v>Not Found</v>
      </c>
      <c r="J2056" s="2">
        <v>9306</v>
      </c>
      <c r="K2056" s="2">
        <v>8461</v>
      </c>
      <c r="L2056" s="2">
        <v>1</v>
      </c>
      <c r="M2056" s="7">
        <f t="shared" si="155"/>
        <v>8461</v>
      </c>
      <c r="N2056" s="7">
        <f t="shared" si="156"/>
        <v>9306</v>
      </c>
      <c r="O2056" s="2">
        <v>37</v>
      </c>
      <c r="P2056" s="8">
        <f t="shared" si="157"/>
        <v>9343</v>
      </c>
      <c r="Q2056" s="8">
        <f t="shared" si="158"/>
        <v>845</v>
      </c>
      <c r="R2056" s="2" t="s">
        <v>28</v>
      </c>
      <c r="S2056" s="9">
        <f t="shared" si="159"/>
        <v>467.15000000000003</v>
      </c>
    </row>
    <row r="2057" spans="1:19" x14ac:dyDescent="0.3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str">
        <f>IFERROR(VLOOKUP('Customer Info'!A2049,'Customer Info'!A2049:C2548,2,FALSE),"Not Found")</f>
        <v>Not Found</v>
      </c>
      <c r="H2057" s="6" t="str">
        <f>IFERROR(VLOOKUP('Customer Info'!A2049,'Customer Info'!A2049:C2548,3,FALSE),"Not Found")</f>
        <v>Not Found</v>
      </c>
      <c r="I2057" s="6" t="str">
        <f>IFERROR(VLOOKUP('Customer Info'!A2049,'Customer Info'!A2049:E2548,5,FALSE),"Not Found")</f>
        <v>Not Found</v>
      </c>
      <c r="J2057" s="2">
        <v>932</v>
      </c>
      <c r="K2057" s="2">
        <v>838</v>
      </c>
      <c r="L2057" s="2">
        <v>2</v>
      </c>
      <c r="M2057" s="7">
        <f t="shared" si="155"/>
        <v>1676</v>
      </c>
      <c r="N2057" s="7">
        <f t="shared" si="156"/>
        <v>1864</v>
      </c>
      <c r="O2057" s="2">
        <v>25</v>
      </c>
      <c r="P2057" s="8">
        <f t="shared" si="157"/>
        <v>1889</v>
      </c>
      <c r="Q2057" s="8">
        <f t="shared" si="158"/>
        <v>1026</v>
      </c>
      <c r="R2057" s="2" t="s">
        <v>56</v>
      </c>
      <c r="S2057" s="9">
        <f t="shared" si="159"/>
        <v>37.78</v>
      </c>
    </row>
    <row r="2058" spans="1:19" x14ac:dyDescent="0.3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str">
        <f>IFERROR(VLOOKUP('Customer Info'!A2050,'Customer Info'!A2050:C2549,2,FALSE),"Not Found")</f>
        <v>Not Found</v>
      </c>
      <c r="H2058" s="6" t="str">
        <f>IFERROR(VLOOKUP('Customer Info'!A2050,'Customer Info'!A2050:C2549,3,FALSE),"Not Found")</f>
        <v>Not Found</v>
      </c>
      <c r="I2058" s="6" t="str">
        <f>IFERROR(VLOOKUP('Customer Info'!A2050,'Customer Info'!A2050:E2549,5,FALSE),"Not Found")</f>
        <v>Not Found</v>
      </c>
      <c r="J2058" s="2">
        <v>135</v>
      </c>
      <c r="K2058" s="2">
        <v>129</v>
      </c>
      <c r="L2058" s="2">
        <v>3</v>
      </c>
      <c r="M2058" s="7">
        <f t="shared" si="155"/>
        <v>387</v>
      </c>
      <c r="N2058" s="7">
        <f t="shared" si="156"/>
        <v>405</v>
      </c>
      <c r="O2058" s="2">
        <v>30</v>
      </c>
      <c r="P2058" s="8">
        <f t="shared" si="157"/>
        <v>435</v>
      </c>
      <c r="Q2058" s="8">
        <f t="shared" si="158"/>
        <v>276</v>
      </c>
      <c r="R2058" s="2" t="s">
        <v>56</v>
      </c>
      <c r="S2058" s="9">
        <f t="shared" si="159"/>
        <v>8.7000000000000011</v>
      </c>
    </row>
    <row r="2059" spans="1:19" x14ac:dyDescent="0.3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str">
        <f>IFERROR(VLOOKUP('Customer Info'!A2051,'Customer Info'!A2051:C2550,2,FALSE),"Not Found")</f>
        <v>Not Found</v>
      </c>
      <c r="H2059" s="6" t="str">
        <f>IFERROR(VLOOKUP('Customer Info'!A2051,'Customer Info'!A2051:C2550,3,FALSE),"Not Found")</f>
        <v>Not Found</v>
      </c>
      <c r="I2059" s="6" t="str">
        <f>IFERROR(VLOOKUP('Customer Info'!A2051,'Customer Info'!A2051:E2550,5,FALSE),"Not Found")</f>
        <v>Not Found</v>
      </c>
      <c r="J2059" s="2">
        <v>185</v>
      </c>
      <c r="K2059" s="2">
        <v>174</v>
      </c>
      <c r="L2059" s="2">
        <v>5</v>
      </c>
      <c r="M2059" s="7">
        <f t="shared" ref="M2059:M2122" si="160">$K2059*$L2059</f>
        <v>870</v>
      </c>
      <c r="N2059" s="7">
        <f t="shared" ref="N2059:N2122" si="161">$J2059*$L2059</f>
        <v>925</v>
      </c>
      <c r="O2059" s="2">
        <v>30</v>
      </c>
      <c r="P2059" s="8">
        <f t="shared" ref="P2059:P2122" si="162">$N2059+$O2059</f>
        <v>955</v>
      </c>
      <c r="Q2059" s="8">
        <f t="shared" ref="Q2059:Q2122" si="163">$N2059-$K2059</f>
        <v>751</v>
      </c>
      <c r="R2059" s="2" t="s">
        <v>28</v>
      </c>
      <c r="S2059" s="9">
        <f t="shared" ref="S2059:S2122" si="164" xml:space="preserve"> P2059 * VLOOKUP(P2059, $T$2:$U$6, 2, TRUE)</f>
        <v>19.100000000000001</v>
      </c>
    </row>
    <row r="2060" spans="1:19" x14ac:dyDescent="0.3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str">
        <f>IFERROR(VLOOKUP('Customer Info'!A2052,'Customer Info'!A2052:C2551,2,FALSE),"Not Found")</f>
        <v>Not Found</v>
      </c>
      <c r="H2060" s="6" t="str">
        <f>IFERROR(VLOOKUP('Customer Info'!A2052,'Customer Info'!A2052:C2551,3,FALSE),"Not Found")</f>
        <v>Not Found</v>
      </c>
      <c r="I2060" s="6" t="str">
        <f>IFERROR(VLOOKUP('Customer Info'!A2052,'Customer Info'!A2052:E2551,5,FALSE),"Not Found")</f>
        <v>Not Found</v>
      </c>
      <c r="J2060" s="2">
        <v>3192</v>
      </c>
      <c r="K2060" s="2">
        <v>3011</v>
      </c>
      <c r="L2060" s="2">
        <v>3</v>
      </c>
      <c r="M2060" s="7">
        <f t="shared" si="160"/>
        <v>9033</v>
      </c>
      <c r="N2060" s="7">
        <f t="shared" si="161"/>
        <v>9576</v>
      </c>
      <c r="O2060" s="2">
        <v>51</v>
      </c>
      <c r="P2060" s="8">
        <f t="shared" si="162"/>
        <v>9627</v>
      </c>
      <c r="Q2060" s="8">
        <f t="shared" si="163"/>
        <v>6565</v>
      </c>
      <c r="R2060" s="2" t="s">
        <v>28</v>
      </c>
      <c r="S2060" s="9">
        <f t="shared" si="164"/>
        <v>481.35</v>
      </c>
    </row>
    <row r="2061" spans="1:19" x14ac:dyDescent="0.3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str">
        <f>IFERROR(VLOOKUP('Customer Info'!A2053,'Customer Info'!A2053:C2552,2,FALSE),"Not Found")</f>
        <v>Not Found</v>
      </c>
      <c r="H2061" s="6" t="str">
        <f>IFERROR(VLOOKUP('Customer Info'!A2053,'Customer Info'!A2053:C2552,3,FALSE),"Not Found")</f>
        <v>Not Found</v>
      </c>
      <c r="I2061" s="6" t="str">
        <f>IFERROR(VLOOKUP('Customer Info'!A2053,'Customer Info'!A2053:E2552,5,FALSE),"Not Found")</f>
        <v>Not Found</v>
      </c>
      <c r="J2061" s="2">
        <v>3176</v>
      </c>
      <c r="K2061" s="2">
        <v>3116</v>
      </c>
      <c r="L2061" s="2">
        <v>1</v>
      </c>
      <c r="M2061" s="7">
        <f t="shared" si="160"/>
        <v>3116</v>
      </c>
      <c r="N2061" s="7">
        <f t="shared" si="161"/>
        <v>3176</v>
      </c>
      <c r="O2061" s="2">
        <v>90</v>
      </c>
      <c r="P2061" s="8">
        <f t="shared" si="162"/>
        <v>3266</v>
      </c>
      <c r="Q2061" s="8">
        <f t="shared" si="163"/>
        <v>60</v>
      </c>
      <c r="R2061" s="2" t="s">
        <v>56</v>
      </c>
      <c r="S2061" s="9">
        <f t="shared" si="164"/>
        <v>65.320000000000007</v>
      </c>
    </row>
    <row r="2062" spans="1:19" x14ac:dyDescent="0.3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str">
        <f>IFERROR(VLOOKUP('Customer Info'!A2054,'Customer Info'!A2054:C2553,2,FALSE),"Not Found")</f>
        <v>Not Found</v>
      </c>
      <c r="H2062" s="6" t="str">
        <f>IFERROR(VLOOKUP('Customer Info'!A2054,'Customer Info'!A2054:C2553,3,FALSE),"Not Found")</f>
        <v>Not Found</v>
      </c>
      <c r="I2062" s="6" t="str">
        <f>IFERROR(VLOOKUP('Customer Info'!A2054,'Customer Info'!A2054:E2553,5,FALSE),"Not Found")</f>
        <v>Not Found</v>
      </c>
      <c r="J2062" s="2">
        <v>169</v>
      </c>
      <c r="K2062" s="2">
        <v>160</v>
      </c>
      <c r="L2062" s="2">
        <v>5</v>
      </c>
      <c r="M2062" s="7">
        <f t="shared" si="160"/>
        <v>800</v>
      </c>
      <c r="N2062" s="7">
        <f t="shared" si="161"/>
        <v>845</v>
      </c>
      <c r="O2062" s="2">
        <v>30</v>
      </c>
      <c r="P2062" s="8">
        <f t="shared" si="162"/>
        <v>875</v>
      </c>
      <c r="Q2062" s="8">
        <f t="shared" si="163"/>
        <v>685</v>
      </c>
      <c r="R2062" s="2" t="s">
        <v>26</v>
      </c>
      <c r="S2062" s="9">
        <f t="shared" si="164"/>
        <v>17.5</v>
      </c>
    </row>
    <row r="2063" spans="1:19" x14ac:dyDescent="0.3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str">
        <f>IFERROR(VLOOKUP('Customer Info'!A2055,'Customer Info'!A2055:C2554,2,FALSE),"Not Found")</f>
        <v>Not Found</v>
      </c>
      <c r="H2063" s="6" t="str">
        <f>IFERROR(VLOOKUP('Customer Info'!A2055,'Customer Info'!A2055:C2554,3,FALSE),"Not Found")</f>
        <v>Not Found</v>
      </c>
      <c r="I2063" s="6" t="str">
        <f>IFERROR(VLOOKUP('Customer Info'!A2055,'Customer Info'!A2055:E2554,5,FALSE),"Not Found")</f>
        <v>Not Found</v>
      </c>
      <c r="J2063" s="2">
        <v>187</v>
      </c>
      <c r="K2063" s="2">
        <v>176</v>
      </c>
      <c r="L2063" s="2">
        <v>6</v>
      </c>
      <c r="M2063" s="7">
        <f t="shared" si="160"/>
        <v>1056</v>
      </c>
      <c r="N2063" s="7">
        <f t="shared" si="161"/>
        <v>1122</v>
      </c>
      <c r="O2063" s="2">
        <v>30</v>
      </c>
      <c r="P2063" s="8">
        <f t="shared" si="162"/>
        <v>1152</v>
      </c>
      <c r="Q2063" s="8">
        <f t="shared" si="163"/>
        <v>946</v>
      </c>
      <c r="R2063" s="2" t="s">
        <v>28</v>
      </c>
      <c r="S2063" s="9">
        <f t="shared" si="164"/>
        <v>23.04</v>
      </c>
    </row>
    <row r="2064" spans="1:19" x14ac:dyDescent="0.3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str">
        <f>IFERROR(VLOOKUP('Customer Info'!A2056,'Customer Info'!A2056:C2555,2,FALSE),"Not Found")</f>
        <v>Not Found</v>
      </c>
      <c r="H2064" s="6" t="str">
        <f>IFERROR(VLOOKUP('Customer Info'!A2056,'Customer Info'!A2056:C2555,3,FALSE),"Not Found")</f>
        <v>Not Found</v>
      </c>
      <c r="I2064" s="6" t="str">
        <f>IFERROR(VLOOKUP('Customer Info'!A2056,'Customer Info'!A2056:E2555,5,FALSE),"Not Found")</f>
        <v>Not Found</v>
      </c>
      <c r="J2064" s="2">
        <v>445</v>
      </c>
      <c r="K2064" s="2">
        <v>415</v>
      </c>
      <c r="L2064" s="2">
        <v>2</v>
      </c>
      <c r="M2064" s="7">
        <f t="shared" si="160"/>
        <v>830</v>
      </c>
      <c r="N2064" s="7">
        <f t="shared" si="161"/>
        <v>890</v>
      </c>
      <c r="O2064" s="2">
        <v>36</v>
      </c>
      <c r="P2064" s="8">
        <f t="shared" si="162"/>
        <v>926</v>
      </c>
      <c r="Q2064" s="8">
        <f t="shared" si="163"/>
        <v>475</v>
      </c>
      <c r="R2064" s="2" t="s">
        <v>50</v>
      </c>
      <c r="S2064" s="9">
        <f t="shared" si="164"/>
        <v>18.52</v>
      </c>
    </row>
    <row r="2065" spans="1:19" x14ac:dyDescent="0.3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str">
        <f>IFERROR(VLOOKUP('Customer Info'!A2057,'Customer Info'!A2057:C2556,2,FALSE),"Not Found")</f>
        <v>Not Found</v>
      </c>
      <c r="H2065" s="6" t="str">
        <f>IFERROR(VLOOKUP('Customer Info'!A2057,'Customer Info'!A2057:C2556,3,FALSE),"Not Found")</f>
        <v>Not Found</v>
      </c>
      <c r="I2065" s="6" t="str">
        <f>IFERROR(VLOOKUP('Customer Info'!A2057,'Customer Info'!A2057:E2556,5,FALSE),"Not Found")</f>
        <v>Not Found</v>
      </c>
      <c r="J2065" s="2">
        <v>7960</v>
      </c>
      <c r="K2065" s="2">
        <v>7375</v>
      </c>
      <c r="L2065" s="2">
        <v>2</v>
      </c>
      <c r="M2065" s="7">
        <f t="shared" si="160"/>
        <v>14750</v>
      </c>
      <c r="N2065" s="7">
        <f t="shared" si="161"/>
        <v>15920</v>
      </c>
      <c r="O2065" s="2">
        <v>28</v>
      </c>
      <c r="P2065" s="8">
        <f t="shared" si="162"/>
        <v>15948</v>
      </c>
      <c r="Q2065" s="8">
        <f t="shared" si="163"/>
        <v>8545</v>
      </c>
      <c r="R2065" s="2" t="s">
        <v>28</v>
      </c>
      <c r="S2065" s="9">
        <f t="shared" si="164"/>
        <v>797.40000000000009</v>
      </c>
    </row>
    <row r="2066" spans="1:19" x14ac:dyDescent="0.3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str">
        <f>IFERROR(VLOOKUP('Customer Info'!A2058,'Customer Info'!A2058:C2557,2,FALSE),"Not Found")</f>
        <v>Not Found</v>
      </c>
      <c r="H2066" s="6" t="str">
        <f>IFERROR(VLOOKUP('Customer Info'!A2058,'Customer Info'!A2058:C2557,3,FALSE),"Not Found")</f>
        <v>Not Found</v>
      </c>
      <c r="I2066" s="6" t="str">
        <f>IFERROR(VLOOKUP('Customer Info'!A2058,'Customer Info'!A2058:E2557,5,FALSE),"Not Found")</f>
        <v>Not Found</v>
      </c>
      <c r="J2066" s="2">
        <v>127</v>
      </c>
      <c r="K2066" s="2">
        <v>116</v>
      </c>
      <c r="L2066" s="2">
        <v>4</v>
      </c>
      <c r="M2066" s="7">
        <f t="shared" si="160"/>
        <v>464</v>
      </c>
      <c r="N2066" s="7">
        <f t="shared" si="161"/>
        <v>508</v>
      </c>
      <c r="O2066" s="2">
        <v>30</v>
      </c>
      <c r="P2066" s="8">
        <f t="shared" si="162"/>
        <v>538</v>
      </c>
      <c r="Q2066" s="8">
        <f t="shared" si="163"/>
        <v>392</v>
      </c>
      <c r="R2066" s="2" t="s">
        <v>28</v>
      </c>
      <c r="S2066" s="9">
        <f t="shared" si="164"/>
        <v>10.76</v>
      </c>
    </row>
    <row r="2067" spans="1:19" x14ac:dyDescent="0.3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str">
        <f>IFERROR(VLOOKUP('Customer Info'!A2059,'Customer Info'!A2059:C2558,2,FALSE),"Not Found")</f>
        <v>Not Found</v>
      </c>
      <c r="H2067" s="6" t="str">
        <f>IFERROR(VLOOKUP('Customer Info'!A2059,'Customer Info'!A2059:C2558,3,FALSE),"Not Found")</f>
        <v>Not Found</v>
      </c>
      <c r="I2067" s="6" t="str">
        <f>IFERROR(VLOOKUP('Customer Info'!A2059,'Customer Info'!A2059:E2558,5,FALSE),"Not Found")</f>
        <v>Not Found</v>
      </c>
      <c r="J2067" s="2">
        <v>3256</v>
      </c>
      <c r="K2067" s="2">
        <v>2959</v>
      </c>
      <c r="L2067" s="2">
        <v>4</v>
      </c>
      <c r="M2067" s="7">
        <f t="shared" si="160"/>
        <v>11836</v>
      </c>
      <c r="N2067" s="7">
        <f t="shared" si="161"/>
        <v>13024</v>
      </c>
      <c r="O2067" s="2">
        <v>61</v>
      </c>
      <c r="P2067" s="8">
        <f t="shared" si="162"/>
        <v>13085</v>
      </c>
      <c r="Q2067" s="8">
        <f t="shared" si="163"/>
        <v>10065</v>
      </c>
      <c r="R2067" s="2" t="s">
        <v>28</v>
      </c>
      <c r="S2067" s="9">
        <f t="shared" si="164"/>
        <v>654.25</v>
      </c>
    </row>
    <row r="2068" spans="1:19" x14ac:dyDescent="0.3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str">
        <f>IFERROR(VLOOKUP('Customer Info'!A2060,'Customer Info'!A2060:C2559,2,FALSE),"Not Found")</f>
        <v>Not Found</v>
      </c>
      <c r="H2068" s="6" t="str">
        <f>IFERROR(VLOOKUP('Customer Info'!A2060,'Customer Info'!A2060:C2559,3,FALSE),"Not Found")</f>
        <v>Not Found</v>
      </c>
      <c r="I2068" s="6" t="str">
        <f>IFERROR(VLOOKUP('Customer Info'!A2060,'Customer Info'!A2060:E2559,5,FALSE),"Not Found")</f>
        <v>Not Found</v>
      </c>
      <c r="J2068" s="2">
        <v>2644</v>
      </c>
      <c r="K2068" s="2">
        <v>2425</v>
      </c>
      <c r="L2068" s="2">
        <v>3</v>
      </c>
      <c r="M2068" s="7">
        <f t="shared" si="160"/>
        <v>7275</v>
      </c>
      <c r="N2068" s="7">
        <f t="shared" si="161"/>
        <v>7932</v>
      </c>
      <c r="O2068" s="2">
        <v>95</v>
      </c>
      <c r="P2068" s="8">
        <f t="shared" si="162"/>
        <v>8027</v>
      </c>
      <c r="Q2068" s="8">
        <f t="shared" si="163"/>
        <v>5507</v>
      </c>
      <c r="R2068" s="2" t="s">
        <v>28</v>
      </c>
      <c r="S2068" s="9">
        <f t="shared" si="164"/>
        <v>401.35</v>
      </c>
    </row>
    <row r="2069" spans="1:19" x14ac:dyDescent="0.3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str">
        <f>IFERROR(VLOOKUP('Customer Info'!A2061,'Customer Info'!A2061:C2560,2,FALSE),"Not Found")</f>
        <v>Not Found</v>
      </c>
      <c r="H2069" s="6" t="str">
        <f>IFERROR(VLOOKUP('Customer Info'!A2061,'Customer Info'!A2061:C2560,3,FALSE),"Not Found")</f>
        <v>Not Found</v>
      </c>
      <c r="I2069" s="6" t="str">
        <f>IFERROR(VLOOKUP('Customer Info'!A2061,'Customer Info'!A2061:E2560,5,FALSE),"Not Found")</f>
        <v>Not Found</v>
      </c>
      <c r="J2069" s="2">
        <v>144</v>
      </c>
      <c r="K2069" s="2">
        <v>133</v>
      </c>
      <c r="L2069" s="2">
        <v>4</v>
      </c>
      <c r="M2069" s="7">
        <f t="shared" si="160"/>
        <v>532</v>
      </c>
      <c r="N2069" s="7">
        <f t="shared" si="161"/>
        <v>576</v>
      </c>
      <c r="O2069" s="2">
        <v>30</v>
      </c>
      <c r="P2069" s="8">
        <f t="shared" si="162"/>
        <v>606</v>
      </c>
      <c r="Q2069" s="8">
        <f t="shared" si="163"/>
        <v>443</v>
      </c>
      <c r="R2069" s="2" t="s">
        <v>50</v>
      </c>
      <c r="S2069" s="9">
        <f t="shared" si="164"/>
        <v>12.120000000000001</v>
      </c>
    </row>
    <row r="2070" spans="1:19" x14ac:dyDescent="0.3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str">
        <f>IFERROR(VLOOKUP('Customer Info'!A2062,'Customer Info'!A2062:C2561,2,FALSE),"Not Found")</f>
        <v>Not Found</v>
      </c>
      <c r="H2070" s="6" t="str">
        <f>IFERROR(VLOOKUP('Customer Info'!A2062,'Customer Info'!A2062:C2561,3,FALSE),"Not Found")</f>
        <v>Not Found</v>
      </c>
      <c r="I2070" s="6" t="str">
        <f>IFERROR(VLOOKUP('Customer Info'!A2062,'Customer Info'!A2062:E2561,5,FALSE),"Not Found")</f>
        <v>Not Found</v>
      </c>
      <c r="J2070" s="2">
        <v>1186</v>
      </c>
      <c r="K2070" s="2">
        <v>1141</v>
      </c>
      <c r="L2070" s="2">
        <v>2</v>
      </c>
      <c r="M2070" s="7">
        <f t="shared" si="160"/>
        <v>2282</v>
      </c>
      <c r="N2070" s="7">
        <f t="shared" si="161"/>
        <v>2372</v>
      </c>
      <c r="O2070" s="2">
        <v>100</v>
      </c>
      <c r="P2070" s="8">
        <f t="shared" si="162"/>
        <v>2472</v>
      </c>
      <c r="Q2070" s="8">
        <f t="shared" si="163"/>
        <v>1231</v>
      </c>
      <c r="R2070" s="2" t="s">
        <v>28</v>
      </c>
      <c r="S2070" s="9">
        <f t="shared" si="164"/>
        <v>49.44</v>
      </c>
    </row>
    <row r="2071" spans="1:19" x14ac:dyDescent="0.3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str">
        <f>IFERROR(VLOOKUP('Customer Info'!A2063,'Customer Info'!A2063:C2562,2,FALSE),"Not Found")</f>
        <v>Not Found</v>
      </c>
      <c r="H2071" s="6" t="str">
        <f>IFERROR(VLOOKUP('Customer Info'!A2063,'Customer Info'!A2063:C2562,3,FALSE),"Not Found")</f>
        <v>Not Found</v>
      </c>
      <c r="I2071" s="6" t="str">
        <f>IFERROR(VLOOKUP('Customer Info'!A2063,'Customer Info'!A2063:E2562,5,FALSE),"Not Found")</f>
        <v>Not Found</v>
      </c>
      <c r="J2071" s="2">
        <v>3321</v>
      </c>
      <c r="K2071" s="2">
        <v>2989</v>
      </c>
      <c r="L2071" s="2">
        <v>9</v>
      </c>
      <c r="M2071" s="7">
        <f t="shared" si="160"/>
        <v>26901</v>
      </c>
      <c r="N2071" s="7">
        <f t="shared" si="161"/>
        <v>29889</v>
      </c>
      <c r="O2071" s="2">
        <v>59</v>
      </c>
      <c r="P2071" s="8">
        <f t="shared" si="162"/>
        <v>29948</v>
      </c>
      <c r="Q2071" s="8">
        <f t="shared" si="163"/>
        <v>26900</v>
      </c>
      <c r="R2071" s="2" t="s">
        <v>28</v>
      </c>
      <c r="S2071" s="9">
        <f t="shared" si="164"/>
        <v>2096.36</v>
      </c>
    </row>
    <row r="2072" spans="1:19" x14ac:dyDescent="0.3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str">
        <f>IFERROR(VLOOKUP('Customer Info'!A2064,'Customer Info'!A2064:C2563,2,FALSE),"Not Found")</f>
        <v>Not Found</v>
      </c>
      <c r="H2072" s="6" t="str">
        <f>IFERROR(VLOOKUP('Customer Info'!A2064,'Customer Info'!A2064:C2563,3,FALSE),"Not Found")</f>
        <v>Not Found</v>
      </c>
      <c r="I2072" s="6" t="str">
        <f>IFERROR(VLOOKUP('Customer Info'!A2064,'Customer Info'!A2064:E2563,5,FALSE),"Not Found")</f>
        <v>Not Found</v>
      </c>
      <c r="J2072" s="2">
        <v>8869</v>
      </c>
      <c r="K2072" s="2">
        <v>7906</v>
      </c>
      <c r="L2072" s="2">
        <v>1</v>
      </c>
      <c r="M2072" s="7">
        <f t="shared" si="160"/>
        <v>7906</v>
      </c>
      <c r="N2072" s="7">
        <f t="shared" si="161"/>
        <v>8869</v>
      </c>
      <c r="O2072" s="2">
        <v>33</v>
      </c>
      <c r="P2072" s="8">
        <f t="shared" si="162"/>
        <v>8902</v>
      </c>
      <c r="Q2072" s="8">
        <f t="shared" si="163"/>
        <v>963</v>
      </c>
      <c r="R2072" s="2" t="s">
        <v>50</v>
      </c>
      <c r="S2072" s="9">
        <f t="shared" si="164"/>
        <v>445.1</v>
      </c>
    </row>
    <row r="2073" spans="1:19" x14ac:dyDescent="0.3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str">
        <f>IFERROR(VLOOKUP('Customer Info'!A2065,'Customer Info'!A2065:C2564,2,FALSE),"Not Found")</f>
        <v>Not Found</v>
      </c>
      <c r="H2073" s="6" t="str">
        <f>IFERROR(VLOOKUP('Customer Info'!A2065,'Customer Info'!A2065:C2564,3,FALSE),"Not Found")</f>
        <v>Not Found</v>
      </c>
      <c r="I2073" s="6" t="str">
        <f>IFERROR(VLOOKUP('Customer Info'!A2065,'Customer Info'!A2065:E2564,5,FALSE),"Not Found")</f>
        <v>Not Found</v>
      </c>
      <c r="J2073" s="2">
        <v>3017</v>
      </c>
      <c r="K2073" s="2">
        <v>2825</v>
      </c>
      <c r="L2073" s="2">
        <v>8</v>
      </c>
      <c r="M2073" s="7">
        <f t="shared" si="160"/>
        <v>22600</v>
      </c>
      <c r="N2073" s="7">
        <f t="shared" si="161"/>
        <v>24136</v>
      </c>
      <c r="O2073" s="2">
        <v>90</v>
      </c>
      <c r="P2073" s="8">
        <f t="shared" si="162"/>
        <v>24226</v>
      </c>
      <c r="Q2073" s="8">
        <f t="shared" si="163"/>
        <v>21311</v>
      </c>
      <c r="R2073" s="2" t="s">
        <v>28</v>
      </c>
      <c r="S2073" s="9">
        <f t="shared" si="164"/>
        <v>1211.3</v>
      </c>
    </row>
    <row r="2074" spans="1:19" x14ac:dyDescent="0.3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str">
        <f>IFERROR(VLOOKUP('Customer Info'!A2066,'Customer Info'!A2066:C2565,2,FALSE),"Not Found")</f>
        <v>Not Found</v>
      </c>
      <c r="H2074" s="6" t="str">
        <f>IFERROR(VLOOKUP('Customer Info'!A2066,'Customer Info'!A2066:C2565,3,FALSE),"Not Found")</f>
        <v>Not Found</v>
      </c>
      <c r="I2074" s="6" t="str">
        <f>IFERROR(VLOOKUP('Customer Info'!A2066,'Customer Info'!A2066:E2565,5,FALSE),"Not Found")</f>
        <v>Not Found</v>
      </c>
      <c r="J2074" s="2">
        <v>1717</v>
      </c>
      <c r="K2074" s="2">
        <v>1652</v>
      </c>
      <c r="L2074" s="2">
        <v>3</v>
      </c>
      <c r="M2074" s="7">
        <f t="shared" si="160"/>
        <v>4956</v>
      </c>
      <c r="N2074" s="7">
        <f t="shared" si="161"/>
        <v>5151</v>
      </c>
      <c r="O2074" s="2">
        <v>24</v>
      </c>
      <c r="P2074" s="8">
        <f t="shared" si="162"/>
        <v>5175</v>
      </c>
      <c r="Q2074" s="8">
        <f t="shared" si="163"/>
        <v>3499</v>
      </c>
      <c r="R2074" s="2" t="s">
        <v>28</v>
      </c>
      <c r="S2074" s="9">
        <f t="shared" si="164"/>
        <v>258.75</v>
      </c>
    </row>
    <row r="2075" spans="1:19" x14ac:dyDescent="0.3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str">
        <f>IFERROR(VLOOKUP('Customer Info'!A2067,'Customer Info'!A2067:C2566,2,FALSE),"Not Found")</f>
        <v>Not Found</v>
      </c>
      <c r="H2075" s="6" t="str">
        <f>IFERROR(VLOOKUP('Customer Info'!A2067,'Customer Info'!A2067:C2566,3,FALSE),"Not Found")</f>
        <v>Not Found</v>
      </c>
      <c r="I2075" s="6" t="str">
        <f>IFERROR(VLOOKUP('Customer Info'!A2067,'Customer Info'!A2067:E2566,5,FALSE),"Not Found")</f>
        <v>Not Found</v>
      </c>
      <c r="J2075" s="2">
        <v>288</v>
      </c>
      <c r="K2075" s="2">
        <v>264</v>
      </c>
      <c r="L2075" s="2">
        <v>6</v>
      </c>
      <c r="M2075" s="7">
        <f t="shared" si="160"/>
        <v>1584</v>
      </c>
      <c r="N2075" s="7">
        <f t="shared" si="161"/>
        <v>1728</v>
      </c>
      <c r="O2075" s="2">
        <v>34</v>
      </c>
      <c r="P2075" s="8">
        <f t="shared" si="162"/>
        <v>1762</v>
      </c>
      <c r="Q2075" s="8">
        <f t="shared" si="163"/>
        <v>1464</v>
      </c>
      <c r="R2075" s="2" t="s">
        <v>56</v>
      </c>
      <c r="S2075" s="9">
        <f t="shared" si="164"/>
        <v>35.24</v>
      </c>
    </row>
    <row r="2076" spans="1:19" x14ac:dyDescent="0.3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str">
        <f>IFERROR(VLOOKUP('Customer Info'!A2068,'Customer Info'!A2068:C2567,2,FALSE),"Not Found")</f>
        <v>Not Found</v>
      </c>
      <c r="H2076" s="6" t="str">
        <f>IFERROR(VLOOKUP('Customer Info'!A2068,'Customer Info'!A2068:C2567,3,FALSE),"Not Found")</f>
        <v>Not Found</v>
      </c>
      <c r="I2076" s="6" t="str">
        <f>IFERROR(VLOOKUP('Customer Info'!A2068,'Customer Info'!A2068:E2567,5,FALSE),"Not Found")</f>
        <v>Not Found</v>
      </c>
      <c r="J2076" s="2">
        <v>130</v>
      </c>
      <c r="K2076" s="2">
        <v>122</v>
      </c>
      <c r="L2076" s="2">
        <v>4</v>
      </c>
      <c r="M2076" s="7">
        <f t="shared" si="160"/>
        <v>488</v>
      </c>
      <c r="N2076" s="7">
        <f t="shared" si="161"/>
        <v>520</v>
      </c>
      <c r="O2076" s="2">
        <v>30</v>
      </c>
      <c r="P2076" s="8">
        <f t="shared" si="162"/>
        <v>550</v>
      </c>
      <c r="Q2076" s="8">
        <f t="shared" si="163"/>
        <v>398</v>
      </c>
      <c r="R2076" s="2" t="s">
        <v>26</v>
      </c>
      <c r="S2076" s="9">
        <f t="shared" si="164"/>
        <v>11</v>
      </c>
    </row>
    <row r="2077" spans="1:19" x14ac:dyDescent="0.3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str">
        <f>IFERROR(VLOOKUP('Customer Info'!A2069,'Customer Info'!A2069:C2568,2,FALSE),"Not Found")</f>
        <v>Not Found</v>
      </c>
      <c r="H2077" s="6" t="str">
        <f>IFERROR(VLOOKUP('Customer Info'!A2069,'Customer Info'!A2069:C2568,3,FALSE),"Not Found")</f>
        <v>Not Found</v>
      </c>
      <c r="I2077" s="6" t="str">
        <f>IFERROR(VLOOKUP('Customer Info'!A2069,'Customer Info'!A2069:E2568,5,FALSE),"Not Found")</f>
        <v>Not Found</v>
      </c>
      <c r="J2077" s="2">
        <v>1533</v>
      </c>
      <c r="K2077" s="2">
        <v>1406</v>
      </c>
      <c r="L2077" s="2">
        <v>2</v>
      </c>
      <c r="M2077" s="7">
        <f t="shared" si="160"/>
        <v>2812</v>
      </c>
      <c r="N2077" s="7">
        <f t="shared" si="161"/>
        <v>3066</v>
      </c>
      <c r="O2077" s="2">
        <v>89</v>
      </c>
      <c r="P2077" s="8">
        <f t="shared" si="162"/>
        <v>3155</v>
      </c>
      <c r="Q2077" s="8">
        <f t="shared" si="163"/>
        <v>1660</v>
      </c>
      <c r="R2077" s="2" t="s">
        <v>28</v>
      </c>
      <c r="S2077" s="9">
        <f t="shared" si="164"/>
        <v>63.1</v>
      </c>
    </row>
    <row r="2078" spans="1:19" x14ac:dyDescent="0.3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str">
        <f>IFERROR(VLOOKUP('Customer Info'!A2070,'Customer Info'!A2070:C2569,2,FALSE),"Not Found")</f>
        <v>Not Found</v>
      </c>
      <c r="H2078" s="6" t="str">
        <f>IFERROR(VLOOKUP('Customer Info'!A2070,'Customer Info'!A2070:C2569,3,FALSE),"Not Found")</f>
        <v>Not Found</v>
      </c>
      <c r="I2078" s="6" t="str">
        <f>IFERROR(VLOOKUP('Customer Info'!A2070,'Customer Info'!A2070:E2569,5,FALSE),"Not Found")</f>
        <v>Not Found</v>
      </c>
      <c r="J2078" s="2">
        <v>671</v>
      </c>
      <c r="K2078" s="2">
        <v>627</v>
      </c>
      <c r="L2078" s="2">
        <v>1</v>
      </c>
      <c r="M2078" s="7">
        <f t="shared" si="160"/>
        <v>627</v>
      </c>
      <c r="N2078" s="7">
        <f t="shared" si="161"/>
        <v>671</v>
      </c>
      <c r="O2078" s="2">
        <v>31</v>
      </c>
      <c r="P2078" s="8">
        <f t="shared" si="162"/>
        <v>702</v>
      </c>
      <c r="Q2078" s="8">
        <f t="shared" si="163"/>
        <v>44</v>
      </c>
      <c r="R2078" s="2" t="s">
        <v>26</v>
      </c>
      <c r="S2078" s="9">
        <f t="shared" si="164"/>
        <v>14.040000000000001</v>
      </c>
    </row>
    <row r="2079" spans="1:19" x14ac:dyDescent="0.3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str">
        <f>IFERROR(VLOOKUP('Customer Info'!A2071,'Customer Info'!A2071:C2570,2,FALSE),"Not Found")</f>
        <v>Not Found</v>
      </c>
      <c r="H2079" s="6" t="str">
        <f>IFERROR(VLOOKUP('Customer Info'!A2071,'Customer Info'!A2071:C2570,3,FALSE),"Not Found")</f>
        <v>Not Found</v>
      </c>
      <c r="I2079" s="6" t="str">
        <f>IFERROR(VLOOKUP('Customer Info'!A2071,'Customer Info'!A2071:E2570,5,FALSE),"Not Found")</f>
        <v>Not Found</v>
      </c>
      <c r="J2079" s="2">
        <v>169</v>
      </c>
      <c r="K2079" s="2">
        <v>160</v>
      </c>
      <c r="L2079" s="2">
        <v>2</v>
      </c>
      <c r="M2079" s="7">
        <f t="shared" si="160"/>
        <v>320</v>
      </c>
      <c r="N2079" s="7">
        <f t="shared" si="161"/>
        <v>338</v>
      </c>
      <c r="O2079" s="2">
        <v>30</v>
      </c>
      <c r="P2079" s="8">
        <f t="shared" si="162"/>
        <v>368</v>
      </c>
      <c r="Q2079" s="8">
        <f t="shared" si="163"/>
        <v>178</v>
      </c>
      <c r="R2079" s="2" t="s">
        <v>56</v>
      </c>
      <c r="S2079" s="9">
        <f t="shared" si="164"/>
        <v>7.36</v>
      </c>
    </row>
    <row r="2080" spans="1:19" x14ac:dyDescent="0.3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str">
        <f>IFERROR(VLOOKUP('Customer Info'!A2072,'Customer Info'!A2072:C2571,2,FALSE),"Not Found")</f>
        <v>Not Found</v>
      </c>
      <c r="H2080" s="6" t="str">
        <f>IFERROR(VLOOKUP('Customer Info'!A2072,'Customer Info'!A2072:C2571,3,FALSE),"Not Found")</f>
        <v>Not Found</v>
      </c>
      <c r="I2080" s="6" t="str">
        <f>IFERROR(VLOOKUP('Customer Info'!A2072,'Customer Info'!A2072:E2571,5,FALSE),"Not Found")</f>
        <v>Not Found</v>
      </c>
      <c r="J2080" s="2">
        <v>2951</v>
      </c>
      <c r="K2080" s="2">
        <v>2786</v>
      </c>
      <c r="L2080" s="2">
        <v>1</v>
      </c>
      <c r="M2080" s="7">
        <f t="shared" si="160"/>
        <v>2786</v>
      </c>
      <c r="N2080" s="7">
        <f t="shared" si="161"/>
        <v>2951</v>
      </c>
      <c r="O2080" s="2">
        <v>90</v>
      </c>
      <c r="P2080" s="8">
        <f t="shared" si="162"/>
        <v>3041</v>
      </c>
      <c r="Q2080" s="8">
        <f t="shared" si="163"/>
        <v>165</v>
      </c>
      <c r="R2080" s="2" t="s">
        <v>56</v>
      </c>
      <c r="S2080" s="9">
        <f t="shared" si="164"/>
        <v>60.82</v>
      </c>
    </row>
    <row r="2081" spans="1:19" x14ac:dyDescent="0.3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str">
        <f>IFERROR(VLOOKUP('Customer Info'!A2073,'Customer Info'!A2073:C2572,2,FALSE),"Not Found")</f>
        <v>Not Found</v>
      </c>
      <c r="H2081" s="6" t="str">
        <f>IFERROR(VLOOKUP('Customer Info'!A2073,'Customer Info'!A2073:C2572,3,FALSE),"Not Found")</f>
        <v>Not Found</v>
      </c>
      <c r="I2081" s="6" t="str">
        <f>IFERROR(VLOOKUP('Customer Info'!A2073,'Customer Info'!A2073:E2572,5,FALSE),"Not Found")</f>
        <v>Not Found</v>
      </c>
      <c r="J2081" s="2">
        <v>183</v>
      </c>
      <c r="K2081" s="2">
        <v>168</v>
      </c>
      <c r="L2081" s="2">
        <v>2</v>
      </c>
      <c r="M2081" s="7">
        <f t="shared" si="160"/>
        <v>336</v>
      </c>
      <c r="N2081" s="7">
        <f t="shared" si="161"/>
        <v>366</v>
      </c>
      <c r="O2081" s="2">
        <v>30</v>
      </c>
      <c r="P2081" s="8">
        <f t="shared" si="162"/>
        <v>396</v>
      </c>
      <c r="Q2081" s="8">
        <f t="shared" si="163"/>
        <v>198</v>
      </c>
      <c r="R2081" s="2" t="s">
        <v>28</v>
      </c>
      <c r="S2081" s="9">
        <f t="shared" si="164"/>
        <v>7.92</v>
      </c>
    </row>
    <row r="2082" spans="1:19" x14ac:dyDescent="0.3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str">
        <f>IFERROR(VLOOKUP('Customer Info'!A2074,'Customer Info'!A2074:C2573,2,FALSE),"Not Found")</f>
        <v>Not Found</v>
      </c>
      <c r="H2082" s="6" t="str">
        <f>IFERROR(VLOOKUP('Customer Info'!A2074,'Customer Info'!A2074:C2573,3,FALSE),"Not Found")</f>
        <v>Not Found</v>
      </c>
      <c r="I2082" s="6" t="str">
        <f>IFERROR(VLOOKUP('Customer Info'!A2074,'Customer Info'!A2074:E2573,5,FALSE),"Not Found")</f>
        <v>Not Found</v>
      </c>
      <c r="J2082" s="2">
        <v>5941</v>
      </c>
      <c r="K2082" s="2">
        <v>5827</v>
      </c>
      <c r="L2082" s="2">
        <v>2</v>
      </c>
      <c r="M2082" s="7">
        <f t="shared" si="160"/>
        <v>11654</v>
      </c>
      <c r="N2082" s="7">
        <f t="shared" si="161"/>
        <v>11882</v>
      </c>
      <c r="O2082" s="2">
        <v>88</v>
      </c>
      <c r="P2082" s="8">
        <f t="shared" si="162"/>
        <v>11970</v>
      </c>
      <c r="Q2082" s="8">
        <f t="shared" si="163"/>
        <v>6055</v>
      </c>
      <c r="R2082" s="2" t="s">
        <v>28</v>
      </c>
      <c r="S2082" s="9">
        <f t="shared" si="164"/>
        <v>598.5</v>
      </c>
    </row>
    <row r="2083" spans="1:19" x14ac:dyDescent="0.3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str">
        <f>IFERROR(VLOOKUP('Customer Info'!A2075,'Customer Info'!A2075:C2574,2,FALSE),"Not Found")</f>
        <v>Not Found</v>
      </c>
      <c r="H2083" s="6" t="str">
        <f>IFERROR(VLOOKUP('Customer Info'!A2075,'Customer Info'!A2075:C2574,3,FALSE),"Not Found")</f>
        <v>Not Found</v>
      </c>
      <c r="I2083" s="6" t="str">
        <f>IFERROR(VLOOKUP('Customer Info'!A2075,'Customer Info'!A2075:E2574,5,FALSE),"Not Found")</f>
        <v>Not Found</v>
      </c>
      <c r="J2083" s="2">
        <v>954</v>
      </c>
      <c r="K2083" s="2">
        <v>901</v>
      </c>
      <c r="L2083" s="2">
        <v>5</v>
      </c>
      <c r="M2083" s="7">
        <f t="shared" si="160"/>
        <v>4505</v>
      </c>
      <c r="N2083" s="7">
        <f t="shared" si="161"/>
        <v>4770</v>
      </c>
      <c r="O2083" s="2">
        <v>43</v>
      </c>
      <c r="P2083" s="8">
        <f t="shared" si="162"/>
        <v>4813</v>
      </c>
      <c r="Q2083" s="8">
        <f t="shared" si="163"/>
        <v>3869</v>
      </c>
      <c r="R2083" s="2" t="s">
        <v>50</v>
      </c>
      <c r="S2083" s="9">
        <f t="shared" si="164"/>
        <v>96.26</v>
      </c>
    </row>
    <row r="2084" spans="1:19" x14ac:dyDescent="0.3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str">
        <f>IFERROR(VLOOKUP('Customer Info'!A2076,'Customer Info'!A2076:C2575,2,FALSE),"Not Found")</f>
        <v>Not Found</v>
      </c>
      <c r="H2084" s="6" t="str">
        <f>IFERROR(VLOOKUP('Customer Info'!A2076,'Customer Info'!A2076:C2575,3,FALSE),"Not Found")</f>
        <v>Not Found</v>
      </c>
      <c r="I2084" s="6" t="str">
        <f>IFERROR(VLOOKUP('Customer Info'!A2076,'Customer Info'!A2076:E2575,5,FALSE),"Not Found")</f>
        <v>Not Found</v>
      </c>
      <c r="J2084" s="2">
        <v>978</v>
      </c>
      <c r="K2084" s="2">
        <v>922</v>
      </c>
      <c r="L2084" s="2">
        <v>3</v>
      </c>
      <c r="M2084" s="7">
        <f t="shared" si="160"/>
        <v>2766</v>
      </c>
      <c r="N2084" s="7">
        <f t="shared" si="161"/>
        <v>2934</v>
      </c>
      <c r="O2084" s="2">
        <v>45</v>
      </c>
      <c r="P2084" s="8">
        <f t="shared" si="162"/>
        <v>2979</v>
      </c>
      <c r="Q2084" s="8">
        <f t="shared" si="163"/>
        <v>2012</v>
      </c>
      <c r="R2084" s="2" t="s">
        <v>28</v>
      </c>
      <c r="S2084" s="9">
        <f t="shared" si="164"/>
        <v>59.58</v>
      </c>
    </row>
    <row r="2085" spans="1:19" x14ac:dyDescent="0.3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str">
        <f>IFERROR(VLOOKUP('Customer Info'!A2077,'Customer Info'!A2077:C2576,2,FALSE),"Not Found")</f>
        <v>Not Found</v>
      </c>
      <c r="H2085" s="6" t="str">
        <f>IFERROR(VLOOKUP('Customer Info'!A2077,'Customer Info'!A2077:C2576,3,FALSE),"Not Found")</f>
        <v>Not Found</v>
      </c>
      <c r="I2085" s="6" t="str">
        <f>IFERROR(VLOOKUP('Customer Info'!A2077,'Customer Info'!A2077:E2576,5,FALSE),"Not Found")</f>
        <v>Not Found</v>
      </c>
      <c r="J2085" s="2">
        <v>1125</v>
      </c>
      <c r="K2085" s="2">
        <v>1040</v>
      </c>
      <c r="L2085" s="2">
        <v>2</v>
      </c>
      <c r="M2085" s="7">
        <f t="shared" si="160"/>
        <v>2080</v>
      </c>
      <c r="N2085" s="7">
        <f t="shared" si="161"/>
        <v>2250</v>
      </c>
      <c r="O2085" s="2">
        <v>40</v>
      </c>
      <c r="P2085" s="8">
        <f t="shared" si="162"/>
        <v>2290</v>
      </c>
      <c r="Q2085" s="8">
        <f t="shared" si="163"/>
        <v>1210</v>
      </c>
      <c r="R2085" s="2" t="s">
        <v>28</v>
      </c>
      <c r="S2085" s="9">
        <f t="shared" si="164"/>
        <v>45.800000000000004</v>
      </c>
    </row>
    <row r="2086" spans="1:19" x14ac:dyDescent="0.3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str">
        <f>IFERROR(VLOOKUP('Customer Info'!A2078,'Customer Info'!A2078:C2577,2,FALSE),"Not Found")</f>
        <v>Not Found</v>
      </c>
      <c r="H2086" s="6" t="str">
        <f>IFERROR(VLOOKUP('Customer Info'!A2078,'Customer Info'!A2078:C2577,3,FALSE),"Not Found")</f>
        <v>Not Found</v>
      </c>
      <c r="I2086" s="6" t="str">
        <f>IFERROR(VLOOKUP('Customer Info'!A2078,'Customer Info'!A2078:E2577,5,FALSE),"Not Found")</f>
        <v>Not Found</v>
      </c>
      <c r="J2086" s="2">
        <v>729</v>
      </c>
      <c r="K2086" s="2">
        <v>689</v>
      </c>
      <c r="L2086" s="2">
        <v>3</v>
      </c>
      <c r="M2086" s="7">
        <f t="shared" si="160"/>
        <v>2067</v>
      </c>
      <c r="N2086" s="7">
        <f t="shared" si="161"/>
        <v>2187</v>
      </c>
      <c r="O2086" s="2">
        <v>71</v>
      </c>
      <c r="P2086" s="8">
        <f t="shared" si="162"/>
        <v>2258</v>
      </c>
      <c r="Q2086" s="8">
        <f t="shared" si="163"/>
        <v>1498</v>
      </c>
      <c r="R2086" s="2" t="s">
        <v>28</v>
      </c>
      <c r="S2086" s="9">
        <f t="shared" si="164"/>
        <v>45.160000000000004</v>
      </c>
    </row>
    <row r="2087" spans="1:19" x14ac:dyDescent="0.3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str">
        <f>IFERROR(VLOOKUP('Customer Info'!A2079,'Customer Info'!A2079:C2578,2,FALSE),"Not Found")</f>
        <v>Not Found</v>
      </c>
      <c r="H2087" s="6" t="str">
        <f>IFERROR(VLOOKUP('Customer Info'!A2079,'Customer Info'!A2079:C2578,3,FALSE),"Not Found")</f>
        <v>Not Found</v>
      </c>
      <c r="I2087" s="6" t="str">
        <f>IFERROR(VLOOKUP('Customer Info'!A2079,'Customer Info'!A2079:E2578,5,FALSE),"Not Found")</f>
        <v>Not Found</v>
      </c>
      <c r="J2087" s="2">
        <v>4784</v>
      </c>
      <c r="K2087" s="2">
        <v>4518</v>
      </c>
      <c r="L2087" s="2">
        <v>4</v>
      </c>
      <c r="M2087" s="7">
        <f t="shared" si="160"/>
        <v>18072</v>
      </c>
      <c r="N2087" s="7">
        <f t="shared" si="161"/>
        <v>19136</v>
      </c>
      <c r="O2087" s="2">
        <v>63</v>
      </c>
      <c r="P2087" s="8">
        <f t="shared" si="162"/>
        <v>19199</v>
      </c>
      <c r="Q2087" s="8">
        <f t="shared" si="163"/>
        <v>14618</v>
      </c>
      <c r="R2087" s="2" t="s">
        <v>28</v>
      </c>
      <c r="S2087" s="9">
        <f t="shared" si="164"/>
        <v>959.95</v>
      </c>
    </row>
    <row r="2088" spans="1:19" x14ac:dyDescent="0.3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str">
        <f>IFERROR(VLOOKUP('Customer Info'!A2080,'Customer Info'!A2080:C2579,2,FALSE),"Not Found")</f>
        <v>Not Found</v>
      </c>
      <c r="H2088" s="6" t="str">
        <f>IFERROR(VLOOKUP('Customer Info'!A2080,'Customer Info'!A2080:C2579,3,FALSE),"Not Found")</f>
        <v>Not Found</v>
      </c>
      <c r="I2088" s="6" t="str">
        <f>IFERROR(VLOOKUP('Customer Info'!A2080,'Customer Info'!A2080:E2579,5,FALSE),"Not Found")</f>
        <v>Not Found</v>
      </c>
      <c r="J2088" s="2">
        <v>2747</v>
      </c>
      <c r="K2088" s="2">
        <v>2545</v>
      </c>
      <c r="L2088" s="2">
        <v>4</v>
      </c>
      <c r="M2088" s="7">
        <f t="shared" si="160"/>
        <v>10180</v>
      </c>
      <c r="N2088" s="7">
        <f t="shared" si="161"/>
        <v>10988</v>
      </c>
      <c r="O2088" s="2">
        <v>42</v>
      </c>
      <c r="P2088" s="8">
        <f t="shared" si="162"/>
        <v>11030</v>
      </c>
      <c r="Q2088" s="8">
        <f t="shared" si="163"/>
        <v>8443</v>
      </c>
      <c r="R2088" s="2" t="s">
        <v>50</v>
      </c>
      <c r="S2088" s="9">
        <f t="shared" si="164"/>
        <v>551.5</v>
      </c>
    </row>
    <row r="2089" spans="1:19" x14ac:dyDescent="0.3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str">
        <f>IFERROR(VLOOKUP('Customer Info'!A2081,'Customer Info'!A2081:C2580,2,FALSE),"Not Found")</f>
        <v>Not Found</v>
      </c>
      <c r="H2089" s="6" t="str">
        <f>IFERROR(VLOOKUP('Customer Info'!A2081,'Customer Info'!A2081:C2580,3,FALSE),"Not Found")</f>
        <v>Not Found</v>
      </c>
      <c r="I2089" s="6" t="str">
        <f>IFERROR(VLOOKUP('Customer Info'!A2081,'Customer Info'!A2081:E2580,5,FALSE),"Not Found")</f>
        <v>Not Found</v>
      </c>
      <c r="J2089" s="2">
        <v>1816</v>
      </c>
      <c r="K2089" s="2">
        <v>1700</v>
      </c>
      <c r="L2089" s="2">
        <v>2</v>
      </c>
      <c r="M2089" s="7">
        <f t="shared" si="160"/>
        <v>3400</v>
      </c>
      <c r="N2089" s="7">
        <f t="shared" si="161"/>
        <v>3632</v>
      </c>
      <c r="O2089" s="2">
        <v>67</v>
      </c>
      <c r="P2089" s="8">
        <f t="shared" si="162"/>
        <v>3699</v>
      </c>
      <c r="Q2089" s="8">
        <f t="shared" si="163"/>
        <v>1932</v>
      </c>
      <c r="R2089" s="2" t="s">
        <v>50</v>
      </c>
      <c r="S2089" s="9">
        <f t="shared" si="164"/>
        <v>73.98</v>
      </c>
    </row>
    <row r="2090" spans="1:19" x14ac:dyDescent="0.3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str">
        <f>IFERROR(VLOOKUP('Customer Info'!A2082,'Customer Info'!A2082:C2581,2,FALSE),"Not Found")</f>
        <v>Not Found</v>
      </c>
      <c r="H2090" s="6" t="str">
        <f>IFERROR(VLOOKUP('Customer Info'!A2082,'Customer Info'!A2082:C2581,3,FALSE),"Not Found")</f>
        <v>Not Found</v>
      </c>
      <c r="I2090" s="6" t="str">
        <f>IFERROR(VLOOKUP('Customer Info'!A2082,'Customer Info'!A2082:E2581,5,FALSE),"Not Found")</f>
        <v>Not Found</v>
      </c>
      <c r="J2090" s="2">
        <v>1703</v>
      </c>
      <c r="K2090" s="2">
        <v>1639</v>
      </c>
      <c r="L2090" s="2">
        <v>3</v>
      </c>
      <c r="M2090" s="7">
        <f t="shared" si="160"/>
        <v>4917</v>
      </c>
      <c r="N2090" s="7">
        <f t="shared" si="161"/>
        <v>5109</v>
      </c>
      <c r="O2090" s="2">
        <v>23</v>
      </c>
      <c r="P2090" s="8">
        <f t="shared" si="162"/>
        <v>5132</v>
      </c>
      <c r="Q2090" s="8">
        <f t="shared" si="163"/>
        <v>3470</v>
      </c>
      <c r="R2090" s="2" t="s">
        <v>28</v>
      </c>
      <c r="S2090" s="9">
        <f t="shared" si="164"/>
        <v>256.60000000000002</v>
      </c>
    </row>
    <row r="2091" spans="1:19" x14ac:dyDescent="0.3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str">
        <f>IFERROR(VLOOKUP('Customer Info'!A2083,'Customer Info'!A2083:C2582,2,FALSE),"Not Found")</f>
        <v>Not Found</v>
      </c>
      <c r="H2091" s="6" t="str">
        <f>IFERROR(VLOOKUP('Customer Info'!A2083,'Customer Info'!A2083:C2582,3,FALSE),"Not Found")</f>
        <v>Not Found</v>
      </c>
      <c r="I2091" s="6" t="str">
        <f>IFERROR(VLOOKUP('Customer Info'!A2083,'Customer Info'!A2083:E2582,5,FALSE),"Not Found")</f>
        <v>Not Found</v>
      </c>
      <c r="J2091" s="2">
        <v>2706</v>
      </c>
      <c r="K2091" s="2">
        <v>2553</v>
      </c>
      <c r="L2091" s="2">
        <v>9</v>
      </c>
      <c r="M2091" s="7">
        <f t="shared" si="160"/>
        <v>22977</v>
      </c>
      <c r="N2091" s="7">
        <f t="shared" si="161"/>
        <v>24354</v>
      </c>
      <c r="O2091" s="2">
        <v>77</v>
      </c>
      <c r="P2091" s="8">
        <f t="shared" si="162"/>
        <v>24431</v>
      </c>
      <c r="Q2091" s="8">
        <f t="shared" si="163"/>
        <v>21801</v>
      </c>
      <c r="R2091" s="2" t="s">
        <v>50</v>
      </c>
      <c r="S2091" s="9">
        <f t="shared" si="164"/>
        <v>1221.55</v>
      </c>
    </row>
    <row r="2092" spans="1:19" x14ac:dyDescent="0.3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str">
        <f>IFERROR(VLOOKUP('Customer Info'!A2084,'Customer Info'!A2084:C2583,2,FALSE),"Not Found")</f>
        <v>Not Found</v>
      </c>
      <c r="H2092" s="6" t="str">
        <f>IFERROR(VLOOKUP('Customer Info'!A2084,'Customer Info'!A2084:C2583,3,FALSE),"Not Found")</f>
        <v>Not Found</v>
      </c>
      <c r="I2092" s="6" t="str">
        <f>IFERROR(VLOOKUP('Customer Info'!A2084,'Customer Info'!A2084:E2583,5,FALSE),"Not Found")</f>
        <v>Not Found</v>
      </c>
      <c r="J2092" s="2">
        <v>2083</v>
      </c>
      <c r="K2092" s="2">
        <v>2004</v>
      </c>
      <c r="L2092" s="2">
        <v>8</v>
      </c>
      <c r="M2092" s="7">
        <f t="shared" si="160"/>
        <v>16032</v>
      </c>
      <c r="N2092" s="7">
        <f t="shared" si="161"/>
        <v>16664</v>
      </c>
      <c r="O2092" s="2">
        <v>49</v>
      </c>
      <c r="P2092" s="8">
        <f t="shared" si="162"/>
        <v>16713</v>
      </c>
      <c r="Q2092" s="8">
        <f t="shared" si="163"/>
        <v>14660</v>
      </c>
      <c r="R2092" s="2" t="s">
        <v>50</v>
      </c>
      <c r="S2092" s="9">
        <f t="shared" si="164"/>
        <v>835.65000000000009</v>
      </c>
    </row>
    <row r="2093" spans="1:19" x14ac:dyDescent="0.3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str">
        <f>IFERROR(VLOOKUP('Customer Info'!A2085,'Customer Info'!A2085:C2584,2,FALSE),"Not Found")</f>
        <v>Not Found</v>
      </c>
      <c r="H2093" s="6" t="str">
        <f>IFERROR(VLOOKUP('Customer Info'!A2085,'Customer Info'!A2085:C2584,3,FALSE),"Not Found")</f>
        <v>Not Found</v>
      </c>
      <c r="I2093" s="6" t="str">
        <f>IFERROR(VLOOKUP('Customer Info'!A2085,'Customer Info'!A2085:E2584,5,FALSE),"Not Found")</f>
        <v>Not Found</v>
      </c>
      <c r="J2093" s="2">
        <v>187</v>
      </c>
      <c r="K2093" s="2">
        <v>176</v>
      </c>
      <c r="L2093" s="2">
        <v>3</v>
      </c>
      <c r="M2093" s="7">
        <f t="shared" si="160"/>
        <v>528</v>
      </c>
      <c r="N2093" s="7">
        <f t="shared" si="161"/>
        <v>561</v>
      </c>
      <c r="O2093" s="2">
        <v>30</v>
      </c>
      <c r="P2093" s="8">
        <f t="shared" si="162"/>
        <v>591</v>
      </c>
      <c r="Q2093" s="8">
        <f t="shared" si="163"/>
        <v>385</v>
      </c>
      <c r="R2093" s="2" t="s">
        <v>28</v>
      </c>
      <c r="S2093" s="9">
        <f t="shared" si="164"/>
        <v>11.82</v>
      </c>
    </row>
    <row r="2094" spans="1:19" x14ac:dyDescent="0.3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str">
        <f>IFERROR(VLOOKUP('Customer Info'!A2086,'Customer Info'!A2086:C2585,2,FALSE),"Not Found")</f>
        <v>Not Found</v>
      </c>
      <c r="H2094" s="6" t="str">
        <f>IFERROR(VLOOKUP('Customer Info'!A2086,'Customer Info'!A2086:C2585,3,FALSE),"Not Found")</f>
        <v>Not Found</v>
      </c>
      <c r="I2094" s="6" t="str">
        <f>IFERROR(VLOOKUP('Customer Info'!A2086,'Customer Info'!A2086:E2585,5,FALSE),"Not Found")</f>
        <v>Not Found</v>
      </c>
      <c r="J2094" s="2">
        <v>3256</v>
      </c>
      <c r="K2094" s="2">
        <v>3044</v>
      </c>
      <c r="L2094" s="2">
        <v>3</v>
      </c>
      <c r="M2094" s="7">
        <f t="shared" si="160"/>
        <v>9132</v>
      </c>
      <c r="N2094" s="7">
        <f t="shared" si="161"/>
        <v>9768</v>
      </c>
      <c r="O2094" s="2">
        <v>65</v>
      </c>
      <c r="P2094" s="8">
        <f t="shared" si="162"/>
        <v>9833</v>
      </c>
      <c r="Q2094" s="8">
        <f t="shared" si="163"/>
        <v>6724</v>
      </c>
      <c r="R2094" s="2" t="s">
        <v>50</v>
      </c>
      <c r="S2094" s="9">
        <f t="shared" si="164"/>
        <v>491.65000000000003</v>
      </c>
    </row>
    <row r="2095" spans="1:19" x14ac:dyDescent="0.3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str">
        <f>IFERROR(VLOOKUP('Customer Info'!A2087,'Customer Info'!A2087:C2586,2,FALSE),"Not Found")</f>
        <v>Not Found</v>
      </c>
      <c r="H2095" s="6" t="str">
        <f>IFERROR(VLOOKUP('Customer Info'!A2087,'Customer Info'!A2087:C2586,3,FALSE),"Not Found")</f>
        <v>Not Found</v>
      </c>
      <c r="I2095" s="6" t="str">
        <f>IFERROR(VLOOKUP('Customer Info'!A2087,'Customer Info'!A2087:E2586,5,FALSE),"Not Found")</f>
        <v>Not Found</v>
      </c>
      <c r="J2095" s="2">
        <v>3256</v>
      </c>
      <c r="K2095" s="2">
        <v>2959</v>
      </c>
      <c r="L2095" s="2">
        <v>1</v>
      </c>
      <c r="M2095" s="7">
        <f t="shared" si="160"/>
        <v>2959</v>
      </c>
      <c r="N2095" s="7">
        <f t="shared" si="161"/>
        <v>3256</v>
      </c>
      <c r="O2095" s="2">
        <v>90</v>
      </c>
      <c r="P2095" s="8">
        <f t="shared" si="162"/>
        <v>3346</v>
      </c>
      <c r="Q2095" s="8">
        <f t="shared" si="163"/>
        <v>297</v>
      </c>
      <c r="R2095" s="2" t="s">
        <v>26</v>
      </c>
      <c r="S2095" s="9">
        <f t="shared" si="164"/>
        <v>66.92</v>
      </c>
    </row>
    <row r="2096" spans="1:19" x14ac:dyDescent="0.3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str">
        <f>IFERROR(VLOOKUP('Customer Info'!A2088,'Customer Info'!A2088:C2587,2,FALSE),"Not Found")</f>
        <v>Not Found</v>
      </c>
      <c r="H2096" s="6" t="str">
        <f>IFERROR(VLOOKUP('Customer Info'!A2088,'Customer Info'!A2088:C2587,3,FALSE),"Not Found")</f>
        <v>Not Found</v>
      </c>
      <c r="I2096" s="6" t="str">
        <f>IFERROR(VLOOKUP('Customer Info'!A2088,'Customer Info'!A2088:E2587,5,FALSE),"Not Found")</f>
        <v>Not Found</v>
      </c>
      <c r="J2096" s="2">
        <v>458</v>
      </c>
      <c r="K2096" s="2">
        <v>419</v>
      </c>
      <c r="L2096" s="2">
        <v>1</v>
      </c>
      <c r="M2096" s="7">
        <f t="shared" si="160"/>
        <v>419</v>
      </c>
      <c r="N2096" s="7">
        <f t="shared" si="161"/>
        <v>458</v>
      </c>
      <c r="O2096" s="2">
        <v>58</v>
      </c>
      <c r="P2096" s="8">
        <f t="shared" si="162"/>
        <v>516</v>
      </c>
      <c r="Q2096" s="8">
        <f t="shared" si="163"/>
        <v>39</v>
      </c>
      <c r="R2096" s="2" t="s">
        <v>50</v>
      </c>
      <c r="S2096" s="9">
        <f t="shared" si="164"/>
        <v>10.32</v>
      </c>
    </row>
    <row r="2097" spans="1:19" x14ac:dyDescent="0.3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str">
        <f>IFERROR(VLOOKUP('Customer Info'!A2089,'Customer Info'!A2089:C2588,2,FALSE),"Not Found")</f>
        <v>Not Found</v>
      </c>
      <c r="H2097" s="6" t="str">
        <f>IFERROR(VLOOKUP('Customer Info'!A2089,'Customer Info'!A2089:C2588,3,FALSE),"Not Found")</f>
        <v>Not Found</v>
      </c>
      <c r="I2097" s="6" t="str">
        <f>IFERROR(VLOOKUP('Customer Info'!A2089,'Customer Info'!A2089:E2588,5,FALSE),"Not Found")</f>
        <v>Not Found</v>
      </c>
      <c r="J2097" s="2">
        <v>4904</v>
      </c>
      <c r="K2097" s="2">
        <v>4499</v>
      </c>
      <c r="L2097" s="2">
        <v>2</v>
      </c>
      <c r="M2097" s="7">
        <f t="shared" si="160"/>
        <v>8998</v>
      </c>
      <c r="N2097" s="7">
        <f t="shared" si="161"/>
        <v>9808</v>
      </c>
      <c r="O2097" s="2">
        <v>55</v>
      </c>
      <c r="P2097" s="8">
        <f t="shared" si="162"/>
        <v>9863</v>
      </c>
      <c r="Q2097" s="8">
        <f t="shared" si="163"/>
        <v>5309</v>
      </c>
      <c r="R2097" s="2" t="s">
        <v>50</v>
      </c>
      <c r="S2097" s="9">
        <f t="shared" si="164"/>
        <v>493.15000000000003</v>
      </c>
    </row>
    <row r="2098" spans="1:19" x14ac:dyDescent="0.3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str">
        <f>IFERROR(VLOOKUP('Customer Info'!A2090,'Customer Info'!A2090:C2589,2,FALSE),"Not Found")</f>
        <v>Not Found</v>
      </c>
      <c r="H2098" s="6" t="str">
        <f>IFERROR(VLOOKUP('Customer Info'!A2090,'Customer Info'!A2090:C2589,3,FALSE),"Not Found")</f>
        <v>Not Found</v>
      </c>
      <c r="I2098" s="6" t="str">
        <f>IFERROR(VLOOKUP('Customer Info'!A2090,'Customer Info'!A2090:E2589,5,FALSE),"Not Found")</f>
        <v>Not Found</v>
      </c>
      <c r="J2098" s="2">
        <v>177</v>
      </c>
      <c r="K2098" s="2">
        <v>169</v>
      </c>
      <c r="L2098" s="2">
        <v>2</v>
      </c>
      <c r="M2098" s="7">
        <f t="shared" si="160"/>
        <v>338</v>
      </c>
      <c r="N2098" s="7">
        <f t="shared" si="161"/>
        <v>354</v>
      </c>
      <c r="O2098" s="2">
        <v>30</v>
      </c>
      <c r="P2098" s="8">
        <f t="shared" si="162"/>
        <v>384</v>
      </c>
      <c r="Q2098" s="8">
        <f t="shared" si="163"/>
        <v>185</v>
      </c>
      <c r="R2098" s="2" t="s">
        <v>28</v>
      </c>
      <c r="S2098" s="9">
        <f t="shared" si="164"/>
        <v>7.68</v>
      </c>
    </row>
    <row r="2099" spans="1:19" x14ac:dyDescent="0.3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str">
        <f>IFERROR(VLOOKUP('Customer Info'!A2091,'Customer Info'!A2091:C2590,2,FALSE),"Not Found")</f>
        <v>Not Found</v>
      </c>
      <c r="H2099" s="6" t="str">
        <f>IFERROR(VLOOKUP('Customer Info'!A2091,'Customer Info'!A2091:C2590,3,FALSE),"Not Found")</f>
        <v>Not Found</v>
      </c>
      <c r="I2099" s="6" t="str">
        <f>IFERROR(VLOOKUP('Customer Info'!A2091,'Customer Info'!A2091:E2590,5,FALSE),"Not Found")</f>
        <v>Not Found</v>
      </c>
      <c r="J2099" s="2">
        <v>7960</v>
      </c>
      <c r="K2099" s="2">
        <v>7375</v>
      </c>
      <c r="L2099" s="2">
        <v>2</v>
      </c>
      <c r="M2099" s="7">
        <f t="shared" si="160"/>
        <v>14750</v>
      </c>
      <c r="N2099" s="7">
        <f t="shared" si="161"/>
        <v>15920</v>
      </c>
      <c r="O2099" s="2">
        <v>69</v>
      </c>
      <c r="P2099" s="8">
        <f t="shared" si="162"/>
        <v>15989</v>
      </c>
      <c r="Q2099" s="8">
        <f t="shared" si="163"/>
        <v>8545</v>
      </c>
      <c r="R2099" s="2" t="s">
        <v>28</v>
      </c>
      <c r="S2099" s="9">
        <f t="shared" si="164"/>
        <v>799.45</v>
      </c>
    </row>
    <row r="2100" spans="1:19" x14ac:dyDescent="0.3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str">
        <f>IFERROR(VLOOKUP('Customer Info'!A2092,'Customer Info'!A2092:C2591,2,FALSE),"Not Found")</f>
        <v>Not Found</v>
      </c>
      <c r="H2100" s="6" t="str">
        <f>IFERROR(VLOOKUP('Customer Info'!A2092,'Customer Info'!A2092:C2591,3,FALSE),"Not Found")</f>
        <v>Not Found</v>
      </c>
      <c r="I2100" s="6" t="str">
        <f>IFERROR(VLOOKUP('Customer Info'!A2092,'Customer Info'!A2092:E2591,5,FALSE),"Not Found")</f>
        <v>Not Found</v>
      </c>
      <c r="J2100" s="2">
        <v>1545</v>
      </c>
      <c r="K2100" s="2">
        <v>1486</v>
      </c>
      <c r="L2100" s="2">
        <v>5</v>
      </c>
      <c r="M2100" s="7">
        <f t="shared" si="160"/>
        <v>7430</v>
      </c>
      <c r="N2100" s="7">
        <f t="shared" si="161"/>
        <v>7725</v>
      </c>
      <c r="O2100" s="2">
        <v>92</v>
      </c>
      <c r="P2100" s="8">
        <f t="shared" si="162"/>
        <v>7817</v>
      </c>
      <c r="Q2100" s="8">
        <f t="shared" si="163"/>
        <v>6239</v>
      </c>
      <c r="R2100" s="2" t="s">
        <v>50</v>
      </c>
      <c r="S2100" s="9">
        <f t="shared" si="164"/>
        <v>390.85</v>
      </c>
    </row>
    <row r="2101" spans="1:19" x14ac:dyDescent="0.3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str">
        <f>IFERROR(VLOOKUP('Customer Info'!A2093,'Customer Info'!A2093:C2592,2,FALSE),"Not Found")</f>
        <v>Not Found</v>
      </c>
      <c r="H2101" s="6" t="str">
        <f>IFERROR(VLOOKUP('Customer Info'!A2093,'Customer Info'!A2093:C2592,3,FALSE),"Not Found")</f>
        <v>Not Found</v>
      </c>
      <c r="I2101" s="6" t="str">
        <f>IFERROR(VLOOKUP('Customer Info'!A2093,'Customer Info'!A2093:E2592,5,FALSE),"Not Found")</f>
        <v>Not Found</v>
      </c>
      <c r="J2101" s="2">
        <v>835</v>
      </c>
      <c r="K2101" s="2">
        <v>796</v>
      </c>
      <c r="L2101" s="2">
        <v>9</v>
      </c>
      <c r="M2101" s="7">
        <f t="shared" si="160"/>
        <v>7164</v>
      </c>
      <c r="N2101" s="7">
        <f t="shared" si="161"/>
        <v>7515</v>
      </c>
      <c r="O2101" s="2">
        <v>26</v>
      </c>
      <c r="P2101" s="8">
        <f t="shared" si="162"/>
        <v>7541</v>
      </c>
      <c r="Q2101" s="8">
        <f t="shared" si="163"/>
        <v>6719</v>
      </c>
      <c r="R2101" s="2" t="s">
        <v>28</v>
      </c>
      <c r="S2101" s="9">
        <f t="shared" si="164"/>
        <v>377.05</v>
      </c>
    </row>
    <row r="2102" spans="1:19" x14ac:dyDescent="0.3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str">
        <f>IFERROR(VLOOKUP('Customer Info'!A2094,'Customer Info'!A2094:C2593,2,FALSE),"Not Found")</f>
        <v>Not Found</v>
      </c>
      <c r="H2102" s="6" t="str">
        <f>IFERROR(VLOOKUP('Customer Info'!A2094,'Customer Info'!A2094:C2593,3,FALSE),"Not Found")</f>
        <v>Not Found</v>
      </c>
      <c r="I2102" s="6" t="str">
        <f>IFERROR(VLOOKUP('Customer Info'!A2094,'Customer Info'!A2094:E2593,5,FALSE),"Not Found")</f>
        <v>Not Found</v>
      </c>
      <c r="J2102" s="2">
        <v>1358</v>
      </c>
      <c r="K2102" s="2">
        <v>1270</v>
      </c>
      <c r="L2102" s="2">
        <v>3</v>
      </c>
      <c r="M2102" s="7">
        <f t="shared" si="160"/>
        <v>3810</v>
      </c>
      <c r="N2102" s="7">
        <f t="shared" si="161"/>
        <v>4074</v>
      </c>
      <c r="O2102" s="2">
        <v>58</v>
      </c>
      <c r="P2102" s="8">
        <f t="shared" si="162"/>
        <v>4132</v>
      </c>
      <c r="Q2102" s="8">
        <f t="shared" si="163"/>
        <v>2804</v>
      </c>
      <c r="R2102" s="2" t="s">
        <v>50</v>
      </c>
      <c r="S2102" s="9">
        <f t="shared" si="164"/>
        <v>82.64</v>
      </c>
    </row>
    <row r="2103" spans="1:19" x14ac:dyDescent="0.3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str">
        <f>IFERROR(VLOOKUP('Customer Info'!A2095,'Customer Info'!A2095:C2594,2,FALSE),"Not Found")</f>
        <v>Not Found</v>
      </c>
      <c r="H2103" s="6" t="str">
        <f>IFERROR(VLOOKUP('Customer Info'!A2095,'Customer Info'!A2095:C2594,3,FALSE),"Not Found")</f>
        <v>Not Found</v>
      </c>
      <c r="I2103" s="6" t="str">
        <f>IFERROR(VLOOKUP('Customer Info'!A2095,'Customer Info'!A2095:E2594,5,FALSE),"Not Found")</f>
        <v>Not Found</v>
      </c>
      <c r="J2103" s="2">
        <v>8651</v>
      </c>
      <c r="K2103" s="2">
        <v>8081</v>
      </c>
      <c r="L2103" s="2">
        <v>5</v>
      </c>
      <c r="M2103" s="7">
        <f t="shared" si="160"/>
        <v>40405</v>
      </c>
      <c r="N2103" s="7">
        <f t="shared" si="161"/>
        <v>43255</v>
      </c>
      <c r="O2103" s="2">
        <v>26</v>
      </c>
      <c r="P2103" s="8">
        <f t="shared" si="162"/>
        <v>43281</v>
      </c>
      <c r="Q2103" s="8">
        <f t="shared" si="163"/>
        <v>35174</v>
      </c>
      <c r="R2103" s="2" t="s">
        <v>50</v>
      </c>
      <c r="S2103" s="9">
        <f t="shared" si="164"/>
        <v>3029.67</v>
      </c>
    </row>
    <row r="2104" spans="1:19" x14ac:dyDescent="0.3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str">
        <f>IFERROR(VLOOKUP('Customer Info'!A2096,'Customer Info'!A2096:C2595,2,FALSE),"Not Found")</f>
        <v>Not Found</v>
      </c>
      <c r="H2104" s="6" t="str">
        <f>IFERROR(VLOOKUP('Customer Info'!A2096,'Customer Info'!A2096:C2595,3,FALSE),"Not Found")</f>
        <v>Not Found</v>
      </c>
      <c r="I2104" s="6" t="str">
        <f>IFERROR(VLOOKUP('Customer Info'!A2096,'Customer Info'!A2096:E2595,5,FALSE),"Not Found")</f>
        <v>Not Found</v>
      </c>
      <c r="J2104" s="2">
        <v>21863</v>
      </c>
      <c r="K2104" s="2">
        <v>20821</v>
      </c>
      <c r="L2104" s="2">
        <v>1</v>
      </c>
      <c r="M2104" s="7">
        <f t="shared" si="160"/>
        <v>20821</v>
      </c>
      <c r="N2104" s="7">
        <f t="shared" si="161"/>
        <v>21863</v>
      </c>
      <c r="O2104" s="2">
        <v>55</v>
      </c>
      <c r="P2104" s="8">
        <f t="shared" si="162"/>
        <v>21918</v>
      </c>
      <c r="Q2104" s="8">
        <f t="shared" si="163"/>
        <v>1042</v>
      </c>
      <c r="R2104" s="2" t="s">
        <v>28</v>
      </c>
      <c r="S2104" s="9">
        <f t="shared" si="164"/>
        <v>1095.9000000000001</v>
      </c>
    </row>
    <row r="2105" spans="1:19" x14ac:dyDescent="0.3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str">
        <f>IFERROR(VLOOKUP('Customer Info'!A2097,'Customer Info'!A2097:C2596,2,FALSE),"Not Found")</f>
        <v>Not Found</v>
      </c>
      <c r="H2105" s="6" t="str">
        <f>IFERROR(VLOOKUP('Customer Info'!A2097,'Customer Info'!A2097:C2596,3,FALSE),"Not Found")</f>
        <v>Not Found</v>
      </c>
      <c r="I2105" s="6" t="str">
        <f>IFERROR(VLOOKUP('Customer Info'!A2097,'Customer Info'!A2097:E2596,5,FALSE),"Not Found")</f>
        <v>Not Found</v>
      </c>
      <c r="J2105" s="2">
        <v>474</v>
      </c>
      <c r="K2105" s="2">
        <v>443</v>
      </c>
      <c r="L2105" s="2">
        <v>5</v>
      </c>
      <c r="M2105" s="7">
        <f t="shared" si="160"/>
        <v>2215</v>
      </c>
      <c r="N2105" s="7">
        <f t="shared" si="161"/>
        <v>2370</v>
      </c>
      <c r="O2105" s="2">
        <v>79</v>
      </c>
      <c r="P2105" s="8">
        <f t="shared" si="162"/>
        <v>2449</v>
      </c>
      <c r="Q2105" s="8">
        <f t="shared" si="163"/>
        <v>1927</v>
      </c>
      <c r="R2105" s="2" t="s">
        <v>50</v>
      </c>
      <c r="S2105" s="9">
        <f t="shared" si="164"/>
        <v>48.980000000000004</v>
      </c>
    </row>
    <row r="2106" spans="1:19" x14ac:dyDescent="0.3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str">
        <f>IFERROR(VLOOKUP('Customer Info'!A2098,'Customer Info'!A2098:C2597,2,FALSE),"Not Found")</f>
        <v>Not Found</v>
      </c>
      <c r="H2106" s="6" t="str">
        <f>IFERROR(VLOOKUP('Customer Info'!A2098,'Customer Info'!A2098:C2597,3,FALSE),"Not Found")</f>
        <v>Not Found</v>
      </c>
      <c r="I2106" s="6" t="str">
        <f>IFERROR(VLOOKUP('Customer Info'!A2098,'Customer Info'!A2098:E2597,5,FALSE),"Not Found")</f>
        <v>Not Found</v>
      </c>
      <c r="J2106" s="2">
        <v>1169</v>
      </c>
      <c r="K2106" s="2">
        <v>1103</v>
      </c>
      <c r="L2106" s="2">
        <v>6</v>
      </c>
      <c r="M2106" s="7">
        <f t="shared" si="160"/>
        <v>6618</v>
      </c>
      <c r="N2106" s="7">
        <f t="shared" si="161"/>
        <v>7014</v>
      </c>
      <c r="O2106" s="2">
        <v>87</v>
      </c>
      <c r="P2106" s="8">
        <f t="shared" si="162"/>
        <v>7101</v>
      </c>
      <c r="Q2106" s="8">
        <f t="shared" si="163"/>
        <v>5911</v>
      </c>
      <c r="R2106" s="2" t="s">
        <v>28</v>
      </c>
      <c r="S2106" s="9">
        <f t="shared" si="164"/>
        <v>355.05</v>
      </c>
    </row>
    <row r="2107" spans="1:19" x14ac:dyDescent="0.3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str">
        <f>IFERROR(VLOOKUP('Customer Info'!A2099,'Customer Info'!A2099:C2598,2,FALSE),"Not Found")</f>
        <v>Not Found</v>
      </c>
      <c r="H2107" s="6" t="str">
        <f>IFERROR(VLOOKUP('Customer Info'!A2099,'Customer Info'!A2099:C2598,3,FALSE),"Not Found")</f>
        <v>Not Found</v>
      </c>
      <c r="I2107" s="6" t="str">
        <f>IFERROR(VLOOKUP('Customer Info'!A2099,'Customer Info'!A2099:E2598,5,FALSE),"Not Found")</f>
        <v>Not Found</v>
      </c>
      <c r="J2107" s="2">
        <v>1358</v>
      </c>
      <c r="K2107" s="2">
        <v>1294</v>
      </c>
      <c r="L2107" s="2">
        <v>6</v>
      </c>
      <c r="M2107" s="7">
        <f t="shared" si="160"/>
        <v>7764</v>
      </c>
      <c r="N2107" s="7">
        <f t="shared" si="161"/>
        <v>8148</v>
      </c>
      <c r="O2107" s="2">
        <v>50</v>
      </c>
      <c r="P2107" s="8">
        <f t="shared" si="162"/>
        <v>8198</v>
      </c>
      <c r="Q2107" s="8">
        <f t="shared" si="163"/>
        <v>6854</v>
      </c>
      <c r="R2107" s="2" t="s">
        <v>28</v>
      </c>
      <c r="S2107" s="9">
        <f t="shared" si="164"/>
        <v>409.90000000000003</v>
      </c>
    </row>
    <row r="2108" spans="1:19" x14ac:dyDescent="0.3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str">
        <f>IFERROR(VLOOKUP('Customer Info'!A2100,'Customer Info'!A2100:C2599,2,FALSE),"Not Found")</f>
        <v>Not Found</v>
      </c>
      <c r="H2108" s="6" t="str">
        <f>IFERROR(VLOOKUP('Customer Info'!A2100,'Customer Info'!A2100:C2599,3,FALSE),"Not Found")</f>
        <v>Not Found</v>
      </c>
      <c r="I2108" s="6" t="str">
        <f>IFERROR(VLOOKUP('Customer Info'!A2100,'Customer Info'!A2100:E2599,5,FALSE),"Not Found")</f>
        <v>Not Found</v>
      </c>
      <c r="J2108" s="2">
        <v>141</v>
      </c>
      <c r="K2108" s="2">
        <v>131</v>
      </c>
      <c r="L2108" s="2">
        <v>12</v>
      </c>
      <c r="M2108" s="7">
        <f t="shared" si="160"/>
        <v>1572</v>
      </c>
      <c r="N2108" s="7">
        <f t="shared" si="161"/>
        <v>1692</v>
      </c>
      <c r="O2108" s="2">
        <v>30</v>
      </c>
      <c r="P2108" s="8">
        <f t="shared" si="162"/>
        <v>1722</v>
      </c>
      <c r="Q2108" s="8">
        <f t="shared" si="163"/>
        <v>1561</v>
      </c>
      <c r="R2108" s="2" t="s">
        <v>28</v>
      </c>
      <c r="S2108" s="9">
        <f t="shared" si="164"/>
        <v>34.44</v>
      </c>
    </row>
    <row r="2109" spans="1:19" x14ac:dyDescent="0.3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str">
        <f>IFERROR(VLOOKUP('Customer Info'!A2101,'Customer Info'!A2101:C2600,2,FALSE),"Not Found")</f>
        <v>Not Found</v>
      </c>
      <c r="H2109" s="6" t="str">
        <f>IFERROR(VLOOKUP('Customer Info'!A2101,'Customer Info'!A2101:C2600,3,FALSE),"Not Found")</f>
        <v>Not Found</v>
      </c>
      <c r="I2109" s="6" t="str">
        <f>IFERROR(VLOOKUP('Customer Info'!A2101,'Customer Info'!A2101:E2600,5,FALSE),"Not Found")</f>
        <v>Not Found</v>
      </c>
      <c r="J2109" s="2">
        <v>61</v>
      </c>
      <c r="K2109" s="2">
        <v>57</v>
      </c>
      <c r="L2109" s="2">
        <v>3</v>
      </c>
      <c r="M2109" s="7">
        <f t="shared" si="160"/>
        <v>171</v>
      </c>
      <c r="N2109" s="7">
        <f t="shared" si="161"/>
        <v>183</v>
      </c>
      <c r="O2109" s="2">
        <v>10</v>
      </c>
      <c r="P2109" s="8">
        <f t="shared" si="162"/>
        <v>193</v>
      </c>
      <c r="Q2109" s="8">
        <f t="shared" si="163"/>
        <v>126</v>
      </c>
      <c r="R2109" s="2" t="s">
        <v>50</v>
      </c>
      <c r="S2109" s="9">
        <f t="shared" si="164"/>
        <v>3.86</v>
      </c>
    </row>
    <row r="2110" spans="1:19" x14ac:dyDescent="0.3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str">
        <f>IFERROR(VLOOKUP('Customer Info'!A2102,'Customer Info'!A2102:C2601,2,FALSE),"Not Found")</f>
        <v>Not Found</v>
      </c>
      <c r="H2110" s="6" t="str">
        <f>IFERROR(VLOOKUP('Customer Info'!A2102,'Customer Info'!A2102:C2601,3,FALSE),"Not Found")</f>
        <v>Not Found</v>
      </c>
      <c r="I2110" s="6" t="str">
        <f>IFERROR(VLOOKUP('Customer Info'!A2102,'Customer Info'!A2102:E2601,5,FALSE),"Not Found")</f>
        <v>Not Found</v>
      </c>
      <c r="J2110" s="2">
        <v>4577</v>
      </c>
      <c r="K2110" s="2">
        <v>4285</v>
      </c>
      <c r="L2110" s="2">
        <v>3</v>
      </c>
      <c r="M2110" s="7">
        <f t="shared" si="160"/>
        <v>12855</v>
      </c>
      <c r="N2110" s="7">
        <f t="shared" si="161"/>
        <v>13731</v>
      </c>
      <c r="O2110" s="2">
        <v>85</v>
      </c>
      <c r="P2110" s="8">
        <f t="shared" si="162"/>
        <v>13816</v>
      </c>
      <c r="Q2110" s="8">
        <f t="shared" si="163"/>
        <v>9446</v>
      </c>
      <c r="R2110" s="2" t="s">
        <v>50</v>
      </c>
      <c r="S2110" s="9">
        <f t="shared" si="164"/>
        <v>690.80000000000007</v>
      </c>
    </row>
    <row r="2111" spans="1:19" x14ac:dyDescent="0.3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str">
        <f>IFERROR(VLOOKUP('Customer Info'!A2103,'Customer Info'!A2103:C2602,2,FALSE),"Not Found")</f>
        <v>Not Found</v>
      </c>
      <c r="H2111" s="6" t="str">
        <f>IFERROR(VLOOKUP('Customer Info'!A2103,'Customer Info'!A2103:C2602,3,FALSE),"Not Found")</f>
        <v>Not Found</v>
      </c>
      <c r="I2111" s="6" t="str">
        <f>IFERROR(VLOOKUP('Customer Info'!A2103,'Customer Info'!A2103:E2602,5,FALSE),"Not Found")</f>
        <v>Not Found</v>
      </c>
      <c r="J2111" s="2">
        <v>141</v>
      </c>
      <c r="K2111" s="2">
        <v>131</v>
      </c>
      <c r="L2111" s="2">
        <v>7</v>
      </c>
      <c r="M2111" s="7">
        <f t="shared" si="160"/>
        <v>917</v>
      </c>
      <c r="N2111" s="7">
        <f t="shared" si="161"/>
        <v>987</v>
      </c>
      <c r="O2111" s="2">
        <v>30</v>
      </c>
      <c r="P2111" s="8">
        <f t="shared" si="162"/>
        <v>1017</v>
      </c>
      <c r="Q2111" s="8">
        <f t="shared" si="163"/>
        <v>856</v>
      </c>
      <c r="R2111" s="2" t="s">
        <v>50</v>
      </c>
      <c r="S2111" s="9">
        <f t="shared" si="164"/>
        <v>20.34</v>
      </c>
    </row>
    <row r="2112" spans="1:19" x14ac:dyDescent="0.3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str">
        <f>IFERROR(VLOOKUP('Customer Info'!A2104,'Customer Info'!A2104:C2603,2,FALSE),"Not Found")</f>
        <v>Not Found</v>
      </c>
      <c r="H2112" s="6" t="str">
        <f>IFERROR(VLOOKUP('Customer Info'!A2104,'Customer Info'!A2104:C2603,3,FALSE),"Not Found")</f>
        <v>Not Found</v>
      </c>
      <c r="I2112" s="6" t="str">
        <f>IFERROR(VLOOKUP('Customer Info'!A2104,'Customer Info'!A2104:E2603,5,FALSE),"Not Found")</f>
        <v>Not Found</v>
      </c>
      <c r="J2112" s="2">
        <v>1186</v>
      </c>
      <c r="K2112" s="2">
        <v>1141</v>
      </c>
      <c r="L2112" s="2">
        <v>3</v>
      </c>
      <c r="M2112" s="7">
        <f t="shared" si="160"/>
        <v>3423</v>
      </c>
      <c r="N2112" s="7">
        <f t="shared" si="161"/>
        <v>3558</v>
      </c>
      <c r="O2112" s="2">
        <v>88</v>
      </c>
      <c r="P2112" s="8">
        <f t="shared" si="162"/>
        <v>3646</v>
      </c>
      <c r="Q2112" s="8">
        <f t="shared" si="163"/>
        <v>2417</v>
      </c>
      <c r="R2112" s="2" t="s">
        <v>28</v>
      </c>
      <c r="S2112" s="9">
        <f t="shared" si="164"/>
        <v>72.92</v>
      </c>
    </row>
    <row r="2113" spans="1:19" x14ac:dyDescent="0.3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str">
        <f>IFERROR(VLOOKUP('Customer Info'!A2105,'Customer Info'!A2105:C2604,2,FALSE),"Not Found")</f>
        <v>Not Found</v>
      </c>
      <c r="H2113" s="6" t="str">
        <f>IFERROR(VLOOKUP('Customer Info'!A2105,'Customer Info'!A2105:C2604,3,FALSE),"Not Found")</f>
        <v>Not Found</v>
      </c>
      <c r="I2113" s="6" t="str">
        <f>IFERROR(VLOOKUP('Customer Info'!A2105,'Customer Info'!A2105:E2604,5,FALSE),"Not Found")</f>
        <v>Not Found</v>
      </c>
      <c r="J2113" s="2">
        <v>194</v>
      </c>
      <c r="K2113" s="2">
        <v>176</v>
      </c>
      <c r="L2113" s="2">
        <v>3</v>
      </c>
      <c r="M2113" s="7">
        <f t="shared" si="160"/>
        <v>528</v>
      </c>
      <c r="N2113" s="7">
        <f t="shared" si="161"/>
        <v>582</v>
      </c>
      <c r="O2113" s="2">
        <v>30</v>
      </c>
      <c r="P2113" s="8">
        <f t="shared" si="162"/>
        <v>612</v>
      </c>
      <c r="Q2113" s="8">
        <f t="shared" si="163"/>
        <v>406</v>
      </c>
      <c r="R2113" s="2" t="s">
        <v>26</v>
      </c>
      <c r="S2113" s="9">
        <f t="shared" si="164"/>
        <v>12.24</v>
      </c>
    </row>
    <row r="2114" spans="1:19" x14ac:dyDescent="0.3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str">
        <f>IFERROR(VLOOKUP('Customer Info'!A2106,'Customer Info'!A2106:C2605,2,FALSE),"Not Found")</f>
        <v>Not Found</v>
      </c>
      <c r="H2114" s="6" t="str">
        <f>IFERROR(VLOOKUP('Customer Info'!A2106,'Customer Info'!A2106:C2605,3,FALSE),"Not Found")</f>
        <v>Not Found</v>
      </c>
      <c r="I2114" s="6" t="str">
        <f>IFERROR(VLOOKUP('Customer Info'!A2106,'Customer Info'!A2106:E2605,5,FALSE),"Not Found")</f>
        <v>Not Found</v>
      </c>
      <c r="J2114" s="2">
        <v>224</v>
      </c>
      <c r="K2114" s="2">
        <v>210</v>
      </c>
      <c r="L2114" s="2">
        <v>1</v>
      </c>
      <c r="M2114" s="7">
        <f t="shared" si="160"/>
        <v>210</v>
      </c>
      <c r="N2114" s="7">
        <f t="shared" si="161"/>
        <v>224</v>
      </c>
      <c r="O2114" s="2">
        <v>64</v>
      </c>
      <c r="P2114" s="8">
        <f t="shared" si="162"/>
        <v>288</v>
      </c>
      <c r="Q2114" s="8">
        <f t="shared" si="163"/>
        <v>14</v>
      </c>
      <c r="R2114" s="2" t="s">
        <v>26</v>
      </c>
      <c r="S2114" s="9">
        <f t="shared" si="164"/>
        <v>5.76</v>
      </c>
    </row>
    <row r="2115" spans="1:19" x14ac:dyDescent="0.3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str">
        <f>IFERROR(VLOOKUP('Customer Info'!A2107,'Customer Info'!A2107:C2606,2,FALSE),"Not Found")</f>
        <v>Not Found</v>
      </c>
      <c r="H2115" s="6" t="str">
        <f>IFERROR(VLOOKUP('Customer Info'!A2107,'Customer Info'!A2107:C2606,3,FALSE),"Not Found")</f>
        <v>Not Found</v>
      </c>
      <c r="I2115" s="6" t="str">
        <f>IFERROR(VLOOKUP('Customer Info'!A2107,'Customer Info'!A2107:E2606,5,FALSE),"Not Found")</f>
        <v>Not Found</v>
      </c>
      <c r="J2115" s="2">
        <v>8281</v>
      </c>
      <c r="K2115" s="2">
        <v>7673</v>
      </c>
      <c r="L2115" s="2">
        <v>6</v>
      </c>
      <c r="M2115" s="7">
        <f t="shared" si="160"/>
        <v>46038</v>
      </c>
      <c r="N2115" s="7">
        <f t="shared" si="161"/>
        <v>49686</v>
      </c>
      <c r="O2115" s="2">
        <v>60</v>
      </c>
      <c r="P2115" s="8">
        <f t="shared" si="162"/>
        <v>49746</v>
      </c>
      <c r="Q2115" s="8">
        <f t="shared" si="163"/>
        <v>42013</v>
      </c>
      <c r="R2115" s="2" t="s">
        <v>28</v>
      </c>
      <c r="S2115" s="9">
        <f t="shared" si="164"/>
        <v>3482.2200000000003</v>
      </c>
    </row>
    <row r="2116" spans="1:19" x14ac:dyDescent="0.3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str">
        <f>IFERROR(VLOOKUP('Customer Info'!A2108,'Customer Info'!A2108:C2607,2,FALSE),"Not Found")</f>
        <v>Not Found</v>
      </c>
      <c r="H2116" s="6" t="str">
        <f>IFERROR(VLOOKUP('Customer Info'!A2108,'Customer Info'!A2108:C2607,3,FALSE),"Not Found")</f>
        <v>Not Found</v>
      </c>
      <c r="I2116" s="6" t="str">
        <f>IFERROR(VLOOKUP('Customer Info'!A2108,'Customer Info'!A2108:E2607,5,FALSE),"Not Found")</f>
        <v>Not Found</v>
      </c>
      <c r="J2116" s="2">
        <v>7960</v>
      </c>
      <c r="K2116" s="2">
        <v>7375</v>
      </c>
      <c r="L2116" s="2">
        <v>2</v>
      </c>
      <c r="M2116" s="7">
        <f t="shared" si="160"/>
        <v>14750</v>
      </c>
      <c r="N2116" s="7">
        <f t="shared" si="161"/>
        <v>15920</v>
      </c>
      <c r="O2116" s="2">
        <v>90</v>
      </c>
      <c r="P2116" s="8">
        <f t="shared" si="162"/>
        <v>16010</v>
      </c>
      <c r="Q2116" s="8">
        <f t="shared" si="163"/>
        <v>8545</v>
      </c>
      <c r="R2116" s="2" t="s">
        <v>28</v>
      </c>
      <c r="S2116" s="9">
        <f t="shared" si="164"/>
        <v>800.5</v>
      </c>
    </row>
    <row r="2117" spans="1:19" x14ac:dyDescent="0.3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str">
        <f>IFERROR(VLOOKUP('Customer Info'!A2109,'Customer Info'!A2109:C2608,2,FALSE),"Not Found")</f>
        <v>Not Found</v>
      </c>
      <c r="H2117" s="6" t="str">
        <f>IFERROR(VLOOKUP('Customer Info'!A2109,'Customer Info'!A2109:C2608,3,FALSE),"Not Found")</f>
        <v>Not Found</v>
      </c>
      <c r="I2117" s="6" t="str">
        <f>IFERROR(VLOOKUP('Customer Info'!A2109,'Customer Info'!A2109:E2608,5,FALSE),"Not Found")</f>
        <v>Not Found</v>
      </c>
      <c r="J2117" s="2">
        <v>8651</v>
      </c>
      <c r="K2117" s="2">
        <v>8081</v>
      </c>
      <c r="L2117" s="2">
        <v>2</v>
      </c>
      <c r="M2117" s="7">
        <f t="shared" si="160"/>
        <v>16162</v>
      </c>
      <c r="N2117" s="7">
        <f t="shared" si="161"/>
        <v>17302</v>
      </c>
      <c r="O2117" s="2">
        <v>49</v>
      </c>
      <c r="P2117" s="8">
        <f t="shared" si="162"/>
        <v>17351</v>
      </c>
      <c r="Q2117" s="8">
        <f t="shared" si="163"/>
        <v>9221</v>
      </c>
      <c r="R2117" s="2" t="s">
        <v>28</v>
      </c>
      <c r="S2117" s="9">
        <f t="shared" si="164"/>
        <v>867.55000000000007</v>
      </c>
    </row>
    <row r="2118" spans="1:19" x14ac:dyDescent="0.3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str">
        <f>IFERROR(VLOOKUP('Customer Info'!A2110,'Customer Info'!A2110:C2609,2,FALSE),"Not Found")</f>
        <v>Not Found</v>
      </c>
      <c r="H2118" s="6" t="str">
        <f>IFERROR(VLOOKUP('Customer Info'!A2110,'Customer Info'!A2110:C2609,3,FALSE),"Not Found")</f>
        <v>Not Found</v>
      </c>
      <c r="I2118" s="6" t="str">
        <f>IFERROR(VLOOKUP('Customer Info'!A2110,'Customer Info'!A2110:E2609,5,FALSE),"Not Found")</f>
        <v>Not Found</v>
      </c>
      <c r="J2118" s="2">
        <v>6087</v>
      </c>
      <c r="K2118" s="2">
        <v>5808</v>
      </c>
      <c r="L2118" s="2">
        <v>2</v>
      </c>
      <c r="M2118" s="7">
        <f t="shared" si="160"/>
        <v>11616</v>
      </c>
      <c r="N2118" s="7">
        <f t="shared" si="161"/>
        <v>12174</v>
      </c>
      <c r="O2118" s="2">
        <v>90</v>
      </c>
      <c r="P2118" s="8">
        <f t="shared" si="162"/>
        <v>12264</v>
      </c>
      <c r="Q2118" s="8">
        <f t="shared" si="163"/>
        <v>6366</v>
      </c>
      <c r="R2118" s="2" t="s">
        <v>28</v>
      </c>
      <c r="S2118" s="9">
        <f t="shared" si="164"/>
        <v>613.20000000000005</v>
      </c>
    </row>
    <row r="2119" spans="1:19" x14ac:dyDescent="0.3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str">
        <f>IFERROR(VLOOKUP('Customer Info'!A2111,'Customer Info'!A2111:C2610,2,FALSE),"Not Found")</f>
        <v>Not Found</v>
      </c>
      <c r="H2119" s="6" t="str">
        <f>IFERROR(VLOOKUP('Customer Info'!A2111,'Customer Info'!A2111:C2610,3,FALSE),"Not Found")</f>
        <v>Not Found</v>
      </c>
      <c r="I2119" s="6" t="str">
        <f>IFERROR(VLOOKUP('Customer Info'!A2111,'Customer Info'!A2111:E2610,5,FALSE),"Not Found")</f>
        <v>Not Found</v>
      </c>
      <c r="J2119" s="2">
        <v>5882</v>
      </c>
      <c r="K2119" s="2">
        <v>5713</v>
      </c>
      <c r="L2119" s="2">
        <v>3</v>
      </c>
      <c r="M2119" s="7">
        <f t="shared" si="160"/>
        <v>17139</v>
      </c>
      <c r="N2119" s="7">
        <f t="shared" si="161"/>
        <v>17646</v>
      </c>
      <c r="O2119" s="2">
        <v>100</v>
      </c>
      <c r="P2119" s="8">
        <f t="shared" si="162"/>
        <v>17746</v>
      </c>
      <c r="Q2119" s="8">
        <f t="shared" si="163"/>
        <v>11933</v>
      </c>
      <c r="R2119" s="2" t="s">
        <v>26</v>
      </c>
      <c r="S2119" s="9">
        <f t="shared" si="164"/>
        <v>887.30000000000007</v>
      </c>
    </row>
    <row r="2120" spans="1:19" x14ac:dyDescent="0.3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str">
        <f>IFERROR(VLOOKUP('Customer Info'!A2112,'Customer Info'!A2112:C2611,2,FALSE),"Not Found")</f>
        <v>Not Found</v>
      </c>
      <c r="H2120" s="6" t="str">
        <f>IFERROR(VLOOKUP('Customer Info'!A2112,'Customer Info'!A2112:C2611,3,FALSE),"Not Found")</f>
        <v>Not Found</v>
      </c>
      <c r="I2120" s="6" t="str">
        <f>IFERROR(VLOOKUP('Customer Info'!A2112,'Customer Info'!A2112:E2611,5,FALSE),"Not Found")</f>
        <v>Not Found</v>
      </c>
      <c r="J2120" s="2">
        <v>129</v>
      </c>
      <c r="K2120" s="2">
        <v>118</v>
      </c>
      <c r="L2120" s="2">
        <v>1</v>
      </c>
      <c r="M2120" s="7">
        <f t="shared" si="160"/>
        <v>118</v>
      </c>
      <c r="N2120" s="7">
        <f t="shared" si="161"/>
        <v>129</v>
      </c>
      <c r="O2120" s="2">
        <v>30</v>
      </c>
      <c r="P2120" s="8">
        <f t="shared" si="162"/>
        <v>159</v>
      </c>
      <c r="Q2120" s="8">
        <f t="shared" si="163"/>
        <v>11</v>
      </c>
      <c r="R2120" s="2" t="s">
        <v>28</v>
      </c>
      <c r="S2120" s="9">
        <f t="shared" si="164"/>
        <v>3.18</v>
      </c>
    </row>
    <row r="2121" spans="1:19" x14ac:dyDescent="0.3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str">
        <f>IFERROR(VLOOKUP('Customer Info'!A2113,'Customer Info'!A2113:C2612,2,FALSE),"Not Found")</f>
        <v>Not Found</v>
      </c>
      <c r="H2121" s="6" t="str">
        <f>IFERROR(VLOOKUP('Customer Info'!A2113,'Customer Info'!A2113:C2612,3,FALSE),"Not Found")</f>
        <v>Not Found</v>
      </c>
      <c r="I2121" s="6" t="str">
        <f>IFERROR(VLOOKUP('Customer Info'!A2113,'Customer Info'!A2113:E2612,5,FALSE),"Not Found")</f>
        <v>Not Found</v>
      </c>
      <c r="J2121" s="2">
        <v>1651</v>
      </c>
      <c r="K2121" s="2">
        <v>1604</v>
      </c>
      <c r="L2121" s="2">
        <v>1</v>
      </c>
      <c r="M2121" s="7">
        <f t="shared" si="160"/>
        <v>1604</v>
      </c>
      <c r="N2121" s="7">
        <f t="shared" si="161"/>
        <v>1651</v>
      </c>
      <c r="O2121" s="2">
        <v>55</v>
      </c>
      <c r="P2121" s="8">
        <f t="shared" si="162"/>
        <v>1706</v>
      </c>
      <c r="Q2121" s="8">
        <f t="shared" si="163"/>
        <v>47</v>
      </c>
      <c r="R2121" s="2" t="s">
        <v>56</v>
      </c>
      <c r="S2121" s="9">
        <f t="shared" si="164"/>
        <v>34.119999999999997</v>
      </c>
    </row>
    <row r="2122" spans="1:19" x14ac:dyDescent="0.3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str">
        <f>IFERROR(VLOOKUP('Customer Info'!A2114,'Customer Info'!A2114:C2613,2,FALSE),"Not Found")</f>
        <v>Not Found</v>
      </c>
      <c r="H2122" s="6" t="str">
        <f>IFERROR(VLOOKUP('Customer Info'!A2114,'Customer Info'!A2114:C2613,3,FALSE),"Not Found")</f>
        <v>Not Found</v>
      </c>
      <c r="I2122" s="6" t="str">
        <f>IFERROR(VLOOKUP('Customer Info'!A2114,'Customer Info'!A2114:E2613,5,FALSE),"Not Found")</f>
        <v>Not Found</v>
      </c>
      <c r="J2122" s="2">
        <v>167</v>
      </c>
      <c r="K2122" s="2">
        <v>155</v>
      </c>
      <c r="L2122" s="2">
        <v>4</v>
      </c>
      <c r="M2122" s="7">
        <f t="shared" si="160"/>
        <v>620</v>
      </c>
      <c r="N2122" s="7">
        <f t="shared" si="161"/>
        <v>668</v>
      </c>
      <c r="O2122" s="2">
        <v>30</v>
      </c>
      <c r="P2122" s="8">
        <f t="shared" si="162"/>
        <v>698</v>
      </c>
      <c r="Q2122" s="8">
        <f t="shared" si="163"/>
        <v>513</v>
      </c>
      <c r="R2122" s="2" t="s">
        <v>28</v>
      </c>
      <c r="S2122" s="9">
        <f t="shared" si="164"/>
        <v>13.96</v>
      </c>
    </row>
    <row r="2123" spans="1:19" x14ac:dyDescent="0.3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str">
        <f>IFERROR(VLOOKUP('Customer Info'!A2115,'Customer Info'!A2115:C2614,2,FALSE),"Not Found")</f>
        <v>Not Found</v>
      </c>
      <c r="H2123" s="6" t="str">
        <f>IFERROR(VLOOKUP('Customer Info'!A2115,'Customer Info'!A2115:C2614,3,FALSE),"Not Found")</f>
        <v>Not Found</v>
      </c>
      <c r="I2123" s="6" t="str">
        <f>IFERROR(VLOOKUP('Customer Info'!A2115,'Customer Info'!A2115:E2614,5,FALSE),"Not Found")</f>
        <v>Not Found</v>
      </c>
      <c r="J2123" s="2">
        <v>1845</v>
      </c>
      <c r="K2123" s="2">
        <v>1742</v>
      </c>
      <c r="L2123" s="2">
        <v>3</v>
      </c>
      <c r="M2123" s="7">
        <f t="shared" ref="M2123:M2186" si="165">$K2123*$L2123</f>
        <v>5226</v>
      </c>
      <c r="N2123" s="7">
        <f t="shared" ref="N2123:N2186" si="166">$J2123*$L2123</f>
        <v>5535</v>
      </c>
      <c r="O2123" s="2">
        <v>74</v>
      </c>
      <c r="P2123" s="8">
        <f t="shared" ref="P2123:P2186" si="167">$N2123+$O2123</f>
        <v>5609</v>
      </c>
      <c r="Q2123" s="8">
        <f t="shared" ref="Q2123:Q2186" si="168">$N2123-$K2123</f>
        <v>3793</v>
      </c>
      <c r="R2123" s="2" t="s">
        <v>28</v>
      </c>
      <c r="S2123" s="9">
        <f t="shared" ref="S2123:S2186" si="169" xml:space="preserve"> P2123 * VLOOKUP(P2123, $T$2:$U$6, 2, TRUE)</f>
        <v>280.45</v>
      </c>
    </row>
    <row r="2124" spans="1:19" x14ac:dyDescent="0.3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str">
        <f>IFERROR(VLOOKUP('Customer Info'!A2116,'Customer Info'!A2116:C2615,2,FALSE),"Not Found")</f>
        <v>Not Found</v>
      </c>
      <c r="H2124" s="6" t="str">
        <f>IFERROR(VLOOKUP('Customer Info'!A2116,'Customer Info'!A2116:C2615,3,FALSE),"Not Found")</f>
        <v>Not Found</v>
      </c>
      <c r="I2124" s="6" t="str">
        <f>IFERROR(VLOOKUP('Customer Info'!A2116,'Customer Info'!A2116:E2615,5,FALSE),"Not Found")</f>
        <v>Not Found</v>
      </c>
      <c r="J2124" s="2">
        <v>97</v>
      </c>
      <c r="K2124" s="2">
        <v>92</v>
      </c>
      <c r="L2124" s="2">
        <v>2</v>
      </c>
      <c r="M2124" s="7">
        <f t="shared" si="165"/>
        <v>184</v>
      </c>
      <c r="N2124" s="7">
        <f t="shared" si="166"/>
        <v>194</v>
      </c>
      <c r="O2124" s="2">
        <v>10</v>
      </c>
      <c r="P2124" s="8">
        <f t="shared" si="167"/>
        <v>204</v>
      </c>
      <c r="Q2124" s="8">
        <f t="shared" si="168"/>
        <v>102</v>
      </c>
      <c r="R2124" s="2" t="s">
        <v>28</v>
      </c>
      <c r="S2124" s="9">
        <f t="shared" si="169"/>
        <v>4.08</v>
      </c>
    </row>
    <row r="2125" spans="1:19" x14ac:dyDescent="0.3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str">
        <f>IFERROR(VLOOKUP('Customer Info'!A2117,'Customer Info'!A2117:C2616,2,FALSE),"Not Found")</f>
        <v>Not Found</v>
      </c>
      <c r="H2125" s="6" t="str">
        <f>IFERROR(VLOOKUP('Customer Info'!A2117,'Customer Info'!A2117:C2616,3,FALSE),"Not Found")</f>
        <v>Not Found</v>
      </c>
      <c r="I2125" s="6" t="str">
        <f>IFERROR(VLOOKUP('Customer Info'!A2117,'Customer Info'!A2117:E2616,5,FALSE),"Not Found")</f>
        <v>Not Found</v>
      </c>
      <c r="J2125" s="2">
        <v>166</v>
      </c>
      <c r="K2125" s="2">
        <v>149</v>
      </c>
      <c r="L2125" s="2">
        <v>3</v>
      </c>
      <c r="M2125" s="7">
        <f t="shared" si="165"/>
        <v>447</v>
      </c>
      <c r="N2125" s="7">
        <f t="shared" si="166"/>
        <v>498</v>
      </c>
      <c r="O2125" s="2">
        <v>30</v>
      </c>
      <c r="P2125" s="8">
        <f t="shared" si="167"/>
        <v>528</v>
      </c>
      <c r="Q2125" s="8">
        <f t="shared" si="168"/>
        <v>349</v>
      </c>
      <c r="R2125" s="2" t="s">
        <v>50</v>
      </c>
      <c r="S2125" s="9">
        <f t="shared" si="169"/>
        <v>10.56</v>
      </c>
    </row>
    <row r="2126" spans="1:19" x14ac:dyDescent="0.3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str">
        <f>IFERROR(VLOOKUP('Customer Info'!A2118,'Customer Info'!A2118:C2617,2,FALSE),"Not Found")</f>
        <v>Not Found</v>
      </c>
      <c r="H2126" s="6" t="str">
        <f>IFERROR(VLOOKUP('Customer Info'!A2118,'Customer Info'!A2118:C2617,3,FALSE),"Not Found")</f>
        <v>Not Found</v>
      </c>
      <c r="I2126" s="6" t="str">
        <f>IFERROR(VLOOKUP('Customer Info'!A2118,'Customer Info'!A2118:E2617,5,FALSE),"Not Found")</f>
        <v>Not Found</v>
      </c>
      <c r="J2126" s="2">
        <v>520</v>
      </c>
      <c r="K2126" s="2">
        <v>477</v>
      </c>
      <c r="L2126" s="2">
        <v>3</v>
      </c>
      <c r="M2126" s="7">
        <f t="shared" si="165"/>
        <v>1431</v>
      </c>
      <c r="N2126" s="7">
        <f t="shared" si="166"/>
        <v>1560</v>
      </c>
      <c r="O2126" s="2">
        <v>56</v>
      </c>
      <c r="P2126" s="8">
        <f t="shared" si="167"/>
        <v>1616</v>
      </c>
      <c r="Q2126" s="8">
        <f t="shared" si="168"/>
        <v>1083</v>
      </c>
      <c r="R2126" s="2" t="s">
        <v>28</v>
      </c>
      <c r="S2126" s="9">
        <f t="shared" si="169"/>
        <v>32.32</v>
      </c>
    </row>
    <row r="2127" spans="1:19" x14ac:dyDescent="0.3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str">
        <f>IFERROR(VLOOKUP('Customer Info'!A2119,'Customer Info'!A2119:C2618,2,FALSE),"Not Found")</f>
        <v>Not Found</v>
      </c>
      <c r="H2127" s="6" t="str">
        <f>IFERROR(VLOOKUP('Customer Info'!A2119,'Customer Info'!A2119:C2618,3,FALSE),"Not Found")</f>
        <v>Not Found</v>
      </c>
      <c r="I2127" s="6" t="str">
        <f>IFERROR(VLOOKUP('Customer Info'!A2119,'Customer Info'!A2119:E2618,5,FALSE),"Not Found")</f>
        <v>Not Found</v>
      </c>
      <c r="J2127" s="2">
        <v>7658</v>
      </c>
      <c r="K2127" s="2">
        <v>7026</v>
      </c>
      <c r="L2127" s="2">
        <v>2</v>
      </c>
      <c r="M2127" s="7">
        <f t="shared" si="165"/>
        <v>14052</v>
      </c>
      <c r="N2127" s="7">
        <f t="shared" si="166"/>
        <v>15316</v>
      </c>
      <c r="O2127" s="2">
        <v>46</v>
      </c>
      <c r="P2127" s="8">
        <f t="shared" si="167"/>
        <v>15362</v>
      </c>
      <c r="Q2127" s="8">
        <f t="shared" si="168"/>
        <v>8290</v>
      </c>
      <c r="R2127" s="2" t="s">
        <v>50</v>
      </c>
      <c r="S2127" s="9">
        <f t="shared" si="169"/>
        <v>768.1</v>
      </c>
    </row>
    <row r="2128" spans="1:19" x14ac:dyDescent="0.3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str">
        <f>IFERROR(VLOOKUP('Customer Info'!A2120,'Customer Info'!A2120:C2619,2,FALSE),"Not Found")</f>
        <v>Not Found</v>
      </c>
      <c r="H2128" s="6" t="str">
        <f>IFERROR(VLOOKUP('Customer Info'!A2120,'Customer Info'!A2120:C2619,3,FALSE),"Not Found")</f>
        <v>Not Found</v>
      </c>
      <c r="I2128" s="6" t="str">
        <f>IFERROR(VLOOKUP('Customer Info'!A2120,'Customer Info'!A2120:E2619,5,FALSE),"Not Found")</f>
        <v>Not Found</v>
      </c>
      <c r="J2128" s="2">
        <v>184</v>
      </c>
      <c r="K2128" s="2">
        <v>176</v>
      </c>
      <c r="L2128" s="2">
        <v>3</v>
      </c>
      <c r="M2128" s="7">
        <f t="shared" si="165"/>
        <v>528</v>
      </c>
      <c r="N2128" s="7">
        <f t="shared" si="166"/>
        <v>552</v>
      </c>
      <c r="O2128" s="2">
        <v>30</v>
      </c>
      <c r="P2128" s="8">
        <f t="shared" si="167"/>
        <v>582</v>
      </c>
      <c r="Q2128" s="8">
        <f t="shared" si="168"/>
        <v>376</v>
      </c>
      <c r="R2128" s="2" t="s">
        <v>28</v>
      </c>
      <c r="S2128" s="9">
        <f t="shared" si="169"/>
        <v>11.64</v>
      </c>
    </row>
    <row r="2129" spans="1:19" x14ac:dyDescent="0.3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str">
        <f>IFERROR(VLOOKUP('Customer Info'!A2121,'Customer Info'!A2121:C2620,2,FALSE),"Not Found")</f>
        <v>Not Found</v>
      </c>
      <c r="H2129" s="6" t="str">
        <f>IFERROR(VLOOKUP('Customer Info'!A2121,'Customer Info'!A2121:C2620,3,FALSE),"Not Found")</f>
        <v>Not Found</v>
      </c>
      <c r="I2129" s="6" t="str">
        <f>IFERROR(VLOOKUP('Customer Info'!A2121,'Customer Info'!A2121:E2620,5,FALSE),"Not Found")</f>
        <v>Not Found</v>
      </c>
      <c r="J2129" s="2">
        <v>7534</v>
      </c>
      <c r="K2129" s="2">
        <v>7106</v>
      </c>
      <c r="L2129" s="2">
        <v>2</v>
      </c>
      <c r="M2129" s="7">
        <f t="shared" si="165"/>
        <v>14212</v>
      </c>
      <c r="N2129" s="7">
        <f t="shared" si="166"/>
        <v>15068</v>
      </c>
      <c r="O2129" s="2">
        <v>47</v>
      </c>
      <c r="P2129" s="8">
        <f t="shared" si="167"/>
        <v>15115</v>
      </c>
      <c r="Q2129" s="8">
        <f t="shared" si="168"/>
        <v>7962</v>
      </c>
      <c r="R2129" s="2" t="s">
        <v>28</v>
      </c>
      <c r="S2129" s="9">
        <f t="shared" si="169"/>
        <v>755.75</v>
      </c>
    </row>
    <row r="2130" spans="1:19" x14ac:dyDescent="0.3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str">
        <f>IFERROR(VLOOKUP('Customer Info'!A2122,'Customer Info'!A2122:C2621,2,FALSE),"Not Found")</f>
        <v>Not Found</v>
      </c>
      <c r="H2130" s="6" t="str">
        <f>IFERROR(VLOOKUP('Customer Info'!A2122,'Customer Info'!A2122:C2621,3,FALSE),"Not Found")</f>
        <v>Not Found</v>
      </c>
      <c r="I2130" s="6" t="str">
        <f>IFERROR(VLOOKUP('Customer Info'!A2122,'Customer Info'!A2122:E2621,5,FALSE),"Not Found")</f>
        <v>Not Found</v>
      </c>
      <c r="J2130" s="2">
        <v>8781</v>
      </c>
      <c r="K2130" s="2">
        <v>7828</v>
      </c>
      <c r="L2130" s="2">
        <v>2</v>
      </c>
      <c r="M2130" s="7">
        <f t="shared" si="165"/>
        <v>15656</v>
      </c>
      <c r="N2130" s="7">
        <f t="shared" si="166"/>
        <v>17562</v>
      </c>
      <c r="O2130" s="2">
        <v>88</v>
      </c>
      <c r="P2130" s="8">
        <f t="shared" si="167"/>
        <v>17650</v>
      </c>
      <c r="Q2130" s="8">
        <f t="shared" si="168"/>
        <v>9734</v>
      </c>
      <c r="R2130" s="2" t="s">
        <v>28</v>
      </c>
      <c r="S2130" s="9">
        <f t="shared" si="169"/>
        <v>882.5</v>
      </c>
    </row>
    <row r="2131" spans="1:19" x14ac:dyDescent="0.3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str">
        <f>IFERROR(VLOOKUP('Customer Info'!A2123,'Customer Info'!A2123:C2622,2,FALSE),"Not Found")</f>
        <v>Not Found</v>
      </c>
      <c r="H2131" s="6" t="str">
        <f>IFERROR(VLOOKUP('Customer Info'!A2123,'Customer Info'!A2123:C2622,3,FALSE),"Not Found")</f>
        <v>Not Found</v>
      </c>
      <c r="I2131" s="6" t="str">
        <f>IFERROR(VLOOKUP('Customer Info'!A2123,'Customer Info'!A2123:E2622,5,FALSE),"Not Found")</f>
        <v>Not Found</v>
      </c>
      <c r="J2131" s="2">
        <v>6274</v>
      </c>
      <c r="K2131" s="2">
        <v>6093</v>
      </c>
      <c r="L2131" s="2">
        <v>4</v>
      </c>
      <c r="M2131" s="7">
        <f t="shared" si="165"/>
        <v>24372</v>
      </c>
      <c r="N2131" s="7">
        <f t="shared" si="166"/>
        <v>25096</v>
      </c>
      <c r="O2131" s="2">
        <v>44</v>
      </c>
      <c r="P2131" s="8">
        <f t="shared" si="167"/>
        <v>25140</v>
      </c>
      <c r="Q2131" s="8">
        <f t="shared" si="168"/>
        <v>19003</v>
      </c>
      <c r="R2131" s="2" t="s">
        <v>50</v>
      </c>
      <c r="S2131" s="9">
        <f t="shared" si="169"/>
        <v>1759.8000000000002</v>
      </c>
    </row>
    <row r="2132" spans="1:19" x14ac:dyDescent="0.3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str">
        <f>IFERROR(VLOOKUP('Customer Info'!A2124,'Customer Info'!A2124:C2623,2,FALSE),"Not Found")</f>
        <v>Not Found</v>
      </c>
      <c r="H2132" s="6" t="str">
        <f>IFERROR(VLOOKUP('Customer Info'!A2124,'Customer Info'!A2124:C2623,3,FALSE),"Not Found")</f>
        <v>Not Found</v>
      </c>
      <c r="I2132" s="6" t="str">
        <f>IFERROR(VLOOKUP('Customer Info'!A2124,'Customer Info'!A2124:E2623,5,FALSE),"Not Found")</f>
        <v>Not Found</v>
      </c>
      <c r="J2132" s="2">
        <v>2697</v>
      </c>
      <c r="K2132" s="2">
        <v>2498</v>
      </c>
      <c r="L2132" s="2">
        <v>2</v>
      </c>
      <c r="M2132" s="7">
        <f t="shared" si="165"/>
        <v>4996</v>
      </c>
      <c r="N2132" s="7">
        <f t="shared" si="166"/>
        <v>5394</v>
      </c>
      <c r="O2132" s="2">
        <v>67</v>
      </c>
      <c r="P2132" s="8">
        <f t="shared" si="167"/>
        <v>5461</v>
      </c>
      <c r="Q2132" s="8">
        <f t="shared" si="168"/>
        <v>2896</v>
      </c>
      <c r="R2132" s="2" t="s">
        <v>28</v>
      </c>
      <c r="S2132" s="9">
        <f t="shared" si="169"/>
        <v>273.05</v>
      </c>
    </row>
    <row r="2133" spans="1:19" x14ac:dyDescent="0.3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str">
        <f>IFERROR(VLOOKUP('Customer Info'!A2125,'Customer Info'!A2125:C2624,2,FALSE),"Not Found")</f>
        <v>Not Found</v>
      </c>
      <c r="H2133" s="6" t="str">
        <f>IFERROR(VLOOKUP('Customer Info'!A2125,'Customer Info'!A2125:C2624,3,FALSE),"Not Found")</f>
        <v>Not Found</v>
      </c>
      <c r="I2133" s="6" t="str">
        <f>IFERROR(VLOOKUP('Customer Info'!A2125,'Customer Info'!A2125:E2624,5,FALSE),"Not Found")</f>
        <v>Not Found</v>
      </c>
      <c r="J2133" s="2">
        <v>63</v>
      </c>
      <c r="K2133" s="2">
        <v>58</v>
      </c>
      <c r="L2133" s="2">
        <v>3</v>
      </c>
      <c r="M2133" s="7">
        <f t="shared" si="165"/>
        <v>174</v>
      </c>
      <c r="N2133" s="7">
        <f t="shared" si="166"/>
        <v>189</v>
      </c>
      <c r="O2133" s="2">
        <v>10</v>
      </c>
      <c r="P2133" s="8">
        <f t="shared" si="167"/>
        <v>199</v>
      </c>
      <c r="Q2133" s="8">
        <f t="shared" si="168"/>
        <v>131</v>
      </c>
      <c r="R2133" s="2" t="s">
        <v>28</v>
      </c>
      <c r="S2133" s="9">
        <f t="shared" si="169"/>
        <v>3.98</v>
      </c>
    </row>
    <row r="2134" spans="1:19" x14ac:dyDescent="0.3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str">
        <f>IFERROR(VLOOKUP('Customer Info'!A2126,'Customer Info'!A2126:C2625,2,FALSE),"Not Found")</f>
        <v>Not Found</v>
      </c>
      <c r="H2134" s="6" t="str">
        <f>IFERROR(VLOOKUP('Customer Info'!A2126,'Customer Info'!A2126:C2625,3,FALSE),"Not Found")</f>
        <v>Not Found</v>
      </c>
      <c r="I2134" s="6" t="str">
        <f>IFERROR(VLOOKUP('Customer Info'!A2126,'Customer Info'!A2126:E2625,5,FALSE),"Not Found")</f>
        <v>Not Found</v>
      </c>
      <c r="J2134" s="2">
        <v>1569</v>
      </c>
      <c r="K2134" s="2">
        <v>1466</v>
      </c>
      <c r="L2134" s="2">
        <v>3</v>
      </c>
      <c r="M2134" s="7">
        <f t="shared" si="165"/>
        <v>4398</v>
      </c>
      <c r="N2134" s="7">
        <f t="shared" si="166"/>
        <v>4707</v>
      </c>
      <c r="O2134" s="2">
        <v>28</v>
      </c>
      <c r="P2134" s="8">
        <f t="shared" si="167"/>
        <v>4735</v>
      </c>
      <c r="Q2134" s="8">
        <f t="shared" si="168"/>
        <v>3241</v>
      </c>
      <c r="R2134" s="2" t="s">
        <v>28</v>
      </c>
      <c r="S2134" s="9">
        <f t="shared" si="169"/>
        <v>94.7</v>
      </c>
    </row>
    <row r="2135" spans="1:19" x14ac:dyDescent="0.3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str">
        <f>IFERROR(VLOOKUP('Customer Info'!A2127,'Customer Info'!A2127:C2626,2,FALSE),"Not Found")</f>
        <v>Not Found</v>
      </c>
      <c r="H2135" s="6" t="str">
        <f>IFERROR(VLOOKUP('Customer Info'!A2127,'Customer Info'!A2127:C2626,3,FALSE),"Not Found")</f>
        <v>Not Found</v>
      </c>
      <c r="I2135" s="6" t="str">
        <f>IFERROR(VLOOKUP('Customer Info'!A2127,'Customer Info'!A2127:E2626,5,FALSE),"Not Found")</f>
        <v>Not Found</v>
      </c>
      <c r="J2135" s="2">
        <v>28522</v>
      </c>
      <c r="K2135" s="2">
        <v>26384</v>
      </c>
      <c r="L2135" s="2">
        <v>1</v>
      </c>
      <c r="M2135" s="7">
        <f t="shared" si="165"/>
        <v>26384</v>
      </c>
      <c r="N2135" s="7">
        <f t="shared" si="166"/>
        <v>28522</v>
      </c>
      <c r="O2135" s="2">
        <v>88</v>
      </c>
      <c r="P2135" s="8">
        <f t="shared" si="167"/>
        <v>28610</v>
      </c>
      <c r="Q2135" s="8">
        <f t="shared" si="168"/>
        <v>2138</v>
      </c>
      <c r="R2135" s="2" t="s">
        <v>26</v>
      </c>
      <c r="S2135" s="9">
        <f t="shared" si="169"/>
        <v>2002.7000000000003</v>
      </c>
    </row>
    <row r="2136" spans="1:19" x14ac:dyDescent="0.3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str">
        <f>IFERROR(VLOOKUP('Customer Info'!A2128,'Customer Info'!A2128:C2627,2,FALSE),"Not Found")</f>
        <v>Not Found</v>
      </c>
      <c r="H2136" s="6" t="str">
        <f>IFERROR(VLOOKUP('Customer Info'!A2128,'Customer Info'!A2128:C2627,3,FALSE),"Not Found")</f>
        <v>Not Found</v>
      </c>
      <c r="I2136" s="6" t="str">
        <f>IFERROR(VLOOKUP('Customer Info'!A2128,'Customer Info'!A2128:E2627,5,FALSE),"Not Found")</f>
        <v>Not Found</v>
      </c>
      <c r="J2136" s="2">
        <v>2042</v>
      </c>
      <c r="K2136" s="2">
        <v>1965</v>
      </c>
      <c r="L2136" s="2">
        <v>1</v>
      </c>
      <c r="M2136" s="7">
        <f t="shared" si="165"/>
        <v>1965</v>
      </c>
      <c r="N2136" s="7">
        <f t="shared" si="166"/>
        <v>2042</v>
      </c>
      <c r="O2136" s="2">
        <v>31</v>
      </c>
      <c r="P2136" s="8">
        <f t="shared" si="167"/>
        <v>2073</v>
      </c>
      <c r="Q2136" s="8">
        <f t="shared" si="168"/>
        <v>77</v>
      </c>
      <c r="R2136" s="2" t="s">
        <v>50</v>
      </c>
      <c r="S2136" s="9">
        <f t="shared" si="169"/>
        <v>41.46</v>
      </c>
    </row>
    <row r="2137" spans="1:19" x14ac:dyDescent="0.3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str">
        <f>IFERROR(VLOOKUP('Customer Info'!A2129,'Customer Info'!A2129:C2628,2,FALSE),"Not Found")</f>
        <v>Not Found</v>
      </c>
      <c r="H2137" s="6" t="str">
        <f>IFERROR(VLOOKUP('Customer Info'!A2129,'Customer Info'!A2129:C2628,3,FALSE),"Not Found")</f>
        <v>Not Found</v>
      </c>
      <c r="I2137" s="6" t="str">
        <f>IFERROR(VLOOKUP('Customer Info'!A2129,'Customer Info'!A2129:E2628,5,FALSE),"Not Found")</f>
        <v>Not Found</v>
      </c>
      <c r="J2137" s="2">
        <v>149</v>
      </c>
      <c r="K2137" s="2">
        <v>131</v>
      </c>
      <c r="L2137" s="2">
        <v>4</v>
      </c>
      <c r="M2137" s="7">
        <f t="shared" si="165"/>
        <v>524</v>
      </c>
      <c r="N2137" s="7">
        <f t="shared" si="166"/>
        <v>596</v>
      </c>
      <c r="O2137" s="2">
        <v>30</v>
      </c>
      <c r="P2137" s="8">
        <f t="shared" si="167"/>
        <v>626</v>
      </c>
      <c r="Q2137" s="8">
        <f t="shared" si="168"/>
        <v>465</v>
      </c>
      <c r="R2137" s="2" t="s">
        <v>28</v>
      </c>
      <c r="S2137" s="9">
        <f t="shared" si="169"/>
        <v>12.52</v>
      </c>
    </row>
    <row r="2138" spans="1:19" x14ac:dyDescent="0.3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str">
        <f>IFERROR(VLOOKUP('Customer Info'!A2130,'Customer Info'!A2130:C2629,2,FALSE),"Not Found")</f>
        <v>Not Found</v>
      </c>
      <c r="H2138" s="6" t="str">
        <f>IFERROR(VLOOKUP('Customer Info'!A2130,'Customer Info'!A2130:C2629,3,FALSE),"Not Found")</f>
        <v>Not Found</v>
      </c>
      <c r="I2138" s="6" t="str">
        <f>IFERROR(VLOOKUP('Customer Info'!A2130,'Customer Info'!A2130:E2629,5,FALSE),"Not Found")</f>
        <v>Not Found</v>
      </c>
      <c r="J2138" s="2">
        <v>210</v>
      </c>
      <c r="K2138" s="2">
        <v>191</v>
      </c>
      <c r="L2138" s="2">
        <v>3</v>
      </c>
      <c r="M2138" s="7">
        <f t="shared" si="165"/>
        <v>573</v>
      </c>
      <c r="N2138" s="7">
        <f t="shared" si="166"/>
        <v>630</v>
      </c>
      <c r="O2138" s="2">
        <v>35</v>
      </c>
      <c r="P2138" s="8">
        <f t="shared" si="167"/>
        <v>665</v>
      </c>
      <c r="Q2138" s="8">
        <f t="shared" si="168"/>
        <v>439</v>
      </c>
      <c r="R2138" s="2" t="s">
        <v>28</v>
      </c>
      <c r="S2138" s="9">
        <f t="shared" si="169"/>
        <v>13.3</v>
      </c>
    </row>
    <row r="2139" spans="1:19" x14ac:dyDescent="0.3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str">
        <f>IFERROR(VLOOKUP('Customer Info'!A2131,'Customer Info'!A2131:C2630,2,FALSE),"Not Found")</f>
        <v>Not Found</v>
      </c>
      <c r="H2139" s="6" t="str">
        <f>IFERROR(VLOOKUP('Customer Info'!A2131,'Customer Info'!A2131:C2630,3,FALSE),"Not Found")</f>
        <v>Not Found</v>
      </c>
      <c r="I2139" s="6" t="str">
        <f>IFERROR(VLOOKUP('Customer Info'!A2131,'Customer Info'!A2131:E2630,5,FALSE),"Not Found")</f>
        <v>Not Found</v>
      </c>
      <c r="J2139" s="2">
        <v>6027</v>
      </c>
      <c r="K2139" s="2">
        <v>5694</v>
      </c>
      <c r="L2139" s="2">
        <v>2</v>
      </c>
      <c r="M2139" s="7">
        <f t="shared" si="165"/>
        <v>11388</v>
      </c>
      <c r="N2139" s="7">
        <f t="shared" si="166"/>
        <v>12054</v>
      </c>
      <c r="O2139" s="2">
        <v>60</v>
      </c>
      <c r="P2139" s="8">
        <f t="shared" si="167"/>
        <v>12114</v>
      </c>
      <c r="Q2139" s="8">
        <f t="shared" si="168"/>
        <v>6360</v>
      </c>
      <c r="R2139" s="2" t="s">
        <v>50</v>
      </c>
      <c r="S2139" s="9">
        <f t="shared" si="169"/>
        <v>605.70000000000005</v>
      </c>
    </row>
    <row r="2140" spans="1:19" x14ac:dyDescent="0.3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str">
        <f>IFERROR(VLOOKUP('Customer Info'!A2132,'Customer Info'!A2132:C2631,2,FALSE),"Not Found")</f>
        <v>Not Found</v>
      </c>
      <c r="H2140" s="6" t="str">
        <f>IFERROR(VLOOKUP('Customer Info'!A2132,'Customer Info'!A2132:C2631,3,FALSE),"Not Found")</f>
        <v>Not Found</v>
      </c>
      <c r="I2140" s="6" t="str">
        <f>IFERROR(VLOOKUP('Customer Info'!A2132,'Customer Info'!A2132:E2631,5,FALSE),"Not Found")</f>
        <v>Not Found</v>
      </c>
      <c r="J2140" s="2">
        <v>1364</v>
      </c>
      <c r="K2140" s="2">
        <v>1274</v>
      </c>
      <c r="L2140" s="2">
        <v>6</v>
      </c>
      <c r="M2140" s="7">
        <f t="shared" si="165"/>
        <v>7644</v>
      </c>
      <c r="N2140" s="7">
        <f t="shared" si="166"/>
        <v>8184</v>
      </c>
      <c r="O2140" s="2">
        <v>71</v>
      </c>
      <c r="P2140" s="8">
        <f t="shared" si="167"/>
        <v>8255</v>
      </c>
      <c r="Q2140" s="8">
        <f t="shared" si="168"/>
        <v>6910</v>
      </c>
      <c r="R2140" s="2" t="s">
        <v>50</v>
      </c>
      <c r="S2140" s="9">
        <f t="shared" si="169"/>
        <v>412.75</v>
      </c>
    </row>
    <row r="2141" spans="1:19" x14ac:dyDescent="0.3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str">
        <f>IFERROR(VLOOKUP('Customer Info'!A2133,'Customer Info'!A2133:C2632,2,FALSE),"Not Found")</f>
        <v>Not Found</v>
      </c>
      <c r="H2141" s="6" t="str">
        <f>IFERROR(VLOOKUP('Customer Info'!A2133,'Customer Info'!A2133:C2632,3,FALSE),"Not Found")</f>
        <v>Not Found</v>
      </c>
      <c r="I2141" s="6" t="str">
        <f>IFERROR(VLOOKUP('Customer Info'!A2133,'Customer Info'!A2133:E2632,5,FALSE),"Not Found")</f>
        <v>Not Found</v>
      </c>
      <c r="J2141" s="2">
        <v>1834</v>
      </c>
      <c r="K2141" s="2">
        <v>1716</v>
      </c>
      <c r="L2141" s="2">
        <v>5</v>
      </c>
      <c r="M2141" s="7">
        <f t="shared" si="165"/>
        <v>8580</v>
      </c>
      <c r="N2141" s="7">
        <f t="shared" si="166"/>
        <v>9170</v>
      </c>
      <c r="O2141" s="2">
        <v>94</v>
      </c>
      <c r="P2141" s="8">
        <f t="shared" si="167"/>
        <v>9264</v>
      </c>
      <c r="Q2141" s="8">
        <f t="shared" si="168"/>
        <v>7454</v>
      </c>
      <c r="R2141" s="2" t="s">
        <v>28</v>
      </c>
      <c r="S2141" s="9">
        <f t="shared" si="169"/>
        <v>463.20000000000005</v>
      </c>
    </row>
    <row r="2142" spans="1:19" x14ac:dyDescent="0.3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str">
        <f>IFERROR(VLOOKUP('Customer Info'!A2134,'Customer Info'!A2134:C2633,2,FALSE),"Not Found")</f>
        <v>Not Found</v>
      </c>
      <c r="H2142" s="6" t="str">
        <f>IFERROR(VLOOKUP('Customer Info'!A2134,'Customer Info'!A2134:C2633,3,FALSE),"Not Found")</f>
        <v>Not Found</v>
      </c>
      <c r="I2142" s="6" t="str">
        <f>IFERROR(VLOOKUP('Customer Info'!A2134,'Customer Info'!A2134:E2633,5,FALSE),"Not Found")</f>
        <v>Not Found</v>
      </c>
      <c r="J2142" s="2">
        <v>173</v>
      </c>
      <c r="K2142" s="2">
        <v>155</v>
      </c>
      <c r="L2142" s="2">
        <v>4</v>
      </c>
      <c r="M2142" s="7">
        <f t="shared" si="165"/>
        <v>620</v>
      </c>
      <c r="N2142" s="7">
        <f t="shared" si="166"/>
        <v>692</v>
      </c>
      <c r="O2142" s="2">
        <v>30</v>
      </c>
      <c r="P2142" s="8">
        <f t="shared" si="167"/>
        <v>722</v>
      </c>
      <c r="Q2142" s="8">
        <f t="shared" si="168"/>
        <v>537</v>
      </c>
      <c r="R2142" s="2" t="s">
        <v>28</v>
      </c>
      <c r="S2142" s="9">
        <f t="shared" si="169"/>
        <v>14.44</v>
      </c>
    </row>
    <row r="2143" spans="1:19" x14ac:dyDescent="0.3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str">
        <f>IFERROR(VLOOKUP('Customer Info'!A2135,'Customer Info'!A2135:C2634,2,FALSE),"Not Found")</f>
        <v>Not Found</v>
      </c>
      <c r="H2143" s="6" t="str">
        <f>IFERROR(VLOOKUP('Customer Info'!A2135,'Customer Info'!A2135:C2634,3,FALSE),"Not Found")</f>
        <v>Not Found</v>
      </c>
      <c r="I2143" s="6" t="str">
        <f>IFERROR(VLOOKUP('Customer Info'!A2135,'Customer Info'!A2135:E2634,5,FALSE),"Not Found")</f>
        <v>Not Found</v>
      </c>
      <c r="J2143" s="2">
        <v>882</v>
      </c>
      <c r="K2143" s="2">
        <v>818</v>
      </c>
      <c r="L2143" s="2">
        <v>6</v>
      </c>
      <c r="M2143" s="7">
        <f t="shared" si="165"/>
        <v>4908</v>
      </c>
      <c r="N2143" s="7">
        <f t="shared" si="166"/>
        <v>5292</v>
      </c>
      <c r="O2143" s="2">
        <v>94</v>
      </c>
      <c r="P2143" s="8">
        <f t="shared" si="167"/>
        <v>5386</v>
      </c>
      <c r="Q2143" s="8">
        <f t="shared" si="168"/>
        <v>4474</v>
      </c>
      <c r="R2143" s="2" t="s">
        <v>50</v>
      </c>
      <c r="S2143" s="9">
        <f t="shared" si="169"/>
        <v>269.3</v>
      </c>
    </row>
    <row r="2144" spans="1:19" x14ac:dyDescent="0.3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str">
        <f>IFERROR(VLOOKUP('Customer Info'!A2136,'Customer Info'!A2136:C2635,2,FALSE),"Not Found")</f>
        <v>Not Found</v>
      </c>
      <c r="H2144" s="6" t="str">
        <f>IFERROR(VLOOKUP('Customer Info'!A2136,'Customer Info'!A2136:C2635,3,FALSE),"Not Found")</f>
        <v>Not Found</v>
      </c>
      <c r="I2144" s="6" t="str">
        <f>IFERROR(VLOOKUP('Customer Info'!A2136,'Customer Info'!A2136:E2635,5,FALSE),"Not Found")</f>
        <v>Not Found</v>
      </c>
      <c r="J2144" s="2">
        <v>3341</v>
      </c>
      <c r="K2144" s="2">
        <v>3152</v>
      </c>
      <c r="L2144" s="2">
        <v>4</v>
      </c>
      <c r="M2144" s="7">
        <f t="shared" si="165"/>
        <v>12608</v>
      </c>
      <c r="N2144" s="7">
        <f t="shared" si="166"/>
        <v>13364</v>
      </c>
      <c r="O2144" s="2">
        <v>96</v>
      </c>
      <c r="P2144" s="8">
        <f t="shared" si="167"/>
        <v>13460</v>
      </c>
      <c r="Q2144" s="8">
        <f t="shared" si="168"/>
        <v>10212</v>
      </c>
      <c r="R2144" s="2" t="s">
        <v>28</v>
      </c>
      <c r="S2144" s="9">
        <f t="shared" si="169"/>
        <v>673</v>
      </c>
    </row>
    <row r="2145" spans="1:19" x14ac:dyDescent="0.3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str">
        <f>IFERROR(VLOOKUP('Customer Info'!A2137,'Customer Info'!A2137:C2636,2,FALSE),"Not Found")</f>
        <v>Not Found</v>
      </c>
      <c r="H2145" s="6" t="str">
        <f>IFERROR(VLOOKUP('Customer Info'!A2137,'Customer Info'!A2137:C2636,3,FALSE),"Not Found")</f>
        <v>Not Found</v>
      </c>
      <c r="I2145" s="6" t="str">
        <f>IFERROR(VLOOKUP('Customer Info'!A2137,'Customer Info'!A2137:E2636,5,FALSE),"Not Found")</f>
        <v>Not Found</v>
      </c>
      <c r="J2145" s="2">
        <v>1186</v>
      </c>
      <c r="K2145" s="2">
        <v>1141</v>
      </c>
      <c r="L2145" s="2">
        <v>2</v>
      </c>
      <c r="M2145" s="7">
        <f t="shared" si="165"/>
        <v>2282</v>
      </c>
      <c r="N2145" s="7">
        <f t="shared" si="166"/>
        <v>2372</v>
      </c>
      <c r="O2145" s="2">
        <v>83</v>
      </c>
      <c r="P2145" s="8">
        <f t="shared" si="167"/>
        <v>2455</v>
      </c>
      <c r="Q2145" s="8">
        <f t="shared" si="168"/>
        <v>1231</v>
      </c>
      <c r="R2145" s="2" t="s">
        <v>26</v>
      </c>
      <c r="S2145" s="9">
        <f t="shared" si="169"/>
        <v>49.1</v>
      </c>
    </row>
    <row r="2146" spans="1:19" x14ac:dyDescent="0.3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str">
        <f>IFERROR(VLOOKUP('Customer Info'!A2138,'Customer Info'!A2138:C2637,2,FALSE),"Not Found")</f>
        <v>Not Found</v>
      </c>
      <c r="H2146" s="6" t="str">
        <f>IFERROR(VLOOKUP('Customer Info'!A2138,'Customer Info'!A2138:C2637,3,FALSE),"Not Found")</f>
        <v>Not Found</v>
      </c>
      <c r="I2146" s="6" t="str">
        <f>IFERROR(VLOOKUP('Customer Info'!A2138,'Customer Info'!A2138:E2637,5,FALSE),"Not Found")</f>
        <v>Not Found</v>
      </c>
      <c r="J2146" s="2">
        <v>4798</v>
      </c>
      <c r="K2146" s="2">
        <v>4448</v>
      </c>
      <c r="L2146" s="2">
        <v>1</v>
      </c>
      <c r="M2146" s="7">
        <f t="shared" si="165"/>
        <v>4448</v>
      </c>
      <c r="N2146" s="7">
        <f t="shared" si="166"/>
        <v>4798</v>
      </c>
      <c r="O2146" s="2">
        <v>66</v>
      </c>
      <c r="P2146" s="8">
        <f t="shared" si="167"/>
        <v>4864</v>
      </c>
      <c r="Q2146" s="8">
        <f t="shared" si="168"/>
        <v>350</v>
      </c>
      <c r="R2146" s="2" t="s">
        <v>28</v>
      </c>
      <c r="S2146" s="9">
        <f t="shared" si="169"/>
        <v>97.28</v>
      </c>
    </row>
    <row r="2147" spans="1:19" x14ac:dyDescent="0.3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str">
        <f>IFERROR(VLOOKUP('Customer Info'!A2139,'Customer Info'!A2139:C2638,2,FALSE),"Not Found")</f>
        <v>Not Found</v>
      </c>
      <c r="H2147" s="6" t="str">
        <f>IFERROR(VLOOKUP('Customer Info'!A2139,'Customer Info'!A2139:C2638,3,FALSE),"Not Found")</f>
        <v>Not Found</v>
      </c>
      <c r="I2147" s="6" t="str">
        <f>IFERROR(VLOOKUP('Customer Info'!A2139,'Customer Info'!A2139:E2638,5,FALSE),"Not Found")</f>
        <v>Not Found</v>
      </c>
      <c r="J2147" s="2">
        <v>8399</v>
      </c>
      <c r="K2147" s="2">
        <v>8001</v>
      </c>
      <c r="L2147" s="2">
        <v>1</v>
      </c>
      <c r="M2147" s="7">
        <f t="shared" si="165"/>
        <v>8001</v>
      </c>
      <c r="N2147" s="7">
        <f t="shared" si="166"/>
        <v>8399</v>
      </c>
      <c r="O2147" s="2">
        <v>93</v>
      </c>
      <c r="P2147" s="8">
        <f t="shared" si="167"/>
        <v>8492</v>
      </c>
      <c r="Q2147" s="8">
        <f t="shared" si="168"/>
        <v>398</v>
      </c>
      <c r="R2147" s="2" t="s">
        <v>28</v>
      </c>
      <c r="S2147" s="9">
        <f t="shared" si="169"/>
        <v>424.6</v>
      </c>
    </row>
    <row r="2148" spans="1:19" x14ac:dyDescent="0.3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str">
        <f>IFERROR(VLOOKUP('Customer Info'!A2140,'Customer Info'!A2140:C2639,2,FALSE),"Not Found")</f>
        <v>Not Found</v>
      </c>
      <c r="H2148" s="6" t="str">
        <f>IFERROR(VLOOKUP('Customer Info'!A2140,'Customer Info'!A2140:C2639,3,FALSE),"Not Found")</f>
        <v>Not Found</v>
      </c>
      <c r="I2148" s="6" t="str">
        <f>IFERROR(VLOOKUP('Customer Info'!A2140,'Customer Info'!A2140:E2639,5,FALSE),"Not Found")</f>
        <v>Not Found</v>
      </c>
      <c r="J2148" s="2">
        <v>59</v>
      </c>
      <c r="K2148" s="2">
        <v>55</v>
      </c>
      <c r="L2148" s="2">
        <v>1</v>
      </c>
      <c r="M2148" s="7">
        <f t="shared" si="165"/>
        <v>55</v>
      </c>
      <c r="N2148" s="7">
        <f t="shared" si="166"/>
        <v>59</v>
      </c>
      <c r="O2148" s="2">
        <v>10</v>
      </c>
      <c r="P2148" s="8">
        <f t="shared" si="167"/>
        <v>69</v>
      </c>
      <c r="Q2148" s="8">
        <f t="shared" si="168"/>
        <v>4</v>
      </c>
      <c r="R2148" s="2" t="s">
        <v>28</v>
      </c>
      <c r="S2148" s="9">
        <f t="shared" si="169"/>
        <v>1.3800000000000001</v>
      </c>
    </row>
    <row r="2149" spans="1:19" x14ac:dyDescent="0.3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str">
        <f>IFERROR(VLOOKUP('Customer Info'!A2141,'Customer Info'!A2141:C2640,2,FALSE),"Not Found")</f>
        <v>Not Found</v>
      </c>
      <c r="H2149" s="6" t="str">
        <f>IFERROR(VLOOKUP('Customer Info'!A2141,'Customer Info'!A2141:C2640,3,FALSE),"Not Found")</f>
        <v>Not Found</v>
      </c>
      <c r="I2149" s="6" t="str">
        <f>IFERROR(VLOOKUP('Customer Info'!A2141,'Customer Info'!A2141:E2640,5,FALSE),"Not Found")</f>
        <v>Not Found</v>
      </c>
      <c r="J2149" s="2">
        <v>175</v>
      </c>
      <c r="K2149" s="2">
        <v>162</v>
      </c>
      <c r="L2149" s="2">
        <v>3</v>
      </c>
      <c r="M2149" s="7">
        <f t="shared" si="165"/>
        <v>486</v>
      </c>
      <c r="N2149" s="7">
        <f t="shared" si="166"/>
        <v>525</v>
      </c>
      <c r="O2149" s="2">
        <v>30</v>
      </c>
      <c r="P2149" s="8">
        <f t="shared" si="167"/>
        <v>555</v>
      </c>
      <c r="Q2149" s="8">
        <f t="shared" si="168"/>
        <v>363</v>
      </c>
      <c r="R2149" s="2" t="s">
        <v>28</v>
      </c>
      <c r="S2149" s="9">
        <f t="shared" si="169"/>
        <v>11.1</v>
      </c>
    </row>
    <row r="2150" spans="1:19" x14ac:dyDescent="0.3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str">
        <f>IFERROR(VLOOKUP('Customer Info'!A2142,'Customer Info'!A2142:C2641,2,FALSE),"Not Found")</f>
        <v>Not Found</v>
      </c>
      <c r="H2150" s="6" t="str">
        <f>IFERROR(VLOOKUP('Customer Info'!A2142,'Customer Info'!A2142:C2641,3,FALSE),"Not Found")</f>
        <v>Not Found</v>
      </c>
      <c r="I2150" s="6" t="str">
        <f>IFERROR(VLOOKUP('Customer Info'!A2142,'Customer Info'!A2142:E2641,5,FALSE),"Not Found")</f>
        <v>Not Found</v>
      </c>
      <c r="J2150" s="2">
        <v>222</v>
      </c>
      <c r="K2150" s="2">
        <v>204</v>
      </c>
      <c r="L2150" s="2">
        <v>1</v>
      </c>
      <c r="M2150" s="7">
        <f t="shared" si="165"/>
        <v>204</v>
      </c>
      <c r="N2150" s="7">
        <f t="shared" si="166"/>
        <v>222</v>
      </c>
      <c r="O2150" s="2">
        <v>25</v>
      </c>
      <c r="P2150" s="8">
        <f t="shared" si="167"/>
        <v>247</v>
      </c>
      <c r="Q2150" s="8">
        <f t="shared" si="168"/>
        <v>18</v>
      </c>
      <c r="R2150" s="2" t="s">
        <v>28</v>
      </c>
      <c r="S2150" s="9">
        <f t="shared" si="169"/>
        <v>4.9400000000000004</v>
      </c>
    </row>
    <row r="2151" spans="1:19" x14ac:dyDescent="0.3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str">
        <f>IFERROR(VLOOKUP('Customer Info'!A2143,'Customer Info'!A2143:C2642,2,FALSE),"Not Found")</f>
        <v>Not Found</v>
      </c>
      <c r="H2151" s="6" t="str">
        <f>IFERROR(VLOOKUP('Customer Info'!A2143,'Customer Info'!A2143:C2642,3,FALSE),"Not Found")</f>
        <v>Not Found</v>
      </c>
      <c r="I2151" s="6" t="str">
        <f>IFERROR(VLOOKUP('Customer Info'!A2143,'Customer Info'!A2143:E2642,5,FALSE),"Not Found")</f>
        <v>Not Found</v>
      </c>
      <c r="J2151" s="2">
        <v>7609</v>
      </c>
      <c r="K2151" s="2">
        <v>7248</v>
      </c>
      <c r="L2151" s="2">
        <v>3</v>
      </c>
      <c r="M2151" s="7">
        <f t="shared" si="165"/>
        <v>21744</v>
      </c>
      <c r="N2151" s="7">
        <f t="shared" si="166"/>
        <v>22827</v>
      </c>
      <c r="O2151" s="2">
        <v>77</v>
      </c>
      <c r="P2151" s="8">
        <f t="shared" si="167"/>
        <v>22904</v>
      </c>
      <c r="Q2151" s="8">
        <f t="shared" si="168"/>
        <v>15579</v>
      </c>
      <c r="R2151" s="2" t="s">
        <v>50</v>
      </c>
      <c r="S2151" s="9">
        <f t="shared" si="169"/>
        <v>1145.2</v>
      </c>
    </row>
    <row r="2152" spans="1:19" x14ac:dyDescent="0.3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str">
        <f>IFERROR(VLOOKUP('Customer Info'!A2144,'Customer Info'!A2144:C2643,2,FALSE),"Not Found")</f>
        <v>Not Found</v>
      </c>
      <c r="H2152" s="6" t="str">
        <f>IFERROR(VLOOKUP('Customer Info'!A2144,'Customer Info'!A2144:C2643,3,FALSE),"Not Found")</f>
        <v>Not Found</v>
      </c>
      <c r="I2152" s="6" t="str">
        <f>IFERROR(VLOOKUP('Customer Info'!A2144,'Customer Info'!A2144:E2643,5,FALSE),"Not Found")</f>
        <v>Not Found</v>
      </c>
      <c r="J2152" s="2">
        <v>1637</v>
      </c>
      <c r="K2152" s="2">
        <v>1591</v>
      </c>
      <c r="L2152" s="2">
        <v>1</v>
      </c>
      <c r="M2152" s="7">
        <f t="shared" si="165"/>
        <v>1591</v>
      </c>
      <c r="N2152" s="7">
        <f t="shared" si="166"/>
        <v>1637</v>
      </c>
      <c r="O2152" s="2">
        <v>94</v>
      </c>
      <c r="P2152" s="8">
        <f t="shared" si="167"/>
        <v>1731</v>
      </c>
      <c r="Q2152" s="8">
        <f t="shared" si="168"/>
        <v>46</v>
      </c>
      <c r="R2152" s="2" t="s">
        <v>28</v>
      </c>
      <c r="S2152" s="9">
        <f t="shared" si="169"/>
        <v>34.619999999999997</v>
      </c>
    </row>
    <row r="2153" spans="1:19" x14ac:dyDescent="0.3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str">
        <f>IFERROR(VLOOKUP('Customer Info'!A2145,'Customer Info'!A2145:C2644,2,FALSE),"Not Found")</f>
        <v>Not Found</v>
      </c>
      <c r="H2153" s="6" t="str">
        <f>IFERROR(VLOOKUP('Customer Info'!A2145,'Customer Info'!A2145:C2644,3,FALSE),"Not Found")</f>
        <v>Not Found</v>
      </c>
      <c r="I2153" s="6" t="str">
        <f>IFERROR(VLOOKUP('Customer Info'!A2145,'Customer Info'!A2145:E2644,5,FALSE),"Not Found")</f>
        <v>Not Found</v>
      </c>
      <c r="J2153" s="2">
        <v>8686</v>
      </c>
      <c r="K2153" s="2">
        <v>8035</v>
      </c>
      <c r="L2153" s="2">
        <v>4</v>
      </c>
      <c r="M2153" s="7">
        <f t="shared" si="165"/>
        <v>32140</v>
      </c>
      <c r="N2153" s="7">
        <f t="shared" si="166"/>
        <v>34744</v>
      </c>
      <c r="O2153" s="2">
        <v>34</v>
      </c>
      <c r="P2153" s="8">
        <f t="shared" si="167"/>
        <v>34778</v>
      </c>
      <c r="Q2153" s="8">
        <f t="shared" si="168"/>
        <v>26709</v>
      </c>
      <c r="R2153" s="2" t="s">
        <v>28</v>
      </c>
      <c r="S2153" s="9">
        <f t="shared" si="169"/>
        <v>2434.46</v>
      </c>
    </row>
    <row r="2154" spans="1:19" x14ac:dyDescent="0.3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str">
        <f>IFERROR(VLOOKUP('Customer Info'!A2146,'Customer Info'!A2146:C2645,2,FALSE),"Not Found")</f>
        <v>Not Found</v>
      </c>
      <c r="H2154" s="6" t="str">
        <f>IFERROR(VLOOKUP('Customer Info'!A2146,'Customer Info'!A2146:C2645,3,FALSE),"Not Found")</f>
        <v>Not Found</v>
      </c>
      <c r="I2154" s="6" t="str">
        <f>IFERROR(VLOOKUP('Customer Info'!A2146,'Customer Info'!A2146:E2645,5,FALSE),"Not Found")</f>
        <v>Not Found</v>
      </c>
      <c r="J2154" s="2">
        <v>3224</v>
      </c>
      <c r="K2154" s="2">
        <v>2984</v>
      </c>
      <c r="L2154" s="2">
        <v>3</v>
      </c>
      <c r="M2154" s="7">
        <f t="shared" si="165"/>
        <v>8952</v>
      </c>
      <c r="N2154" s="7">
        <f t="shared" si="166"/>
        <v>9672</v>
      </c>
      <c r="O2154" s="2">
        <v>58</v>
      </c>
      <c r="P2154" s="8">
        <f t="shared" si="167"/>
        <v>9730</v>
      </c>
      <c r="Q2154" s="8">
        <f t="shared" si="168"/>
        <v>6688</v>
      </c>
      <c r="R2154" s="2" t="s">
        <v>50</v>
      </c>
      <c r="S2154" s="9">
        <f t="shared" si="169"/>
        <v>486.5</v>
      </c>
    </row>
    <row r="2155" spans="1:19" x14ac:dyDescent="0.3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str">
        <f>IFERROR(VLOOKUP('Customer Info'!A2147,'Customer Info'!A2147:C2646,2,FALSE),"Not Found")</f>
        <v>Not Found</v>
      </c>
      <c r="H2155" s="6" t="str">
        <f>IFERROR(VLOOKUP('Customer Info'!A2147,'Customer Info'!A2147:C2646,3,FALSE),"Not Found")</f>
        <v>Not Found</v>
      </c>
      <c r="I2155" s="6" t="str">
        <f>IFERROR(VLOOKUP('Customer Info'!A2147,'Customer Info'!A2147:E2646,5,FALSE),"Not Found")</f>
        <v>Not Found</v>
      </c>
      <c r="J2155" s="2">
        <v>2697</v>
      </c>
      <c r="K2155" s="2">
        <v>2498</v>
      </c>
      <c r="L2155" s="2">
        <v>10</v>
      </c>
      <c r="M2155" s="7">
        <f t="shared" si="165"/>
        <v>24980</v>
      </c>
      <c r="N2155" s="7">
        <f t="shared" si="166"/>
        <v>26970</v>
      </c>
      <c r="O2155" s="2">
        <v>50</v>
      </c>
      <c r="P2155" s="8">
        <f t="shared" si="167"/>
        <v>27020</v>
      </c>
      <c r="Q2155" s="8">
        <f t="shared" si="168"/>
        <v>24472</v>
      </c>
      <c r="R2155" s="2" t="s">
        <v>28</v>
      </c>
      <c r="S2155" s="9">
        <f t="shared" si="169"/>
        <v>1891.4</v>
      </c>
    </row>
    <row r="2156" spans="1:19" x14ac:dyDescent="0.3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str">
        <f>IFERROR(VLOOKUP('Customer Info'!A2148,'Customer Info'!A2148:C2647,2,FALSE),"Not Found")</f>
        <v>Not Found</v>
      </c>
      <c r="H2156" s="6" t="str">
        <f>IFERROR(VLOOKUP('Customer Info'!A2148,'Customer Info'!A2148:C2647,3,FALSE),"Not Found")</f>
        <v>Not Found</v>
      </c>
      <c r="I2156" s="6" t="str">
        <f>IFERROR(VLOOKUP('Customer Info'!A2148,'Customer Info'!A2148:E2647,5,FALSE),"Not Found")</f>
        <v>Not Found</v>
      </c>
      <c r="J2156" s="2">
        <v>456</v>
      </c>
      <c r="K2156" s="2">
        <v>430</v>
      </c>
      <c r="L2156" s="2">
        <v>5</v>
      </c>
      <c r="M2156" s="7">
        <f t="shared" si="165"/>
        <v>2150</v>
      </c>
      <c r="N2156" s="7">
        <f t="shared" si="166"/>
        <v>2280</v>
      </c>
      <c r="O2156" s="2">
        <v>59</v>
      </c>
      <c r="P2156" s="8">
        <f t="shared" si="167"/>
        <v>2339</v>
      </c>
      <c r="Q2156" s="8">
        <f t="shared" si="168"/>
        <v>1850</v>
      </c>
      <c r="R2156" s="2" t="s">
        <v>50</v>
      </c>
      <c r="S2156" s="9">
        <f t="shared" si="169"/>
        <v>46.78</v>
      </c>
    </row>
    <row r="2157" spans="1:19" x14ac:dyDescent="0.3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str">
        <f>IFERROR(VLOOKUP('Customer Info'!A2149,'Customer Info'!A2149:C2648,2,FALSE),"Not Found")</f>
        <v>Not Found</v>
      </c>
      <c r="H2157" s="6" t="str">
        <f>IFERROR(VLOOKUP('Customer Info'!A2149,'Customer Info'!A2149:C2648,3,FALSE),"Not Found")</f>
        <v>Not Found</v>
      </c>
      <c r="I2157" s="6" t="str">
        <f>IFERROR(VLOOKUP('Customer Info'!A2149,'Customer Info'!A2149:E2648,5,FALSE),"Not Found")</f>
        <v>Not Found</v>
      </c>
      <c r="J2157" s="2">
        <v>28522</v>
      </c>
      <c r="K2157" s="2">
        <v>26384</v>
      </c>
      <c r="L2157" s="2">
        <v>4</v>
      </c>
      <c r="M2157" s="7">
        <f t="shared" si="165"/>
        <v>105536</v>
      </c>
      <c r="N2157" s="7">
        <f t="shared" si="166"/>
        <v>114088</v>
      </c>
      <c r="O2157" s="2">
        <v>94</v>
      </c>
      <c r="P2157" s="8">
        <f t="shared" si="167"/>
        <v>114182</v>
      </c>
      <c r="Q2157" s="8">
        <f t="shared" si="168"/>
        <v>87704</v>
      </c>
      <c r="R2157" s="2" t="s">
        <v>50</v>
      </c>
      <c r="S2157" s="9">
        <f t="shared" si="169"/>
        <v>13701.84</v>
      </c>
    </row>
    <row r="2158" spans="1:19" x14ac:dyDescent="0.3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str">
        <f>IFERROR(VLOOKUP('Customer Info'!A2150,'Customer Info'!A2150:C2649,2,FALSE),"Not Found")</f>
        <v>Not Found</v>
      </c>
      <c r="H2158" s="6" t="str">
        <f>IFERROR(VLOOKUP('Customer Info'!A2150,'Customer Info'!A2150:C2649,3,FALSE),"Not Found")</f>
        <v>Not Found</v>
      </c>
      <c r="I2158" s="6" t="str">
        <f>IFERROR(VLOOKUP('Customer Info'!A2150,'Customer Info'!A2150:E2649,5,FALSE),"Not Found")</f>
        <v>Not Found</v>
      </c>
      <c r="J2158" s="2">
        <v>1997</v>
      </c>
      <c r="K2158" s="2">
        <v>1816</v>
      </c>
      <c r="L2158" s="2">
        <v>3</v>
      </c>
      <c r="M2158" s="7">
        <f t="shared" si="165"/>
        <v>5448</v>
      </c>
      <c r="N2158" s="7">
        <f t="shared" si="166"/>
        <v>5991</v>
      </c>
      <c r="O2158" s="2">
        <v>92</v>
      </c>
      <c r="P2158" s="8">
        <f t="shared" si="167"/>
        <v>6083</v>
      </c>
      <c r="Q2158" s="8">
        <f t="shared" si="168"/>
        <v>4175</v>
      </c>
      <c r="R2158" s="2" t="s">
        <v>26</v>
      </c>
      <c r="S2158" s="9">
        <f t="shared" si="169"/>
        <v>304.15000000000003</v>
      </c>
    </row>
    <row r="2159" spans="1:19" x14ac:dyDescent="0.3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str">
        <f>IFERROR(VLOOKUP('Customer Info'!A2151,'Customer Info'!A2151:C2650,2,FALSE),"Not Found")</f>
        <v>Not Found</v>
      </c>
      <c r="H2159" s="6" t="str">
        <f>IFERROR(VLOOKUP('Customer Info'!A2151,'Customer Info'!A2151:C2650,3,FALSE),"Not Found")</f>
        <v>Not Found</v>
      </c>
      <c r="I2159" s="6" t="str">
        <f>IFERROR(VLOOKUP('Customer Info'!A2151,'Customer Info'!A2151:E2650,5,FALSE),"Not Found")</f>
        <v>Not Found</v>
      </c>
      <c r="J2159" s="2">
        <v>4002</v>
      </c>
      <c r="K2159" s="2">
        <v>3744</v>
      </c>
      <c r="L2159" s="2">
        <v>1</v>
      </c>
      <c r="M2159" s="7">
        <f t="shared" si="165"/>
        <v>3744</v>
      </c>
      <c r="N2159" s="7">
        <f t="shared" si="166"/>
        <v>4002</v>
      </c>
      <c r="O2159" s="2">
        <v>88</v>
      </c>
      <c r="P2159" s="8">
        <f t="shared" si="167"/>
        <v>4090</v>
      </c>
      <c r="Q2159" s="8">
        <f t="shared" si="168"/>
        <v>258</v>
      </c>
      <c r="R2159" s="2" t="s">
        <v>28</v>
      </c>
      <c r="S2159" s="9">
        <f t="shared" si="169"/>
        <v>81.8</v>
      </c>
    </row>
    <row r="2160" spans="1:19" x14ac:dyDescent="0.3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str">
        <f>IFERROR(VLOOKUP('Customer Info'!A2152,'Customer Info'!A2152:C2651,2,FALSE),"Not Found")</f>
        <v>Not Found</v>
      </c>
      <c r="H2160" s="6" t="str">
        <f>IFERROR(VLOOKUP('Customer Info'!A2152,'Customer Info'!A2152:C2651,3,FALSE),"Not Found")</f>
        <v>Not Found</v>
      </c>
      <c r="I2160" s="6" t="str">
        <f>IFERROR(VLOOKUP('Customer Info'!A2152,'Customer Info'!A2152:E2651,5,FALSE),"Not Found")</f>
        <v>Not Found</v>
      </c>
      <c r="J2160" s="2">
        <v>1901</v>
      </c>
      <c r="K2160" s="2">
        <v>1810</v>
      </c>
      <c r="L2160" s="2">
        <v>3</v>
      </c>
      <c r="M2160" s="7">
        <f t="shared" si="165"/>
        <v>5430</v>
      </c>
      <c r="N2160" s="7">
        <f t="shared" si="166"/>
        <v>5703</v>
      </c>
      <c r="O2160" s="2">
        <v>81</v>
      </c>
      <c r="P2160" s="8">
        <f t="shared" si="167"/>
        <v>5784</v>
      </c>
      <c r="Q2160" s="8">
        <f t="shared" si="168"/>
        <v>3893</v>
      </c>
      <c r="R2160" s="2" t="s">
        <v>28</v>
      </c>
      <c r="S2160" s="9">
        <f t="shared" si="169"/>
        <v>289.2</v>
      </c>
    </row>
    <row r="2161" spans="1:19" x14ac:dyDescent="0.3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str">
        <f>IFERROR(VLOOKUP('Customer Info'!A2153,'Customer Info'!A2153:C2652,2,FALSE),"Not Found")</f>
        <v>Not Found</v>
      </c>
      <c r="H2161" s="6" t="str">
        <f>IFERROR(VLOOKUP('Customer Info'!A2153,'Customer Info'!A2153:C2652,3,FALSE),"Not Found")</f>
        <v>Not Found</v>
      </c>
      <c r="I2161" s="6" t="str">
        <f>IFERROR(VLOOKUP('Customer Info'!A2153,'Customer Info'!A2153:E2652,5,FALSE),"Not Found")</f>
        <v>Not Found</v>
      </c>
      <c r="J2161" s="2">
        <v>7232</v>
      </c>
      <c r="K2161" s="2">
        <v>6753</v>
      </c>
      <c r="L2161" s="2">
        <v>2</v>
      </c>
      <c r="M2161" s="7">
        <f t="shared" si="165"/>
        <v>13506</v>
      </c>
      <c r="N2161" s="7">
        <f t="shared" si="166"/>
        <v>14464</v>
      </c>
      <c r="O2161" s="2">
        <v>98</v>
      </c>
      <c r="P2161" s="8">
        <f t="shared" si="167"/>
        <v>14562</v>
      </c>
      <c r="Q2161" s="8">
        <f t="shared" si="168"/>
        <v>7711</v>
      </c>
      <c r="R2161" s="2" t="s">
        <v>28</v>
      </c>
      <c r="S2161" s="9">
        <f t="shared" si="169"/>
        <v>728.1</v>
      </c>
    </row>
    <row r="2162" spans="1:19" x14ac:dyDescent="0.3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str">
        <f>IFERROR(VLOOKUP('Customer Info'!A2154,'Customer Info'!A2154:C2653,2,FALSE),"Not Found")</f>
        <v>Not Found</v>
      </c>
      <c r="H2162" s="6" t="str">
        <f>IFERROR(VLOOKUP('Customer Info'!A2154,'Customer Info'!A2154:C2653,3,FALSE),"Not Found")</f>
        <v>Not Found</v>
      </c>
      <c r="I2162" s="6" t="str">
        <f>IFERROR(VLOOKUP('Customer Info'!A2154,'Customer Info'!A2154:E2653,5,FALSE),"Not Found")</f>
        <v>Not Found</v>
      </c>
      <c r="J2162" s="2">
        <v>1619</v>
      </c>
      <c r="K2162" s="2">
        <v>1442</v>
      </c>
      <c r="L2162" s="2">
        <v>8</v>
      </c>
      <c r="M2162" s="7">
        <f t="shared" si="165"/>
        <v>11536</v>
      </c>
      <c r="N2162" s="7">
        <f t="shared" si="166"/>
        <v>12952</v>
      </c>
      <c r="O2162" s="2">
        <v>53</v>
      </c>
      <c r="P2162" s="8">
        <f t="shared" si="167"/>
        <v>13005</v>
      </c>
      <c r="Q2162" s="8">
        <f t="shared" si="168"/>
        <v>11510</v>
      </c>
      <c r="R2162" s="2" t="s">
        <v>28</v>
      </c>
      <c r="S2162" s="9">
        <f t="shared" si="169"/>
        <v>650.25</v>
      </c>
    </row>
    <row r="2163" spans="1:19" x14ac:dyDescent="0.3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str">
        <f>IFERROR(VLOOKUP('Customer Info'!A2155,'Customer Info'!A2155:C2654,2,FALSE),"Not Found")</f>
        <v>Not Found</v>
      </c>
      <c r="H2163" s="6" t="str">
        <f>IFERROR(VLOOKUP('Customer Info'!A2155,'Customer Info'!A2155:C2654,3,FALSE),"Not Found")</f>
        <v>Not Found</v>
      </c>
      <c r="I2163" s="6" t="str">
        <f>IFERROR(VLOOKUP('Customer Info'!A2155,'Customer Info'!A2155:E2654,5,FALSE),"Not Found")</f>
        <v>Not Found</v>
      </c>
      <c r="J2163" s="2">
        <v>5848</v>
      </c>
      <c r="K2163" s="2">
        <v>5214</v>
      </c>
      <c r="L2163" s="2">
        <v>4</v>
      </c>
      <c r="M2163" s="7">
        <f t="shared" si="165"/>
        <v>20856</v>
      </c>
      <c r="N2163" s="7">
        <f t="shared" si="166"/>
        <v>23392</v>
      </c>
      <c r="O2163" s="2">
        <v>48</v>
      </c>
      <c r="P2163" s="8">
        <f t="shared" si="167"/>
        <v>23440</v>
      </c>
      <c r="Q2163" s="8">
        <f t="shared" si="168"/>
        <v>18178</v>
      </c>
      <c r="R2163" s="2" t="s">
        <v>28</v>
      </c>
      <c r="S2163" s="9">
        <f t="shared" si="169"/>
        <v>1172</v>
      </c>
    </row>
    <row r="2164" spans="1:19" x14ac:dyDescent="0.3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str">
        <f>IFERROR(VLOOKUP('Customer Info'!A2156,'Customer Info'!A2156:C2655,2,FALSE),"Not Found")</f>
        <v>Not Found</v>
      </c>
      <c r="H2164" s="6" t="str">
        <f>IFERROR(VLOOKUP('Customer Info'!A2156,'Customer Info'!A2156:C2655,3,FALSE),"Not Found")</f>
        <v>Not Found</v>
      </c>
      <c r="I2164" s="6" t="str">
        <f>IFERROR(VLOOKUP('Customer Info'!A2156,'Customer Info'!A2156:E2655,5,FALSE),"Not Found")</f>
        <v>Not Found</v>
      </c>
      <c r="J2164" s="2">
        <v>61</v>
      </c>
      <c r="K2164" s="2">
        <v>57</v>
      </c>
      <c r="L2164" s="2">
        <v>5</v>
      </c>
      <c r="M2164" s="7">
        <f t="shared" si="165"/>
        <v>285</v>
      </c>
      <c r="N2164" s="7">
        <f t="shared" si="166"/>
        <v>305</v>
      </c>
      <c r="O2164" s="2">
        <v>10</v>
      </c>
      <c r="P2164" s="8">
        <f t="shared" si="167"/>
        <v>315</v>
      </c>
      <c r="Q2164" s="8">
        <f t="shared" si="168"/>
        <v>248</v>
      </c>
      <c r="R2164" s="2" t="s">
        <v>28</v>
      </c>
      <c r="S2164" s="9">
        <f t="shared" si="169"/>
        <v>6.3</v>
      </c>
    </row>
    <row r="2165" spans="1:19" x14ac:dyDescent="0.3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str">
        <f>IFERROR(VLOOKUP('Customer Info'!A2157,'Customer Info'!A2157:C2656,2,FALSE),"Not Found")</f>
        <v>Not Found</v>
      </c>
      <c r="H2165" s="6" t="str">
        <f>IFERROR(VLOOKUP('Customer Info'!A2157,'Customer Info'!A2157:C2656,3,FALSE),"Not Found")</f>
        <v>Not Found</v>
      </c>
      <c r="I2165" s="6" t="str">
        <f>IFERROR(VLOOKUP('Customer Info'!A2157,'Customer Info'!A2157:E2656,5,FALSE),"Not Found")</f>
        <v>Not Found</v>
      </c>
      <c r="J2165" s="2">
        <v>2243</v>
      </c>
      <c r="K2165" s="2">
        <v>2000</v>
      </c>
      <c r="L2165" s="2">
        <v>7</v>
      </c>
      <c r="M2165" s="7">
        <f t="shared" si="165"/>
        <v>14000</v>
      </c>
      <c r="N2165" s="7">
        <f t="shared" si="166"/>
        <v>15701</v>
      </c>
      <c r="O2165" s="2">
        <v>60</v>
      </c>
      <c r="P2165" s="8">
        <f t="shared" si="167"/>
        <v>15761</v>
      </c>
      <c r="Q2165" s="8">
        <f t="shared" si="168"/>
        <v>13701</v>
      </c>
      <c r="R2165" s="2" t="s">
        <v>50</v>
      </c>
      <c r="S2165" s="9">
        <f t="shared" si="169"/>
        <v>788.05000000000007</v>
      </c>
    </row>
    <row r="2166" spans="1:19" x14ac:dyDescent="0.3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str">
        <f>IFERROR(VLOOKUP('Customer Info'!A2158,'Customer Info'!A2158:C2657,2,FALSE),"Not Found")</f>
        <v>Not Found</v>
      </c>
      <c r="H2166" s="6" t="str">
        <f>IFERROR(VLOOKUP('Customer Info'!A2158,'Customer Info'!A2158:C2657,3,FALSE),"Not Found")</f>
        <v>Not Found</v>
      </c>
      <c r="I2166" s="6" t="str">
        <f>IFERROR(VLOOKUP('Customer Info'!A2158,'Customer Info'!A2158:E2657,5,FALSE),"Not Found")</f>
        <v>Not Found</v>
      </c>
      <c r="J2166" s="2">
        <v>39095</v>
      </c>
      <c r="K2166" s="2">
        <v>35516</v>
      </c>
      <c r="L2166" s="2">
        <v>5</v>
      </c>
      <c r="M2166" s="7">
        <f t="shared" si="165"/>
        <v>177580</v>
      </c>
      <c r="N2166" s="7">
        <f t="shared" si="166"/>
        <v>195475</v>
      </c>
      <c r="O2166" s="2">
        <v>77</v>
      </c>
      <c r="P2166" s="8">
        <f t="shared" si="167"/>
        <v>195552</v>
      </c>
      <c r="Q2166" s="8">
        <f t="shared" si="168"/>
        <v>159959</v>
      </c>
      <c r="R2166" s="2" t="s">
        <v>50</v>
      </c>
      <c r="S2166" s="9">
        <f t="shared" si="169"/>
        <v>23466.239999999998</v>
      </c>
    </row>
    <row r="2167" spans="1:19" x14ac:dyDescent="0.3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str">
        <f>IFERROR(VLOOKUP('Customer Info'!A2159,'Customer Info'!A2159:C2658,2,FALSE),"Not Found")</f>
        <v>Not Found</v>
      </c>
      <c r="H2167" s="6" t="str">
        <f>IFERROR(VLOOKUP('Customer Info'!A2159,'Customer Info'!A2159:C2658,3,FALSE),"Not Found")</f>
        <v>Not Found</v>
      </c>
      <c r="I2167" s="6" t="str">
        <f>IFERROR(VLOOKUP('Customer Info'!A2159,'Customer Info'!A2159:E2658,5,FALSE),"Not Found")</f>
        <v>Not Found</v>
      </c>
      <c r="J2167" s="2">
        <v>2808</v>
      </c>
      <c r="K2167" s="2">
        <v>2674</v>
      </c>
      <c r="L2167" s="2">
        <v>1</v>
      </c>
      <c r="M2167" s="7">
        <f t="shared" si="165"/>
        <v>2674</v>
      </c>
      <c r="N2167" s="7">
        <f t="shared" si="166"/>
        <v>2808</v>
      </c>
      <c r="O2167" s="2">
        <v>32</v>
      </c>
      <c r="P2167" s="8">
        <f t="shared" si="167"/>
        <v>2840</v>
      </c>
      <c r="Q2167" s="8">
        <f t="shared" si="168"/>
        <v>134</v>
      </c>
      <c r="R2167" s="2" t="s">
        <v>28</v>
      </c>
      <c r="S2167" s="9">
        <f t="shared" si="169"/>
        <v>56.800000000000004</v>
      </c>
    </row>
    <row r="2168" spans="1:19" x14ac:dyDescent="0.3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str">
        <f>IFERROR(VLOOKUP('Customer Info'!A2160,'Customer Info'!A2160:C2659,2,FALSE),"Not Found")</f>
        <v>Not Found</v>
      </c>
      <c r="H2168" s="6" t="str">
        <f>IFERROR(VLOOKUP('Customer Info'!A2160,'Customer Info'!A2160:C2659,3,FALSE),"Not Found")</f>
        <v>Not Found</v>
      </c>
      <c r="I2168" s="6" t="str">
        <f>IFERROR(VLOOKUP('Customer Info'!A2160,'Customer Info'!A2160:E2659,5,FALSE),"Not Found")</f>
        <v>Not Found</v>
      </c>
      <c r="J2168" s="2">
        <v>4808</v>
      </c>
      <c r="K2168" s="2">
        <v>4453</v>
      </c>
      <c r="L2168" s="2">
        <v>1</v>
      </c>
      <c r="M2168" s="7">
        <f t="shared" si="165"/>
        <v>4453</v>
      </c>
      <c r="N2168" s="7">
        <f t="shared" si="166"/>
        <v>4808</v>
      </c>
      <c r="O2168" s="2">
        <v>79</v>
      </c>
      <c r="P2168" s="8">
        <f t="shared" si="167"/>
        <v>4887</v>
      </c>
      <c r="Q2168" s="8">
        <f t="shared" si="168"/>
        <v>355</v>
      </c>
      <c r="R2168" s="2" t="s">
        <v>28</v>
      </c>
      <c r="S2168" s="9">
        <f t="shared" si="169"/>
        <v>97.740000000000009</v>
      </c>
    </row>
    <row r="2169" spans="1:19" x14ac:dyDescent="0.3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str">
        <f>IFERROR(VLOOKUP('Customer Info'!A2161,'Customer Info'!A2161:C2660,2,FALSE),"Not Found")</f>
        <v>Not Found</v>
      </c>
      <c r="H2169" s="6" t="str">
        <f>IFERROR(VLOOKUP('Customer Info'!A2161,'Customer Info'!A2161:C2660,3,FALSE),"Not Found")</f>
        <v>Not Found</v>
      </c>
      <c r="I2169" s="6" t="str">
        <f>IFERROR(VLOOKUP('Customer Info'!A2161,'Customer Info'!A2161:E2660,5,FALSE),"Not Found")</f>
        <v>Not Found</v>
      </c>
      <c r="J2169" s="2">
        <v>7534</v>
      </c>
      <c r="K2169" s="2">
        <v>7106</v>
      </c>
      <c r="L2169" s="2">
        <v>7</v>
      </c>
      <c r="M2169" s="7">
        <f t="shared" si="165"/>
        <v>49742</v>
      </c>
      <c r="N2169" s="7">
        <f t="shared" si="166"/>
        <v>52738</v>
      </c>
      <c r="O2169" s="2">
        <v>52</v>
      </c>
      <c r="P2169" s="8">
        <f t="shared" si="167"/>
        <v>52790</v>
      </c>
      <c r="Q2169" s="8">
        <f t="shared" si="168"/>
        <v>45632</v>
      </c>
      <c r="R2169" s="2" t="s">
        <v>28</v>
      </c>
      <c r="S2169" s="9">
        <f t="shared" si="169"/>
        <v>4751.0999999999995</v>
      </c>
    </row>
    <row r="2170" spans="1:19" x14ac:dyDescent="0.3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str">
        <f>IFERROR(VLOOKUP('Customer Info'!A2162,'Customer Info'!A2162:C2661,2,FALSE),"Not Found")</f>
        <v>Not Found</v>
      </c>
      <c r="H2170" s="6" t="str">
        <f>IFERROR(VLOOKUP('Customer Info'!A2162,'Customer Info'!A2162:C2661,3,FALSE),"Not Found")</f>
        <v>Not Found</v>
      </c>
      <c r="I2170" s="6" t="str">
        <f>IFERROR(VLOOKUP('Customer Info'!A2162,'Customer Info'!A2162:E2661,5,FALSE),"Not Found")</f>
        <v>Not Found</v>
      </c>
      <c r="J2170" s="2">
        <v>811</v>
      </c>
      <c r="K2170" s="2">
        <v>780</v>
      </c>
      <c r="L2170" s="2">
        <v>2</v>
      </c>
      <c r="M2170" s="7">
        <f t="shared" si="165"/>
        <v>1560</v>
      </c>
      <c r="N2170" s="7">
        <f t="shared" si="166"/>
        <v>1622</v>
      </c>
      <c r="O2170" s="2">
        <v>99</v>
      </c>
      <c r="P2170" s="8">
        <f t="shared" si="167"/>
        <v>1721</v>
      </c>
      <c r="Q2170" s="8">
        <f t="shared" si="168"/>
        <v>842</v>
      </c>
      <c r="R2170" s="2" t="s">
        <v>28</v>
      </c>
      <c r="S2170" s="9">
        <f t="shared" si="169"/>
        <v>34.42</v>
      </c>
    </row>
    <row r="2171" spans="1:19" x14ac:dyDescent="0.3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str">
        <f>IFERROR(VLOOKUP('Customer Info'!A2163,'Customer Info'!A2163:C2662,2,FALSE),"Not Found")</f>
        <v>Not Found</v>
      </c>
      <c r="H2171" s="6" t="str">
        <f>IFERROR(VLOOKUP('Customer Info'!A2163,'Customer Info'!A2163:C2662,3,FALSE),"Not Found")</f>
        <v>Not Found</v>
      </c>
      <c r="I2171" s="6" t="str">
        <f>IFERROR(VLOOKUP('Customer Info'!A2163,'Customer Info'!A2163:E2662,5,FALSE),"Not Found")</f>
        <v>Not Found</v>
      </c>
      <c r="J2171" s="2">
        <v>1146</v>
      </c>
      <c r="K2171" s="2">
        <v>1061</v>
      </c>
      <c r="L2171" s="2">
        <v>3</v>
      </c>
      <c r="M2171" s="7">
        <f t="shared" si="165"/>
        <v>3183</v>
      </c>
      <c r="N2171" s="7">
        <f t="shared" si="166"/>
        <v>3438</v>
      </c>
      <c r="O2171" s="2">
        <v>61</v>
      </c>
      <c r="P2171" s="8">
        <f t="shared" si="167"/>
        <v>3499</v>
      </c>
      <c r="Q2171" s="8">
        <f t="shared" si="168"/>
        <v>2377</v>
      </c>
      <c r="R2171" s="2" t="s">
        <v>50</v>
      </c>
      <c r="S2171" s="9">
        <f t="shared" si="169"/>
        <v>69.98</v>
      </c>
    </row>
    <row r="2172" spans="1:19" x14ac:dyDescent="0.3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str">
        <f>IFERROR(VLOOKUP('Customer Info'!A2164,'Customer Info'!A2164:C2663,2,FALSE),"Not Found")</f>
        <v>Not Found</v>
      </c>
      <c r="H2172" s="6" t="str">
        <f>IFERROR(VLOOKUP('Customer Info'!A2164,'Customer Info'!A2164:C2663,3,FALSE),"Not Found")</f>
        <v>Not Found</v>
      </c>
      <c r="I2172" s="6" t="str">
        <f>IFERROR(VLOOKUP('Customer Info'!A2164,'Customer Info'!A2164:E2663,5,FALSE),"Not Found")</f>
        <v>Not Found</v>
      </c>
      <c r="J2172" s="2">
        <v>100</v>
      </c>
      <c r="K2172" s="2">
        <v>95</v>
      </c>
      <c r="L2172" s="2">
        <v>1</v>
      </c>
      <c r="M2172" s="7">
        <f t="shared" si="165"/>
        <v>95</v>
      </c>
      <c r="N2172" s="7">
        <f t="shared" si="166"/>
        <v>100</v>
      </c>
      <c r="O2172" s="2">
        <v>10</v>
      </c>
      <c r="P2172" s="8">
        <f t="shared" si="167"/>
        <v>110</v>
      </c>
      <c r="Q2172" s="8">
        <f t="shared" si="168"/>
        <v>5</v>
      </c>
      <c r="R2172" s="2" t="s">
        <v>56</v>
      </c>
      <c r="S2172" s="9">
        <f t="shared" si="169"/>
        <v>2.2000000000000002</v>
      </c>
    </row>
    <row r="2173" spans="1:19" x14ac:dyDescent="0.3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str">
        <f>IFERROR(VLOOKUP('Customer Info'!A2165,'Customer Info'!A2165:C2664,2,FALSE),"Not Found")</f>
        <v>Not Found</v>
      </c>
      <c r="H2173" s="6" t="str">
        <f>IFERROR(VLOOKUP('Customer Info'!A2165,'Customer Info'!A2165:C2664,3,FALSE),"Not Found")</f>
        <v>Not Found</v>
      </c>
      <c r="I2173" s="6" t="str">
        <f>IFERROR(VLOOKUP('Customer Info'!A2165,'Customer Info'!A2165:E2664,5,FALSE),"Not Found")</f>
        <v>Not Found</v>
      </c>
      <c r="J2173" s="2">
        <v>167</v>
      </c>
      <c r="K2173" s="2">
        <v>155</v>
      </c>
      <c r="L2173" s="2">
        <v>1</v>
      </c>
      <c r="M2173" s="7">
        <f t="shared" si="165"/>
        <v>155</v>
      </c>
      <c r="N2173" s="7">
        <f t="shared" si="166"/>
        <v>167</v>
      </c>
      <c r="O2173" s="2">
        <v>30</v>
      </c>
      <c r="P2173" s="8">
        <f t="shared" si="167"/>
        <v>197</v>
      </c>
      <c r="Q2173" s="8">
        <f t="shared" si="168"/>
        <v>12</v>
      </c>
      <c r="R2173" s="2" t="s">
        <v>50</v>
      </c>
      <c r="S2173" s="9">
        <f t="shared" si="169"/>
        <v>3.94</v>
      </c>
    </row>
    <row r="2174" spans="1:19" x14ac:dyDescent="0.3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str">
        <f>IFERROR(VLOOKUP('Customer Info'!A2166,'Customer Info'!A2166:C2665,2,FALSE),"Not Found")</f>
        <v>Not Found</v>
      </c>
      <c r="H2174" s="6" t="str">
        <f>IFERROR(VLOOKUP('Customer Info'!A2166,'Customer Info'!A2166:C2665,3,FALSE),"Not Found")</f>
        <v>Not Found</v>
      </c>
      <c r="I2174" s="6" t="str">
        <f>IFERROR(VLOOKUP('Customer Info'!A2166,'Customer Info'!A2166:E2665,5,FALSE),"Not Found")</f>
        <v>Not Found</v>
      </c>
      <c r="J2174" s="2">
        <v>28522</v>
      </c>
      <c r="K2174" s="2">
        <v>26384</v>
      </c>
      <c r="L2174" s="2">
        <v>1</v>
      </c>
      <c r="M2174" s="7">
        <f t="shared" si="165"/>
        <v>26384</v>
      </c>
      <c r="N2174" s="7">
        <f t="shared" si="166"/>
        <v>28522</v>
      </c>
      <c r="O2174" s="2">
        <v>58</v>
      </c>
      <c r="P2174" s="8">
        <f t="shared" si="167"/>
        <v>28580</v>
      </c>
      <c r="Q2174" s="8">
        <f t="shared" si="168"/>
        <v>2138</v>
      </c>
      <c r="R2174" s="2" t="s">
        <v>28</v>
      </c>
      <c r="S2174" s="9">
        <f t="shared" si="169"/>
        <v>2000.6000000000001</v>
      </c>
    </row>
    <row r="2175" spans="1:19" x14ac:dyDescent="0.3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str">
        <f>IFERROR(VLOOKUP('Customer Info'!A2167,'Customer Info'!A2167:C2666,2,FALSE),"Not Found")</f>
        <v>Not Found</v>
      </c>
      <c r="H2175" s="6" t="str">
        <f>IFERROR(VLOOKUP('Customer Info'!A2167,'Customer Info'!A2167:C2666,3,FALSE),"Not Found")</f>
        <v>Not Found</v>
      </c>
      <c r="I2175" s="6" t="str">
        <f>IFERROR(VLOOKUP('Customer Info'!A2167,'Customer Info'!A2167:E2666,5,FALSE),"Not Found")</f>
        <v>Not Found</v>
      </c>
      <c r="J2175" s="2">
        <v>187</v>
      </c>
      <c r="K2175" s="2">
        <v>176</v>
      </c>
      <c r="L2175" s="2">
        <v>5</v>
      </c>
      <c r="M2175" s="7">
        <f t="shared" si="165"/>
        <v>880</v>
      </c>
      <c r="N2175" s="7">
        <f t="shared" si="166"/>
        <v>935</v>
      </c>
      <c r="O2175" s="2">
        <v>30</v>
      </c>
      <c r="P2175" s="8">
        <f t="shared" si="167"/>
        <v>965</v>
      </c>
      <c r="Q2175" s="8">
        <f t="shared" si="168"/>
        <v>759</v>
      </c>
      <c r="R2175" s="2" t="s">
        <v>28</v>
      </c>
      <c r="S2175" s="9">
        <f t="shared" si="169"/>
        <v>19.3</v>
      </c>
    </row>
    <row r="2176" spans="1:19" x14ac:dyDescent="0.3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str">
        <f>IFERROR(VLOOKUP('Customer Info'!A2168,'Customer Info'!A2168:C2667,2,FALSE),"Not Found")</f>
        <v>Not Found</v>
      </c>
      <c r="H2176" s="6" t="str">
        <f>IFERROR(VLOOKUP('Customer Info'!A2168,'Customer Info'!A2168:C2667,3,FALSE),"Not Found")</f>
        <v>Not Found</v>
      </c>
      <c r="I2176" s="6" t="str">
        <f>IFERROR(VLOOKUP('Customer Info'!A2168,'Customer Info'!A2168:E2667,5,FALSE),"Not Found")</f>
        <v>Not Found</v>
      </c>
      <c r="J2176" s="2">
        <v>144</v>
      </c>
      <c r="K2176" s="2">
        <v>133</v>
      </c>
      <c r="L2176" s="2">
        <v>4</v>
      </c>
      <c r="M2176" s="7">
        <f t="shared" si="165"/>
        <v>532</v>
      </c>
      <c r="N2176" s="7">
        <f t="shared" si="166"/>
        <v>576</v>
      </c>
      <c r="O2176" s="2">
        <v>30</v>
      </c>
      <c r="P2176" s="8">
        <f t="shared" si="167"/>
        <v>606</v>
      </c>
      <c r="Q2176" s="8">
        <f t="shared" si="168"/>
        <v>443</v>
      </c>
      <c r="R2176" s="2" t="s">
        <v>26</v>
      </c>
      <c r="S2176" s="9">
        <f t="shared" si="169"/>
        <v>12.120000000000001</v>
      </c>
    </row>
    <row r="2177" spans="1:19" x14ac:dyDescent="0.3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str">
        <f>IFERROR(VLOOKUP('Customer Info'!A2169,'Customer Info'!A2169:C2668,2,FALSE),"Not Found")</f>
        <v>Not Found</v>
      </c>
      <c r="H2177" s="6" t="str">
        <f>IFERROR(VLOOKUP('Customer Info'!A2169,'Customer Info'!A2169:C2668,3,FALSE),"Not Found")</f>
        <v>Not Found</v>
      </c>
      <c r="I2177" s="6" t="str">
        <f>IFERROR(VLOOKUP('Customer Info'!A2169,'Customer Info'!A2169:E2668,5,FALSE),"Not Found")</f>
        <v>Not Found</v>
      </c>
      <c r="J2177" s="2">
        <v>167</v>
      </c>
      <c r="K2177" s="2">
        <v>155</v>
      </c>
      <c r="L2177" s="2">
        <v>8</v>
      </c>
      <c r="M2177" s="7">
        <f t="shared" si="165"/>
        <v>1240</v>
      </c>
      <c r="N2177" s="7">
        <f t="shared" si="166"/>
        <v>1336</v>
      </c>
      <c r="O2177" s="2">
        <v>30</v>
      </c>
      <c r="P2177" s="8">
        <f t="shared" si="167"/>
        <v>1366</v>
      </c>
      <c r="Q2177" s="8">
        <f t="shared" si="168"/>
        <v>1181</v>
      </c>
      <c r="R2177" s="2" t="s">
        <v>28</v>
      </c>
      <c r="S2177" s="9">
        <f t="shared" si="169"/>
        <v>27.32</v>
      </c>
    </row>
    <row r="2178" spans="1:19" x14ac:dyDescent="0.3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str">
        <f>IFERROR(VLOOKUP('Customer Info'!A2170,'Customer Info'!A2170:C2669,2,FALSE),"Not Found")</f>
        <v>Not Found</v>
      </c>
      <c r="H2178" s="6" t="str">
        <f>IFERROR(VLOOKUP('Customer Info'!A2170,'Customer Info'!A2170:C2669,3,FALSE),"Not Found")</f>
        <v>Not Found</v>
      </c>
      <c r="I2178" s="6" t="str">
        <f>IFERROR(VLOOKUP('Customer Info'!A2170,'Customer Info'!A2170:E2669,5,FALSE),"Not Found")</f>
        <v>Not Found</v>
      </c>
      <c r="J2178" s="2">
        <v>60</v>
      </c>
      <c r="K2178" s="2">
        <v>56</v>
      </c>
      <c r="L2178" s="2">
        <v>5</v>
      </c>
      <c r="M2178" s="7">
        <f t="shared" si="165"/>
        <v>280</v>
      </c>
      <c r="N2178" s="7">
        <f t="shared" si="166"/>
        <v>300</v>
      </c>
      <c r="O2178" s="2">
        <v>10</v>
      </c>
      <c r="P2178" s="8">
        <f t="shared" si="167"/>
        <v>310</v>
      </c>
      <c r="Q2178" s="8">
        <f t="shared" si="168"/>
        <v>244</v>
      </c>
      <c r="R2178" s="2" t="s">
        <v>28</v>
      </c>
      <c r="S2178" s="9">
        <f t="shared" si="169"/>
        <v>6.2</v>
      </c>
    </row>
    <row r="2179" spans="1:19" x14ac:dyDescent="0.3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str">
        <f>IFERROR(VLOOKUP('Customer Info'!A2171,'Customer Info'!A2171:C2670,2,FALSE),"Not Found")</f>
        <v>Not Found</v>
      </c>
      <c r="H2179" s="6" t="str">
        <f>IFERROR(VLOOKUP('Customer Info'!A2171,'Customer Info'!A2171:C2670,3,FALSE),"Not Found")</f>
        <v>Not Found</v>
      </c>
      <c r="I2179" s="6" t="str">
        <f>IFERROR(VLOOKUP('Customer Info'!A2171,'Customer Info'!A2171:E2670,5,FALSE),"Not Found")</f>
        <v>Not Found</v>
      </c>
      <c r="J2179" s="2">
        <v>2681</v>
      </c>
      <c r="K2179" s="2">
        <v>2458</v>
      </c>
      <c r="L2179" s="2">
        <v>1</v>
      </c>
      <c r="M2179" s="7">
        <f t="shared" si="165"/>
        <v>2458</v>
      </c>
      <c r="N2179" s="7">
        <f t="shared" si="166"/>
        <v>2681</v>
      </c>
      <c r="O2179" s="2">
        <v>57</v>
      </c>
      <c r="P2179" s="8">
        <f t="shared" si="167"/>
        <v>2738</v>
      </c>
      <c r="Q2179" s="8">
        <f t="shared" si="168"/>
        <v>223</v>
      </c>
      <c r="R2179" s="2" t="s">
        <v>28</v>
      </c>
      <c r="S2179" s="9">
        <f t="shared" si="169"/>
        <v>54.76</v>
      </c>
    </row>
    <row r="2180" spans="1:19" x14ac:dyDescent="0.3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str">
        <f>IFERROR(VLOOKUP('Customer Info'!A2172,'Customer Info'!A2172:C2671,2,FALSE),"Not Found")</f>
        <v>Not Found</v>
      </c>
      <c r="H2180" s="6" t="str">
        <f>IFERROR(VLOOKUP('Customer Info'!A2172,'Customer Info'!A2172:C2671,3,FALSE),"Not Found")</f>
        <v>Not Found</v>
      </c>
      <c r="I2180" s="6" t="str">
        <f>IFERROR(VLOOKUP('Customer Info'!A2172,'Customer Info'!A2172:E2671,5,FALSE),"Not Found")</f>
        <v>Not Found</v>
      </c>
      <c r="J2180" s="2">
        <v>8495</v>
      </c>
      <c r="K2180" s="2">
        <v>7647</v>
      </c>
      <c r="L2180" s="2">
        <v>3</v>
      </c>
      <c r="M2180" s="7">
        <f t="shared" si="165"/>
        <v>22941</v>
      </c>
      <c r="N2180" s="7">
        <f t="shared" si="166"/>
        <v>25485</v>
      </c>
      <c r="O2180" s="2">
        <v>79</v>
      </c>
      <c r="P2180" s="8">
        <f t="shared" si="167"/>
        <v>25564</v>
      </c>
      <c r="Q2180" s="8">
        <f t="shared" si="168"/>
        <v>17838</v>
      </c>
      <c r="R2180" s="2" t="s">
        <v>28</v>
      </c>
      <c r="S2180" s="9">
        <f t="shared" si="169"/>
        <v>1789.4800000000002</v>
      </c>
    </row>
    <row r="2181" spans="1:19" x14ac:dyDescent="0.3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str">
        <f>IFERROR(VLOOKUP('Customer Info'!A2173,'Customer Info'!A2173:C2672,2,FALSE),"Not Found")</f>
        <v>Not Found</v>
      </c>
      <c r="H2181" s="6" t="str">
        <f>IFERROR(VLOOKUP('Customer Info'!A2173,'Customer Info'!A2173:C2672,3,FALSE),"Not Found")</f>
        <v>Not Found</v>
      </c>
      <c r="I2181" s="6" t="str">
        <f>IFERROR(VLOOKUP('Customer Info'!A2173,'Customer Info'!A2173:E2672,5,FALSE),"Not Found")</f>
        <v>Not Found</v>
      </c>
      <c r="J2181" s="2">
        <v>1653</v>
      </c>
      <c r="K2181" s="2">
        <v>1560</v>
      </c>
      <c r="L2181" s="2">
        <v>2</v>
      </c>
      <c r="M2181" s="7">
        <f t="shared" si="165"/>
        <v>3120</v>
      </c>
      <c r="N2181" s="7">
        <f t="shared" si="166"/>
        <v>3306</v>
      </c>
      <c r="O2181" s="2">
        <v>68</v>
      </c>
      <c r="P2181" s="8">
        <f t="shared" si="167"/>
        <v>3374</v>
      </c>
      <c r="Q2181" s="8">
        <f t="shared" si="168"/>
        <v>1746</v>
      </c>
      <c r="R2181" s="2" t="s">
        <v>28</v>
      </c>
      <c r="S2181" s="9">
        <f t="shared" si="169"/>
        <v>67.48</v>
      </c>
    </row>
    <row r="2182" spans="1:19" x14ac:dyDescent="0.3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str">
        <f>IFERROR(VLOOKUP('Customer Info'!A2174,'Customer Info'!A2174:C2673,2,FALSE),"Not Found")</f>
        <v>Not Found</v>
      </c>
      <c r="H2182" s="6" t="str">
        <f>IFERROR(VLOOKUP('Customer Info'!A2174,'Customer Info'!A2174:C2673,3,FALSE),"Not Found")</f>
        <v>Not Found</v>
      </c>
      <c r="I2182" s="6" t="str">
        <f>IFERROR(VLOOKUP('Customer Info'!A2174,'Customer Info'!A2174:E2673,5,FALSE),"Not Found")</f>
        <v>Not Found</v>
      </c>
      <c r="J2182" s="2">
        <v>2540</v>
      </c>
      <c r="K2182" s="2">
        <v>2397</v>
      </c>
      <c r="L2182" s="2">
        <v>3</v>
      </c>
      <c r="M2182" s="7">
        <f t="shared" si="165"/>
        <v>7191</v>
      </c>
      <c r="N2182" s="7">
        <f t="shared" si="166"/>
        <v>7620</v>
      </c>
      <c r="O2182" s="2">
        <v>48</v>
      </c>
      <c r="P2182" s="8">
        <f t="shared" si="167"/>
        <v>7668</v>
      </c>
      <c r="Q2182" s="8">
        <f t="shared" si="168"/>
        <v>5223</v>
      </c>
      <c r="R2182" s="2" t="s">
        <v>28</v>
      </c>
      <c r="S2182" s="9">
        <f t="shared" si="169"/>
        <v>383.40000000000003</v>
      </c>
    </row>
    <row r="2183" spans="1:19" x14ac:dyDescent="0.3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str">
        <f>IFERROR(VLOOKUP('Customer Info'!A2175,'Customer Info'!A2175:C2674,2,FALSE),"Not Found")</f>
        <v>Not Found</v>
      </c>
      <c r="H2183" s="6" t="str">
        <f>IFERROR(VLOOKUP('Customer Info'!A2175,'Customer Info'!A2175:C2674,3,FALSE),"Not Found")</f>
        <v>Not Found</v>
      </c>
      <c r="I2183" s="6" t="str">
        <f>IFERROR(VLOOKUP('Customer Info'!A2175,'Customer Info'!A2175:E2674,5,FALSE),"Not Found")</f>
        <v>Not Found</v>
      </c>
      <c r="J2183" s="2">
        <v>1925</v>
      </c>
      <c r="K2183" s="2">
        <v>1834</v>
      </c>
      <c r="L2183" s="2">
        <v>7</v>
      </c>
      <c r="M2183" s="7">
        <f t="shared" si="165"/>
        <v>12838</v>
      </c>
      <c r="N2183" s="7">
        <f t="shared" si="166"/>
        <v>13475</v>
      </c>
      <c r="O2183" s="2">
        <v>43</v>
      </c>
      <c r="P2183" s="8">
        <f t="shared" si="167"/>
        <v>13518</v>
      </c>
      <c r="Q2183" s="8">
        <f t="shared" si="168"/>
        <v>11641</v>
      </c>
      <c r="R2183" s="2" t="s">
        <v>26</v>
      </c>
      <c r="S2183" s="9">
        <f t="shared" si="169"/>
        <v>675.90000000000009</v>
      </c>
    </row>
    <row r="2184" spans="1:19" x14ac:dyDescent="0.3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str">
        <f>IFERROR(VLOOKUP('Customer Info'!A2176,'Customer Info'!A2176:C2675,2,FALSE),"Not Found")</f>
        <v>Not Found</v>
      </c>
      <c r="H2184" s="6" t="str">
        <f>IFERROR(VLOOKUP('Customer Info'!A2176,'Customer Info'!A2176:C2675,3,FALSE),"Not Found")</f>
        <v>Not Found</v>
      </c>
      <c r="I2184" s="6" t="str">
        <f>IFERROR(VLOOKUP('Customer Info'!A2176,'Customer Info'!A2176:E2675,5,FALSE),"Not Found")</f>
        <v>Not Found</v>
      </c>
      <c r="J2184" s="2">
        <v>8448</v>
      </c>
      <c r="K2184" s="2">
        <v>7822</v>
      </c>
      <c r="L2184" s="2">
        <v>1</v>
      </c>
      <c r="M2184" s="7">
        <f t="shared" si="165"/>
        <v>7822</v>
      </c>
      <c r="N2184" s="7">
        <f t="shared" si="166"/>
        <v>8448</v>
      </c>
      <c r="O2184" s="2">
        <v>76</v>
      </c>
      <c r="P2184" s="8">
        <f t="shared" si="167"/>
        <v>8524</v>
      </c>
      <c r="Q2184" s="8">
        <f t="shared" si="168"/>
        <v>626</v>
      </c>
      <c r="R2184" s="2" t="s">
        <v>28</v>
      </c>
      <c r="S2184" s="9">
        <f t="shared" si="169"/>
        <v>426.20000000000005</v>
      </c>
    </row>
    <row r="2185" spans="1:19" x14ac:dyDescent="0.3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str">
        <f>IFERROR(VLOOKUP('Customer Info'!A2177,'Customer Info'!A2177:C2676,2,FALSE),"Not Found")</f>
        <v>Not Found</v>
      </c>
      <c r="H2185" s="6" t="str">
        <f>IFERROR(VLOOKUP('Customer Info'!A2177,'Customer Info'!A2177:C2676,3,FALSE),"Not Found")</f>
        <v>Not Found</v>
      </c>
      <c r="I2185" s="6" t="str">
        <f>IFERROR(VLOOKUP('Customer Info'!A2177,'Customer Info'!A2177:E2676,5,FALSE),"Not Found")</f>
        <v>Not Found</v>
      </c>
      <c r="J2185" s="2">
        <v>2243</v>
      </c>
      <c r="K2185" s="2">
        <v>2000</v>
      </c>
      <c r="L2185" s="2">
        <v>2</v>
      </c>
      <c r="M2185" s="7">
        <f t="shared" si="165"/>
        <v>4000</v>
      </c>
      <c r="N2185" s="7">
        <f t="shared" si="166"/>
        <v>4486</v>
      </c>
      <c r="O2185" s="2">
        <v>73</v>
      </c>
      <c r="P2185" s="8">
        <f t="shared" si="167"/>
        <v>4559</v>
      </c>
      <c r="Q2185" s="8">
        <f t="shared" si="168"/>
        <v>2486</v>
      </c>
      <c r="R2185" s="2" t="s">
        <v>50</v>
      </c>
      <c r="S2185" s="9">
        <f t="shared" si="169"/>
        <v>91.18</v>
      </c>
    </row>
    <row r="2186" spans="1:19" x14ac:dyDescent="0.3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str">
        <f>IFERROR(VLOOKUP('Customer Info'!A2178,'Customer Info'!A2178:C2677,2,FALSE),"Not Found")</f>
        <v>Not Found</v>
      </c>
      <c r="H2186" s="6" t="str">
        <f>IFERROR(VLOOKUP('Customer Info'!A2178,'Customer Info'!A2178:C2677,3,FALSE),"Not Found")</f>
        <v>Not Found</v>
      </c>
      <c r="I2186" s="6" t="str">
        <f>IFERROR(VLOOKUP('Customer Info'!A2178,'Customer Info'!A2178:E2677,5,FALSE),"Not Found")</f>
        <v>Not Found</v>
      </c>
      <c r="J2186" s="2">
        <v>3145</v>
      </c>
      <c r="K2186" s="2">
        <v>3025</v>
      </c>
      <c r="L2186" s="2">
        <v>2</v>
      </c>
      <c r="M2186" s="7">
        <f t="shared" si="165"/>
        <v>6050</v>
      </c>
      <c r="N2186" s="7">
        <f t="shared" si="166"/>
        <v>6290</v>
      </c>
      <c r="O2186" s="2">
        <v>96</v>
      </c>
      <c r="P2186" s="8">
        <f t="shared" si="167"/>
        <v>6386</v>
      </c>
      <c r="Q2186" s="8">
        <f t="shared" si="168"/>
        <v>3265</v>
      </c>
      <c r="R2186" s="2" t="s">
        <v>28</v>
      </c>
      <c r="S2186" s="9">
        <f t="shared" si="169"/>
        <v>319.3</v>
      </c>
    </row>
    <row r="2187" spans="1:19" x14ac:dyDescent="0.3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str">
        <f>IFERROR(VLOOKUP('Customer Info'!A2179,'Customer Info'!A2179:C2678,2,FALSE),"Not Found")</f>
        <v>Not Found</v>
      </c>
      <c r="H2187" s="6" t="str">
        <f>IFERROR(VLOOKUP('Customer Info'!A2179,'Customer Info'!A2179:C2678,3,FALSE),"Not Found")</f>
        <v>Not Found</v>
      </c>
      <c r="I2187" s="6" t="str">
        <f>IFERROR(VLOOKUP('Customer Info'!A2179,'Customer Info'!A2179:E2678,5,FALSE),"Not Found")</f>
        <v>Not Found</v>
      </c>
      <c r="J2187" s="2">
        <v>8617</v>
      </c>
      <c r="K2187" s="2">
        <v>7900</v>
      </c>
      <c r="L2187" s="2">
        <v>1</v>
      </c>
      <c r="M2187" s="7">
        <f t="shared" ref="M2187:M2250" si="170">$K2187*$L2187</f>
        <v>7900</v>
      </c>
      <c r="N2187" s="7">
        <f t="shared" ref="N2187:N2250" si="171">$J2187*$L2187</f>
        <v>8617</v>
      </c>
      <c r="O2187" s="2">
        <v>65</v>
      </c>
      <c r="P2187" s="8">
        <f t="shared" ref="P2187:P2250" si="172">$N2187+$O2187</f>
        <v>8682</v>
      </c>
      <c r="Q2187" s="8">
        <f t="shared" ref="Q2187:Q2250" si="173">$N2187-$K2187</f>
        <v>717</v>
      </c>
      <c r="R2187" s="2" t="s">
        <v>50</v>
      </c>
      <c r="S2187" s="9">
        <f t="shared" ref="S2187:S2250" si="174" xml:space="preserve"> P2187 * VLOOKUP(P2187, $T$2:$U$6, 2, TRUE)</f>
        <v>434.1</v>
      </c>
    </row>
    <row r="2188" spans="1:19" x14ac:dyDescent="0.3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str">
        <f>IFERROR(VLOOKUP('Customer Info'!A2180,'Customer Info'!A2180:C2679,2,FALSE),"Not Found")</f>
        <v>Not Found</v>
      </c>
      <c r="H2188" s="6" t="str">
        <f>IFERROR(VLOOKUP('Customer Info'!A2180,'Customer Info'!A2180:C2679,3,FALSE),"Not Found")</f>
        <v>Not Found</v>
      </c>
      <c r="I2188" s="6" t="str">
        <f>IFERROR(VLOOKUP('Customer Info'!A2180,'Customer Info'!A2180:E2679,5,FALSE),"Not Found")</f>
        <v>Not Found</v>
      </c>
      <c r="J2188" s="2">
        <v>8379</v>
      </c>
      <c r="K2188" s="2">
        <v>8061</v>
      </c>
      <c r="L2188" s="2">
        <v>4</v>
      </c>
      <c r="M2188" s="7">
        <f t="shared" si="170"/>
        <v>32244</v>
      </c>
      <c r="N2188" s="7">
        <f t="shared" si="171"/>
        <v>33516</v>
      </c>
      <c r="O2188" s="2">
        <v>25</v>
      </c>
      <c r="P2188" s="8">
        <f t="shared" si="172"/>
        <v>33541</v>
      </c>
      <c r="Q2188" s="8">
        <f t="shared" si="173"/>
        <v>25455</v>
      </c>
      <c r="R2188" s="2" t="s">
        <v>28</v>
      </c>
      <c r="S2188" s="9">
        <f t="shared" si="174"/>
        <v>2347.8700000000003</v>
      </c>
    </row>
    <row r="2189" spans="1:19" x14ac:dyDescent="0.3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str">
        <f>IFERROR(VLOOKUP('Customer Info'!A2181,'Customer Info'!A2181:C2680,2,FALSE),"Not Found")</f>
        <v>Not Found</v>
      </c>
      <c r="H2189" s="6" t="str">
        <f>IFERROR(VLOOKUP('Customer Info'!A2181,'Customer Info'!A2181:C2680,3,FALSE),"Not Found")</f>
        <v>Not Found</v>
      </c>
      <c r="I2189" s="6" t="str">
        <f>IFERROR(VLOOKUP('Customer Info'!A2181,'Customer Info'!A2181:E2680,5,FALSE),"Not Found")</f>
        <v>Not Found</v>
      </c>
      <c r="J2189" s="2">
        <v>1668</v>
      </c>
      <c r="K2189" s="2">
        <v>1636</v>
      </c>
      <c r="L2189" s="2">
        <v>8</v>
      </c>
      <c r="M2189" s="7">
        <f t="shared" si="170"/>
        <v>13088</v>
      </c>
      <c r="N2189" s="7">
        <f t="shared" si="171"/>
        <v>13344</v>
      </c>
      <c r="O2189" s="2">
        <v>52</v>
      </c>
      <c r="P2189" s="8">
        <f t="shared" si="172"/>
        <v>13396</v>
      </c>
      <c r="Q2189" s="8">
        <f t="shared" si="173"/>
        <v>11708</v>
      </c>
      <c r="R2189" s="2" t="s">
        <v>28</v>
      </c>
      <c r="S2189" s="9">
        <f t="shared" si="174"/>
        <v>669.80000000000007</v>
      </c>
    </row>
    <row r="2190" spans="1:19" x14ac:dyDescent="0.3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str">
        <f>IFERROR(VLOOKUP('Customer Info'!A2182,'Customer Info'!A2182:C2681,2,FALSE),"Not Found")</f>
        <v>Not Found</v>
      </c>
      <c r="H2190" s="6" t="str">
        <f>IFERROR(VLOOKUP('Customer Info'!A2182,'Customer Info'!A2182:C2681,3,FALSE),"Not Found")</f>
        <v>Not Found</v>
      </c>
      <c r="I2190" s="6" t="str">
        <f>IFERROR(VLOOKUP('Customer Info'!A2182,'Customer Info'!A2182:E2681,5,FALSE),"Not Found")</f>
        <v>Not Found</v>
      </c>
      <c r="J2190" s="2">
        <v>3017</v>
      </c>
      <c r="K2190" s="2">
        <v>2825</v>
      </c>
      <c r="L2190" s="2">
        <v>4</v>
      </c>
      <c r="M2190" s="7">
        <f t="shared" si="170"/>
        <v>11300</v>
      </c>
      <c r="N2190" s="7">
        <f t="shared" si="171"/>
        <v>12068</v>
      </c>
      <c r="O2190" s="2">
        <v>55</v>
      </c>
      <c r="P2190" s="8">
        <f t="shared" si="172"/>
        <v>12123</v>
      </c>
      <c r="Q2190" s="8">
        <f t="shared" si="173"/>
        <v>9243</v>
      </c>
      <c r="R2190" s="2" t="s">
        <v>28</v>
      </c>
      <c r="S2190" s="9">
        <f t="shared" si="174"/>
        <v>606.15</v>
      </c>
    </row>
    <row r="2191" spans="1:19" x14ac:dyDescent="0.3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str">
        <f>IFERROR(VLOOKUP('Customer Info'!A2183,'Customer Info'!A2183:C2682,2,FALSE),"Not Found")</f>
        <v>Not Found</v>
      </c>
      <c r="H2191" s="6" t="str">
        <f>IFERROR(VLOOKUP('Customer Info'!A2183,'Customer Info'!A2183:C2682,3,FALSE),"Not Found")</f>
        <v>Not Found</v>
      </c>
      <c r="I2191" s="6" t="str">
        <f>IFERROR(VLOOKUP('Customer Info'!A2183,'Customer Info'!A2183:E2682,5,FALSE),"Not Found")</f>
        <v>Not Found</v>
      </c>
      <c r="J2191" s="2">
        <v>1958</v>
      </c>
      <c r="K2191" s="2">
        <v>1846</v>
      </c>
      <c r="L2191" s="2">
        <v>3</v>
      </c>
      <c r="M2191" s="7">
        <f t="shared" si="170"/>
        <v>5538</v>
      </c>
      <c r="N2191" s="7">
        <f t="shared" si="171"/>
        <v>5874</v>
      </c>
      <c r="O2191" s="2">
        <v>64</v>
      </c>
      <c r="P2191" s="8">
        <f t="shared" si="172"/>
        <v>5938</v>
      </c>
      <c r="Q2191" s="8">
        <f t="shared" si="173"/>
        <v>4028</v>
      </c>
      <c r="R2191" s="2" t="s">
        <v>28</v>
      </c>
      <c r="S2191" s="9">
        <f t="shared" si="174"/>
        <v>296.90000000000003</v>
      </c>
    </row>
    <row r="2192" spans="1:19" x14ac:dyDescent="0.3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str">
        <f>IFERROR(VLOOKUP('Customer Info'!A2184,'Customer Info'!A2184:C2683,2,FALSE),"Not Found")</f>
        <v>Not Found</v>
      </c>
      <c r="H2192" s="6" t="str">
        <f>IFERROR(VLOOKUP('Customer Info'!A2184,'Customer Info'!A2184:C2683,3,FALSE),"Not Found")</f>
        <v>Not Found</v>
      </c>
      <c r="I2192" s="6" t="str">
        <f>IFERROR(VLOOKUP('Customer Info'!A2184,'Customer Info'!A2184:E2683,5,FALSE),"Not Found")</f>
        <v>Not Found</v>
      </c>
      <c r="J2192" s="2">
        <v>202</v>
      </c>
      <c r="K2192" s="2">
        <v>187</v>
      </c>
      <c r="L2192" s="2">
        <v>2</v>
      </c>
      <c r="M2192" s="7">
        <f t="shared" si="170"/>
        <v>374</v>
      </c>
      <c r="N2192" s="7">
        <f t="shared" si="171"/>
        <v>404</v>
      </c>
      <c r="O2192" s="2">
        <v>30</v>
      </c>
      <c r="P2192" s="8">
        <f t="shared" si="172"/>
        <v>434</v>
      </c>
      <c r="Q2192" s="8">
        <f t="shared" si="173"/>
        <v>217</v>
      </c>
      <c r="R2192" s="2" t="s">
        <v>50</v>
      </c>
      <c r="S2192" s="9">
        <f t="shared" si="174"/>
        <v>8.68</v>
      </c>
    </row>
    <row r="2193" spans="1:19" x14ac:dyDescent="0.3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str">
        <f>IFERROR(VLOOKUP('Customer Info'!A2185,'Customer Info'!A2185:C2684,2,FALSE),"Not Found")</f>
        <v>Not Found</v>
      </c>
      <c r="H2193" s="6" t="str">
        <f>IFERROR(VLOOKUP('Customer Info'!A2185,'Customer Info'!A2185:C2684,3,FALSE),"Not Found")</f>
        <v>Not Found</v>
      </c>
      <c r="I2193" s="6" t="str">
        <f>IFERROR(VLOOKUP('Customer Info'!A2185,'Customer Info'!A2185:E2684,5,FALSE),"Not Found")</f>
        <v>Not Found</v>
      </c>
      <c r="J2193" s="2">
        <v>8187</v>
      </c>
      <c r="K2193" s="2">
        <v>7799</v>
      </c>
      <c r="L2193" s="2">
        <v>3</v>
      </c>
      <c r="M2193" s="7">
        <f t="shared" si="170"/>
        <v>23397</v>
      </c>
      <c r="N2193" s="7">
        <f t="shared" si="171"/>
        <v>24561</v>
      </c>
      <c r="O2193" s="2">
        <v>62</v>
      </c>
      <c r="P2193" s="8">
        <f t="shared" si="172"/>
        <v>24623</v>
      </c>
      <c r="Q2193" s="8">
        <f t="shared" si="173"/>
        <v>16762</v>
      </c>
      <c r="R2193" s="2" t="s">
        <v>26</v>
      </c>
      <c r="S2193" s="9">
        <f t="shared" si="174"/>
        <v>1231.1500000000001</v>
      </c>
    </row>
    <row r="2194" spans="1:19" x14ac:dyDescent="0.3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str">
        <f>IFERROR(VLOOKUP('Customer Info'!A2186,'Customer Info'!A2186:C2685,2,FALSE),"Not Found")</f>
        <v>Not Found</v>
      </c>
      <c r="H2194" s="6" t="str">
        <f>IFERROR(VLOOKUP('Customer Info'!A2186,'Customer Info'!A2186:C2685,3,FALSE),"Not Found")</f>
        <v>Not Found</v>
      </c>
      <c r="I2194" s="6" t="str">
        <f>IFERROR(VLOOKUP('Customer Info'!A2186,'Customer Info'!A2186:E2685,5,FALSE),"Not Found")</f>
        <v>Not Found</v>
      </c>
      <c r="J2194" s="2">
        <v>3275</v>
      </c>
      <c r="K2194" s="2">
        <v>3090</v>
      </c>
      <c r="L2194" s="2">
        <v>4</v>
      </c>
      <c r="M2194" s="7">
        <f t="shared" si="170"/>
        <v>12360</v>
      </c>
      <c r="N2194" s="7">
        <f t="shared" si="171"/>
        <v>13100</v>
      </c>
      <c r="O2194" s="2">
        <v>76</v>
      </c>
      <c r="P2194" s="8">
        <f t="shared" si="172"/>
        <v>13176</v>
      </c>
      <c r="Q2194" s="8">
        <f t="shared" si="173"/>
        <v>10010</v>
      </c>
      <c r="R2194" s="2" t="s">
        <v>28</v>
      </c>
      <c r="S2194" s="9">
        <f t="shared" si="174"/>
        <v>658.80000000000007</v>
      </c>
    </row>
    <row r="2195" spans="1:19" x14ac:dyDescent="0.3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str">
        <f>IFERROR(VLOOKUP('Customer Info'!A2187,'Customer Info'!A2187:C2686,2,FALSE),"Not Found")</f>
        <v>Not Found</v>
      </c>
      <c r="H2195" s="6" t="str">
        <f>IFERROR(VLOOKUP('Customer Info'!A2187,'Customer Info'!A2187:C2686,3,FALSE),"Not Found")</f>
        <v>Not Found</v>
      </c>
      <c r="I2195" s="6" t="str">
        <f>IFERROR(VLOOKUP('Customer Info'!A2187,'Customer Info'!A2187:E2686,5,FALSE),"Not Found")</f>
        <v>Not Found</v>
      </c>
      <c r="J2195" s="2">
        <v>531</v>
      </c>
      <c r="K2195" s="2">
        <v>487</v>
      </c>
      <c r="L2195" s="2">
        <v>7</v>
      </c>
      <c r="M2195" s="7">
        <f t="shared" si="170"/>
        <v>3409</v>
      </c>
      <c r="N2195" s="7">
        <f t="shared" si="171"/>
        <v>3717</v>
      </c>
      <c r="O2195" s="2">
        <v>65</v>
      </c>
      <c r="P2195" s="8">
        <f t="shared" si="172"/>
        <v>3782</v>
      </c>
      <c r="Q2195" s="8">
        <f t="shared" si="173"/>
        <v>3230</v>
      </c>
      <c r="R2195" s="2" t="s">
        <v>50</v>
      </c>
      <c r="S2195" s="9">
        <f t="shared" si="174"/>
        <v>75.64</v>
      </c>
    </row>
    <row r="2196" spans="1:19" x14ac:dyDescent="0.3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str">
        <f>IFERROR(VLOOKUP('Customer Info'!A2188,'Customer Info'!A2188:C2687,2,FALSE),"Not Found")</f>
        <v>Not Found</v>
      </c>
      <c r="H2196" s="6" t="str">
        <f>IFERROR(VLOOKUP('Customer Info'!A2188,'Customer Info'!A2188:C2687,3,FALSE),"Not Found")</f>
        <v>Not Found</v>
      </c>
      <c r="I2196" s="6" t="str">
        <f>IFERROR(VLOOKUP('Customer Info'!A2188,'Customer Info'!A2188:E2687,5,FALSE),"Not Found")</f>
        <v>Not Found</v>
      </c>
      <c r="J2196" s="2">
        <v>2177</v>
      </c>
      <c r="K2196" s="2">
        <v>2054</v>
      </c>
      <c r="L2196" s="2">
        <v>5</v>
      </c>
      <c r="M2196" s="7">
        <f t="shared" si="170"/>
        <v>10270</v>
      </c>
      <c r="N2196" s="7">
        <f t="shared" si="171"/>
        <v>10885</v>
      </c>
      <c r="O2196" s="2">
        <v>88</v>
      </c>
      <c r="P2196" s="8">
        <f t="shared" si="172"/>
        <v>10973</v>
      </c>
      <c r="Q2196" s="8">
        <f t="shared" si="173"/>
        <v>8831</v>
      </c>
      <c r="R2196" s="2" t="s">
        <v>28</v>
      </c>
      <c r="S2196" s="9">
        <f t="shared" si="174"/>
        <v>548.65</v>
      </c>
    </row>
    <row r="2197" spans="1:19" x14ac:dyDescent="0.3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str">
        <f>IFERROR(VLOOKUP('Customer Info'!A2189,'Customer Info'!A2189:C2688,2,FALSE),"Not Found")</f>
        <v>Not Found</v>
      </c>
      <c r="H2197" s="6" t="str">
        <f>IFERROR(VLOOKUP('Customer Info'!A2189,'Customer Info'!A2189:C2688,3,FALSE),"Not Found")</f>
        <v>Not Found</v>
      </c>
      <c r="I2197" s="6" t="str">
        <f>IFERROR(VLOOKUP('Customer Info'!A2189,'Customer Info'!A2189:E2688,5,FALSE),"Not Found")</f>
        <v>Not Found</v>
      </c>
      <c r="J2197" s="2">
        <v>4002</v>
      </c>
      <c r="K2197" s="2">
        <v>3744</v>
      </c>
      <c r="L2197" s="2">
        <v>7</v>
      </c>
      <c r="M2197" s="7">
        <f t="shared" si="170"/>
        <v>26208</v>
      </c>
      <c r="N2197" s="7">
        <f t="shared" si="171"/>
        <v>28014</v>
      </c>
      <c r="O2197" s="2">
        <v>47</v>
      </c>
      <c r="P2197" s="8">
        <f t="shared" si="172"/>
        <v>28061</v>
      </c>
      <c r="Q2197" s="8">
        <f t="shared" si="173"/>
        <v>24270</v>
      </c>
      <c r="R2197" s="2" t="s">
        <v>50</v>
      </c>
      <c r="S2197" s="9">
        <f t="shared" si="174"/>
        <v>1964.2700000000002</v>
      </c>
    </row>
    <row r="2198" spans="1:19" x14ac:dyDescent="0.3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str">
        <f>IFERROR(VLOOKUP('Customer Info'!A2190,'Customer Info'!A2190:C2689,2,FALSE),"Not Found")</f>
        <v>Not Found</v>
      </c>
      <c r="H2198" s="6" t="str">
        <f>IFERROR(VLOOKUP('Customer Info'!A2190,'Customer Info'!A2190:C2689,3,FALSE),"Not Found")</f>
        <v>Not Found</v>
      </c>
      <c r="I2198" s="6" t="str">
        <f>IFERROR(VLOOKUP('Customer Info'!A2190,'Customer Info'!A2190:E2689,5,FALSE),"Not Found")</f>
        <v>Not Found</v>
      </c>
      <c r="J2198" s="2">
        <v>1619</v>
      </c>
      <c r="K2198" s="2">
        <v>1442</v>
      </c>
      <c r="L2198" s="2">
        <v>6</v>
      </c>
      <c r="M2198" s="7">
        <f t="shared" si="170"/>
        <v>8652</v>
      </c>
      <c r="N2198" s="7">
        <f t="shared" si="171"/>
        <v>9714</v>
      </c>
      <c r="O2198" s="2">
        <v>44</v>
      </c>
      <c r="P2198" s="8">
        <f t="shared" si="172"/>
        <v>9758</v>
      </c>
      <c r="Q2198" s="8">
        <f t="shared" si="173"/>
        <v>8272</v>
      </c>
      <c r="R2198" s="2" t="s">
        <v>50</v>
      </c>
      <c r="S2198" s="9">
        <f t="shared" si="174"/>
        <v>487.90000000000003</v>
      </c>
    </row>
    <row r="2199" spans="1:19" x14ac:dyDescent="0.3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str">
        <f>IFERROR(VLOOKUP('Customer Info'!A2191,'Customer Info'!A2191:C2690,2,FALSE),"Not Found")</f>
        <v>Not Found</v>
      </c>
      <c r="H2199" s="6" t="str">
        <f>IFERROR(VLOOKUP('Customer Info'!A2191,'Customer Info'!A2191:C2690,3,FALSE),"Not Found")</f>
        <v>Not Found</v>
      </c>
      <c r="I2199" s="6" t="str">
        <f>IFERROR(VLOOKUP('Customer Info'!A2191,'Customer Info'!A2191:E2690,5,FALSE),"Not Found")</f>
        <v>Not Found</v>
      </c>
      <c r="J2199" s="2">
        <v>626</v>
      </c>
      <c r="K2199" s="2">
        <v>559</v>
      </c>
      <c r="L2199" s="2">
        <v>1</v>
      </c>
      <c r="M2199" s="7">
        <f t="shared" si="170"/>
        <v>559</v>
      </c>
      <c r="N2199" s="7">
        <f t="shared" si="171"/>
        <v>626</v>
      </c>
      <c r="O2199" s="2">
        <v>55</v>
      </c>
      <c r="P2199" s="8">
        <f t="shared" si="172"/>
        <v>681</v>
      </c>
      <c r="Q2199" s="8">
        <f t="shared" si="173"/>
        <v>67</v>
      </c>
      <c r="R2199" s="2" t="s">
        <v>50</v>
      </c>
      <c r="S2199" s="9">
        <f t="shared" si="174"/>
        <v>13.620000000000001</v>
      </c>
    </row>
    <row r="2200" spans="1:19" x14ac:dyDescent="0.3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str">
        <f>IFERROR(VLOOKUP('Customer Info'!A2192,'Customer Info'!A2192:C2691,2,FALSE),"Not Found")</f>
        <v>Not Found</v>
      </c>
      <c r="H2200" s="6" t="str">
        <f>IFERROR(VLOOKUP('Customer Info'!A2192,'Customer Info'!A2192:C2691,3,FALSE),"Not Found")</f>
        <v>Not Found</v>
      </c>
      <c r="I2200" s="6" t="str">
        <f>IFERROR(VLOOKUP('Customer Info'!A2192,'Customer Info'!A2192:E2691,5,FALSE),"Not Found")</f>
        <v>Not Found</v>
      </c>
      <c r="J2200" s="2">
        <v>2453</v>
      </c>
      <c r="K2200" s="2">
        <v>2336</v>
      </c>
      <c r="L2200" s="2">
        <v>3</v>
      </c>
      <c r="M2200" s="7">
        <f t="shared" si="170"/>
        <v>7008</v>
      </c>
      <c r="N2200" s="7">
        <f t="shared" si="171"/>
        <v>7359</v>
      </c>
      <c r="O2200" s="2">
        <v>80</v>
      </c>
      <c r="P2200" s="8">
        <f t="shared" si="172"/>
        <v>7439</v>
      </c>
      <c r="Q2200" s="8">
        <f t="shared" si="173"/>
        <v>5023</v>
      </c>
      <c r="R2200" s="2" t="s">
        <v>50</v>
      </c>
      <c r="S2200" s="9">
        <f t="shared" si="174"/>
        <v>371.95000000000005</v>
      </c>
    </row>
    <row r="2201" spans="1:19" x14ac:dyDescent="0.3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str">
        <f>IFERROR(VLOOKUP('Customer Info'!A2193,'Customer Info'!A2193:C2692,2,FALSE),"Not Found")</f>
        <v>Not Found</v>
      </c>
      <c r="H2201" s="6" t="str">
        <f>IFERROR(VLOOKUP('Customer Info'!A2193,'Customer Info'!A2193:C2692,3,FALSE),"Not Found")</f>
        <v>Not Found</v>
      </c>
      <c r="I2201" s="6" t="str">
        <f>IFERROR(VLOOKUP('Customer Info'!A2193,'Customer Info'!A2193:E2692,5,FALSE),"Not Found")</f>
        <v>Not Found</v>
      </c>
      <c r="J2201" s="2">
        <v>2342</v>
      </c>
      <c r="K2201" s="2">
        <v>2210</v>
      </c>
      <c r="L2201" s="2">
        <v>2</v>
      </c>
      <c r="M2201" s="7">
        <f t="shared" si="170"/>
        <v>4420</v>
      </c>
      <c r="N2201" s="7">
        <f t="shared" si="171"/>
        <v>4684</v>
      </c>
      <c r="O2201" s="2">
        <v>91</v>
      </c>
      <c r="P2201" s="8">
        <f t="shared" si="172"/>
        <v>4775</v>
      </c>
      <c r="Q2201" s="8">
        <f t="shared" si="173"/>
        <v>2474</v>
      </c>
      <c r="R2201" s="2" t="s">
        <v>28</v>
      </c>
      <c r="S2201" s="9">
        <f t="shared" si="174"/>
        <v>95.5</v>
      </c>
    </row>
    <row r="2202" spans="1:19" x14ac:dyDescent="0.3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str">
        <f>IFERROR(VLOOKUP('Customer Info'!A2194,'Customer Info'!A2194:C2693,2,FALSE),"Not Found")</f>
        <v>Not Found</v>
      </c>
      <c r="H2202" s="6" t="str">
        <f>IFERROR(VLOOKUP('Customer Info'!A2194,'Customer Info'!A2194:C2693,3,FALSE),"Not Found")</f>
        <v>Not Found</v>
      </c>
      <c r="I2202" s="6" t="str">
        <f>IFERROR(VLOOKUP('Customer Info'!A2194,'Customer Info'!A2194:E2693,5,FALSE),"Not Found")</f>
        <v>Not Found</v>
      </c>
      <c r="J2202" s="2">
        <v>3248</v>
      </c>
      <c r="K2202" s="2">
        <v>3035</v>
      </c>
      <c r="L2202" s="2">
        <v>4</v>
      </c>
      <c r="M2202" s="7">
        <f t="shared" si="170"/>
        <v>12140</v>
      </c>
      <c r="N2202" s="7">
        <f t="shared" si="171"/>
        <v>12992</v>
      </c>
      <c r="O2202" s="2">
        <v>58</v>
      </c>
      <c r="P2202" s="8">
        <f t="shared" si="172"/>
        <v>13050</v>
      </c>
      <c r="Q2202" s="8">
        <f t="shared" si="173"/>
        <v>9957</v>
      </c>
      <c r="R2202" s="2" t="s">
        <v>50</v>
      </c>
      <c r="S2202" s="9">
        <f t="shared" si="174"/>
        <v>652.5</v>
      </c>
    </row>
    <row r="2203" spans="1:19" x14ac:dyDescent="0.3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str">
        <f>IFERROR(VLOOKUP('Customer Info'!A2195,'Customer Info'!A2195:C2694,2,FALSE),"Not Found")</f>
        <v>Not Found</v>
      </c>
      <c r="H2203" s="6" t="str">
        <f>IFERROR(VLOOKUP('Customer Info'!A2195,'Customer Info'!A2195:C2694,3,FALSE),"Not Found")</f>
        <v>Not Found</v>
      </c>
      <c r="I2203" s="6" t="str">
        <f>IFERROR(VLOOKUP('Customer Info'!A2195,'Customer Info'!A2195:E2694,5,FALSE),"Not Found")</f>
        <v>Not Found</v>
      </c>
      <c r="J2203" s="2">
        <v>2027</v>
      </c>
      <c r="K2203" s="2">
        <v>1913</v>
      </c>
      <c r="L2203" s="2">
        <v>2</v>
      </c>
      <c r="M2203" s="7">
        <f t="shared" si="170"/>
        <v>3826</v>
      </c>
      <c r="N2203" s="7">
        <f t="shared" si="171"/>
        <v>4054</v>
      </c>
      <c r="O2203" s="2">
        <v>69</v>
      </c>
      <c r="P2203" s="8">
        <f t="shared" si="172"/>
        <v>4123</v>
      </c>
      <c r="Q2203" s="8">
        <f t="shared" si="173"/>
        <v>2141</v>
      </c>
      <c r="R2203" s="2" t="s">
        <v>28</v>
      </c>
      <c r="S2203" s="9">
        <f t="shared" si="174"/>
        <v>82.460000000000008</v>
      </c>
    </row>
    <row r="2204" spans="1:19" x14ac:dyDescent="0.3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str">
        <f>IFERROR(VLOOKUP('Customer Info'!A2196,'Customer Info'!A2196:C2695,2,FALSE),"Not Found")</f>
        <v>Not Found</v>
      </c>
      <c r="H2204" s="6" t="str">
        <f>IFERROR(VLOOKUP('Customer Info'!A2196,'Customer Info'!A2196:C2695,3,FALSE),"Not Found")</f>
        <v>Not Found</v>
      </c>
      <c r="I2204" s="6" t="str">
        <f>IFERROR(VLOOKUP('Customer Info'!A2196,'Customer Info'!A2196:E2695,5,FALSE),"Not Found")</f>
        <v>Not Found</v>
      </c>
      <c r="J2204" s="2">
        <v>2205</v>
      </c>
      <c r="K2204" s="2">
        <v>2061</v>
      </c>
      <c r="L2204" s="2">
        <v>6</v>
      </c>
      <c r="M2204" s="7">
        <f t="shared" si="170"/>
        <v>12366</v>
      </c>
      <c r="N2204" s="7">
        <f t="shared" si="171"/>
        <v>13230</v>
      </c>
      <c r="O2204" s="2">
        <v>43</v>
      </c>
      <c r="P2204" s="8">
        <f t="shared" si="172"/>
        <v>13273</v>
      </c>
      <c r="Q2204" s="8">
        <f t="shared" si="173"/>
        <v>11169</v>
      </c>
      <c r="R2204" s="2" t="s">
        <v>50</v>
      </c>
      <c r="S2204" s="9">
        <f t="shared" si="174"/>
        <v>663.65000000000009</v>
      </c>
    </row>
    <row r="2205" spans="1:19" x14ac:dyDescent="0.3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str">
        <f>IFERROR(VLOOKUP('Customer Info'!A2197,'Customer Info'!A2197:C2696,2,FALSE),"Not Found")</f>
        <v>Not Found</v>
      </c>
      <c r="H2205" s="6" t="str">
        <f>IFERROR(VLOOKUP('Customer Info'!A2197,'Customer Info'!A2197:C2696,3,FALSE),"Not Found")</f>
        <v>Not Found</v>
      </c>
      <c r="I2205" s="6" t="str">
        <f>IFERROR(VLOOKUP('Customer Info'!A2197,'Customer Info'!A2197:E2696,5,FALSE),"Not Found")</f>
        <v>Not Found</v>
      </c>
      <c r="J2205" s="2">
        <v>7350</v>
      </c>
      <c r="K2205" s="2">
        <v>6743</v>
      </c>
      <c r="L2205" s="2">
        <v>1</v>
      </c>
      <c r="M2205" s="7">
        <f t="shared" si="170"/>
        <v>6743</v>
      </c>
      <c r="N2205" s="7">
        <f t="shared" si="171"/>
        <v>7350</v>
      </c>
      <c r="O2205" s="2">
        <v>78</v>
      </c>
      <c r="P2205" s="8">
        <f t="shared" si="172"/>
        <v>7428</v>
      </c>
      <c r="Q2205" s="8">
        <f t="shared" si="173"/>
        <v>607</v>
      </c>
      <c r="R2205" s="2" t="s">
        <v>50</v>
      </c>
      <c r="S2205" s="9">
        <f t="shared" si="174"/>
        <v>371.40000000000003</v>
      </c>
    </row>
    <row r="2206" spans="1:19" x14ac:dyDescent="0.3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str">
        <f>IFERROR(VLOOKUP('Customer Info'!A2198,'Customer Info'!A2198:C2697,2,FALSE),"Not Found")</f>
        <v>Not Found</v>
      </c>
      <c r="H2206" s="6" t="str">
        <f>IFERROR(VLOOKUP('Customer Info'!A2198,'Customer Info'!A2198:C2697,3,FALSE),"Not Found")</f>
        <v>Not Found</v>
      </c>
      <c r="I2206" s="6" t="str">
        <f>IFERROR(VLOOKUP('Customer Info'!A2198,'Customer Info'!A2198:E2697,5,FALSE),"Not Found")</f>
        <v>Not Found</v>
      </c>
      <c r="J2206" s="2">
        <v>2857</v>
      </c>
      <c r="K2206" s="2">
        <v>2622</v>
      </c>
      <c r="L2206" s="2">
        <v>4</v>
      </c>
      <c r="M2206" s="7">
        <f t="shared" si="170"/>
        <v>10488</v>
      </c>
      <c r="N2206" s="7">
        <f t="shared" si="171"/>
        <v>11428</v>
      </c>
      <c r="O2206" s="2">
        <v>44</v>
      </c>
      <c r="P2206" s="8">
        <f t="shared" si="172"/>
        <v>11472</v>
      </c>
      <c r="Q2206" s="8">
        <f t="shared" si="173"/>
        <v>8806</v>
      </c>
      <c r="R2206" s="2" t="s">
        <v>50</v>
      </c>
      <c r="S2206" s="9">
        <f t="shared" si="174"/>
        <v>573.6</v>
      </c>
    </row>
    <row r="2207" spans="1:19" x14ac:dyDescent="0.3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str">
        <f>IFERROR(VLOOKUP('Customer Info'!A2199,'Customer Info'!A2199:C2698,2,FALSE),"Not Found")</f>
        <v>Not Found</v>
      </c>
      <c r="H2207" s="6" t="str">
        <f>IFERROR(VLOOKUP('Customer Info'!A2199,'Customer Info'!A2199:C2698,3,FALSE),"Not Found")</f>
        <v>Not Found</v>
      </c>
      <c r="I2207" s="6" t="str">
        <f>IFERROR(VLOOKUP('Customer Info'!A2199,'Customer Info'!A2199:E2698,5,FALSE),"Not Found")</f>
        <v>Not Found</v>
      </c>
      <c r="J2207" s="2">
        <v>1576</v>
      </c>
      <c r="K2207" s="2">
        <v>1531</v>
      </c>
      <c r="L2207" s="2">
        <v>2</v>
      </c>
      <c r="M2207" s="7">
        <f t="shared" si="170"/>
        <v>3062</v>
      </c>
      <c r="N2207" s="7">
        <f t="shared" si="171"/>
        <v>3152</v>
      </c>
      <c r="O2207" s="2">
        <v>92</v>
      </c>
      <c r="P2207" s="8">
        <f t="shared" si="172"/>
        <v>3244</v>
      </c>
      <c r="Q2207" s="8">
        <f t="shared" si="173"/>
        <v>1621</v>
      </c>
      <c r="R2207" s="2" t="s">
        <v>26</v>
      </c>
      <c r="S2207" s="9">
        <f t="shared" si="174"/>
        <v>64.88</v>
      </c>
    </row>
    <row r="2208" spans="1:19" x14ac:dyDescent="0.3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str">
        <f>IFERROR(VLOOKUP('Customer Info'!A2200,'Customer Info'!A2200:C2699,2,FALSE),"Not Found")</f>
        <v>Not Found</v>
      </c>
      <c r="H2208" s="6" t="str">
        <f>IFERROR(VLOOKUP('Customer Info'!A2200,'Customer Info'!A2200:C2699,3,FALSE),"Not Found")</f>
        <v>Not Found</v>
      </c>
      <c r="I2208" s="6" t="str">
        <f>IFERROR(VLOOKUP('Customer Info'!A2200,'Customer Info'!A2200:E2699,5,FALSE),"Not Found")</f>
        <v>Not Found</v>
      </c>
      <c r="J2208" s="2">
        <v>5848</v>
      </c>
      <c r="K2208" s="2">
        <v>5214</v>
      </c>
      <c r="L2208" s="2">
        <v>9</v>
      </c>
      <c r="M2208" s="7">
        <f t="shared" si="170"/>
        <v>46926</v>
      </c>
      <c r="N2208" s="7">
        <f t="shared" si="171"/>
        <v>52632</v>
      </c>
      <c r="O2208" s="2">
        <v>72</v>
      </c>
      <c r="P2208" s="8">
        <f t="shared" si="172"/>
        <v>52704</v>
      </c>
      <c r="Q2208" s="8">
        <f t="shared" si="173"/>
        <v>47418</v>
      </c>
      <c r="R2208" s="2" t="s">
        <v>28</v>
      </c>
      <c r="S2208" s="9">
        <f t="shared" si="174"/>
        <v>4743.3599999999997</v>
      </c>
    </row>
    <row r="2209" spans="1:19" x14ac:dyDescent="0.3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str">
        <f>IFERROR(VLOOKUP('Customer Info'!A2201,'Customer Info'!A2201:C2700,2,FALSE),"Not Found")</f>
        <v>Not Found</v>
      </c>
      <c r="H2209" s="6" t="str">
        <f>IFERROR(VLOOKUP('Customer Info'!A2201,'Customer Info'!A2201:C2700,3,FALSE),"Not Found")</f>
        <v>Not Found</v>
      </c>
      <c r="I2209" s="6" t="str">
        <f>IFERROR(VLOOKUP('Customer Info'!A2201,'Customer Info'!A2201:E2700,5,FALSE),"Not Found")</f>
        <v>Not Found</v>
      </c>
      <c r="J2209" s="2">
        <v>829</v>
      </c>
      <c r="K2209" s="2">
        <v>761</v>
      </c>
      <c r="L2209" s="2">
        <v>5</v>
      </c>
      <c r="M2209" s="7">
        <f t="shared" si="170"/>
        <v>3805</v>
      </c>
      <c r="N2209" s="7">
        <f t="shared" si="171"/>
        <v>4145</v>
      </c>
      <c r="O2209" s="2">
        <v>40</v>
      </c>
      <c r="P2209" s="8">
        <f t="shared" si="172"/>
        <v>4185</v>
      </c>
      <c r="Q2209" s="8">
        <f t="shared" si="173"/>
        <v>3384</v>
      </c>
      <c r="R2209" s="2" t="s">
        <v>28</v>
      </c>
      <c r="S2209" s="9">
        <f t="shared" si="174"/>
        <v>83.7</v>
      </c>
    </row>
    <row r="2210" spans="1:19" x14ac:dyDescent="0.3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str">
        <f>IFERROR(VLOOKUP('Customer Info'!A2202,'Customer Info'!A2202:C2701,2,FALSE),"Not Found")</f>
        <v>Not Found</v>
      </c>
      <c r="H2210" s="6" t="str">
        <f>IFERROR(VLOOKUP('Customer Info'!A2202,'Customer Info'!A2202:C2701,3,FALSE),"Not Found")</f>
        <v>Not Found</v>
      </c>
      <c r="I2210" s="6" t="str">
        <f>IFERROR(VLOOKUP('Customer Info'!A2202,'Customer Info'!A2202:E2701,5,FALSE),"Not Found")</f>
        <v>Not Found</v>
      </c>
      <c r="J2210" s="2">
        <v>81</v>
      </c>
      <c r="K2210" s="2">
        <v>77</v>
      </c>
      <c r="L2210" s="2">
        <v>3</v>
      </c>
      <c r="M2210" s="7">
        <f t="shared" si="170"/>
        <v>231</v>
      </c>
      <c r="N2210" s="7">
        <f t="shared" si="171"/>
        <v>243</v>
      </c>
      <c r="O2210" s="2">
        <v>10</v>
      </c>
      <c r="P2210" s="8">
        <f t="shared" si="172"/>
        <v>253</v>
      </c>
      <c r="Q2210" s="8">
        <f t="shared" si="173"/>
        <v>166</v>
      </c>
      <c r="R2210" s="2" t="s">
        <v>28</v>
      </c>
      <c r="S2210" s="9">
        <f t="shared" si="174"/>
        <v>5.0600000000000005</v>
      </c>
    </row>
    <row r="2211" spans="1:19" x14ac:dyDescent="0.3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str">
        <f>IFERROR(VLOOKUP('Customer Info'!A2203,'Customer Info'!A2203:C2702,2,FALSE),"Not Found")</f>
        <v>Not Found</v>
      </c>
      <c r="H2211" s="6" t="str">
        <f>IFERROR(VLOOKUP('Customer Info'!A2203,'Customer Info'!A2203:C2702,3,FALSE),"Not Found")</f>
        <v>Not Found</v>
      </c>
      <c r="I2211" s="6" t="str">
        <f>IFERROR(VLOOKUP('Customer Info'!A2203,'Customer Info'!A2203:E2702,5,FALSE),"Not Found")</f>
        <v>Not Found</v>
      </c>
      <c r="J2211" s="2">
        <v>445</v>
      </c>
      <c r="K2211" s="2">
        <v>415</v>
      </c>
      <c r="L2211" s="2">
        <v>2</v>
      </c>
      <c r="M2211" s="7">
        <f t="shared" si="170"/>
        <v>830</v>
      </c>
      <c r="N2211" s="7">
        <f t="shared" si="171"/>
        <v>890</v>
      </c>
      <c r="O2211" s="2">
        <v>66</v>
      </c>
      <c r="P2211" s="8">
        <f t="shared" si="172"/>
        <v>956</v>
      </c>
      <c r="Q2211" s="8">
        <f t="shared" si="173"/>
        <v>475</v>
      </c>
      <c r="R2211" s="2" t="s">
        <v>28</v>
      </c>
      <c r="S2211" s="9">
        <f t="shared" si="174"/>
        <v>19.12</v>
      </c>
    </row>
    <row r="2212" spans="1:19" x14ac:dyDescent="0.3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str">
        <f>IFERROR(VLOOKUP('Customer Info'!A2204,'Customer Info'!A2204:C2703,2,FALSE),"Not Found")</f>
        <v>Not Found</v>
      </c>
      <c r="H2212" s="6" t="str">
        <f>IFERROR(VLOOKUP('Customer Info'!A2204,'Customer Info'!A2204:C2703,3,FALSE),"Not Found")</f>
        <v>Not Found</v>
      </c>
      <c r="I2212" s="6" t="str">
        <f>IFERROR(VLOOKUP('Customer Info'!A2204,'Customer Info'!A2204:E2703,5,FALSE),"Not Found")</f>
        <v>Not Found</v>
      </c>
      <c r="J2212" s="2">
        <v>1619</v>
      </c>
      <c r="K2212" s="2">
        <v>1442</v>
      </c>
      <c r="L2212" s="2">
        <v>5</v>
      </c>
      <c r="M2212" s="7">
        <f t="shared" si="170"/>
        <v>7210</v>
      </c>
      <c r="N2212" s="7">
        <f t="shared" si="171"/>
        <v>8095</v>
      </c>
      <c r="O2212" s="2">
        <v>60</v>
      </c>
      <c r="P2212" s="8">
        <f t="shared" si="172"/>
        <v>8155</v>
      </c>
      <c r="Q2212" s="8">
        <f t="shared" si="173"/>
        <v>6653</v>
      </c>
      <c r="R2212" s="2" t="s">
        <v>26</v>
      </c>
      <c r="S2212" s="9">
        <f t="shared" si="174"/>
        <v>407.75</v>
      </c>
    </row>
    <row r="2213" spans="1:19" x14ac:dyDescent="0.3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str">
        <f>IFERROR(VLOOKUP('Customer Info'!A2205,'Customer Info'!A2205:C2704,2,FALSE),"Not Found")</f>
        <v>Not Found</v>
      </c>
      <c r="H2213" s="6" t="str">
        <f>IFERROR(VLOOKUP('Customer Info'!A2205,'Customer Info'!A2205:C2704,3,FALSE),"Not Found")</f>
        <v>Not Found</v>
      </c>
      <c r="I2213" s="6" t="str">
        <f>IFERROR(VLOOKUP('Customer Info'!A2205,'Customer Info'!A2205:E2704,5,FALSE),"Not Found")</f>
        <v>Not Found</v>
      </c>
      <c r="J2213" s="2">
        <v>2874</v>
      </c>
      <c r="K2213" s="2">
        <v>2583</v>
      </c>
      <c r="L2213" s="2">
        <v>8</v>
      </c>
      <c r="M2213" s="7">
        <f t="shared" si="170"/>
        <v>20664</v>
      </c>
      <c r="N2213" s="7">
        <f t="shared" si="171"/>
        <v>22992</v>
      </c>
      <c r="O2213" s="2">
        <v>69</v>
      </c>
      <c r="P2213" s="8">
        <f t="shared" si="172"/>
        <v>23061</v>
      </c>
      <c r="Q2213" s="8">
        <f t="shared" si="173"/>
        <v>20409</v>
      </c>
      <c r="R2213" s="2" t="s">
        <v>28</v>
      </c>
      <c r="S2213" s="9">
        <f t="shared" si="174"/>
        <v>1153.05</v>
      </c>
    </row>
    <row r="2214" spans="1:19" x14ac:dyDescent="0.3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str">
        <f>IFERROR(VLOOKUP('Customer Info'!A2206,'Customer Info'!A2206:C2705,2,FALSE),"Not Found")</f>
        <v>Not Found</v>
      </c>
      <c r="H2214" s="6" t="str">
        <f>IFERROR(VLOOKUP('Customer Info'!A2206,'Customer Info'!A2206:C2705,3,FALSE),"Not Found")</f>
        <v>Not Found</v>
      </c>
      <c r="I2214" s="6" t="str">
        <f>IFERROR(VLOOKUP('Customer Info'!A2206,'Customer Info'!A2206:E2705,5,FALSE),"Not Found")</f>
        <v>Not Found</v>
      </c>
      <c r="J2214" s="2">
        <v>148</v>
      </c>
      <c r="K2214" s="2">
        <v>136</v>
      </c>
      <c r="L2214" s="2">
        <v>4</v>
      </c>
      <c r="M2214" s="7">
        <f t="shared" si="170"/>
        <v>544</v>
      </c>
      <c r="N2214" s="7">
        <f t="shared" si="171"/>
        <v>592</v>
      </c>
      <c r="O2214" s="2">
        <v>30</v>
      </c>
      <c r="P2214" s="8">
        <f t="shared" si="172"/>
        <v>622</v>
      </c>
      <c r="Q2214" s="8">
        <f t="shared" si="173"/>
        <v>456</v>
      </c>
      <c r="R2214" s="2" t="s">
        <v>28</v>
      </c>
      <c r="S2214" s="9">
        <f t="shared" si="174"/>
        <v>12.44</v>
      </c>
    </row>
    <row r="2215" spans="1:19" x14ac:dyDescent="0.3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str">
        <f>IFERROR(VLOOKUP('Customer Info'!A2207,'Customer Info'!A2207:C2706,2,FALSE),"Not Found")</f>
        <v>Not Found</v>
      </c>
      <c r="H2215" s="6" t="str">
        <f>IFERROR(VLOOKUP('Customer Info'!A2207,'Customer Info'!A2207:C2706,3,FALSE),"Not Found")</f>
        <v>Not Found</v>
      </c>
      <c r="I2215" s="6" t="str">
        <f>IFERROR(VLOOKUP('Customer Info'!A2207,'Customer Info'!A2207:E2706,5,FALSE),"Not Found")</f>
        <v>Not Found</v>
      </c>
      <c r="J2215" s="2">
        <v>60</v>
      </c>
      <c r="K2215" s="2">
        <v>58</v>
      </c>
      <c r="L2215" s="2">
        <v>3</v>
      </c>
      <c r="M2215" s="7">
        <f t="shared" si="170"/>
        <v>174</v>
      </c>
      <c r="N2215" s="7">
        <f t="shared" si="171"/>
        <v>180</v>
      </c>
      <c r="O2215" s="2">
        <v>10</v>
      </c>
      <c r="P2215" s="8">
        <f t="shared" si="172"/>
        <v>190</v>
      </c>
      <c r="Q2215" s="8">
        <f t="shared" si="173"/>
        <v>122</v>
      </c>
      <c r="R2215" s="2" t="s">
        <v>28</v>
      </c>
      <c r="S2215" s="9">
        <f t="shared" si="174"/>
        <v>3.8000000000000003</v>
      </c>
    </row>
    <row r="2216" spans="1:19" x14ac:dyDescent="0.3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str">
        <f>IFERROR(VLOOKUP('Customer Info'!A2208,'Customer Info'!A2208:C2707,2,FALSE),"Not Found")</f>
        <v>Not Found</v>
      </c>
      <c r="H2216" s="6" t="str">
        <f>IFERROR(VLOOKUP('Customer Info'!A2208,'Customer Info'!A2208:C2707,3,FALSE),"Not Found")</f>
        <v>Not Found</v>
      </c>
      <c r="I2216" s="6" t="str">
        <f>IFERROR(VLOOKUP('Customer Info'!A2208,'Customer Info'!A2208:E2707,5,FALSE),"Not Found")</f>
        <v>Not Found</v>
      </c>
      <c r="J2216" s="2">
        <v>69</v>
      </c>
      <c r="K2216" s="2">
        <v>64</v>
      </c>
      <c r="L2216" s="2">
        <v>3</v>
      </c>
      <c r="M2216" s="7">
        <f t="shared" si="170"/>
        <v>192</v>
      </c>
      <c r="N2216" s="7">
        <f t="shared" si="171"/>
        <v>207</v>
      </c>
      <c r="O2216" s="2">
        <v>10</v>
      </c>
      <c r="P2216" s="8">
        <f t="shared" si="172"/>
        <v>217</v>
      </c>
      <c r="Q2216" s="8">
        <f t="shared" si="173"/>
        <v>143</v>
      </c>
      <c r="R2216" s="2" t="s">
        <v>26</v>
      </c>
      <c r="S2216" s="9">
        <f t="shared" si="174"/>
        <v>4.34</v>
      </c>
    </row>
    <row r="2217" spans="1:19" x14ac:dyDescent="0.3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str">
        <f>IFERROR(VLOOKUP('Customer Info'!A2209,'Customer Info'!A2209:C2708,2,FALSE),"Not Found")</f>
        <v>Not Found</v>
      </c>
      <c r="H2217" s="6" t="str">
        <f>IFERROR(VLOOKUP('Customer Info'!A2209,'Customer Info'!A2209:C2708,3,FALSE),"Not Found")</f>
        <v>Not Found</v>
      </c>
      <c r="I2217" s="6" t="str">
        <f>IFERROR(VLOOKUP('Customer Info'!A2209,'Customer Info'!A2209:E2708,5,FALSE),"Not Found")</f>
        <v>Not Found</v>
      </c>
      <c r="J2217" s="2">
        <v>1113</v>
      </c>
      <c r="K2217" s="2">
        <v>1040</v>
      </c>
      <c r="L2217" s="2">
        <v>2</v>
      </c>
      <c r="M2217" s="7">
        <f t="shared" si="170"/>
        <v>2080</v>
      </c>
      <c r="N2217" s="7">
        <f t="shared" si="171"/>
        <v>2226</v>
      </c>
      <c r="O2217" s="2">
        <v>60</v>
      </c>
      <c r="P2217" s="8">
        <f t="shared" si="172"/>
        <v>2286</v>
      </c>
      <c r="Q2217" s="8">
        <f t="shared" si="173"/>
        <v>1186</v>
      </c>
      <c r="R2217" s="2" t="s">
        <v>28</v>
      </c>
      <c r="S2217" s="9">
        <f t="shared" si="174"/>
        <v>45.72</v>
      </c>
    </row>
    <row r="2218" spans="1:19" x14ac:dyDescent="0.3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str">
        <f>IFERROR(VLOOKUP('Customer Info'!A2210,'Customer Info'!A2210:C2709,2,FALSE),"Not Found")</f>
        <v>Not Found</v>
      </c>
      <c r="H2218" s="6" t="str">
        <f>IFERROR(VLOOKUP('Customer Info'!A2210,'Customer Info'!A2210:C2709,3,FALSE),"Not Found")</f>
        <v>Not Found</v>
      </c>
      <c r="I2218" s="6" t="str">
        <f>IFERROR(VLOOKUP('Customer Info'!A2210,'Customer Info'!A2210:E2709,5,FALSE),"Not Found")</f>
        <v>Not Found</v>
      </c>
      <c r="J2218" s="2">
        <v>2681</v>
      </c>
      <c r="K2218" s="2">
        <v>2458</v>
      </c>
      <c r="L2218" s="2">
        <v>6</v>
      </c>
      <c r="M2218" s="7">
        <f t="shared" si="170"/>
        <v>14748</v>
      </c>
      <c r="N2218" s="7">
        <f t="shared" si="171"/>
        <v>16086</v>
      </c>
      <c r="O2218" s="2">
        <v>22</v>
      </c>
      <c r="P2218" s="8">
        <f t="shared" si="172"/>
        <v>16108</v>
      </c>
      <c r="Q2218" s="8">
        <f t="shared" si="173"/>
        <v>13628</v>
      </c>
      <c r="R2218" s="2" t="s">
        <v>26</v>
      </c>
      <c r="S2218" s="9">
        <f t="shared" si="174"/>
        <v>805.40000000000009</v>
      </c>
    </row>
    <row r="2219" spans="1:19" x14ac:dyDescent="0.3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str">
        <f>IFERROR(VLOOKUP('Customer Info'!A2211,'Customer Info'!A2211:C2710,2,FALSE),"Not Found")</f>
        <v>Not Found</v>
      </c>
      <c r="H2219" s="6" t="str">
        <f>IFERROR(VLOOKUP('Customer Info'!A2211,'Customer Info'!A2211:C2710,3,FALSE),"Not Found")</f>
        <v>Not Found</v>
      </c>
      <c r="I2219" s="6" t="str">
        <f>IFERROR(VLOOKUP('Customer Info'!A2211,'Customer Info'!A2211:E2710,5,FALSE),"Not Found")</f>
        <v>Not Found</v>
      </c>
      <c r="J2219" s="2">
        <v>100</v>
      </c>
      <c r="K2219" s="2">
        <v>95</v>
      </c>
      <c r="L2219" s="2">
        <v>1</v>
      </c>
      <c r="M2219" s="7">
        <f t="shared" si="170"/>
        <v>95</v>
      </c>
      <c r="N2219" s="7">
        <f t="shared" si="171"/>
        <v>100</v>
      </c>
      <c r="O2219" s="2">
        <v>10</v>
      </c>
      <c r="P2219" s="8">
        <f t="shared" si="172"/>
        <v>110</v>
      </c>
      <c r="Q2219" s="8">
        <f t="shared" si="173"/>
        <v>5</v>
      </c>
      <c r="R2219" s="2" t="s">
        <v>28</v>
      </c>
      <c r="S2219" s="9">
        <f t="shared" si="174"/>
        <v>2.2000000000000002</v>
      </c>
    </row>
    <row r="2220" spans="1:19" x14ac:dyDescent="0.3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str">
        <f>IFERROR(VLOOKUP('Customer Info'!A2212,'Customer Info'!A2212:C2711,2,FALSE),"Not Found")</f>
        <v>Not Found</v>
      </c>
      <c r="H2220" s="6" t="str">
        <f>IFERROR(VLOOKUP('Customer Info'!A2212,'Customer Info'!A2212:C2711,3,FALSE),"Not Found")</f>
        <v>Not Found</v>
      </c>
      <c r="I2220" s="6" t="str">
        <f>IFERROR(VLOOKUP('Customer Info'!A2212,'Customer Info'!A2212:E2711,5,FALSE),"Not Found")</f>
        <v>Not Found</v>
      </c>
      <c r="J2220" s="2">
        <v>167</v>
      </c>
      <c r="K2220" s="2">
        <v>152</v>
      </c>
      <c r="L2220" s="2">
        <v>1</v>
      </c>
      <c r="M2220" s="7">
        <f t="shared" si="170"/>
        <v>152</v>
      </c>
      <c r="N2220" s="7">
        <f t="shared" si="171"/>
        <v>167</v>
      </c>
      <c r="O2220" s="2">
        <v>30</v>
      </c>
      <c r="P2220" s="8">
        <f t="shared" si="172"/>
        <v>197</v>
      </c>
      <c r="Q2220" s="8">
        <f t="shared" si="173"/>
        <v>15</v>
      </c>
      <c r="R2220" s="2" t="s">
        <v>28</v>
      </c>
      <c r="S2220" s="9">
        <f t="shared" si="174"/>
        <v>3.94</v>
      </c>
    </row>
    <row r="2221" spans="1:19" x14ac:dyDescent="0.3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str">
        <f>IFERROR(VLOOKUP('Customer Info'!A2213,'Customer Info'!A2213:C2712,2,FALSE),"Not Found")</f>
        <v>Not Found</v>
      </c>
      <c r="H2221" s="6" t="str">
        <f>IFERROR(VLOOKUP('Customer Info'!A2213,'Customer Info'!A2213:C2712,3,FALSE),"Not Found")</f>
        <v>Not Found</v>
      </c>
      <c r="I2221" s="6" t="str">
        <f>IFERROR(VLOOKUP('Customer Info'!A2213,'Customer Info'!A2213:E2712,5,FALSE),"Not Found")</f>
        <v>Not Found</v>
      </c>
      <c r="J2221" s="2">
        <v>97</v>
      </c>
      <c r="K2221" s="2">
        <v>92</v>
      </c>
      <c r="L2221" s="2">
        <v>2</v>
      </c>
      <c r="M2221" s="7">
        <f t="shared" si="170"/>
        <v>184</v>
      </c>
      <c r="N2221" s="7">
        <f t="shared" si="171"/>
        <v>194</v>
      </c>
      <c r="O2221" s="2">
        <v>10</v>
      </c>
      <c r="P2221" s="8">
        <f t="shared" si="172"/>
        <v>204</v>
      </c>
      <c r="Q2221" s="8">
        <f t="shared" si="173"/>
        <v>102</v>
      </c>
      <c r="R2221" s="2" t="s">
        <v>50</v>
      </c>
      <c r="S2221" s="9">
        <f t="shared" si="174"/>
        <v>4.08</v>
      </c>
    </row>
    <row r="2222" spans="1:19" x14ac:dyDescent="0.3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str">
        <f>IFERROR(VLOOKUP('Customer Info'!A2214,'Customer Info'!A2214:C2713,2,FALSE),"Not Found")</f>
        <v>Not Found</v>
      </c>
      <c r="H2222" s="6" t="str">
        <f>IFERROR(VLOOKUP('Customer Info'!A2214,'Customer Info'!A2214:C2713,3,FALSE),"Not Found")</f>
        <v>Not Found</v>
      </c>
      <c r="I2222" s="6" t="str">
        <f>IFERROR(VLOOKUP('Customer Info'!A2214,'Customer Info'!A2214:E2713,5,FALSE),"Not Found")</f>
        <v>Not Found</v>
      </c>
      <c r="J2222" s="2">
        <v>2706</v>
      </c>
      <c r="K2222" s="2">
        <v>2553</v>
      </c>
      <c r="L2222" s="2">
        <v>5</v>
      </c>
      <c r="M2222" s="7">
        <f t="shared" si="170"/>
        <v>12765</v>
      </c>
      <c r="N2222" s="7">
        <f t="shared" si="171"/>
        <v>13530</v>
      </c>
      <c r="O2222" s="2">
        <v>80</v>
      </c>
      <c r="P2222" s="8">
        <f t="shared" si="172"/>
        <v>13610</v>
      </c>
      <c r="Q2222" s="8">
        <f t="shared" si="173"/>
        <v>10977</v>
      </c>
      <c r="R2222" s="2" t="s">
        <v>50</v>
      </c>
      <c r="S2222" s="9">
        <f t="shared" si="174"/>
        <v>680.5</v>
      </c>
    </row>
    <row r="2223" spans="1:19" x14ac:dyDescent="0.3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str">
        <f>IFERROR(VLOOKUP('Customer Info'!A2215,'Customer Info'!A2215:C2714,2,FALSE),"Not Found")</f>
        <v>Not Found</v>
      </c>
      <c r="H2223" s="6" t="str">
        <f>IFERROR(VLOOKUP('Customer Info'!A2215,'Customer Info'!A2215:C2714,3,FALSE),"Not Found")</f>
        <v>Not Found</v>
      </c>
      <c r="I2223" s="6" t="str">
        <f>IFERROR(VLOOKUP('Customer Info'!A2215,'Customer Info'!A2215:E2714,5,FALSE),"Not Found")</f>
        <v>Not Found</v>
      </c>
      <c r="J2223" s="2">
        <v>8022</v>
      </c>
      <c r="K2223" s="2">
        <v>7868</v>
      </c>
      <c r="L2223" s="2">
        <v>1</v>
      </c>
      <c r="M2223" s="7">
        <f t="shared" si="170"/>
        <v>7868</v>
      </c>
      <c r="N2223" s="7">
        <f t="shared" si="171"/>
        <v>8022</v>
      </c>
      <c r="O2223" s="2">
        <v>38</v>
      </c>
      <c r="P2223" s="8">
        <f t="shared" si="172"/>
        <v>8060</v>
      </c>
      <c r="Q2223" s="8">
        <f t="shared" si="173"/>
        <v>154</v>
      </c>
      <c r="R2223" s="2" t="s">
        <v>28</v>
      </c>
      <c r="S2223" s="9">
        <f t="shared" si="174"/>
        <v>403</v>
      </c>
    </row>
    <row r="2224" spans="1:19" x14ac:dyDescent="0.3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str">
        <f>IFERROR(VLOOKUP('Customer Info'!A2216,'Customer Info'!A2216:C2715,2,FALSE),"Not Found")</f>
        <v>Not Found</v>
      </c>
      <c r="H2224" s="6" t="str">
        <f>IFERROR(VLOOKUP('Customer Info'!A2216,'Customer Info'!A2216:C2715,3,FALSE),"Not Found")</f>
        <v>Not Found</v>
      </c>
      <c r="I2224" s="6" t="str">
        <f>IFERROR(VLOOKUP('Customer Info'!A2216,'Customer Info'!A2216:E2715,5,FALSE),"Not Found")</f>
        <v>Not Found</v>
      </c>
      <c r="J2224" s="2">
        <v>63</v>
      </c>
      <c r="K2224" s="2">
        <v>58</v>
      </c>
      <c r="L2224" s="2">
        <v>9</v>
      </c>
      <c r="M2224" s="7">
        <f t="shared" si="170"/>
        <v>522</v>
      </c>
      <c r="N2224" s="7">
        <f t="shared" si="171"/>
        <v>567</v>
      </c>
      <c r="O2224" s="2">
        <v>10</v>
      </c>
      <c r="P2224" s="8">
        <f t="shared" si="172"/>
        <v>577</v>
      </c>
      <c r="Q2224" s="8">
        <f t="shared" si="173"/>
        <v>509</v>
      </c>
      <c r="R2224" s="2" t="s">
        <v>28</v>
      </c>
      <c r="S2224" s="9">
        <f t="shared" si="174"/>
        <v>11.540000000000001</v>
      </c>
    </row>
    <row r="2225" spans="1:19" x14ac:dyDescent="0.3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str">
        <f>IFERROR(VLOOKUP('Customer Info'!A2217,'Customer Info'!A2217:C2716,2,FALSE),"Not Found")</f>
        <v>Not Found</v>
      </c>
      <c r="H2225" s="6" t="str">
        <f>IFERROR(VLOOKUP('Customer Info'!A2217,'Customer Info'!A2217:C2716,3,FALSE),"Not Found")</f>
        <v>Not Found</v>
      </c>
      <c r="I2225" s="6" t="str">
        <f>IFERROR(VLOOKUP('Customer Info'!A2217,'Customer Info'!A2217:E2716,5,FALSE),"Not Found")</f>
        <v>Not Found</v>
      </c>
      <c r="J2225" s="2">
        <v>1717</v>
      </c>
      <c r="K2225" s="2">
        <v>1652</v>
      </c>
      <c r="L2225" s="2">
        <v>2</v>
      </c>
      <c r="M2225" s="7">
        <f t="shared" si="170"/>
        <v>3304</v>
      </c>
      <c r="N2225" s="7">
        <f t="shared" si="171"/>
        <v>3434</v>
      </c>
      <c r="O2225" s="2">
        <v>24</v>
      </c>
      <c r="P2225" s="8">
        <f t="shared" si="172"/>
        <v>3458</v>
      </c>
      <c r="Q2225" s="8">
        <f t="shared" si="173"/>
        <v>1782</v>
      </c>
      <c r="R2225" s="2" t="s">
        <v>26</v>
      </c>
      <c r="S2225" s="9">
        <f t="shared" si="174"/>
        <v>69.16</v>
      </c>
    </row>
    <row r="2226" spans="1:19" x14ac:dyDescent="0.3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str">
        <f>IFERROR(VLOOKUP('Customer Info'!A2218,'Customer Info'!A2218:C2717,2,FALSE),"Not Found")</f>
        <v>Not Found</v>
      </c>
      <c r="H2226" s="6" t="str">
        <f>IFERROR(VLOOKUP('Customer Info'!A2218,'Customer Info'!A2218:C2717,3,FALSE),"Not Found")</f>
        <v>Not Found</v>
      </c>
      <c r="I2226" s="6" t="str">
        <f>IFERROR(VLOOKUP('Customer Info'!A2218,'Customer Info'!A2218:E2717,5,FALSE),"Not Found")</f>
        <v>Not Found</v>
      </c>
      <c r="J2226" s="2">
        <v>3288</v>
      </c>
      <c r="K2226" s="2">
        <v>3041</v>
      </c>
      <c r="L2226" s="2">
        <v>2</v>
      </c>
      <c r="M2226" s="7">
        <f t="shared" si="170"/>
        <v>6082</v>
      </c>
      <c r="N2226" s="7">
        <f t="shared" si="171"/>
        <v>6576</v>
      </c>
      <c r="O2226" s="2">
        <v>98</v>
      </c>
      <c r="P2226" s="8">
        <f t="shared" si="172"/>
        <v>6674</v>
      </c>
      <c r="Q2226" s="8">
        <f t="shared" si="173"/>
        <v>3535</v>
      </c>
      <c r="R2226" s="2" t="s">
        <v>28</v>
      </c>
      <c r="S2226" s="9">
        <f t="shared" si="174"/>
        <v>333.70000000000005</v>
      </c>
    </row>
    <row r="2227" spans="1:19" x14ac:dyDescent="0.3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str">
        <f>IFERROR(VLOOKUP('Customer Info'!A2219,'Customer Info'!A2219:C2718,2,FALSE),"Not Found")</f>
        <v>Not Found</v>
      </c>
      <c r="H2227" s="6" t="str">
        <f>IFERROR(VLOOKUP('Customer Info'!A2219,'Customer Info'!A2219:C2718,3,FALSE),"Not Found")</f>
        <v>Not Found</v>
      </c>
      <c r="I2227" s="6" t="str">
        <f>IFERROR(VLOOKUP('Customer Info'!A2219,'Customer Info'!A2219:E2718,5,FALSE),"Not Found")</f>
        <v>Not Found</v>
      </c>
      <c r="J2227" s="2">
        <v>1770</v>
      </c>
      <c r="K2227" s="2">
        <v>1592</v>
      </c>
      <c r="L2227" s="2">
        <v>10</v>
      </c>
      <c r="M2227" s="7">
        <f t="shared" si="170"/>
        <v>15920</v>
      </c>
      <c r="N2227" s="7">
        <f t="shared" si="171"/>
        <v>17700</v>
      </c>
      <c r="O2227" s="2">
        <v>27</v>
      </c>
      <c r="P2227" s="8">
        <f t="shared" si="172"/>
        <v>17727</v>
      </c>
      <c r="Q2227" s="8">
        <f t="shared" si="173"/>
        <v>16108</v>
      </c>
      <c r="R2227" s="2" t="s">
        <v>50</v>
      </c>
      <c r="S2227" s="9">
        <f t="shared" si="174"/>
        <v>886.35</v>
      </c>
    </row>
    <row r="2228" spans="1:19" x14ac:dyDescent="0.3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str">
        <f>IFERROR(VLOOKUP('Customer Info'!A2220,'Customer Info'!A2220:C2719,2,FALSE),"Not Found")</f>
        <v>Not Found</v>
      </c>
      <c r="H2228" s="6" t="str">
        <f>IFERROR(VLOOKUP('Customer Info'!A2220,'Customer Info'!A2220:C2719,3,FALSE),"Not Found")</f>
        <v>Not Found</v>
      </c>
      <c r="I2228" s="6" t="str">
        <f>IFERROR(VLOOKUP('Customer Info'!A2220,'Customer Info'!A2220:E2719,5,FALSE),"Not Found")</f>
        <v>Not Found</v>
      </c>
      <c r="J2228" s="2">
        <v>1916</v>
      </c>
      <c r="K2228" s="2">
        <v>1844</v>
      </c>
      <c r="L2228" s="2">
        <v>1</v>
      </c>
      <c r="M2228" s="7">
        <f t="shared" si="170"/>
        <v>1844</v>
      </c>
      <c r="N2228" s="7">
        <f t="shared" si="171"/>
        <v>1916</v>
      </c>
      <c r="O2228" s="2">
        <v>30</v>
      </c>
      <c r="P2228" s="8">
        <f t="shared" si="172"/>
        <v>1946</v>
      </c>
      <c r="Q2228" s="8">
        <f t="shared" si="173"/>
        <v>72</v>
      </c>
      <c r="R2228" s="2" t="s">
        <v>28</v>
      </c>
      <c r="S2228" s="9">
        <f t="shared" si="174"/>
        <v>38.92</v>
      </c>
    </row>
    <row r="2229" spans="1:19" x14ac:dyDescent="0.3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str">
        <f>IFERROR(VLOOKUP('Customer Info'!A2221,'Customer Info'!A2221:C2720,2,FALSE),"Not Found")</f>
        <v>Not Found</v>
      </c>
      <c r="H2229" s="6" t="str">
        <f>IFERROR(VLOOKUP('Customer Info'!A2221,'Customer Info'!A2221:C2720,3,FALSE),"Not Found")</f>
        <v>Not Found</v>
      </c>
      <c r="I2229" s="6" t="str">
        <f>IFERROR(VLOOKUP('Customer Info'!A2221,'Customer Info'!A2221:E2720,5,FALSE),"Not Found")</f>
        <v>Not Found</v>
      </c>
      <c r="J2229" s="2">
        <v>2540</v>
      </c>
      <c r="K2229" s="2">
        <v>2397</v>
      </c>
      <c r="L2229" s="2">
        <v>1</v>
      </c>
      <c r="M2229" s="7">
        <f t="shared" si="170"/>
        <v>2397</v>
      </c>
      <c r="N2229" s="7">
        <f t="shared" si="171"/>
        <v>2540</v>
      </c>
      <c r="O2229" s="2">
        <v>97</v>
      </c>
      <c r="P2229" s="8">
        <f t="shared" si="172"/>
        <v>2637</v>
      </c>
      <c r="Q2229" s="8">
        <f t="shared" si="173"/>
        <v>143</v>
      </c>
      <c r="R2229" s="2" t="s">
        <v>50</v>
      </c>
      <c r="S2229" s="9">
        <f t="shared" si="174"/>
        <v>52.74</v>
      </c>
    </row>
    <row r="2230" spans="1:19" x14ac:dyDescent="0.3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str">
        <f>IFERROR(VLOOKUP('Customer Info'!A2222,'Customer Info'!A2222:C2721,2,FALSE),"Not Found")</f>
        <v>Not Found</v>
      </c>
      <c r="H2230" s="6" t="str">
        <f>IFERROR(VLOOKUP('Customer Info'!A2222,'Customer Info'!A2222:C2721,3,FALSE),"Not Found")</f>
        <v>Not Found</v>
      </c>
      <c r="I2230" s="6" t="str">
        <f>IFERROR(VLOOKUP('Customer Info'!A2222,'Customer Info'!A2222:E2721,5,FALSE),"Not Found")</f>
        <v>Not Found</v>
      </c>
      <c r="J2230" s="2">
        <v>5836</v>
      </c>
      <c r="K2230" s="2">
        <v>5457</v>
      </c>
      <c r="L2230" s="2">
        <v>1</v>
      </c>
      <c r="M2230" s="7">
        <f t="shared" si="170"/>
        <v>5457</v>
      </c>
      <c r="N2230" s="7">
        <f t="shared" si="171"/>
        <v>5836</v>
      </c>
      <c r="O2230" s="2">
        <v>36</v>
      </c>
      <c r="P2230" s="8">
        <f t="shared" si="172"/>
        <v>5872</v>
      </c>
      <c r="Q2230" s="8">
        <f t="shared" si="173"/>
        <v>379</v>
      </c>
      <c r="R2230" s="2" t="s">
        <v>50</v>
      </c>
      <c r="S2230" s="9">
        <f t="shared" si="174"/>
        <v>293.60000000000002</v>
      </c>
    </row>
    <row r="2231" spans="1:19" x14ac:dyDescent="0.3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str">
        <f>IFERROR(VLOOKUP('Customer Info'!A2223,'Customer Info'!A2223:C2722,2,FALSE),"Not Found")</f>
        <v>Not Found</v>
      </c>
      <c r="H2231" s="6" t="str">
        <f>IFERROR(VLOOKUP('Customer Info'!A2223,'Customer Info'!A2223:C2722,3,FALSE),"Not Found")</f>
        <v>Not Found</v>
      </c>
      <c r="I2231" s="6" t="str">
        <f>IFERROR(VLOOKUP('Customer Info'!A2223,'Customer Info'!A2223:E2722,5,FALSE),"Not Found")</f>
        <v>Not Found</v>
      </c>
      <c r="J2231" s="2">
        <v>992</v>
      </c>
      <c r="K2231" s="2">
        <v>928</v>
      </c>
      <c r="L2231" s="2">
        <v>2</v>
      </c>
      <c r="M2231" s="7">
        <f t="shared" si="170"/>
        <v>1856</v>
      </c>
      <c r="N2231" s="7">
        <f t="shared" si="171"/>
        <v>1984</v>
      </c>
      <c r="O2231" s="2">
        <v>100</v>
      </c>
      <c r="P2231" s="8">
        <f t="shared" si="172"/>
        <v>2084</v>
      </c>
      <c r="Q2231" s="8">
        <f t="shared" si="173"/>
        <v>1056</v>
      </c>
      <c r="R2231" s="2" t="s">
        <v>28</v>
      </c>
      <c r="S2231" s="9">
        <f t="shared" si="174"/>
        <v>41.68</v>
      </c>
    </row>
    <row r="2232" spans="1:19" x14ac:dyDescent="0.3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str">
        <f>IFERROR(VLOOKUP('Customer Info'!A2224,'Customer Info'!A2224:C2723,2,FALSE),"Not Found")</f>
        <v>Not Found</v>
      </c>
      <c r="H2232" s="6" t="str">
        <f>IFERROR(VLOOKUP('Customer Info'!A2224,'Customer Info'!A2224:C2723,3,FALSE),"Not Found")</f>
        <v>Not Found</v>
      </c>
      <c r="I2232" s="6" t="str">
        <f>IFERROR(VLOOKUP('Customer Info'!A2224,'Customer Info'!A2224:E2723,5,FALSE),"Not Found")</f>
        <v>Not Found</v>
      </c>
      <c r="J2232" s="2">
        <v>8651</v>
      </c>
      <c r="K2232" s="2">
        <v>8081</v>
      </c>
      <c r="L2232" s="2">
        <v>3</v>
      </c>
      <c r="M2232" s="7">
        <f t="shared" si="170"/>
        <v>24243</v>
      </c>
      <c r="N2232" s="7">
        <f t="shared" si="171"/>
        <v>25953</v>
      </c>
      <c r="O2232" s="2">
        <v>43</v>
      </c>
      <c r="P2232" s="8">
        <f t="shared" si="172"/>
        <v>25996</v>
      </c>
      <c r="Q2232" s="8">
        <f t="shared" si="173"/>
        <v>17872</v>
      </c>
      <c r="R2232" s="2" t="s">
        <v>28</v>
      </c>
      <c r="S2232" s="9">
        <f t="shared" si="174"/>
        <v>1819.7200000000003</v>
      </c>
    </row>
    <row r="2233" spans="1:19" x14ac:dyDescent="0.3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str">
        <f>IFERROR(VLOOKUP('Customer Info'!A2225,'Customer Info'!A2225:C2724,2,FALSE),"Not Found")</f>
        <v>Not Found</v>
      </c>
      <c r="H2233" s="6" t="str">
        <f>IFERROR(VLOOKUP('Customer Info'!A2225,'Customer Info'!A2225:C2724,3,FALSE),"Not Found")</f>
        <v>Not Found</v>
      </c>
      <c r="I2233" s="6" t="str">
        <f>IFERROR(VLOOKUP('Customer Info'!A2225,'Customer Info'!A2225:E2724,5,FALSE),"Not Found")</f>
        <v>Not Found</v>
      </c>
      <c r="J2233" s="2">
        <v>2958</v>
      </c>
      <c r="K2233" s="2">
        <v>2743</v>
      </c>
      <c r="L2233" s="2">
        <v>2</v>
      </c>
      <c r="M2233" s="7">
        <f t="shared" si="170"/>
        <v>5486</v>
      </c>
      <c r="N2233" s="7">
        <f t="shared" si="171"/>
        <v>5916</v>
      </c>
      <c r="O2233" s="2">
        <v>96</v>
      </c>
      <c r="P2233" s="8">
        <f t="shared" si="172"/>
        <v>6012</v>
      </c>
      <c r="Q2233" s="8">
        <f t="shared" si="173"/>
        <v>3173</v>
      </c>
      <c r="R2233" s="2" t="s">
        <v>56</v>
      </c>
      <c r="S2233" s="9">
        <f t="shared" si="174"/>
        <v>300.60000000000002</v>
      </c>
    </row>
    <row r="2234" spans="1:19" x14ac:dyDescent="0.3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str">
        <f>IFERROR(VLOOKUP('Customer Info'!A2226,'Customer Info'!A2226:C2725,2,FALSE),"Not Found")</f>
        <v>Not Found</v>
      </c>
      <c r="H2234" s="6" t="str">
        <f>IFERROR(VLOOKUP('Customer Info'!A2226,'Customer Info'!A2226:C2725,3,FALSE),"Not Found")</f>
        <v>Not Found</v>
      </c>
      <c r="I2234" s="6" t="str">
        <f>IFERROR(VLOOKUP('Customer Info'!A2226,'Customer Info'!A2226:E2725,5,FALSE),"Not Found")</f>
        <v>Not Found</v>
      </c>
      <c r="J2234" s="2">
        <v>61</v>
      </c>
      <c r="K2234" s="2">
        <v>57</v>
      </c>
      <c r="L2234" s="2">
        <v>2</v>
      </c>
      <c r="M2234" s="7">
        <f t="shared" si="170"/>
        <v>114</v>
      </c>
      <c r="N2234" s="7">
        <f t="shared" si="171"/>
        <v>122</v>
      </c>
      <c r="O2234" s="2">
        <v>10</v>
      </c>
      <c r="P2234" s="8">
        <f t="shared" si="172"/>
        <v>132</v>
      </c>
      <c r="Q2234" s="8">
        <f t="shared" si="173"/>
        <v>65</v>
      </c>
      <c r="R2234" s="2" t="s">
        <v>28</v>
      </c>
      <c r="S2234" s="9">
        <f t="shared" si="174"/>
        <v>2.64</v>
      </c>
    </row>
    <row r="2235" spans="1:19" x14ac:dyDescent="0.3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str">
        <f>IFERROR(VLOOKUP('Customer Info'!A2227,'Customer Info'!A2227:C2726,2,FALSE),"Not Found")</f>
        <v>Not Found</v>
      </c>
      <c r="H2235" s="6" t="str">
        <f>IFERROR(VLOOKUP('Customer Info'!A2227,'Customer Info'!A2227:C2726,3,FALSE),"Not Found")</f>
        <v>Not Found</v>
      </c>
      <c r="I2235" s="6" t="str">
        <f>IFERROR(VLOOKUP('Customer Info'!A2227,'Customer Info'!A2227:E2726,5,FALSE),"Not Found")</f>
        <v>Not Found</v>
      </c>
      <c r="J2235" s="2">
        <v>2733</v>
      </c>
      <c r="K2235" s="2">
        <v>2579</v>
      </c>
      <c r="L2235" s="2">
        <v>14</v>
      </c>
      <c r="M2235" s="7">
        <f t="shared" si="170"/>
        <v>36106</v>
      </c>
      <c r="N2235" s="7">
        <f t="shared" si="171"/>
        <v>38262</v>
      </c>
      <c r="O2235" s="2">
        <v>100</v>
      </c>
      <c r="P2235" s="8">
        <f t="shared" si="172"/>
        <v>38362</v>
      </c>
      <c r="Q2235" s="8">
        <f t="shared" si="173"/>
        <v>35683</v>
      </c>
      <c r="R2235" s="2" t="s">
        <v>50</v>
      </c>
      <c r="S2235" s="9">
        <f t="shared" si="174"/>
        <v>2685.34</v>
      </c>
    </row>
    <row r="2236" spans="1:19" x14ac:dyDescent="0.3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str">
        <f>IFERROR(VLOOKUP('Customer Info'!A2228,'Customer Info'!A2228:C2727,2,FALSE),"Not Found")</f>
        <v>Not Found</v>
      </c>
      <c r="H2236" s="6" t="str">
        <f>IFERROR(VLOOKUP('Customer Info'!A2228,'Customer Info'!A2228:C2727,3,FALSE),"Not Found")</f>
        <v>Not Found</v>
      </c>
      <c r="I2236" s="6" t="str">
        <f>IFERROR(VLOOKUP('Customer Info'!A2228,'Customer Info'!A2228:E2727,5,FALSE),"Not Found")</f>
        <v>Not Found</v>
      </c>
      <c r="J2236" s="2">
        <v>6611</v>
      </c>
      <c r="K2236" s="2">
        <v>5943</v>
      </c>
      <c r="L2236" s="2">
        <v>4</v>
      </c>
      <c r="M2236" s="7">
        <f t="shared" si="170"/>
        <v>23772</v>
      </c>
      <c r="N2236" s="7">
        <f t="shared" si="171"/>
        <v>26444</v>
      </c>
      <c r="O2236" s="2">
        <v>25</v>
      </c>
      <c r="P2236" s="8">
        <f t="shared" si="172"/>
        <v>26469</v>
      </c>
      <c r="Q2236" s="8">
        <f t="shared" si="173"/>
        <v>20501</v>
      </c>
      <c r="R2236" s="2" t="s">
        <v>50</v>
      </c>
      <c r="S2236" s="9">
        <f t="shared" si="174"/>
        <v>1852.8300000000002</v>
      </c>
    </row>
    <row r="2237" spans="1:19" x14ac:dyDescent="0.3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str">
        <f>IFERROR(VLOOKUP('Customer Info'!A2229,'Customer Info'!A2229:C2728,2,FALSE),"Not Found")</f>
        <v>Not Found</v>
      </c>
      <c r="H2237" s="6" t="str">
        <f>IFERROR(VLOOKUP('Customer Info'!A2229,'Customer Info'!A2229:C2728,3,FALSE),"Not Found")</f>
        <v>Not Found</v>
      </c>
      <c r="I2237" s="6" t="str">
        <f>IFERROR(VLOOKUP('Customer Info'!A2229,'Customer Info'!A2229:E2728,5,FALSE),"Not Found")</f>
        <v>Not Found</v>
      </c>
      <c r="J2237" s="2">
        <v>185</v>
      </c>
      <c r="K2237" s="2">
        <v>174</v>
      </c>
      <c r="L2237" s="2">
        <v>4</v>
      </c>
      <c r="M2237" s="7">
        <f t="shared" si="170"/>
        <v>696</v>
      </c>
      <c r="N2237" s="7">
        <f t="shared" si="171"/>
        <v>740</v>
      </c>
      <c r="O2237" s="2">
        <v>30</v>
      </c>
      <c r="P2237" s="8">
        <f t="shared" si="172"/>
        <v>770</v>
      </c>
      <c r="Q2237" s="8">
        <f t="shared" si="173"/>
        <v>566</v>
      </c>
      <c r="R2237" s="2" t="s">
        <v>28</v>
      </c>
      <c r="S2237" s="9">
        <f t="shared" si="174"/>
        <v>15.4</v>
      </c>
    </row>
    <row r="2238" spans="1:19" x14ac:dyDescent="0.3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str">
        <f>IFERROR(VLOOKUP('Customer Info'!A2230,'Customer Info'!A2230:C2729,2,FALSE),"Not Found")</f>
        <v>Not Found</v>
      </c>
      <c r="H2238" s="6" t="str">
        <f>IFERROR(VLOOKUP('Customer Info'!A2230,'Customer Info'!A2230:C2729,3,FALSE),"Not Found")</f>
        <v>Not Found</v>
      </c>
      <c r="I2238" s="6" t="str">
        <f>IFERROR(VLOOKUP('Customer Info'!A2230,'Customer Info'!A2230:E2729,5,FALSE),"Not Found")</f>
        <v>Not Found</v>
      </c>
      <c r="J2238" s="2">
        <v>5906</v>
      </c>
      <c r="K2238" s="2">
        <v>5266</v>
      </c>
      <c r="L2238" s="2">
        <v>3</v>
      </c>
      <c r="M2238" s="7">
        <f t="shared" si="170"/>
        <v>15798</v>
      </c>
      <c r="N2238" s="7">
        <f t="shared" si="171"/>
        <v>17718</v>
      </c>
      <c r="O2238" s="2">
        <v>30</v>
      </c>
      <c r="P2238" s="8">
        <f t="shared" si="172"/>
        <v>17748</v>
      </c>
      <c r="Q2238" s="8">
        <f t="shared" si="173"/>
        <v>12452</v>
      </c>
      <c r="R2238" s="2" t="s">
        <v>28</v>
      </c>
      <c r="S2238" s="9">
        <f t="shared" si="174"/>
        <v>887.40000000000009</v>
      </c>
    </row>
    <row r="2239" spans="1:19" x14ac:dyDescent="0.3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str">
        <f>IFERROR(VLOOKUP('Customer Info'!A2231,'Customer Info'!A2231:C2730,2,FALSE),"Not Found")</f>
        <v>Not Found</v>
      </c>
      <c r="H2239" s="6" t="str">
        <f>IFERROR(VLOOKUP('Customer Info'!A2231,'Customer Info'!A2231:C2730,3,FALSE),"Not Found")</f>
        <v>Not Found</v>
      </c>
      <c r="I2239" s="6" t="str">
        <f>IFERROR(VLOOKUP('Customer Info'!A2231,'Customer Info'!A2231:E2730,5,FALSE),"Not Found")</f>
        <v>Not Found</v>
      </c>
      <c r="J2239" s="2">
        <v>184</v>
      </c>
      <c r="K2239" s="2">
        <v>176</v>
      </c>
      <c r="L2239" s="2">
        <v>4</v>
      </c>
      <c r="M2239" s="7">
        <f t="shared" si="170"/>
        <v>704</v>
      </c>
      <c r="N2239" s="7">
        <f t="shared" si="171"/>
        <v>736</v>
      </c>
      <c r="O2239" s="2">
        <v>30</v>
      </c>
      <c r="P2239" s="8">
        <f t="shared" si="172"/>
        <v>766</v>
      </c>
      <c r="Q2239" s="8">
        <f t="shared" si="173"/>
        <v>560</v>
      </c>
      <c r="R2239" s="2" t="s">
        <v>50</v>
      </c>
      <c r="S2239" s="9">
        <f t="shared" si="174"/>
        <v>15.32</v>
      </c>
    </row>
    <row r="2240" spans="1:19" x14ac:dyDescent="0.3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str">
        <f>IFERROR(VLOOKUP('Customer Info'!A2232,'Customer Info'!A2232:C2731,2,FALSE),"Not Found")</f>
        <v>Not Found</v>
      </c>
      <c r="H2240" s="6" t="str">
        <f>IFERROR(VLOOKUP('Customer Info'!A2232,'Customer Info'!A2232:C2731,3,FALSE),"Not Found")</f>
        <v>Not Found</v>
      </c>
      <c r="I2240" s="6" t="str">
        <f>IFERROR(VLOOKUP('Customer Info'!A2232,'Customer Info'!A2232:E2731,5,FALSE),"Not Found")</f>
        <v>Not Found</v>
      </c>
      <c r="J2240" s="2">
        <v>167</v>
      </c>
      <c r="K2240" s="2">
        <v>155</v>
      </c>
      <c r="L2240" s="2">
        <v>2</v>
      </c>
      <c r="M2240" s="7">
        <f t="shared" si="170"/>
        <v>310</v>
      </c>
      <c r="N2240" s="7">
        <f t="shared" si="171"/>
        <v>334</v>
      </c>
      <c r="O2240" s="2">
        <v>30</v>
      </c>
      <c r="P2240" s="8">
        <f t="shared" si="172"/>
        <v>364</v>
      </c>
      <c r="Q2240" s="8">
        <f t="shared" si="173"/>
        <v>179</v>
      </c>
      <c r="R2240" s="2" t="s">
        <v>50</v>
      </c>
      <c r="S2240" s="9">
        <f t="shared" si="174"/>
        <v>7.28</v>
      </c>
    </row>
    <row r="2241" spans="1:19" x14ac:dyDescent="0.3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str">
        <f>IFERROR(VLOOKUP('Customer Info'!A2233,'Customer Info'!A2233:C2732,2,FALSE),"Not Found")</f>
        <v>Not Found</v>
      </c>
      <c r="H2241" s="6" t="str">
        <f>IFERROR(VLOOKUP('Customer Info'!A2233,'Customer Info'!A2233:C2732,3,FALSE),"Not Found")</f>
        <v>Not Found</v>
      </c>
      <c r="I2241" s="6" t="str">
        <f>IFERROR(VLOOKUP('Customer Info'!A2233,'Customer Info'!A2233:E2732,5,FALSE),"Not Found")</f>
        <v>Not Found</v>
      </c>
      <c r="J2241" s="2">
        <v>3256</v>
      </c>
      <c r="K2241" s="2">
        <v>3044</v>
      </c>
      <c r="L2241" s="2">
        <v>5</v>
      </c>
      <c r="M2241" s="7">
        <f t="shared" si="170"/>
        <v>15220</v>
      </c>
      <c r="N2241" s="7">
        <f t="shared" si="171"/>
        <v>16280</v>
      </c>
      <c r="O2241" s="2">
        <v>52</v>
      </c>
      <c r="P2241" s="8">
        <f t="shared" si="172"/>
        <v>16332</v>
      </c>
      <c r="Q2241" s="8">
        <f t="shared" si="173"/>
        <v>13236</v>
      </c>
      <c r="R2241" s="2" t="s">
        <v>28</v>
      </c>
      <c r="S2241" s="9">
        <f t="shared" si="174"/>
        <v>816.6</v>
      </c>
    </row>
    <row r="2242" spans="1:19" x14ac:dyDescent="0.3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str">
        <f>IFERROR(VLOOKUP('Customer Info'!A2234,'Customer Info'!A2234:C2733,2,FALSE),"Not Found")</f>
        <v>Not Found</v>
      </c>
      <c r="H2242" s="6" t="str">
        <f>IFERROR(VLOOKUP('Customer Info'!A2234,'Customer Info'!A2234:C2733,3,FALSE),"Not Found")</f>
        <v>Not Found</v>
      </c>
      <c r="I2242" s="6" t="str">
        <f>IFERROR(VLOOKUP('Customer Info'!A2234,'Customer Info'!A2234:E2733,5,FALSE),"Not Found")</f>
        <v>Not Found</v>
      </c>
      <c r="J2242" s="2">
        <v>90</v>
      </c>
      <c r="K2242" s="2">
        <v>81</v>
      </c>
      <c r="L2242" s="2">
        <v>2</v>
      </c>
      <c r="M2242" s="7">
        <f t="shared" si="170"/>
        <v>162</v>
      </c>
      <c r="N2242" s="7">
        <f t="shared" si="171"/>
        <v>180</v>
      </c>
      <c r="O2242" s="2">
        <v>10</v>
      </c>
      <c r="P2242" s="8">
        <f t="shared" si="172"/>
        <v>190</v>
      </c>
      <c r="Q2242" s="8">
        <f t="shared" si="173"/>
        <v>99</v>
      </c>
      <c r="R2242" s="2" t="s">
        <v>26</v>
      </c>
      <c r="S2242" s="9">
        <f t="shared" si="174"/>
        <v>3.8000000000000003</v>
      </c>
    </row>
    <row r="2243" spans="1:19" x14ac:dyDescent="0.3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str">
        <f>IFERROR(VLOOKUP('Customer Info'!A2235,'Customer Info'!A2235:C2734,2,FALSE),"Not Found")</f>
        <v>Not Found</v>
      </c>
      <c r="H2243" s="6" t="str">
        <f>IFERROR(VLOOKUP('Customer Info'!A2235,'Customer Info'!A2235:C2734,3,FALSE),"Not Found")</f>
        <v>Not Found</v>
      </c>
      <c r="I2243" s="6" t="str">
        <f>IFERROR(VLOOKUP('Customer Info'!A2235,'Customer Info'!A2235:E2734,5,FALSE),"Not Found")</f>
        <v>Not Found</v>
      </c>
      <c r="J2243" s="2">
        <v>4443</v>
      </c>
      <c r="K2243" s="2">
        <v>4079</v>
      </c>
      <c r="L2243" s="2">
        <v>2</v>
      </c>
      <c r="M2243" s="7">
        <f t="shared" si="170"/>
        <v>8158</v>
      </c>
      <c r="N2243" s="7">
        <f t="shared" si="171"/>
        <v>8886</v>
      </c>
      <c r="O2243" s="2">
        <v>21</v>
      </c>
      <c r="P2243" s="8">
        <f t="shared" si="172"/>
        <v>8907</v>
      </c>
      <c r="Q2243" s="8">
        <f t="shared" si="173"/>
        <v>4807</v>
      </c>
      <c r="R2243" s="2" t="s">
        <v>50</v>
      </c>
      <c r="S2243" s="9">
        <f t="shared" si="174"/>
        <v>445.35</v>
      </c>
    </row>
    <row r="2244" spans="1:19" x14ac:dyDescent="0.3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str">
        <f>IFERROR(VLOOKUP('Customer Info'!A2236,'Customer Info'!A2236:C2735,2,FALSE),"Not Found")</f>
        <v>Not Found</v>
      </c>
      <c r="H2244" s="6" t="str">
        <f>IFERROR(VLOOKUP('Customer Info'!A2236,'Customer Info'!A2236:C2735,3,FALSE),"Not Found")</f>
        <v>Not Found</v>
      </c>
      <c r="I2244" s="6" t="str">
        <f>IFERROR(VLOOKUP('Customer Info'!A2236,'Customer Info'!A2236:E2735,5,FALSE),"Not Found")</f>
        <v>Not Found</v>
      </c>
      <c r="J2244" s="2">
        <v>149</v>
      </c>
      <c r="K2244" s="2">
        <v>131</v>
      </c>
      <c r="L2244" s="2">
        <v>2</v>
      </c>
      <c r="M2244" s="7">
        <f t="shared" si="170"/>
        <v>262</v>
      </c>
      <c r="N2244" s="7">
        <f t="shared" si="171"/>
        <v>298</v>
      </c>
      <c r="O2244" s="2">
        <v>30</v>
      </c>
      <c r="P2244" s="8">
        <f t="shared" si="172"/>
        <v>328</v>
      </c>
      <c r="Q2244" s="8">
        <f t="shared" si="173"/>
        <v>167</v>
      </c>
      <c r="R2244" s="2" t="s">
        <v>50</v>
      </c>
      <c r="S2244" s="9">
        <f t="shared" si="174"/>
        <v>6.5600000000000005</v>
      </c>
    </row>
    <row r="2245" spans="1:19" x14ac:dyDescent="0.3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str">
        <f>IFERROR(VLOOKUP('Customer Info'!A2237,'Customer Info'!A2237:C2736,2,FALSE),"Not Found")</f>
        <v>Not Found</v>
      </c>
      <c r="H2245" s="6" t="str">
        <f>IFERROR(VLOOKUP('Customer Info'!A2237,'Customer Info'!A2237:C2736,3,FALSE),"Not Found")</f>
        <v>Not Found</v>
      </c>
      <c r="I2245" s="6" t="str">
        <f>IFERROR(VLOOKUP('Customer Info'!A2237,'Customer Info'!A2237:E2736,5,FALSE),"Not Found")</f>
        <v>Not Found</v>
      </c>
      <c r="J2245" s="2">
        <v>4443</v>
      </c>
      <c r="K2245" s="2">
        <v>4079</v>
      </c>
      <c r="L2245" s="2">
        <v>6</v>
      </c>
      <c r="M2245" s="7">
        <f t="shared" si="170"/>
        <v>24474</v>
      </c>
      <c r="N2245" s="7">
        <f t="shared" si="171"/>
        <v>26658</v>
      </c>
      <c r="O2245" s="2">
        <v>38</v>
      </c>
      <c r="P2245" s="8">
        <f t="shared" si="172"/>
        <v>26696</v>
      </c>
      <c r="Q2245" s="8">
        <f t="shared" si="173"/>
        <v>22579</v>
      </c>
      <c r="R2245" s="2" t="s">
        <v>28</v>
      </c>
      <c r="S2245" s="9">
        <f t="shared" si="174"/>
        <v>1868.7200000000003</v>
      </c>
    </row>
    <row r="2246" spans="1:19" x14ac:dyDescent="0.3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str">
        <f>IFERROR(VLOOKUP('Customer Info'!A2238,'Customer Info'!A2238:C2737,2,FALSE),"Not Found")</f>
        <v>Not Found</v>
      </c>
      <c r="H2246" s="6" t="str">
        <f>IFERROR(VLOOKUP('Customer Info'!A2238,'Customer Info'!A2238:C2737,3,FALSE),"Not Found")</f>
        <v>Not Found</v>
      </c>
      <c r="I2246" s="6" t="str">
        <f>IFERROR(VLOOKUP('Customer Info'!A2238,'Customer Info'!A2238:E2737,5,FALSE),"Not Found")</f>
        <v>Not Found</v>
      </c>
      <c r="J2246" s="2">
        <v>400</v>
      </c>
      <c r="K2246" s="2">
        <v>360</v>
      </c>
      <c r="L2246" s="2">
        <v>1</v>
      </c>
      <c r="M2246" s="7">
        <f t="shared" si="170"/>
        <v>360</v>
      </c>
      <c r="N2246" s="7">
        <f t="shared" si="171"/>
        <v>400</v>
      </c>
      <c r="O2246" s="2">
        <v>27</v>
      </c>
      <c r="P2246" s="8">
        <f t="shared" si="172"/>
        <v>427</v>
      </c>
      <c r="Q2246" s="8">
        <f t="shared" si="173"/>
        <v>40</v>
      </c>
      <c r="R2246" s="2" t="s">
        <v>28</v>
      </c>
      <c r="S2246" s="9">
        <f t="shared" si="174"/>
        <v>8.5400000000000009</v>
      </c>
    </row>
    <row r="2247" spans="1:19" x14ac:dyDescent="0.3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str">
        <f>IFERROR(VLOOKUP('Customer Info'!A2239,'Customer Info'!A2239:C2738,2,FALSE),"Not Found")</f>
        <v>Not Found</v>
      </c>
      <c r="H2247" s="6" t="str">
        <f>IFERROR(VLOOKUP('Customer Info'!A2239,'Customer Info'!A2239:C2738,3,FALSE),"Not Found")</f>
        <v>Not Found</v>
      </c>
      <c r="I2247" s="6" t="str">
        <f>IFERROR(VLOOKUP('Customer Info'!A2239,'Customer Info'!A2239:E2738,5,FALSE),"Not Found")</f>
        <v>Not Found</v>
      </c>
      <c r="J2247" s="2">
        <v>1103</v>
      </c>
      <c r="K2247" s="2">
        <v>1030</v>
      </c>
      <c r="L2247" s="2">
        <v>3</v>
      </c>
      <c r="M2247" s="7">
        <f t="shared" si="170"/>
        <v>3090</v>
      </c>
      <c r="N2247" s="7">
        <f t="shared" si="171"/>
        <v>3309</v>
      </c>
      <c r="O2247" s="2">
        <v>92</v>
      </c>
      <c r="P2247" s="8">
        <f t="shared" si="172"/>
        <v>3401</v>
      </c>
      <c r="Q2247" s="8">
        <f t="shared" si="173"/>
        <v>2279</v>
      </c>
      <c r="R2247" s="2" t="s">
        <v>28</v>
      </c>
      <c r="S2247" s="9">
        <f t="shared" si="174"/>
        <v>68.02</v>
      </c>
    </row>
    <row r="2248" spans="1:19" x14ac:dyDescent="0.3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str">
        <f>IFERROR(VLOOKUP('Customer Info'!A2240,'Customer Info'!A2240:C2739,2,FALSE),"Not Found")</f>
        <v>Not Found</v>
      </c>
      <c r="H2248" s="6" t="str">
        <f>IFERROR(VLOOKUP('Customer Info'!A2240,'Customer Info'!A2240:C2739,3,FALSE),"Not Found")</f>
        <v>Not Found</v>
      </c>
      <c r="I2248" s="6" t="str">
        <f>IFERROR(VLOOKUP('Customer Info'!A2240,'Customer Info'!A2240:E2739,5,FALSE),"Not Found")</f>
        <v>Not Found</v>
      </c>
      <c r="J2248" s="2">
        <v>691</v>
      </c>
      <c r="K2248" s="2">
        <v>646</v>
      </c>
      <c r="L2248" s="2">
        <v>4</v>
      </c>
      <c r="M2248" s="7">
        <f t="shared" si="170"/>
        <v>2584</v>
      </c>
      <c r="N2248" s="7">
        <f t="shared" si="171"/>
        <v>2764</v>
      </c>
      <c r="O2248" s="2">
        <v>81</v>
      </c>
      <c r="P2248" s="8">
        <f t="shared" si="172"/>
        <v>2845</v>
      </c>
      <c r="Q2248" s="8">
        <f t="shared" si="173"/>
        <v>2118</v>
      </c>
      <c r="R2248" s="2" t="s">
        <v>50</v>
      </c>
      <c r="S2248" s="9">
        <f t="shared" si="174"/>
        <v>56.9</v>
      </c>
    </row>
    <row r="2249" spans="1:19" x14ac:dyDescent="0.3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str">
        <f>IFERROR(VLOOKUP('Customer Info'!A2241,'Customer Info'!A2241:C2740,2,FALSE),"Not Found")</f>
        <v>Not Found</v>
      </c>
      <c r="H2249" s="6" t="str">
        <f>IFERROR(VLOOKUP('Customer Info'!A2241,'Customer Info'!A2241:C2740,3,FALSE),"Not Found")</f>
        <v>Not Found</v>
      </c>
      <c r="I2249" s="6" t="str">
        <f>IFERROR(VLOOKUP('Customer Info'!A2241,'Customer Info'!A2241:E2740,5,FALSE),"Not Found")</f>
        <v>Not Found</v>
      </c>
      <c r="J2249" s="2">
        <v>58</v>
      </c>
      <c r="K2249" s="2">
        <v>56</v>
      </c>
      <c r="L2249" s="2">
        <v>2</v>
      </c>
      <c r="M2249" s="7">
        <f t="shared" si="170"/>
        <v>112</v>
      </c>
      <c r="N2249" s="7">
        <f t="shared" si="171"/>
        <v>116</v>
      </c>
      <c r="O2249" s="2">
        <v>10</v>
      </c>
      <c r="P2249" s="8">
        <f t="shared" si="172"/>
        <v>126</v>
      </c>
      <c r="Q2249" s="8">
        <f t="shared" si="173"/>
        <v>60</v>
      </c>
      <c r="R2249" s="2" t="s">
        <v>28</v>
      </c>
      <c r="S2249" s="9">
        <f t="shared" si="174"/>
        <v>2.52</v>
      </c>
    </row>
    <row r="2250" spans="1:19" x14ac:dyDescent="0.3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str">
        <f>IFERROR(VLOOKUP('Customer Info'!A2242,'Customer Info'!A2242:C2741,2,FALSE),"Not Found")</f>
        <v>Not Found</v>
      </c>
      <c r="H2250" s="6" t="str">
        <f>IFERROR(VLOOKUP('Customer Info'!A2242,'Customer Info'!A2242:C2741,3,FALSE),"Not Found")</f>
        <v>Not Found</v>
      </c>
      <c r="I2250" s="6" t="str">
        <f>IFERROR(VLOOKUP('Customer Info'!A2242,'Customer Info'!A2242:E2741,5,FALSE),"Not Found")</f>
        <v>Not Found</v>
      </c>
      <c r="J2250" s="2">
        <v>712</v>
      </c>
      <c r="K2250" s="2">
        <v>640</v>
      </c>
      <c r="L2250" s="2">
        <v>9</v>
      </c>
      <c r="M2250" s="7">
        <f t="shared" si="170"/>
        <v>5760</v>
      </c>
      <c r="N2250" s="7">
        <f t="shared" si="171"/>
        <v>6408</v>
      </c>
      <c r="O2250" s="2">
        <v>91</v>
      </c>
      <c r="P2250" s="8">
        <f t="shared" si="172"/>
        <v>6499</v>
      </c>
      <c r="Q2250" s="8">
        <f t="shared" si="173"/>
        <v>5768</v>
      </c>
      <c r="R2250" s="2" t="s">
        <v>56</v>
      </c>
      <c r="S2250" s="9">
        <f t="shared" si="174"/>
        <v>324.95000000000005</v>
      </c>
    </row>
    <row r="2251" spans="1:19" x14ac:dyDescent="0.3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str">
        <f>IFERROR(VLOOKUP('Customer Info'!A2243,'Customer Info'!A2243:C2742,2,FALSE),"Not Found")</f>
        <v>Not Found</v>
      </c>
      <c r="H2251" s="6" t="str">
        <f>IFERROR(VLOOKUP('Customer Info'!A2243,'Customer Info'!A2243:C2742,3,FALSE),"Not Found")</f>
        <v>Not Found</v>
      </c>
      <c r="I2251" s="6" t="str">
        <f>IFERROR(VLOOKUP('Customer Info'!A2243,'Customer Info'!A2243:E2742,5,FALSE),"Not Found")</f>
        <v>Not Found</v>
      </c>
      <c r="J2251" s="2">
        <v>2787</v>
      </c>
      <c r="K2251" s="2">
        <v>2681</v>
      </c>
      <c r="L2251" s="2">
        <v>9</v>
      </c>
      <c r="M2251" s="7">
        <f t="shared" ref="M2251:M2314" si="175">$K2251*$L2251</f>
        <v>24129</v>
      </c>
      <c r="N2251" s="7">
        <f t="shared" ref="N2251:N2314" si="176">$J2251*$L2251</f>
        <v>25083</v>
      </c>
      <c r="O2251" s="2">
        <v>55</v>
      </c>
      <c r="P2251" s="8">
        <f t="shared" ref="P2251:P2314" si="177">$N2251+$O2251</f>
        <v>25138</v>
      </c>
      <c r="Q2251" s="8">
        <f t="shared" ref="Q2251:Q2314" si="178">$N2251-$K2251</f>
        <v>22402</v>
      </c>
      <c r="R2251" s="2" t="s">
        <v>28</v>
      </c>
      <c r="S2251" s="9">
        <f t="shared" ref="S2251:S2314" si="179" xml:space="preserve"> P2251 * VLOOKUP(P2251, $T$2:$U$6, 2, TRUE)</f>
        <v>1759.66</v>
      </c>
    </row>
    <row r="2252" spans="1:19" x14ac:dyDescent="0.3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str">
        <f>IFERROR(VLOOKUP('Customer Info'!A2244,'Customer Info'!A2244:C2743,2,FALSE),"Not Found")</f>
        <v>Not Found</v>
      </c>
      <c r="H2252" s="6" t="str">
        <f>IFERROR(VLOOKUP('Customer Info'!A2244,'Customer Info'!A2244:C2743,3,FALSE),"Not Found")</f>
        <v>Not Found</v>
      </c>
      <c r="I2252" s="6" t="str">
        <f>IFERROR(VLOOKUP('Customer Info'!A2244,'Customer Info'!A2244:E2743,5,FALSE),"Not Found")</f>
        <v>Not Found</v>
      </c>
      <c r="J2252" s="2">
        <v>2602</v>
      </c>
      <c r="K2252" s="2">
        <v>2363</v>
      </c>
      <c r="L2252" s="2">
        <v>4</v>
      </c>
      <c r="M2252" s="7">
        <f t="shared" si="175"/>
        <v>9452</v>
      </c>
      <c r="N2252" s="7">
        <f t="shared" si="176"/>
        <v>10408</v>
      </c>
      <c r="O2252" s="2">
        <v>37</v>
      </c>
      <c r="P2252" s="8">
        <f t="shared" si="177"/>
        <v>10445</v>
      </c>
      <c r="Q2252" s="8">
        <f t="shared" si="178"/>
        <v>8045</v>
      </c>
      <c r="R2252" s="2" t="s">
        <v>28</v>
      </c>
      <c r="S2252" s="9">
        <f t="shared" si="179"/>
        <v>522.25</v>
      </c>
    </row>
    <row r="2253" spans="1:19" x14ac:dyDescent="0.3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str">
        <f>IFERROR(VLOOKUP('Customer Info'!A2245,'Customer Info'!A2245:C2744,2,FALSE),"Not Found")</f>
        <v>Not Found</v>
      </c>
      <c r="H2253" s="6" t="str">
        <f>IFERROR(VLOOKUP('Customer Info'!A2245,'Customer Info'!A2245:C2744,3,FALSE),"Not Found")</f>
        <v>Not Found</v>
      </c>
      <c r="I2253" s="6" t="str">
        <f>IFERROR(VLOOKUP('Customer Info'!A2245,'Customer Info'!A2245:E2744,5,FALSE),"Not Found")</f>
        <v>Not Found</v>
      </c>
      <c r="J2253" s="2">
        <v>7327</v>
      </c>
      <c r="K2253" s="2">
        <v>6658</v>
      </c>
      <c r="L2253" s="2">
        <v>6</v>
      </c>
      <c r="M2253" s="7">
        <f t="shared" si="175"/>
        <v>39948</v>
      </c>
      <c r="N2253" s="7">
        <f t="shared" si="176"/>
        <v>43962</v>
      </c>
      <c r="O2253" s="2">
        <v>83</v>
      </c>
      <c r="P2253" s="8">
        <f t="shared" si="177"/>
        <v>44045</v>
      </c>
      <c r="Q2253" s="8">
        <f t="shared" si="178"/>
        <v>37304</v>
      </c>
      <c r="R2253" s="2" t="s">
        <v>50</v>
      </c>
      <c r="S2253" s="9">
        <f t="shared" si="179"/>
        <v>3083.15</v>
      </c>
    </row>
    <row r="2254" spans="1:19" x14ac:dyDescent="0.3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str">
        <f>IFERROR(VLOOKUP('Customer Info'!A2246,'Customer Info'!A2246:C2745,2,FALSE),"Not Found")</f>
        <v>Not Found</v>
      </c>
      <c r="H2254" s="6" t="str">
        <f>IFERROR(VLOOKUP('Customer Info'!A2246,'Customer Info'!A2246:C2745,3,FALSE),"Not Found")</f>
        <v>Not Found</v>
      </c>
      <c r="I2254" s="6" t="str">
        <f>IFERROR(VLOOKUP('Customer Info'!A2246,'Customer Info'!A2246:E2745,5,FALSE),"Not Found")</f>
        <v>Not Found</v>
      </c>
      <c r="J2254" s="2">
        <v>8738</v>
      </c>
      <c r="K2254" s="2">
        <v>8162</v>
      </c>
      <c r="L2254" s="2">
        <v>2</v>
      </c>
      <c r="M2254" s="7">
        <f t="shared" si="175"/>
        <v>16324</v>
      </c>
      <c r="N2254" s="7">
        <f t="shared" si="176"/>
        <v>17476</v>
      </c>
      <c r="O2254" s="2">
        <v>69</v>
      </c>
      <c r="P2254" s="8">
        <f t="shared" si="177"/>
        <v>17545</v>
      </c>
      <c r="Q2254" s="8">
        <f t="shared" si="178"/>
        <v>9314</v>
      </c>
      <c r="R2254" s="2" t="s">
        <v>28</v>
      </c>
      <c r="S2254" s="9">
        <f t="shared" si="179"/>
        <v>877.25</v>
      </c>
    </row>
    <row r="2255" spans="1:19" x14ac:dyDescent="0.3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str">
        <f>IFERROR(VLOOKUP('Customer Info'!A2247,'Customer Info'!A2247:C2746,2,FALSE),"Not Found")</f>
        <v>Not Found</v>
      </c>
      <c r="H2255" s="6" t="str">
        <f>IFERROR(VLOOKUP('Customer Info'!A2247,'Customer Info'!A2247:C2746,3,FALSE),"Not Found")</f>
        <v>Not Found</v>
      </c>
      <c r="I2255" s="6" t="str">
        <f>IFERROR(VLOOKUP('Customer Info'!A2247,'Customer Info'!A2247:E2746,5,FALSE),"Not Found")</f>
        <v>Not Found</v>
      </c>
      <c r="J2255" s="2">
        <v>5848</v>
      </c>
      <c r="K2255" s="2">
        <v>5214</v>
      </c>
      <c r="L2255" s="2">
        <v>1</v>
      </c>
      <c r="M2255" s="7">
        <f t="shared" si="175"/>
        <v>5214</v>
      </c>
      <c r="N2255" s="7">
        <f t="shared" si="176"/>
        <v>5848</v>
      </c>
      <c r="O2255" s="2">
        <v>23</v>
      </c>
      <c r="P2255" s="8">
        <f t="shared" si="177"/>
        <v>5871</v>
      </c>
      <c r="Q2255" s="8">
        <f t="shared" si="178"/>
        <v>634</v>
      </c>
      <c r="R2255" s="2" t="s">
        <v>26</v>
      </c>
      <c r="S2255" s="9">
        <f t="shared" si="179"/>
        <v>293.55</v>
      </c>
    </row>
    <row r="2256" spans="1:19" x14ac:dyDescent="0.3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str">
        <f>IFERROR(VLOOKUP('Customer Info'!A2248,'Customer Info'!A2248:C2747,2,FALSE),"Not Found")</f>
        <v>Not Found</v>
      </c>
      <c r="H2256" s="6" t="str">
        <f>IFERROR(VLOOKUP('Customer Info'!A2248,'Customer Info'!A2248:C2747,3,FALSE),"Not Found")</f>
        <v>Not Found</v>
      </c>
      <c r="I2256" s="6" t="str">
        <f>IFERROR(VLOOKUP('Customer Info'!A2248,'Customer Info'!A2248:E2747,5,FALSE),"Not Found")</f>
        <v>Not Found</v>
      </c>
      <c r="J2256" s="2">
        <v>6012</v>
      </c>
      <c r="K2256" s="2">
        <v>5677</v>
      </c>
      <c r="L2256" s="2">
        <v>2</v>
      </c>
      <c r="M2256" s="7">
        <f t="shared" si="175"/>
        <v>11354</v>
      </c>
      <c r="N2256" s="7">
        <f t="shared" si="176"/>
        <v>12024</v>
      </c>
      <c r="O2256" s="2">
        <v>61</v>
      </c>
      <c r="P2256" s="8">
        <f t="shared" si="177"/>
        <v>12085</v>
      </c>
      <c r="Q2256" s="8">
        <f t="shared" si="178"/>
        <v>6347</v>
      </c>
      <c r="R2256" s="2" t="s">
        <v>28</v>
      </c>
      <c r="S2256" s="9">
        <f t="shared" si="179"/>
        <v>604.25</v>
      </c>
    </row>
    <row r="2257" spans="1:19" x14ac:dyDescent="0.3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str">
        <f>IFERROR(VLOOKUP('Customer Info'!A2249,'Customer Info'!A2249:C2748,2,FALSE),"Not Found")</f>
        <v>Not Found</v>
      </c>
      <c r="H2257" s="6" t="str">
        <f>IFERROR(VLOOKUP('Customer Info'!A2249,'Customer Info'!A2249:C2748,3,FALSE),"Not Found")</f>
        <v>Not Found</v>
      </c>
      <c r="I2257" s="6" t="str">
        <f>IFERROR(VLOOKUP('Customer Info'!A2249,'Customer Info'!A2249:E2748,5,FALSE),"Not Found")</f>
        <v>Not Found</v>
      </c>
      <c r="J2257" s="2">
        <v>896</v>
      </c>
      <c r="K2257" s="2">
        <v>870</v>
      </c>
      <c r="L2257" s="2">
        <v>3</v>
      </c>
      <c r="M2257" s="7">
        <f t="shared" si="175"/>
        <v>2610</v>
      </c>
      <c r="N2257" s="7">
        <f t="shared" si="176"/>
        <v>2688</v>
      </c>
      <c r="O2257" s="2">
        <v>76</v>
      </c>
      <c r="P2257" s="8">
        <f t="shared" si="177"/>
        <v>2764</v>
      </c>
      <c r="Q2257" s="8">
        <f t="shared" si="178"/>
        <v>1818</v>
      </c>
      <c r="R2257" s="2" t="s">
        <v>28</v>
      </c>
      <c r="S2257" s="9">
        <f t="shared" si="179"/>
        <v>55.28</v>
      </c>
    </row>
    <row r="2258" spans="1:19" x14ac:dyDescent="0.3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str">
        <f>IFERROR(VLOOKUP('Customer Info'!A2250,'Customer Info'!A2250:C2749,2,FALSE),"Not Found")</f>
        <v>Not Found</v>
      </c>
      <c r="H2258" s="6" t="str">
        <f>IFERROR(VLOOKUP('Customer Info'!A2250,'Customer Info'!A2250:C2749,3,FALSE),"Not Found")</f>
        <v>Not Found</v>
      </c>
      <c r="I2258" s="6" t="str">
        <f>IFERROR(VLOOKUP('Customer Info'!A2250,'Customer Info'!A2250:E2749,5,FALSE),"Not Found")</f>
        <v>Not Found</v>
      </c>
      <c r="J2258" s="2">
        <v>1623</v>
      </c>
      <c r="K2258" s="2">
        <v>1546</v>
      </c>
      <c r="L2258" s="2">
        <v>5</v>
      </c>
      <c r="M2258" s="7">
        <f t="shared" si="175"/>
        <v>7730</v>
      </c>
      <c r="N2258" s="7">
        <f t="shared" si="176"/>
        <v>8115</v>
      </c>
      <c r="O2258" s="2">
        <v>83</v>
      </c>
      <c r="P2258" s="8">
        <f t="shared" si="177"/>
        <v>8198</v>
      </c>
      <c r="Q2258" s="8">
        <f t="shared" si="178"/>
        <v>6569</v>
      </c>
      <c r="R2258" s="2" t="s">
        <v>28</v>
      </c>
      <c r="S2258" s="9">
        <f t="shared" si="179"/>
        <v>409.90000000000003</v>
      </c>
    </row>
    <row r="2259" spans="1:19" x14ac:dyDescent="0.3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str">
        <f>IFERROR(VLOOKUP('Customer Info'!A2251,'Customer Info'!A2251:C2750,2,FALSE),"Not Found")</f>
        <v>Not Found</v>
      </c>
      <c r="H2259" s="6" t="str">
        <f>IFERROR(VLOOKUP('Customer Info'!A2251,'Customer Info'!A2251:C2750,3,FALSE),"Not Found")</f>
        <v>Not Found</v>
      </c>
      <c r="I2259" s="6" t="str">
        <f>IFERROR(VLOOKUP('Customer Info'!A2251,'Customer Info'!A2251:E2750,5,FALSE),"Not Found")</f>
        <v>Not Found</v>
      </c>
      <c r="J2259" s="2">
        <v>1512</v>
      </c>
      <c r="K2259" s="2">
        <v>1497</v>
      </c>
      <c r="L2259" s="2">
        <v>3</v>
      </c>
      <c r="M2259" s="7">
        <f t="shared" si="175"/>
        <v>4491</v>
      </c>
      <c r="N2259" s="7">
        <f t="shared" si="176"/>
        <v>4536</v>
      </c>
      <c r="O2259" s="2">
        <v>42</v>
      </c>
      <c r="P2259" s="8">
        <f t="shared" si="177"/>
        <v>4578</v>
      </c>
      <c r="Q2259" s="8">
        <f t="shared" si="178"/>
        <v>3039</v>
      </c>
      <c r="R2259" s="2" t="s">
        <v>28</v>
      </c>
      <c r="S2259" s="9">
        <f t="shared" si="179"/>
        <v>91.56</v>
      </c>
    </row>
    <row r="2260" spans="1:19" x14ac:dyDescent="0.3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str">
        <f>IFERROR(VLOOKUP('Customer Info'!A2252,'Customer Info'!A2252:C2751,2,FALSE),"Not Found")</f>
        <v>Not Found</v>
      </c>
      <c r="H2260" s="6" t="str">
        <f>IFERROR(VLOOKUP('Customer Info'!A2252,'Customer Info'!A2252:C2751,3,FALSE),"Not Found")</f>
        <v>Not Found</v>
      </c>
      <c r="I2260" s="6" t="str">
        <f>IFERROR(VLOOKUP('Customer Info'!A2252,'Customer Info'!A2252:E2751,5,FALSE),"Not Found")</f>
        <v>Not Found</v>
      </c>
      <c r="J2260" s="2">
        <v>162</v>
      </c>
      <c r="K2260" s="2">
        <v>148</v>
      </c>
      <c r="L2260" s="2">
        <v>2</v>
      </c>
      <c r="M2260" s="7">
        <f t="shared" si="175"/>
        <v>296</v>
      </c>
      <c r="N2260" s="7">
        <f t="shared" si="176"/>
        <v>324</v>
      </c>
      <c r="O2260" s="2">
        <v>30</v>
      </c>
      <c r="P2260" s="8">
        <f t="shared" si="177"/>
        <v>354</v>
      </c>
      <c r="Q2260" s="8">
        <f t="shared" si="178"/>
        <v>176</v>
      </c>
      <c r="R2260" s="2" t="s">
        <v>28</v>
      </c>
      <c r="S2260" s="9">
        <f t="shared" si="179"/>
        <v>7.08</v>
      </c>
    </row>
    <row r="2261" spans="1:19" x14ac:dyDescent="0.3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str">
        <f>IFERROR(VLOOKUP('Customer Info'!A2253,'Customer Info'!A2253:C2752,2,FALSE),"Not Found")</f>
        <v>Not Found</v>
      </c>
      <c r="H2261" s="6" t="str">
        <f>IFERROR(VLOOKUP('Customer Info'!A2253,'Customer Info'!A2253:C2752,3,FALSE),"Not Found")</f>
        <v>Not Found</v>
      </c>
      <c r="I2261" s="6" t="str">
        <f>IFERROR(VLOOKUP('Customer Info'!A2253,'Customer Info'!A2253:E2752,5,FALSE),"Not Found")</f>
        <v>Not Found</v>
      </c>
      <c r="J2261" s="2">
        <v>128</v>
      </c>
      <c r="K2261" s="2">
        <v>115</v>
      </c>
      <c r="L2261" s="2">
        <v>7</v>
      </c>
      <c r="M2261" s="7">
        <f t="shared" si="175"/>
        <v>805</v>
      </c>
      <c r="N2261" s="7">
        <f t="shared" si="176"/>
        <v>896</v>
      </c>
      <c r="O2261" s="2">
        <v>30</v>
      </c>
      <c r="P2261" s="8">
        <f t="shared" si="177"/>
        <v>926</v>
      </c>
      <c r="Q2261" s="8">
        <f t="shared" si="178"/>
        <v>781</v>
      </c>
      <c r="R2261" s="2" t="s">
        <v>50</v>
      </c>
      <c r="S2261" s="9">
        <f t="shared" si="179"/>
        <v>18.52</v>
      </c>
    </row>
    <row r="2262" spans="1:19" x14ac:dyDescent="0.3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str">
        <f>IFERROR(VLOOKUP('Customer Info'!A2254,'Customer Info'!A2254:C2753,2,FALSE),"Not Found")</f>
        <v>Not Found</v>
      </c>
      <c r="H2262" s="6" t="str">
        <f>IFERROR(VLOOKUP('Customer Info'!A2254,'Customer Info'!A2254:C2753,3,FALSE),"Not Found")</f>
        <v>Not Found</v>
      </c>
      <c r="I2262" s="6" t="str">
        <f>IFERROR(VLOOKUP('Customer Info'!A2254,'Customer Info'!A2254:E2753,5,FALSE),"Not Found")</f>
        <v>Not Found</v>
      </c>
      <c r="J2262" s="2">
        <v>691</v>
      </c>
      <c r="K2262" s="2">
        <v>646</v>
      </c>
      <c r="L2262" s="2">
        <v>2</v>
      </c>
      <c r="M2262" s="7">
        <f t="shared" si="175"/>
        <v>1292</v>
      </c>
      <c r="N2262" s="7">
        <f t="shared" si="176"/>
        <v>1382</v>
      </c>
      <c r="O2262" s="2">
        <v>81</v>
      </c>
      <c r="P2262" s="8">
        <f t="shared" si="177"/>
        <v>1463</v>
      </c>
      <c r="Q2262" s="8">
        <f t="shared" si="178"/>
        <v>736</v>
      </c>
      <c r="R2262" s="2" t="s">
        <v>28</v>
      </c>
      <c r="S2262" s="9">
        <f t="shared" si="179"/>
        <v>29.26</v>
      </c>
    </row>
    <row r="2263" spans="1:19" x14ac:dyDescent="0.3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str">
        <f>IFERROR(VLOOKUP('Customer Info'!A2255,'Customer Info'!A2255:C2754,2,FALSE),"Not Found")</f>
        <v>Not Found</v>
      </c>
      <c r="H2263" s="6" t="str">
        <f>IFERROR(VLOOKUP('Customer Info'!A2255,'Customer Info'!A2255:C2754,3,FALSE),"Not Found")</f>
        <v>Not Found</v>
      </c>
      <c r="I2263" s="6" t="str">
        <f>IFERROR(VLOOKUP('Customer Info'!A2255,'Customer Info'!A2255:E2754,5,FALSE),"Not Found")</f>
        <v>Not Found</v>
      </c>
      <c r="J2263" s="2">
        <v>2551</v>
      </c>
      <c r="K2263" s="2">
        <v>2456</v>
      </c>
      <c r="L2263" s="2">
        <v>2</v>
      </c>
      <c r="M2263" s="7">
        <f t="shared" si="175"/>
        <v>4912</v>
      </c>
      <c r="N2263" s="7">
        <f t="shared" si="176"/>
        <v>5102</v>
      </c>
      <c r="O2263" s="2">
        <v>81</v>
      </c>
      <c r="P2263" s="8">
        <f t="shared" si="177"/>
        <v>5183</v>
      </c>
      <c r="Q2263" s="8">
        <f t="shared" si="178"/>
        <v>2646</v>
      </c>
      <c r="R2263" s="2" t="s">
        <v>28</v>
      </c>
      <c r="S2263" s="9">
        <f t="shared" si="179"/>
        <v>259.15000000000003</v>
      </c>
    </row>
    <row r="2264" spans="1:19" x14ac:dyDescent="0.3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str">
        <f>IFERROR(VLOOKUP('Customer Info'!A2256,'Customer Info'!A2256:C2755,2,FALSE),"Not Found")</f>
        <v>Not Found</v>
      </c>
      <c r="H2264" s="6" t="str">
        <f>IFERROR(VLOOKUP('Customer Info'!A2256,'Customer Info'!A2256:C2755,3,FALSE),"Not Found")</f>
        <v>Not Found</v>
      </c>
      <c r="I2264" s="6" t="str">
        <f>IFERROR(VLOOKUP('Customer Info'!A2256,'Customer Info'!A2256:E2755,5,FALSE),"Not Found")</f>
        <v>Not Found</v>
      </c>
      <c r="J2264" s="2">
        <v>8869</v>
      </c>
      <c r="K2264" s="2">
        <v>7906</v>
      </c>
      <c r="L2264" s="2">
        <v>3</v>
      </c>
      <c r="M2264" s="7">
        <f t="shared" si="175"/>
        <v>23718</v>
      </c>
      <c r="N2264" s="7">
        <f t="shared" si="176"/>
        <v>26607</v>
      </c>
      <c r="O2264" s="2">
        <v>76</v>
      </c>
      <c r="P2264" s="8">
        <f t="shared" si="177"/>
        <v>26683</v>
      </c>
      <c r="Q2264" s="8">
        <f t="shared" si="178"/>
        <v>18701</v>
      </c>
      <c r="R2264" s="2" t="s">
        <v>28</v>
      </c>
      <c r="S2264" s="9">
        <f t="shared" si="179"/>
        <v>1867.8100000000002</v>
      </c>
    </row>
    <row r="2265" spans="1:19" x14ac:dyDescent="0.3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str">
        <f>IFERROR(VLOOKUP('Customer Info'!A2257,'Customer Info'!A2257:C2756,2,FALSE),"Not Found")</f>
        <v>Not Found</v>
      </c>
      <c r="H2265" s="6" t="str">
        <f>IFERROR(VLOOKUP('Customer Info'!A2257,'Customer Info'!A2257:C2756,3,FALSE),"Not Found")</f>
        <v>Not Found</v>
      </c>
      <c r="I2265" s="6" t="str">
        <f>IFERROR(VLOOKUP('Customer Info'!A2257,'Customer Info'!A2257:E2756,5,FALSE),"Not Found")</f>
        <v>Not Found</v>
      </c>
      <c r="J2265" s="2">
        <v>8686</v>
      </c>
      <c r="K2265" s="2">
        <v>8035</v>
      </c>
      <c r="L2265" s="2">
        <v>4</v>
      </c>
      <c r="M2265" s="7">
        <f t="shared" si="175"/>
        <v>32140</v>
      </c>
      <c r="N2265" s="7">
        <f t="shared" si="176"/>
        <v>34744</v>
      </c>
      <c r="O2265" s="2">
        <v>25</v>
      </c>
      <c r="P2265" s="8">
        <f t="shared" si="177"/>
        <v>34769</v>
      </c>
      <c r="Q2265" s="8">
        <f t="shared" si="178"/>
        <v>26709</v>
      </c>
      <c r="R2265" s="2" t="s">
        <v>28</v>
      </c>
      <c r="S2265" s="9">
        <f t="shared" si="179"/>
        <v>2433.8300000000004</v>
      </c>
    </row>
    <row r="2266" spans="1:19" x14ac:dyDescent="0.3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str">
        <f>IFERROR(VLOOKUP('Customer Info'!A2258,'Customer Info'!A2258:C2757,2,FALSE),"Not Found")</f>
        <v>Not Found</v>
      </c>
      <c r="H2266" s="6" t="str">
        <f>IFERROR(VLOOKUP('Customer Info'!A2258,'Customer Info'!A2258:C2757,3,FALSE),"Not Found")</f>
        <v>Not Found</v>
      </c>
      <c r="I2266" s="6" t="str">
        <f>IFERROR(VLOOKUP('Customer Info'!A2258,'Customer Info'!A2258:E2757,5,FALSE),"Not Found")</f>
        <v>Not Found</v>
      </c>
      <c r="J2266" s="2">
        <v>8199</v>
      </c>
      <c r="K2266" s="2">
        <v>7523</v>
      </c>
      <c r="L2266" s="2">
        <v>1</v>
      </c>
      <c r="M2266" s="7">
        <f t="shared" si="175"/>
        <v>7523</v>
      </c>
      <c r="N2266" s="7">
        <f t="shared" si="176"/>
        <v>8199</v>
      </c>
      <c r="O2266" s="2">
        <v>47</v>
      </c>
      <c r="P2266" s="8">
        <f t="shared" si="177"/>
        <v>8246</v>
      </c>
      <c r="Q2266" s="8">
        <f t="shared" si="178"/>
        <v>676</v>
      </c>
      <c r="R2266" s="2" t="s">
        <v>50</v>
      </c>
      <c r="S2266" s="9">
        <f t="shared" si="179"/>
        <v>412.3</v>
      </c>
    </row>
    <row r="2267" spans="1:19" x14ac:dyDescent="0.3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str">
        <f>IFERROR(VLOOKUP('Customer Info'!A2259,'Customer Info'!A2259:C2758,2,FALSE),"Not Found")</f>
        <v>Not Found</v>
      </c>
      <c r="H2267" s="6" t="str">
        <f>IFERROR(VLOOKUP('Customer Info'!A2259,'Customer Info'!A2259:C2758,3,FALSE),"Not Found")</f>
        <v>Not Found</v>
      </c>
      <c r="I2267" s="6" t="str">
        <f>IFERROR(VLOOKUP('Customer Info'!A2259,'Customer Info'!A2259:E2758,5,FALSE),"Not Found")</f>
        <v>Not Found</v>
      </c>
      <c r="J2267" s="2">
        <v>222</v>
      </c>
      <c r="K2267" s="2">
        <v>204</v>
      </c>
      <c r="L2267" s="2">
        <v>2</v>
      </c>
      <c r="M2267" s="7">
        <f t="shared" si="175"/>
        <v>408</v>
      </c>
      <c r="N2267" s="7">
        <f t="shared" si="176"/>
        <v>444</v>
      </c>
      <c r="O2267" s="2">
        <v>52</v>
      </c>
      <c r="P2267" s="8">
        <f t="shared" si="177"/>
        <v>496</v>
      </c>
      <c r="Q2267" s="8">
        <f t="shared" si="178"/>
        <v>240</v>
      </c>
      <c r="R2267" s="2" t="s">
        <v>50</v>
      </c>
      <c r="S2267" s="9">
        <f t="shared" si="179"/>
        <v>9.92</v>
      </c>
    </row>
    <row r="2268" spans="1:19" x14ac:dyDescent="0.3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str">
        <f>IFERROR(VLOOKUP('Customer Info'!A2260,'Customer Info'!A2260:C2759,2,FALSE),"Not Found")</f>
        <v>Not Found</v>
      </c>
      <c r="H2268" s="6" t="str">
        <f>IFERROR(VLOOKUP('Customer Info'!A2260,'Customer Info'!A2260:C2759,3,FALSE),"Not Found")</f>
        <v>Not Found</v>
      </c>
      <c r="I2268" s="6" t="str">
        <f>IFERROR(VLOOKUP('Customer Info'!A2260,'Customer Info'!A2260:E2759,5,FALSE),"Not Found")</f>
        <v>Not Found</v>
      </c>
      <c r="J2268" s="2">
        <v>1556</v>
      </c>
      <c r="K2268" s="2">
        <v>1414</v>
      </c>
      <c r="L2268" s="2">
        <v>3</v>
      </c>
      <c r="M2268" s="7">
        <f t="shared" si="175"/>
        <v>4242</v>
      </c>
      <c r="N2268" s="7">
        <f t="shared" si="176"/>
        <v>4668</v>
      </c>
      <c r="O2268" s="2">
        <v>95</v>
      </c>
      <c r="P2268" s="8">
        <f t="shared" si="177"/>
        <v>4763</v>
      </c>
      <c r="Q2268" s="8">
        <f t="shared" si="178"/>
        <v>3254</v>
      </c>
      <c r="R2268" s="2" t="s">
        <v>28</v>
      </c>
      <c r="S2268" s="9">
        <f t="shared" si="179"/>
        <v>95.26</v>
      </c>
    </row>
    <row r="2269" spans="1:19" x14ac:dyDescent="0.3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str">
        <f>IFERROR(VLOOKUP('Customer Info'!A2261,'Customer Info'!A2261:C2760,2,FALSE),"Not Found")</f>
        <v>Not Found</v>
      </c>
      <c r="H2269" s="6" t="str">
        <f>IFERROR(VLOOKUP('Customer Info'!A2261,'Customer Info'!A2261:C2760,3,FALSE),"Not Found")</f>
        <v>Not Found</v>
      </c>
      <c r="I2269" s="6" t="str">
        <f>IFERROR(VLOOKUP('Customer Info'!A2261,'Customer Info'!A2261:E2760,5,FALSE),"Not Found")</f>
        <v>Not Found</v>
      </c>
      <c r="J2269" s="2">
        <v>6354</v>
      </c>
      <c r="K2269" s="2">
        <v>5769</v>
      </c>
      <c r="L2269" s="2">
        <v>2</v>
      </c>
      <c r="M2269" s="7">
        <f t="shared" si="175"/>
        <v>11538</v>
      </c>
      <c r="N2269" s="7">
        <f t="shared" si="176"/>
        <v>12708</v>
      </c>
      <c r="O2269" s="2">
        <v>91</v>
      </c>
      <c r="P2269" s="8">
        <f t="shared" si="177"/>
        <v>12799</v>
      </c>
      <c r="Q2269" s="8">
        <f t="shared" si="178"/>
        <v>6939</v>
      </c>
      <c r="R2269" s="2" t="s">
        <v>28</v>
      </c>
      <c r="S2269" s="9">
        <f t="shared" si="179"/>
        <v>639.95000000000005</v>
      </c>
    </row>
    <row r="2270" spans="1:19" x14ac:dyDescent="0.3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str">
        <f>IFERROR(VLOOKUP('Customer Info'!A2262,'Customer Info'!A2262:C2761,2,FALSE),"Not Found")</f>
        <v>Not Found</v>
      </c>
      <c r="H2270" s="6" t="str">
        <f>IFERROR(VLOOKUP('Customer Info'!A2262,'Customer Info'!A2262:C2761,3,FALSE),"Not Found")</f>
        <v>Not Found</v>
      </c>
      <c r="I2270" s="6" t="str">
        <f>IFERROR(VLOOKUP('Customer Info'!A2262,'Customer Info'!A2262:E2761,5,FALSE),"Not Found")</f>
        <v>Not Found</v>
      </c>
      <c r="J2270" s="2">
        <v>184</v>
      </c>
      <c r="K2270" s="2">
        <v>176</v>
      </c>
      <c r="L2270" s="2">
        <v>2</v>
      </c>
      <c r="M2270" s="7">
        <f t="shared" si="175"/>
        <v>352</v>
      </c>
      <c r="N2270" s="7">
        <f t="shared" si="176"/>
        <v>368</v>
      </c>
      <c r="O2270" s="2">
        <v>30</v>
      </c>
      <c r="P2270" s="8">
        <f t="shared" si="177"/>
        <v>398</v>
      </c>
      <c r="Q2270" s="8">
        <f t="shared" si="178"/>
        <v>192</v>
      </c>
      <c r="R2270" s="2" t="s">
        <v>50</v>
      </c>
      <c r="S2270" s="9">
        <f t="shared" si="179"/>
        <v>7.96</v>
      </c>
    </row>
    <row r="2271" spans="1:19" x14ac:dyDescent="0.3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str">
        <f>IFERROR(VLOOKUP('Customer Info'!A2263,'Customer Info'!A2263:C2762,2,FALSE),"Not Found")</f>
        <v>Not Found</v>
      </c>
      <c r="H2271" s="6" t="str">
        <f>IFERROR(VLOOKUP('Customer Info'!A2263,'Customer Info'!A2263:C2762,3,FALSE),"Not Found")</f>
        <v>Not Found</v>
      </c>
      <c r="I2271" s="6" t="str">
        <f>IFERROR(VLOOKUP('Customer Info'!A2263,'Customer Info'!A2263:E2762,5,FALSE),"Not Found")</f>
        <v>Not Found</v>
      </c>
      <c r="J2271" s="2">
        <v>79</v>
      </c>
      <c r="K2271" s="2">
        <v>75</v>
      </c>
      <c r="L2271" s="2">
        <v>3</v>
      </c>
      <c r="M2271" s="7">
        <f t="shared" si="175"/>
        <v>225</v>
      </c>
      <c r="N2271" s="7">
        <f t="shared" si="176"/>
        <v>237</v>
      </c>
      <c r="O2271" s="2">
        <v>10</v>
      </c>
      <c r="P2271" s="8">
        <f t="shared" si="177"/>
        <v>247</v>
      </c>
      <c r="Q2271" s="8">
        <f t="shared" si="178"/>
        <v>162</v>
      </c>
      <c r="R2271" s="2" t="s">
        <v>28</v>
      </c>
      <c r="S2271" s="9">
        <f t="shared" si="179"/>
        <v>4.9400000000000004</v>
      </c>
    </row>
    <row r="2272" spans="1:19" x14ac:dyDescent="0.3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str">
        <f>IFERROR(VLOOKUP('Customer Info'!A2264,'Customer Info'!A2264:C2763,2,FALSE),"Not Found")</f>
        <v>Not Found</v>
      </c>
      <c r="H2272" s="6" t="str">
        <f>IFERROR(VLOOKUP('Customer Info'!A2264,'Customer Info'!A2264:C2763,3,FALSE),"Not Found")</f>
        <v>Not Found</v>
      </c>
      <c r="I2272" s="6" t="str">
        <f>IFERROR(VLOOKUP('Customer Info'!A2264,'Customer Info'!A2264:E2763,5,FALSE),"Not Found")</f>
        <v>Not Found</v>
      </c>
      <c r="J2272" s="2">
        <v>6664</v>
      </c>
      <c r="K2272" s="2">
        <v>6473</v>
      </c>
      <c r="L2272" s="2">
        <v>2</v>
      </c>
      <c r="M2272" s="7">
        <f t="shared" si="175"/>
        <v>12946</v>
      </c>
      <c r="N2272" s="7">
        <f t="shared" si="176"/>
        <v>13328</v>
      </c>
      <c r="O2272" s="2">
        <v>45</v>
      </c>
      <c r="P2272" s="8">
        <f t="shared" si="177"/>
        <v>13373</v>
      </c>
      <c r="Q2272" s="8">
        <f t="shared" si="178"/>
        <v>6855</v>
      </c>
      <c r="R2272" s="2" t="s">
        <v>28</v>
      </c>
      <c r="S2272" s="9">
        <f t="shared" si="179"/>
        <v>668.65000000000009</v>
      </c>
    </row>
    <row r="2273" spans="1:19" x14ac:dyDescent="0.3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str">
        <f>IFERROR(VLOOKUP('Customer Info'!A2265,'Customer Info'!A2265:C2764,2,FALSE),"Not Found")</f>
        <v>Not Found</v>
      </c>
      <c r="H2273" s="6" t="str">
        <f>IFERROR(VLOOKUP('Customer Info'!A2265,'Customer Info'!A2265:C2764,3,FALSE),"Not Found")</f>
        <v>Not Found</v>
      </c>
      <c r="I2273" s="6" t="str">
        <f>IFERROR(VLOOKUP('Customer Info'!A2265,'Customer Info'!A2265:E2764,5,FALSE),"Not Found")</f>
        <v>Not Found</v>
      </c>
      <c r="J2273" s="2">
        <v>2501</v>
      </c>
      <c r="K2273" s="2">
        <v>2361</v>
      </c>
      <c r="L2273" s="2">
        <v>6</v>
      </c>
      <c r="M2273" s="7">
        <f t="shared" si="175"/>
        <v>14166</v>
      </c>
      <c r="N2273" s="7">
        <f t="shared" si="176"/>
        <v>15006</v>
      </c>
      <c r="O2273" s="2">
        <v>73</v>
      </c>
      <c r="P2273" s="8">
        <f t="shared" si="177"/>
        <v>15079</v>
      </c>
      <c r="Q2273" s="8">
        <f t="shared" si="178"/>
        <v>12645</v>
      </c>
      <c r="R2273" s="2" t="s">
        <v>28</v>
      </c>
      <c r="S2273" s="9">
        <f t="shared" si="179"/>
        <v>753.95</v>
      </c>
    </row>
    <row r="2274" spans="1:19" x14ac:dyDescent="0.3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str">
        <f>IFERROR(VLOOKUP('Customer Info'!A2266,'Customer Info'!A2266:C2765,2,FALSE),"Not Found")</f>
        <v>Not Found</v>
      </c>
      <c r="H2274" s="6" t="str">
        <f>IFERROR(VLOOKUP('Customer Info'!A2266,'Customer Info'!A2266:C2765,3,FALSE),"Not Found")</f>
        <v>Not Found</v>
      </c>
      <c r="I2274" s="6" t="str">
        <f>IFERROR(VLOOKUP('Customer Info'!A2266,'Customer Info'!A2266:E2765,5,FALSE),"Not Found")</f>
        <v>Not Found</v>
      </c>
      <c r="J2274" s="2">
        <v>130</v>
      </c>
      <c r="K2274" s="2">
        <v>122</v>
      </c>
      <c r="L2274" s="2">
        <v>1</v>
      </c>
      <c r="M2274" s="7">
        <f t="shared" si="175"/>
        <v>122</v>
      </c>
      <c r="N2274" s="7">
        <f t="shared" si="176"/>
        <v>130</v>
      </c>
      <c r="O2274" s="2">
        <v>30</v>
      </c>
      <c r="P2274" s="8">
        <f t="shared" si="177"/>
        <v>160</v>
      </c>
      <c r="Q2274" s="8">
        <f t="shared" si="178"/>
        <v>8</v>
      </c>
      <c r="R2274" s="2" t="s">
        <v>28</v>
      </c>
      <c r="S2274" s="9">
        <f t="shared" si="179"/>
        <v>3.2</v>
      </c>
    </row>
    <row r="2275" spans="1:19" x14ac:dyDescent="0.3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str">
        <f>IFERROR(VLOOKUP('Customer Info'!A2267,'Customer Info'!A2267:C2766,2,FALSE),"Not Found")</f>
        <v>Not Found</v>
      </c>
      <c r="H2275" s="6" t="str">
        <f>IFERROR(VLOOKUP('Customer Info'!A2267,'Customer Info'!A2267:C2766,3,FALSE),"Not Found")</f>
        <v>Not Found</v>
      </c>
      <c r="I2275" s="6" t="str">
        <f>IFERROR(VLOOKUP('Customer Info'!A2267,'Customer Info'!A2267:E2766,5,FALSE),"Not Found")</f>
        <v>Not Found</v>
      </c>
      <c r="J2275" s="2">
        <v>143</v>
      </c>
      <c r="K2275" s="2">
        <v>137</v>
      </c>
      <c r="L2275" s="2">
        <v>2</v>
      </c>
      <c r="M2275" s="7">
        <f t="shared" si="175"/>
        <v>274</v>
      </c>
      <c r="N2275" s="7">
        <f t="shared" si="176"/>
        <v>286</v>
      </c>
      <c r="O2275" s="2">
        <v>30</v>
      </c>
      <c r="P2275" s="8">
        <f t="shared" si="177"/>
        <v>316</v>
      </c>
      <c r="Q2275" s="8">
        <f t="shared" si="178"/>
        <v>149</v>
      </c>
      <c r="R2275" s="2" t="s">
        <v>26</v>
      </c>
      <c r="S2275" s="9">
        <f t="shared" si="179"/>
        <v>6.32</v>
      </c>
    </row>
    <row r="2276" spans="1:19" x14ac:dyDescent="0.3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str">
        <f>IFERROR(VLOOKUP('Customer Info'!A2268,'Customer Info'!A2268:C2767,2,FALSE),"Not Found")</f>
        <v>Not Found</v>
      </c>
      <c r="H2276" s="6" t="str">
        <f>IFERROR(VLOOKUP('Customer Info'!A2268,'Customer Info'!A2268:C2767,3,FALSE),"Not Found")</f>
        <v>Not Found</v>
      </c>
      <c r="I2276" s="6" t="str">
        <f>IFERROR(VLOOKUP('Customer Info'!A2268,'Customer Info'!A2268:E2767,5,FALSE),"Not Found")</f>
        <v>Not Found</v>
      </c>
      <c r="J2276" s="2">
        <v>2965</v>
      </c>
      <c r="K2276" s="2">
        <v>2694</v>
      </c>
      <c r="L2276" s="2">
        <v>1</v>
      </c>
      <c r="M2276" s="7">
        <f t="shared" si="175"/>
        <v>2694</v>
      </c>
      <c r="N2276" s="7">
        <f t="shared" si="176"/>
        <v>2965</v>
      </c>
      <c r="O2276" s="2">
        <v>89</v>
      </c>
      <c r="P2276" s="8">
        <f t="shared" si="177"/>
        <v>3054</v>
      </c>
      <c r="Q2276" s="8">
        <f t="shared" si="178"/>
        <v>271</v>
      </c>
      <c r="R2276" s="2" t="s">
        <v>28</v>
      </c>
      <c r="S2276" s="9">
        <f t="shared" si="179"/>
        <v>61.08</v>
      </c>
    </row>
    <row r="2277" spans="1:19" x14ac:dyDescent="0.3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str">
        <f>IFERROR(VLOOKUP('Customer Info'!A2269,'Customer Info'!A2269:C2768,2,FALSE),"Not Found")</f>
        <v>Not Found</v>
      </c>
      <c r="H2277" s="6" t="str">
        <f>IFERROR(VLOOKUP('Customer Info'!A2269,'Customer Info'!A2269:C2768,3,FALSE),"Not Found")</f>
        <v>Not Found</v>
      </c>
      <c r="I2277" s="6" t="str">
        <f>IFERROR(VLOOKUP('Customer Info'!A2269,'Customer Info'!A2269:E2768,5,FALSE),"Not Found")</f>
        <v>Not Found</v>
      </c>
      <c r="J2277" s="2">
        <v>1318</v>
      </c>
      <c r="K2277" s="2">
        <v>1209</v>
      </c>
      <c r="L2277" s="2">
        <v>2</v>
      </c>
      <c r="M2277" s="7">
        <f t="shared" si="175"/>
        <v>2418</v>
      </c>
      <c r="N2277" s="7">
        <f t="shared" si="176"/>
        <v>2636</v>
      </c>
      <c r="O2277" s="2">
        <v>66</v>
      </c>
      <c r="P2277" s="8">
        <f t="shared" si="177"/>
        <v>2702</v>
      </c>
      <c r="Q2277" s="8">
        <f t="shared" si="178"/>
        <v>1427</v>
      </c>
      <c r="R2277" s="2" t="s">
        <v>26</v>
      </c>
      <c r="S2277" s="9">
        <f t="shared" si="179"/>
        <v>54.04</v>
      </c>
    </row>
    <row r="2278" spans="1:19" x14ac:dyDescent="0.3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str">
        <f>IFERROR(VLOOKUP('Customer Info'!A2270,'Customer Info'!A2270:C2769,2,FALSE),"Not Found")</f>
        <v>Not Found</v>
      </c>
      <c r="H2278" s="6" t="str">
        <f>IFERROR(VLOOKUP('Customer Info'!A2270,'Customer Info'!A2270:C2769,3,FALSE),"Not Found")</f>
        <v>Not Found</v>
      </c>
      <c r="I2278" s="6" t="str">
        <f>IFERROR(VLOOKUP('Customer Info'!A2270,'Customer Info'!A2270:E2769,5,FALSE),"Not Found")</f>
        <v>Not Found</v>
      </c>
      <c r="J2278" s="2">
        <v>5894</v>
      </c>
      <c r="K2278" s="2">
        <v>5621</v>
      </c>
      <c r="L2278" s="2">
        <v>3</v>
      </c>
      <c r="M2278" s="7">
        <f t="shared" si="175"/>
        <v>16863</v>
      </c>
      <c r="N2278" s="7">
        <f t="shared" si="176"/>
        <v>17682</v>
      </c>
      <c r="O2278" s="2">
        <v>33</v>
      </c>
      <c r="P2278" s="8">
        <f t="shared" si="177"/>
        <v>17715</v>
      </c>
      <c r="Q2278" s="8">
        <f t="shared" si="178"/>
        <v>12061</v>
      </c>
      <c r="R2278" s="2" t="s">
        <v>28</v>
      </c>
      <c r="S2278" s="9">
        <f t="shared" si="179"/>
        <v>885.75</v>
      </c>
    </row>
    <row r="2279" spans="1:19" x14ac:dyDescent="0.3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str">
        <f>IFERROR(VLOOKUP('Customer Info'!A2271,'Customer Info'!A2271:C2770,2,FALSE),"Not Found")</f>
        <v>Not Found</v>
      </c>
      <c r="H2279" s="6" t="str">
        <f>IFERROR(VLOOKUP('Customer Info'!A2271,'Customer Info'!A2271:C2770,3,FALSE),"Not Found")</f>
        <v>Not Found</v>
      </c>
      <c r="I2279" s="6" t="str">
        <f>IFERROR(VLOOKUP('Customer Info'!A2271,'Customer Info'!A2271:E2770,5,FALSE),"Not Found")</f>
        <v>Not Found</v>
      </c>
      <c r="J2279" s="2">
        <v>2083</v>
      </c>
      <c r="K2279" s="2">
        <v>2004</v>
      </c>
      <c r="L2279" s="2">
        <v>2</v>
      </c>
      <c r="M2279" s="7">
        <f t="shared" si="175"/>
        <v>4008</v>
      </c>
      <c r="N2279" s="7">
        <f t="shared" si="176"/>
        <v>4166</v>
      </c>
      <c r="O2279" s="2">
        <v>49</v>
      </c>
      <c r="P2279" s="8">
        <f t="shared" si="177"/>
        <v>4215</v>
      </c>
      <c r="Q2279" s="8">
        <f t="shared" si="178"/>
        <v>2162</v>
      </c>
      <c r="R2279" s="2" t="s">
        <v>28</v>
      </c>
      <c r="S2279" s="9">
        <f t="shared" si="179"/>
        <v>84.3</v>
      </c>
    </row>
    <row r="2280" spans="1:19" x14ac:dyDescent="0.3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str">
        <f>IFERROR(VLOOKUP('Customer Info'!A2272,'Customer Info'!A2272:C2771,2,FALSE),"Not Found")</f>
        <v>Not Found</v>
      </c>
      <c r="H2280" s="6" t="str">
        <f>IFERROR(VLOOKUP('Customer Info'!A2272,'Customer Info'!A2272:C2771,3,FALSE),"Not Found")</f>
        <v>Not Found</v>
      </c>
      <c r="I2280" s="6" t="str">
        <f>IFERROR(VLOOKUP('Customer Info'!A2272,'Customer Info'!A2272:E2771,5,FALSE),"Not Found")</f>
        <v>Not Found</v>
      </c>
      <c r="J2280" s="2">
        <v>1453</v>
      </c>
      <c r="K2280" s="2">
        <v>1411</v>
      </c>
      <c r="L2280" s="2">
        <v>3</v>
      </c>
      <c r="M2280" s="7">
        <f t="shared" si="175"/>
        <v>4233</v>
      </c>
      <c r="N2280" s="7">
        <f t="shared" si="176"/>
        <v>4359</v>
      </c>
      <c r="O2280" s="2">
        <v>63</v>
      </c>
      <c r="P2280" s="8">
        <f t="shared" si="177"/>
        <v>4422</v>
      </c>
      <c r="Q2280" s="8">
        <f t="shared" si="178"/>
        <v>2948</v>
      </c>
      <c r="R2280" s="2" t="s">
        <v>28</v>
      </c>
      <c r="S2280" s="9">
        <f t="shared" si="179"/>
        <v>88.44</v>
      </c>
    </row>
    <row r="2281" spans="1:19" x14ac:dyDescent="0.3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str">
        <f>IFERROR(VLOOKUP('Customer Info'!A2273,'Customer Info'!A2273:C2772,2,FALSE),"Not Found")</f>
        <v>Not Found</v>
      </c>
      <c r="H2281" s="6" t="str">
        <f>IFERROR(VLOOKUP('Customer Info'!A2273,'Customer Info'!A2273:C2772,3,FALSE),"Not Found")</f>
        <v>Not Found</v>
      </c>
      <c r="I2281" s="6" t="str">
        <f>IFERROR(VLOOKUP('Customer Info'!A2273,'Customer Info'!A2273:E2772,5,FALSE),"Not Found")</f>
        <v>Not Found</v>
      </c>
      <c r="J2281" s="2">
        <v>7508</v>
      </c>
      <c r="K2281" s="2">
        <v>6956</v>
      </c>
      <c r="L2281" s="2">
        <v>2</v>
      </c>
      <c r="M2281" s="7">
        <f t="shared" si="175"/>
        <v>13912</v>
      </c>
      <c r="N2281" s="7">
        <f t="shared" si="176"/>
        <v>15016</v>
      </c>
      <c r="O2281" s="2">
        <v>28</v>
      </c>
      <c r="P2281" s="8">
        <f t="shared" si="177"/>
        <v>15044</v>
      </c>
      <c r="Q2281" s="8">
        <f t="shared" si="178"/>
        <v>8060</v>
      </c>
      <c r="R2281" s="2" t="s">
        <v>28</v>
      </c>
      <c r="S2281" s="9">
        <f t="shared" si="179"/>
        <v>752.2</v>
      </c>
    </row>
    <row r="2282" spans="1:19" x14ac:dyDescent="0.3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str">
        <f>IFERROR(VLOOKUP('Customer Info'!A2274,'Customer Info'!A2274:C2773,2,FALSE),"Not Found")</f>
        <v>Not Found</v>
      </c>
      <c r="H2282" s="6" t="str">
        <f>IFERROR(VLOOKUP('Customer Info'!A2274,'Customer Info'!A2274:C2773,3,FALSE),"Not Found")</f>
        <v>Not Found</v>
      </c>
      <c r="I2282" s="6" t="str">
        <f>IFERROR(VLOOKUP('Customer Info'!A2274,'Customer Info'!A2274:E2773,5,FALSE),"Not Found")</f>
        <v>Not Found</v>
      </c>
      <c r="J2282" s="2">
        <v>1619</v>
      </c>
      <c r="K2282" s="2">
        <v>1442</v>
      </c>
      <c r="L2282" s="2">
        <v>2</v>
      </c>
      <c r="M2282" s="7">
        <f t="shared" si="175"/>
        <v>2884</v>
      </c>
      <c r="N2282" s="7">
        <f t="shared" si="176"/>
        <v>3238</v>
      </c>
      <c r="O2282" s="2">
        <v>64</v>
      </c>
      <c r="P2282" s="8">
        <f t="shared" si="177"/>
        <v>3302</v>
      </c>
      <c r="Q2282" s="8">
        <f t="shared" si="178"/>
        <v>1796</v>
      </c>
      <c r="R2282" s="2" t="s">
        <v>56</v>
      </c>
      <c r="S2282" s="9">
        <f t="shared" si="179"/>
        <v>66.040000000000006</v>
      </c>
    </row>
    <row r="2283" spans="1:19" x14ac:dyDescent="0.3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str">
        <f>IFERROR(VLOOKUP('Customer Info'!A2275,'Customer Info'!A2275:C2774,2,FALSE),"Not Found")</f>
        <v>Not Found</v>
      </c>
      <c r="H2283" s="6" t="str">
        <f>IFERROR(VLOOKUP('Customer Info'!A2275,'Customer Info'!A2275:C2774,3,FALSE),"Not Found")</f>
        <v>Not Found</v>
      </c>
      <c r="I2283" s="6" t="str">
        <f>IFERROR(VLOOKUP('Customer Info'!A2275,'Customer Info'!A2275:E2774,5,FALSE),"Not Found")</f>
        <v>Not Found</v>
      </c>
      <c r="J2283" s="2">
        <v>1385</v>
      </c>
      <c r="K2283" s="2">
        <v>1295</v>
      </c>
      <c r="L2283" s="2">
        <v>1</v>
      </c>
      <c r="M2283" s="7">
        <f t="shared" si="175"/>
        <v>1295</v>
      </c>
      <c r="N2283" s="7">
        <f t="shared" si="176"/>
        <v>1385</v>
      </c>
      <c r="O2283" s="2">
        <v>42</v>
      </c>
      <c r="P2283" s="8">
        <f t="shared" si="177"/>
        <v>1427</v>
      </c>
      <c r="Q2283" s="8">
        <f t="shared" si="178"/>
        <v>90</v>
      </c>
      <c r="R2283" s="2" t="s">
        <v>26</v>
      </c>
      <c r="S2283" s="9">
        <f t="shared" si="179"/>
        <v>28.54</v>
      </c>
    </row>
    <row r="2284" spans="1:19" x14ac:dyDescent="0.3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str">
        <f>IFERROR(VLOOKUP('Customer Info'!A2276,'Customer Info'!A2276:C2775,2,FALSE),"Not Found")</f>
        <v>Not Found</v>
      </c>
      <c r="H2284" s="6" t="str">
        <f>IFERROR(VLOOKUP('Customer Info'!A2276,'Customer Info'!A2276:C2775,3,FALSE),"Not Found")</f>
        <v>Not Found</v>
      </c>
      <c r="I2284" s="6" t="str">
        <f>IFERROR(VLOOKUP('Customer Info'!A2276,'Customer Info'!A2276:E2775,5,FALSE),"Not Found")</f>
        <v>Not Found</v>
      </c>
      <c r="J2284" s="2">
        <v>2296</v>
      </c>
      <c r="K2284" s="2">
        <v>2146</v>
      </c>
      <c r="L2284" s="2">
        <v>2</v>
      </c>
      <c r="M2284" s="7">
        <f t="shared" si="175"/>
        <v>4292</v>
      </c>
      <c r="N2284" s="7">
        <f t="shared" si="176"/>
        <v>4592</v>
      </c>
      <c r="O2284" s="2">
        <v>55</v>
      </c>
      <c r="P2284" s="8">
        <f t="shared" si="177"/>
        <v>4647</v>
      </c>
      <c r="Q2284" s="8">
        <f t="shared" si="178"/>
        <v>2446</v>
      </c>
      <c r="R2284" s="2" t="s">
        <v>50</v>
      </c>
      <c r="S2284" s="9">
        <f t="shared" si="179"/>
        <v>92.94</v>
      </c>
    </row>
    <row r="2285" spans="1:19" x14ac:dyDescent="0.3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str">
        <f>IFERROR(VLOOKUP('Customer Info'!A2277,'Customer Info'!A2277:C2776,2,FALSE),"Not Found")</f>
        <v>Not Found</v>
      </c>
      <c r="H2285" s="6" t="str">
        <f>IFERROR(VLOOKUP('Customer Info'!A2277,'Customer Info'!A2277:C2776,3,FALSE),"Not Found")</f>
        <v>Not Found</v>
      </c>
      <c r="I2285" s="6" t="str">
        <f>IFERROR(VLOOKUP('Customer Info'!A2277,'Customer Info'!A2277:E2776,5,FALSE),"Not Found")</f>
        <v>Not Found</v>
      </c>
      <c r="J2285" s="2">
        <v>417</v>
      </c>
      <c r="K2285" s="2">
        <v>392</v>
      </c>
      <c r="L2285" s="2">
        <v>5</v>
      </c>
      <c r="M2285" s="7">
        <f t="shared" si="175"/>
        <v>1960</v>
      </c>
      <c r="N2285" s="7">
        <f t="shared" si="176"/>
        <v>2085</v>
      </c>
      <c r="O2285" s="2">
        <v>41</v>
      </c>
      <c r="P2285" s="8">
        <f t="shared" si="177"/>
        <v>2126</v>
      </c>
      <c r="Q2285" s="8">
        <f t="shared" si="178"/>
        <v>1693</v>
      </c>
      <c r="R2285" s="2" t="s">
        <v>28</v>
      </c>
      <c r="S2285" s="9">
        <f t="shared" si="179"/>
        <v>42.52</v>
      </c>
    </row>
    <row r="2286" spans="1:19" x14ac:dyDescent="0.3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str">
        <f>IFERROR(VLOOKUP('Customer Info'!A2278,'Customer Info'!A2278:C2777,2,FALSE),"Not Found")</f>
        <v>Not Found</v>
      </c>
      <c r="H2286" s="6" t="str">
        <f>IFERROR(VLOOKUP('Customer Info'!A2278,'Customer Info'!A2278:C2777,3,FALSE),"Not Found")</f>
        <v>Not Found</v>
      </c>
      <c r="I2286" s="6" t="str">
        <f>IFERROR(VLOOKUP('Customer Info'!A2278,'Customer Info'!A2278:E2777,5,FALSE),"Not Found")</f>
        <v>Not Found</v>
      </c>
      <c r="J2286" s="2">
        <v>63</v>
      </c>
      <c r="K2286" s="2">
        <v>58</v>
      </c>
      <c r="L2286" s="2">
        <v>3</v>
      </c>
      <c r="M2286" s="7">
        <f t="shared" si="175"/>
        <v>174</v>
      </c>
      <c r="N2286" s="7">
        <f t="shared" si="176"/>
        <v>189</v>
      </c>
      <c r="O2286" s="2">
        <v>10</v>
      </c>
      <c r="P2286" s="8">
        <f t="shared" si="177"/>
        <v>199</v>
      </c>
      <c r="Q2286" s="8">
        <f t="shared" si="178"/>
        <v>131</v>
      </c>
      <c r="R2286" s="2" t="s">
        <v>50</v>
      </c>
      <c r="S2286" s="9">
        <f t="shared" si="179"/>
        <v>3.98</v>
      </c>
    </row>
    <row r="2287" spans="1:19" x14ac:dyDescent="0.3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str">
        <f>IFERROR(VLOOKUP('Customer Info'!A2279,'Customer Info'!A2279:C2778,2,FALSE),"Not Found")</f>
        <v>Not Found</v>
      </c>
      <c r="H2287" s="6" t="str">
        <f>IFERROR(VLOOKUP('Customer Info'!A2279,'Customer Info'!A2279:C2778,3,FALSE),"Not Found")</f>
        <v>Not Found</v>
      </c>
      <c r="I2287" s="6" t="str">
        <f>IFERROR(VLOOKUP('Customer Info'!A2279,'Customer Info'!A2279:E2778,5,FALSE),"Not Found")</f>
        <v>Not Found</v>
      </c>
      <c r="J2287" s="2">
        <v>5882</v>
      </c>
      <c r="K2287" s="2">
        <v>5713</v>
      </c>
      <c r="L2287" s="2">
        <v>3</v>
      </c>
      <c r="M2287" s="7">
        <f t="shared" si="175"/>
        <v>17139</v>
      </c>
      <c r="N2287" s="7">
        <f t="shared" si="176"/>
        <v>17646</v>
      </c>
      <c r="O2287" s="2">
        <v>80</v>
      </c>
      <c r="P2287" s="8">
        <f t="shared" si="177"/>
        <v>17726</v>
      </c>
      <c r="Q2287" s="8">
        <f t="shared" si="178"/>
        <v>11933</v>
      </c>
      <c r="R2287" s="2" t="s">
        <v>50</v>
      </c>
      <c r="S2287" s="9">
        <f t="shared" si="179"/>
        <v>886.30000000000007</v>
      </c>
    </row>
    <row r="2288" spans="1:19" x14ac:dyDescent="0.3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str">
        <f>IFERROR(VLOOKUP('Customer Info'!A2280,'Customer Info'!A2280:C2779,2,FALSE),"Not Found")</f>
        <v>Not Found</v>
      </c>
      <c r="H2288" s="6" t="str">
        <f>IFERROR(VLOOKUP('Customer Info'!A2280,'Customer Info'!A2280:C2779,3,FALSE),"Not Found")</f>
        <v>Not Found</v>
      </c>
      <c r="I2288" s="6" t="str">
        <f>IFERROR(VLOOKUP('Customer Info'!A2280,'Customer Info'!A2280:E2779,5,FALSE),"Not Found")</f>
        <v>Not Found</v>
      </c>
      <c r="J2288" s="2">
        <v>218</v>
      </c>
      <c r="K2288" s="2">
        <v>200</v>
      </c>
      <c r="L2288" s="2">
        <v>3</v>
      </c>
      <c r="M2288" s="7">
        <f t="shared" si="175"/>
        <v>600</v>
      </c>
      <c r="N2288" s="7">
        <f t="shared" si="176"/>
        <v>654</v>
      </c>
      <c r="O2288" s="2">
        <v>74</v>
      </c>
      <c r="P2288" s="8">
        <f t="shared" si="177"/>
        <v>728</v>
      </c>
      <c r="Q2288" s="8">
        <f t="shared" si="178"/>
        <v>454</v>
      </c>
      <c r="R2288" s="2" t="s">
        <v>28</v>
      </c>
      <c r="S2288" s="9">
        <f t="shared" si="179"/>
        <v>14.56</v>
      </c>
    </row>
    <row r="2289" spans="1:19" x14ac:dyDescent="0.3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str">
        <f>IFERROR(VLOOKUP('Customer Info'!A2281,'Customer Info'!A2281:C2780,2,FALSE),"Not Found")</f>
        <v>Not Found</v>
      </c>
      <c r="H2289" s="6" t="str">
        <f>IFERROR(VLOOKUP('Customer Info'!A2281,'Customer Info'!A2281:C2780,3,FALSE),"Not Found")</f>
        <v>Not Found</v>
      </c>
      <c r="I2289" s="6" t="str">
        <f>IFERROR(VLOOKUP('Customer Info'!A2281,'Customer Info'!A2281:E2780,5,FALSE),"Not Found")</f>
        <v>Not Found</v>
      </c>
      <c r="J2289" s="2">
        <v>97</v>
      </c>
      <c r="K2289" s="2">
        <v>92</v>
      </c>
      <c r="L2289" s="2">
        <v>1</v>
      </c>
      <c r="M2289" s="7">
        <f t="shared" si="175"/>
        <v>92</v>
      </c>
      <c r="N2289" s="7">
        <f t="shared" si="176"/>
        <v>97</v>
      </c>
      <c r="O2289" s="2">
        <v>10</v>
      </c>
      <c r="P2289" s="8">
        <f t="shared" si="177"/>
        <v>107</v>
      </c>
      <c r="Q2289" s="8">
        <f t="shared" si="178"/>
        <v>5</v>
      </c>
      <c r="R2289" s="2" t="s">
        <v>26</v>
      </c>
      <c r="S2289" s="9">
        <f t="shared" si="179"/>
        <v>2.14</v>
      </c>
    </row>
    <row r="2290" spans="1:19" x14ac:dyDescent="0.3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str">
        <f>IFERROR(VLOOKUP('Customer Info'!A2282,'Customer Info'!A2282:C2781,2,FALSE),"Not Found")</f>
        <v>Not Found</v>
      </c>
      <c r="H2290" s="6" t="str">
        <f>IFERROR(VLOOKUP('Customer Info'!A2282,'Customer Info'!A2282:C2781,3,FALSE),"Not Found")</f>
        <v>Not Found</v>
      </c>
      <c r="I2290" s="6" t="str">
        <f>IFERROR(VLOOKUP('Customer Info'!A2282,'Customer Info'!A2282:E2781,5,FALSE),"Not Found")</f>
        <v>Not Found</v>
      </c>
      <c r="J2290" s="2">
        <v>6864</v>
      </c>
      <c r="K2290" s="2">
        <v>6667</v>
      </c>
      <c r="L2290" s="2">
        <v>2</v>
      </c>
      <c r="M2290" s="7">
        <f t="shared" si="175"/>
        <v>13334</v>
      </c>
      <c r="N2290" s="7">
        <f t="shared" si="176"/>
        <v>13728</v>
      </c>
      <c r="O2290" s="2">
        <v>83</v>
      </c>
      <c r="P2290" s="8">
        <f t="shared" si="177"/>
        <v>13811</v>
      </c>
      <c r="Q2290" s="8">
        <f t="shared" si="178"/>
        <v>7061</v>
      </c>
      <c r="R2290" s="2" t="s">
        <v>28</v>
      </c>
      <c r="S2290" s="9">
        <f t="shared" si="179"/>
        <v>690.55000000000007</v>
      </c>
    </row>
    <row r="2291" spans="1:19" x14ac:dyDescent="0.3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str">
        <f>IFERROR(VLOOKUP('Customer Info'!A2283,'Customer Info'!A2283:C2782,2,FALSE),"Not Found")</f>
        <v>Not Found</v>
      </c>
      <c r="H2291" s="6" t="str">
        <f>IFERROR(VLOOKUP('Customer Info'!A2283,'Customer Info'!A2283:C2782,3,FALSE),"Not Found")</f>
        <v>Not Found</v>
      </c>
      <c r="I2291" s="6" t="str">
        <f>IFERROR(VLOOKUP('Customer Info'!A2283,'Customer Info'!A2283:E2782,5,FALSE),"Not Found")</f>
        <v>Not Found</v>
      </c>
      <c r="J2291" s="2">
        <v>495</v>
      </c>
      <c r="K2291" s="2">
        <v>458</v>
      </c>
      <c r="L2291" s="2">
        <v>2</v>
      </c>
      <c r="M2291" s="7">
        <f t="shared" si="175"/>
        <v>916</v>
      </c>
      <c r="N2291" s="7">
        <f t="shared" si="176"/>
        <v>990</v>
      </c>
      <c r="O2291" s="2">
        <v>42</v>
      </c>
      <c r="P2291" s="8">
        <f t="shared" si="177"/>
        <v>1032</v>
      </c>
      <c r="Q2291" s="8">
        <f t="shared" si="178"/>
        <v>532</v>
      </c>
      <c r="R2291" s="2" t="s">
        <v>28</v>
      </c>
      <c r="S2291" s="9">
        <f t="shared" si="179"/>
        <v>20.64</v>
      </c>
    </row>
    <row r="2292" spans="1:19" x14ac:dyDescent="0.3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str">
        <f>IFERROR(VLOOKUP('Customer Info'!A2284,'Customer Info'!A2284:C2783,2,FALSE),"Not Found")</f>
        <v>Not Found</v>
      </c>
      <c r="H2292" s="6" t="str">
        <f>IFERROR(VLOOKUP('Customer Info'!A2284,'Customer Info'!A2284:C2783,3,FALSE),"Not Found")</f>
        <v>Not Found</v>
      </c>
      <c r="I2292" s="6" t="str">
        <f>IFERROR(VLOOKUP('Customer Info'!A2284,'Customer Info'!A2284:E2783,5,FALSE),"Not Found")</f>
        <v>Not Found</v>
      </c>
      <c r="J2292" s="2">
        <v>5906</v>
      </c>
      <c r="K2292" s="2">
        <v>5266</v>
      </c>
      <c r="L2292" s="2">
        <v>1</v>
      </c>
      <c r="M2292" s="7">
        <f t="shared" si="175"/>
        <v>5266</v>
      </c>
      <c r="N2292" s="7">
        <f t="shared" si="176"/>
        <v>5906</v>
      </c>
      <c r="O2292" s="2">
        <v>31</v>
      </c>
      <c r="P2292" s="8">
        <f t="shared" si="177"/>
        <v>5937</v>
      </c>
      <c r="Q2292" s="8">
        <f t="shared" si="178"/>
        <v>640</v>
      </c>
      <c r="R2292" s="2" t="s">
        <v>28</v>
      </c>
      <c r="S2292" s="9">
        <f t="shared" si="179"/>
        <v>296.85000000000002</v>
      </c>
    </row>
    <row r="2293" spans="1:19" x14ac:dyDescent="0.3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str">
        <f>IFERROR(VLOOKUP('Customer Info'!A2285,'Customer Info'!A2285:C2784,2,FALSE),"Not Found")</f>
        <v>Not Found</v>
      </c>
      <c r="H2293" s="6" t="str">
        <f>IFERROR(VLOOKUP('Customer Info'!A2285,'Customer Info'!A2285:C2784,3,FALSE),"Not Found")</f>
        <v>Not Found</v>
      </c>
      <c r="I2293" s="6" t="str">
        <f>IFERROR(VLOOKUP('Customer Info'!A2285,'Customer Info'!A2285:E2784,5,FALSE),"Not Found")</f>
        <v>Not Found</v>
      </c>
      <c r="J2293" s="2">
        <v>7232</v>
      </c>
      <c r="K2293" s="2">
        <v>6753</v>
      </c>
      <c r="L2293" s="2">
        <v>2</v>
      </c>
      <c r="M2293" s="7">
        <f t="shared" si="175"/>
        <v>13506</v>
      </c>
      <c r="N2293" s="7">
        <f t="shared" si="176"/>
        <v>14464</v>
      </c>
      <c r="O2293" s="2">
        <v>40</v>
      </c>
      <c r="P2293" s="8">
        <f t="shared" si="177"/>
        <v>14504</v>
      </c>
      <c r="Q2293" s="8">
        <f t="shared" si="178"/>
        <v>7711</v>
      </c>
      <c r="R2293" s="2" t="s">
        <v>28</v>
      </c>
      <c r="S2293" s="9">
        <f t="shared" si="179"/>
        <v>725.2</v>
      </c>
    </row>
    <row r="2294" spans="1:19" x14ac:dyDescent="0.3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str">
        <f>IFERROR(VLOOKUP('Customer Info'!A2286,'Customer Info'!A2286:C2785,2,FALSE),"Not Found")</f>
        <v>Not Found</v>
      </c>
      <c r="H2294" s="6" t="str">
        <f>IFERROR(VLOOKUP('Customer Info'!A2286,'Customer Info'!A2286:C2785,3,FALSE),"Not Found")</f>
        <v>Not Found</v>
      </c>
      <c r="I2294" s="6" t="str">
        <f>IFERROR(VLOOKUP('Customer Info'!A2286,'Customer Info'!A2286:E2785,5,FALSE),"Not Found")</f>
        <v>Not Found</v>
      </c>
      <c r="J2294" s="2">
        <v>2273</v>
      </c>
      <c r="K2294" s="2">
        <v>2229</v>
      </c>
      <c r="L2294" s="2">
        <v>3</v>
      </c>
      <c r="M2294" s="7">
        <f t="shared" si="175"/>
        <v>6687</v>
      </c>
      <c r="N2294" s="7">
        <f t="shared" si="176"/>
        <v>6819</v>
      </c>
      <c r="O2294" s="2">
        <v>37</v>
      </c>
      <c r="P2294" s="8">
        <f t="shared" si="177"/>
        <v>6856</v>
      </c>
      <c r="Q2294" s="8">
        <f t="shared" si="178"/>
        <v>4590</v>
      </c>
      <c r="R2294" s="2" t="s">
        <v>50</v>
      </c>
      <c r="S2294" s="9">
        <f t="shared" si="179"/>
        <v>342.8</v>
      </c>
    </row>
    <row r="2295" spans="1:19" x14ac:dyDescent="0.3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str">
        <f>IFERROR(VLOOKUP('Customer Info'!A2287,'Customer Info'!A2287:C2786,2,FALSE),"Not Found")</f>
        <v>Not Found</v>
      </c>
      <c r="H2295" s="6" t="str">
        <f>IFERROR(VLOOKUP('Customer Info'!A2287,'Customer Info'!A2287:C2786,3,FALSE),"Not Found")</f>
        <v>Not Found</v>
      </c>
      <c r="I2295" s="6" t="str">
        <f>IFERROR(VLOOKUP('Customer Info'!A2287,'Customer Info'!A2287:E2786,5,FALSE),"Not Found")</f>
        <v>Not Found</v>
      </c>
      <c r="J2295" s="2">
        <v>998</v>
      </c>
      <c r="K2295" s="2">
        <v>931</v>
      </c>
      <c r="L2295" s="2">
        <v>3</v>
      </c>
      <c r="M2295" s="7">
        <f t="shared" si="175"/>
        <v>2793</v>
      </c>
      <c r="N2295" s="7">
        <f t="shared" si="176"/>
        <v>2994</v>
      </c>
      <c r="O2295" s="2">
        <v>27</v>
      </c>
      <c r="P2295" s="8">
        <f t="shared" si="177"/>
        <v>3021</v>
      </c>
      <c r="Q2295" s="8">
        <f t="shared" si="178"/>
        <v>2063</v>
      </c>
      <c r="R2295" s="2" t="s">
        <v>26</v>
      </c>
      <c r="S2295" s="9">
        <f t="shared" si="179"/>
        <v>60.42</v>
      </c>
    </row>
    <row r="2296" spans="1:19" x14ac:dyDescent="0.3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str">
        <f>IFERROR(VLOOKUP('Customer Info'!A2288,'Customer Info'!A2288:C2787,2,FALSE),"Not Found")</f>
        <v>Not Found</v>
      </c>
      <c r="H2296" s="6" t="str">
        <f>IFERROR(VLOOKUP('Customer Info'!A2288,'Customer Info'!A2288:C2787,3,FALSE),"Not Found")</f>
        <v>Not Found</v>
      </c>
      <c r="I2296" s="6" t="str">
        <f>IFERROR(VLOOKUP('Customer Info'!A2288,'Customer Info'!A2288:E2787,5,FALSE),"Not Found")</f>
        <v>Not Found</v>
      </c>
      <c r="J2296" s="2">
        <v>142</v>
      </c>
      <c r="K2296" s="2">
        <v>134</v>
      </c>
      <c r="L2296" s="2">
        <v>3</v>
      </c>
      <c r="M2296" s="7">
        <f t="shared" si="175"/>
        <v>402</v>
      </c>
      <c r="N2296" s="7">
        <f t="shared" si="176"/>
        <v>426</v>
      </c>
      <c r="O2296" s="2">
        <v>30</v>
      </c>
      <c r="P2296" s="8">
        <f t="shared" si="177"/>
        <v>456</v>
      </c>
      <c r="Q2296" s="8">
        <f t="shared" si="178"/>
        <v>292</v>
      </c>
      <c r="R2296" s="2" t="s">
        <v>28</v>
      </c>
      <c r="S2296" s="9">
        <f t="shared" si="179"/>
        <v>9.120000000000001</v>
      </c>
    </row>
    <row r="2297" spans="1:19" x14ac:dyDescent="0.3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str">
        <f>IFERROR(VLOOKUP('Customer Info'!A2289,'Customer Info'!A2289:C2788,2,FALSE),"Not Found")</f>
        <v>Not Found</v>
      </c>
      <c r="H2297" s="6" t="str">
        <f>IFERROR(VLOOKUP('Customer Info'!A2289,'Customer Info'!A2289:C2788,3,FALSE),"Not Found")</f>
        <v>Not Found</v>
      </c>
      <c r="I2297" s="6" t="str">
        <f>IFERROR(VLOOKUP('Customer Info'!A2289,'Customer Info'!A2289:E2788,5,FALSE),"Not Found")</f>
        <v>Not Found</v>
      </c>
      <c r="J2297" s="2">
        <v>3224</v>
      </c>
      <c r="K2297" s="2">
        <v>2984</v>
      </c>
      <c r="L2297" s="2">
        <v>4</v>
      </c>
      <c r="M2297" s="7">
        <f t="shared" si="175"/>
        <v>11936</v>
      </c>
      <c r="N2297" s="7">
        <f t="shared" si="176"/>
        <v>12896</v>
      </c>
      <c r="O2297" s="2">
        <v>52</v>
      </c>
      <c r="P2297" s="8">
        <f t="shared" si="177"/>
        <v>12948</v>
      </c>
      <c r="Q2297" s="8">
        <f t="shared" si="178"/>
        <v>9912</v>
      </c>
      <c r="R2297" s="2" t="s">
        <v>50</v>
      </c>
      <c r="S2297" s="9">
        <f t="shared" si="179"/>
        <v>647.40000000000009</v>
      </c>
    </row>
    <row r="2298" spans="1:19" x14ac:dyDescent="0.3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str">
        <f>IFERROR(VLOOKUP('Customer Info'!A2290,'Customer Info'!A2290:C2789,2,FALSE),"Not Found")</f>
        <v>Not Found</v>
      </c>
      <c r="H2298" s="6" t="str">
        <f>IFERROR(VLOOKUP('Customer Info'!A2290,'Customer Info'!A2290:C2789,3,FALSE),"Not Found")</f>
        <v>Not Found</v>
      </c>
      <c r="I2298" s="6" t="str">
        <f>IFERROR(VLOOKUP('Customer Info'!A2290,'Customer Info'!A2290:E2789,5,FALSE),"Not Found")</f>
        <v>Not Found</v>
      </c>
      <c r="J2298" s="2">
        <v>143</v>
      </c>
      <c r="K2298" s="2">
        <v>137</v>
      </c>
      <c r="L2298" s="2">
        <v>2</v>
      </c>
      <c r="M2298" s="7">
        <f t="shared" si="175"/>
        <v>274</v>
      </c>
      <c r="N2298" s="7">
        <f t="shared" si="176"/>
        <v>286</v>
      </c>
      <c r="O2298" s="2">
        <v>30</v>
      </c>
      <c r="P2298" s="8">
        <f t="shared" si="177"/>
        <v>316</v>
      </c>
      <c r="Q2298" s="8">
        <f t="shared" si="178"/>
        <v>149</v>
      </c>
      <c r="R2298" s="2" t="s">
        <v>28</v>
      </c>
      <c r="S2298" s="9">
        <f t="shared" si="179"/>
        <v>6.32</v>
      </c>
    </row>
    <row r="2299" spans="1:19" x14ac:dyDescent="0.3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str">
        <f>IFERROR(VLOOKUP('Customer Info'!A2291,'Customer Info'!A2291:C2790,2,FALSE),"Not Found")</f>
        <v>Not Found</v>
      </c>
      <c r="H2299" s="6" t="str">
        <f>IFERROR(VLOOKUP('Customer Info'!A2291,'Customer Info'!A2291:C2790,3,FALSE),"Not Found")</f>
        <v>Not Found</v>
      </c>
      <c r="I2299" s="6" t="str">
        <f>IFERROR(VLOOKUP('Customer Info'!A2291,'Customer Info'!A2291:E2790,5,FALSE),"Not Found")</f>
        <v>Not Found</v>
      </c>
      <c r="J2299" s="2">
        <v>63</v>
      </c>
      <c r="K2299" s="2">
        <v>58</v>
      </c>
      <c r="L2299" s="2">
        <v>9</v>
      </c>
      <c r="M2299" s="7">
        <f t="shared" si="175"/>
        <v>522</v>
      </c>
      <c r="N2299" s="7">
        <f t="shared" si="176"/>
        <v>567</v>
      </c>
      <c r="O2299" s="2">
        <v>10</v>
      </c>
      <c r="P2299" s="8">
        <f t="shared" si="177"/>
        <v>577</v>
      </c>
      <c r="Q2299" s="8">
        <f t="shared" si="178"/>
        <v>509</v>
      </c>
      <c r="R2299" s="2" t="s">
        <v>28</v>
      </c>
      <c r="S2299" s="9">
        <f t="shared" si="179"/>
        <v>11.540000000000001</v>
      </c>
    </row>
    <row r="2300" spans="1:19" x14ac:dyDescent="0.3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str">
        <f>IFERROR(VLOOKUP('Customer Info'!A2292,'Customer Info'!A2292:C2791,2,FALSE),"Not Found")</f>
        <v>Not Found</v>
      </c>
      <c r="H2300" s="6" t="str">
        <f>IFERROR(VLOOKUP('Customer Info'!A2292,'Customer Info'!A2292:C2791,3,FALSE),"Not Found")</f>
        <v>Not Found</v>
      </c>
      <c r="I2300" s="6" t="str">
        <f>IFERROR(VLOOKUP('Customer Info'!A2292,'Customer Info'!A2292:E2791,5,FALSE),"Not Found")</f>
        <v>Not Found</v>
      </c>
      <c r="J2300" s="2">
        <v>119</v>
      </c>
      <c r="K2300" s="2">
        <v>112</v>
      </c>
      <c r="L2300" s="2">
        <v>1</v>
      </c>
      <c r="M2300" s="7">
        <f t="shared" si="175"/>
        <v>112</v>
      </c>
      <c r="N2300" s="7">
        <f t="shared" si="176"/>
        <v>119</v>
      </c>
      <c r="O2300" s="2">
        <v>30</v>
      </c>
      <c r="P2300" s="8">
        <f t="shared" si="177"/>
        <v>149</v>
      </c>
      <c r="Q2300" s="8">
        <f t="shared" si="178"/>
        <v>7</v>
      </c>
      <c r="R2300" s="2" t="s">
        <v>28</v>
      </c>
      <c r="S2300" s="9">
        <f t="shared" si="179"/>
        <v>2.98</v>
      </c>
    </row>
    <row r="2301" spans="1:19" x14ac:dyDescent="0.3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str">
        <f>IFERROR(VLOOKUP('Customer Info'!A2293,'Customer Info'!A2293:C2792,2,FALSE),"Not Found")</f>
        <v>Not Found</v>
      </c>
      <c r="H2301" s="6" t="str">
        <f>IFERROR(VLOOKUP('Customer Info'!A2293,'Customer Info'!A2293:C2792,3,FALSE),"Not Found")</f>
        <v>Not Found</v>
      </c>
      <c r="I2301" s="6" t="str">
        <f>IFERROR(VLOOKUP('Customer Info'!A2293,'Customer Info'!A2293:E2792,5,FALSE),"Not Found")</f>
        <v>Not Found</v>
      </c>
      <c r="J2301" s="2">
        <v>7021</v>
      </c>
      <c r="K2301" s="2">
        <v>6686</v>
      </c>
      <c r="L2301" s="2">
        <v>2</v>
      </c>
      <c r="M2301" s="7">
        <f t="shared" si="175"/>
        <v>13372</v>
      </c>
      <c r="N2301" s="7">
        <f t="shared" si="176"/>
        <v>14042</v>
      </c>
      <c r="O2301" s="2">
        <v>57</v>
      </c>
      <c r="P2301" s="8">
        <f t="shared" si="177"/>
        <v>14099</v>
      </c>
      <c r="Q2301" s="8">
        <f t="shared" si="178"/>
        <v>7356</v>
      </c>
      <c r="R2301" s="2" t="s">
        <v>28</v>
      </c>
      <c r="S2301" s="9">
        <f t="shared" si="179"/>
        <v>704.95</v>
      </c>
    </row>
    <row r="2302" spans="1:19" x14ac:dyDescent="0.3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str">
        <f>IFERROR(VLOOKUP('Customer Info'!A2294,'Customer Info'!A2294:C2793,2,FALSE),"Not Found")</f>
        <v>Not Found</v>
      </c>
      <c r="H2302" s="6" t="str">
        <f>IFERROR(VLOOKUP('Customer Info'!A2294,'Customer Info'!A2294:C2793,3,FALSE),"Not Found")</f>
        <v>Not Found</v>
      </c>
      <c r="I2302" s="6" t="str">
        <f>IFERROR(VLOOKUP('Customer Info'!A2294,'Customer Info'!A2294:E2793,5,FALSE),"Not Found")</f>
        <v>Not Found</v>
      </c>
      <c r="J2302" s="2">
        <v>2333</v>
      </c>
      <c r="K2302" s="2">
        <v>2060</v>
      </c>
      <c r="L2302" s="2">
        <v>2</v>
      </c>
      <c r="M2302" s="7">
        <f t="shared" si="175"/>
        <v>4120</v>
      </c>
      <c r="N2302" s="7">
        <f t="shared" si="176"/>
        <v>4666</v>
      </c>
      <c r="O2302" s="2">
        <v>98</v>
      </c>
      <c r="P2302" s="8">
        <f t="shared" si="177"/>
        <v>4764</v>
      </c>
      <c r="Q2302" s="8">
        <f t="shared" si="178"/>
        <v>2606</v>
      </c>
      <c r="R2302" s="2" t="s">
        <v>28</v>
      </c>
      <c r="S2302" s="9">
        <f t="shared" si="179"/>
        <v>95.28</v>
      </c>
    </row>
    <row r="2303" spans="1:19" x14ac:dyDescent="0.3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str">
        <f>IFERROR(VLOOKUP('Customer Info'!A2295,'Customer Info'!A2295:C2794,2,FALSE),"Not Found")</f>
        <v>Not Found</v>
      </c>
      <c r="H2303" s="6" t="str">
        <f>IFERROR(VLOOKUP('Customer Info'!A2295,'Customer Info'!A2295:C2794,3,FALSE),"Not Found")</f>
        <v>Not Found</v>
      </c>
      <c r="I2303" s="6" t="str">
        <f>IFERROR(VLOOKUP('Customer Info'!A2295,'Customer Info'!A2295:E2794,5,FALSE),"Not Found")</f>
        <v>Not Found</v>
      </c>
      <c r="J2303" s="2">
        <v>4846</v>
      </c>
      <c r="K2303" s="2">
        <v>4492</v>
      </c>
      <c r="L2303" s="2">
        <v>2</v>
      </c>
      <c r="M2303" s="7">
        <f t="shared" si="175"/>
        <v>8984</v>
      </c>
      <c r="N2303" s="7">
        <f t="shared" si="176"/>
        <v>9692</v>
      </c>
      <c r="O2303" s="2">
        <v>88</v>
      </c>
      <c r="P2303" s="8">
        <f t="shared" si="177"/>
        <v>9780</v>
      </c>
      <c r="Q2303" s="8">
        <f t="shared" si="178"/>
        <v>5200</v>
      </c>
      <c r="R2303" s="2" t="s">
        <v>50</v>
      </c>
      <c r="S2303" s="9">
        <f t="shared" si="179"/>
        <v>489</v>
      </c>
    </row>
    <row r="2304" spans="1:19" x14ac:dyDescent="0.3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str">
        <f>IFERROR(VLOOKUP('Customer Info'!A2296,'Customer Info'!A2296:C2795,2,FALSE),"Not Found")</f>
        <v>Not Found</v>
      </c>
      <c r="H2304" s="6" t="str">
        <f>IFERROR(VLOOKUP('Customer Info'!A2296,'Customer Info'!A2296:C2795,3,FALSE),"Not Found")</f>
        <v>Not Found</v>
      </c>
      <c r="I2304" s="6" t="str">
        <f>IFERROR(VLOOKUP('Customer Info'!A2296,'Customer Info'!A2296:E2795,5,FALSE),"Not Found")</f>
        <v>Not Found</v>
      </c>
      <c r="J2304" s="2">
        <v>998</v>
      </c>
      <c r="K2304" s="2">
        <v>931</v>
      </c>
      <c r="L2304" s="2">
        <v>5</v>
      </c>
      <c r="M2304" s="7">
        <f t="shared" si="175"/>
        <v>4655</v>
      </c>
      <c r="N2304" s="7">
        <f t="shared" si="176"/>
        <v>4990</v>
      </c>
      <c r="O2304" s="2">
        <v>60</v>
      </c>
      <c r="P2304" s="8">
        <f t="shared" si="177"/>
        <v>5050</v>
      </c>
      <c r="Q2304" s="8">
        <f t="shared" si="178"/>
        <v>4059</v>
      </c>
      <c r="R2304" s="2" t="s">
        <v>28</v>
      </c>
      <c r="S2304" s="9">
        <f t="shared" si="179"/>
        <v>252.5</v>
      </c>
    </row>
    <row r="2305" spans="1:19" x14ac:dyDescent="0.3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str">
        <f>IFERROR(VLOOKUP('Customer Info'!A2297,'Customer Info'!A2297:C2796,2,FALSE),"Not Found")</f>
        <v>Not Found</v>
      </c>
      <c r="H2305" s="6" t="str">
        <f>IFERROR(VLOOKUP('Customer Info'!A2297,'Customer Info'!A2297:C2796,3,FALSE),"Not Found")</f>
        <v>Not Found</v>
      </c>
      <c r="I2305" s="6" t="str">
        <f>IFERROR(VLOOKUP('Customer Info'!A2297,'Customer Info'!A2297:E2796,5,FALSE),"Not Found")</f>
        <v>Not Found</v>
      </c>
      <c r="J2305" s="2">
        <v>1113</v>
      </c>
      <c r="K2305" s="2">
        <v>1040</v>
      </c>
      <c r="L2305" s="2">
        <v>2</v>
      </c>
      <c r="M2305" s="7">
        <f t="shared" si="175"/>
        <v>2080</v>
      </c>
      <c r="N2305" s="7">
        <f t="shared" si="176"/>
        <v>2226</v>
      </c>
      <c r="O2305" s="2">
        <v>40</v>
      </c>
      <c r="P2305" s="8">
        <f t="shared" si="177"/>
        <v>2266</v>
      </c>
      <c r="Q2305" s="8">
        <f t="shared" si="178"/>
        <v>1186</v>
      </c>
      <c r="R2305" s="2" t="s">
        <v>28</v>
      </c>
      <c r="S2305" s="9">
        <f t="shared" si="179"/>
        <v>45.32</v>
      </c>
    </row>
    <row r="2306" spans="1:19" x14ac:dyDescent="0.3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str">
        <f>IFERROR(VLOOKUP('Customer Info'!A2298,'Customer Info'!A2298:C2797,2,FALSE),"Not Found")</f>
        <v>Not Found</v>
      </c>
      <c r="H2306" s="6" t="str">
        <f>IFERROR(VLOOKUP('Customer Info'!A2298,'Customer Info'!A2298:C2797,3,FALSE),"Not Found")</f>
        <v>Not Found</v>
      </c>
      <c r="I2306" s="6" t="str">
        <f>IFERROR(VLOOKUP('Customer Info'!A2298,'Customer Info'!A2298:E2797,5,FALSE),"Not Found")</f>
        <v>Not Found</v>
      </c>
      <c r="J2306" s="2">
        <v>143</v>
      </c>
      <c r="K2306" s="2">
        <v>137</v>
      </c>
      <c r="L2306" s="2">
        <v>5</v>
      </c>
      <c r="M2306" s="7">
        <f t="shared" si="175"/>
        <v>685</v>
      </c>
      <c r="N2306" s="7">
        <f t="shared" si="176"/>
        <v>715</v>
      </c>
      <c r="O2306" s="2">
        <v>30</v>
      </c>
      <c r="P2306" s="8">
        <f t="shared" si="177"/>
        <v>745</v>
      </c>
      <c r="Q2306" s="8">
        <f t="shared" si="178"/>
        <v>578</v>
      </c>
      <c r="R2306" s="2" t="s">
        <v>28</v>
      </c>
      <c r="S2306" s="9">
        <f t="shared" si="179"/>
        <v>14.9</v>
      </c>
    </row>
    <row r="2307" spans="1:19" x14ac:dyDescent="0.3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str">
        <f>IFERROR(VLOOKUP('Customer Info'!A2299,'Customer Info'!A2299:C2798,2,FALSE),"Not Found")</f>
        <v>Not Found</v>
      </c>
      <c r="H2307" s="6" t="str">
        <f>IFERROR(VLOOKUP('Customer Info'!A2299,'Customer Info'!A2299:C2798,3,FALSE),"Not Found")</f>
        <v>Not Found</v>
      </c>
      <c r="I2307" s="6" t="str">
        <f>IFERROR(VLOOKUP('Customer Info'!A2299,'Customer Info'!A2299:E2798,5,FALSE),"Not Found")</f>
        <v>Not Found</v>
      </c>
      <c r="J2307" s="2">
        <v>1318</v>
      </c>
      <c r="K2307" s="2">
        <v>1209</v>
      </c>
      <c r="L2307" s="2">
        <v>3</v>
      </c>
      <c r="M2307" s="7">
        <f t="shared" si="175"/>
        <v>3627</v>
      </c>
      <c r="N2307" s="7">
        <f t="shared" si="176"/>
        <v>3954</v>
      </c>
      <c r="O2307" s="2">
        <v>21</v>
      </c>
      <c r="P2307" s="8">
        <f t="shared" si="177"/>
        <v>3975</v>
      </c>
      <c r="Q2307" s="8">
        <f t="shared" si="178"/>
        <v>2745</v>
      </c>
      <c r="R2307" s="2" t="s">
        <v>28</v>
      </c>
      <c r="S2307" s="9">
        <f t="shared" si="179"/>
        <v>79.5</v>
      </c>
    </row>
    <row r="2308" spans="1:19" x14ac:dyDescent="0.3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str">
        <f>IFERROR(VLOOKUP('Customer Info'!A2300,'Customer Info'!A2300:C2799,2,FALSE),"Not Found")</f>
        <v>Not Found</v>
      </c>
      <c r="H2308" s="6" t="str">
        <f>IFERROR(VLOOKUP('Customer Info'!A2300,'Customer Info'!A2300:C2799,3,FALSE),"Not Found")</f>
        <v>Not Found</v>
      </c>
      <c r="I2308" s="6" t="str">
        <f>IFERROR(VLOOKUP('Customer Info'!A2300,'Customer Info'!A2300:E2799,5,FALSE),"Not Found")</f>
        <v>Not Found</v>
      </c>
      <c r="J2308" s="2">
        <v>679</v>
      </c>
      <c r="K2308" s="2">
        <v>654</v>
      </c>
      <c r="L2308" s="2">
        <v>5</v>
      </c>
      <c r="M2308" s="7">
        <f t="shared" si="175"/>
        <v>3270</v>
      </c>
      <c r="N2308" s="7">
        <f t="shared" si="176"/>
        <v>3395</v>
      </c>
      <c r="O2308" s="2">
        <v>36</v>
      </c>
      <c r="P2308" s="8">
        <f t="shared" si="177"/>
        <v>3431</v>
      </c>
      <c r="Q2308" s="8">
        <f t="shared" si="178"/>
        <v>2741</v>
      </c>
      <c r="R2308" s="2" t="s">
        <v>26</v>
      </c>
      <c r="S2308" s="9">
        <f t="shared" si="179"/>
        <v>68.62</v>
      </c>
    </row>
    <row r="2309" spans="1:19" x14ac:dyDescent="0.3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str">
        <f>IFERROR(VLOOKUP('Customer Info'!A2301,'Customer Info'!A2301:C2800,2,FALSE),"Not Found")</f>
        <v>Not Found</v>
      </c>
      <c r="H2309" s="6" t="str">
        <f>IFERROR(VLOOKUP('Customer Info'!A2301,'Customer Info'!A2301:C2800,3,FALSE),"Not Found")</f>
        <v>Not Found</v>
      </c>
      <c r="I2309" s="6" t="str">
        <f>IFERROR(VLOOKUP('Customer Info'!A2301,'Customer Info'!A2301:E2800,5,FALSE),"Not Found")</f>
        <v>Not Found</v>
      </c>
      <c r="J2309" s="2">
        <v>1372</v>
      </c>
      <c r="K2309" s="2">
        <v>1308</v>
      </c>
      <c r="L2309" s="2">
        <v>3</v>
      </c>
      <c r="M2309" s="7">
        <f t="shared" si="175"/>
        <v>3924</v>
      </c>
      <c r="N2309" s="7">
        <f t="shared" si="176"/>
        <v>4116</v>
      </c>
      <c r="O2309" s="2">
        <v>95</v>
      </c>
      <c r="P2309" s="8">
        <f t="shared" si="177"/>
        <v>4211</v>
      </c>
      <c r="Q2309" s="8">
        <f t="shared" si="178"/>
        <v>2808</v>
      </c>
      <c r="R2309" s="2" t="s">
        <v>50</v>
      </c>
      <c r="S2309" s="9">
        <f t="shared" si="179"/>
        <v>84.22</v>
      </c>
    </row>
    <row r="2310" spans="1:19" x14ac:dyDescent="0.3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str">
        <f>IFERROR(VLOOKUP('Customer Info'!A2302,'Customer Info'!A2302:C2801,2,FALSE),"Not Found")</f>
        <v>Not Found</v>
      </c>
      <c r="H2310" s="6" t="str">
        <f>IFERROR(VLOOKUP('Customer Info'!A2302,'Customer Info'!A2302:C2801,3,FALSE),"Not Found")</f>
        <v>Not Found</v>
      </c>
      <c r="I2310" s="6" t="str">
        <f>IFERROR(VLOOKUP('Customer Info'!A2302,'Customer Info'!A2302:E2801,5,FALSE),"Not Found")</f>
        <v>Not Found</v>
      </c>
      <c r="J2310" s="2">
        <v>681</v>
      </c>
      <c r="K2310" s="2">
        <v>642</v>
      </c>
      <c r="L2310" s="2">
        <v>6</v>
      </c>
      <c r="M2310" s="7">
        <f t="shared" si="175"/>
        <v>3852</v>
      </c>
      <c r="N2310" s="7">
        <f t="shared" si="176"/>
        <v>4086</v>
      </c>
      <c r="O2310" s="2">
        <v>67</v>
      </c>
      <c r="P2310" s="8">
        <f t="shared" si="177"/>
        <v>4153</v>
      </c>
      <c r="Q2310" s="8">
        <f t="shared" si="178"/>
        <v>3444</v>
      </c>
      <c r="R2310" s="2" t="s">
        <v>28</v>
      </c>
      <c r="S2310" s="9">
        <f t="shared" si="179"/>
        <v>83.06</v>
      </c>
    </row>
    <row r="2311" spans="1:19" x14ac:dyDescent="0.3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str">
        <f>IFERROR(VLOOKUP('Customer Info'!A2303,'Customer Info'!A2303:C2802,2,FALSE),"Not Found")</f>
        <v>Not Found</v>
      </c>
      <c r="H2311" s="6" t="str">
        <f>IFERROR(VLOOKUP('Customer Info'!A2303,'Customer Info'!A2303:C2802,3,FALSE),"Not Found")</f>
        <v>Not Found</v>
      </c>
      <c r="I2311" s="6" t="str">
        <f>IFERROR(VLOOKUP('Customer Info'!A2303,'Customer Info'!A2303:E2802,5,FALSE),"Not Found")</f>
        <v>Not Found</v>
      </c>
      <c r="J2311" s="2">
        <v>695</v>
      </c>
      <c r="K2311" s="2">
        <v>661</v>
      </c>
      <c r="L2311" s="2">
        <v>3</v>
      </c>
      <c r="M2311" s="7">
        <f t="shared" si="175"/>
        <v>1983</v>
      </c>
      <c r="N2311" s="7">
        <f t="shared" si="176"/>
        <v>2085</v>
      </c>
      <c r="O2311" s="2">
        <v>99</v>
      </c>
      <c r="P2311" s="8">
        <f t="shared" si="177"/>
        <v>2184</v>
      </c>
      <c r="Q2311" s="8">
        <f t="shared" si="178"/>
        <v>1424</v>
      </c>
      <c r="R2311" s="2" t="s">
        <v>28</v>
      </c>
      <c r="S2311" s="9">
        <f t="shared" si="179"/>
        <v>43.68</v>
      </c>
    </row>
    <row r="2312" spans="1:19" x14ac:dyDescent="0.3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str">
        <f>IFERROR(VLOOKUP('Customer Info'!A2304,'Customer Info'!A2304:C2803,2,FALSE),"Not Found")</f>
        <v>Not Found</v>
      </c>
      <c r="H2312" s="6" t="str">
        <f>IFERROR(VLOOKUP('Customer Info'!A2304,'Customer Info'!A2304:C2803,3,FALSE),"Not Found")</f>
        <v>Not Found</v>
      </c>
      <c r="I2312" s="6" t="str">
        <f>IFERROR(VLOOKUP('Customer Info'!A2304,'Customer Info'!A2304:E2803,5,FALSE),"Not Found")</f>
        <v>Not Found</v>
      </c>
      <c r="J2312" s="2">
        <v>1651</v>
      </c>
      <c r="K2312" s="2">
        <v>1604</v>
      </c>
      <c r="L2312" s="2">
        <v>6</v>
      </c>
      <c r="M2312" s="7">
        <f t="shared" si="175"/>
        <v>9624</v>
      </c>
      <c r="N2312" s="7">
        <f t="shared" si="176"/>
        <v>9906</v>
      </c>
      <c r="O2312" s="2">
        <v>72</v>
      </c>
      <c r="P2312" s="8">
        <f t="shared" si="177"/>
        <v>9978</v>
      </c>
      <c r="Q2312" s="8">
        <f t="shared" si="178"/>
        <v>8302</v>
      </c>
      <c r="R2312" s="2" t="s">
        <v>26</v>
      </c>
      <c r="S2312" s="9">
        <f t="shared" si="179"/>
        <v>498.90000000000003</v>
      </c>
    </row>
    <row r="2313" spans="1:19" x14ac:dyDescent="0.3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str">
        <f>IFERROR(VLOOKUP('Customer Info'!A2305,'Customer Info'!A2305:C2804,2,FALSE),"Not Found")</f>
        <v>Not Found</v>
      </c>
      <c r="H2313" s="6" t="str">
        <f>IFERROR(VLOOKUP('Customer Info'!A2305,'Customer Info'!A2305:C2804,3,FALSE),"Not Found")</f>
        <v>Not Found</v>
      </c>
      <c r="I2313" s="6" t="str">
        <f>IFERROR(VLOOKUP('Customer Info'!A2305,'Customer Info'!A2305:E2804,5,FALSE),"Not Found")</f>
        <v>Not Found</v>
      </c>
      <c r="J2313" s="2">
        <v>127</v>
      </c>
      <c r="K2313" s="2">
        <v>116</v>
      </c>
      <c r="L2313" s="2">
        <v>1</v>
      </c>
      <c r="M2313" s="7">
        <f t="shared" si="175"/>
        <v>116</v>
      </c>
      <c r="N2313" s="7">
        <f t="shared" si="176"/>
        <v>127</v>
      </c>
      <c r="O2313" s="2">
        <v>30</v>
      </c>
      <c r="P2313" s="8">
        <f t="shared" si="177"/>
        <v>157</v>
      </c>
      <c r="Q2313" s="8">
        <f t="shared" si="178"/>
        <v>11</v>
      </c>
      <c r="R2313" s="2" t="s">
        <v>50</v>
      </c>
      <c r="S2313" s="9">
        <f t="shared" si="179"/>
        <v>3.14</v>
      </c>
    </row>
    <row r="2314" spans="1:19" x14ac:dyDescent="0.3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str">
        <f>IFERROR(VLOOKUP('Customer Info'!A2306,'Customer Info'!A2306:C2805,2,FALSE),"Not Found")</f>
        <v>Not Found</v>
      </c>
      <c r="H2314" s="6" t="str">
        <f>IFERROR(VLOOKUP('Customer Info'!A2306,'Customer Info'!A2306:C2805,3,FALSE),"Not Found")</f>
        <v>Not Found</v>
      </c>
      <c r="I2314" s="6" t="str">
        <f>IFERROR(VLOOKUP('Customer Info'!A2306,'Customer Info'!A2306:E2805,5,FALSE),"Not Found")</f>
        <v>Not Found</v>
      </c>
      <c r="J2314" s="2">
        <v>210</v>
      </c>
      <c r="K2314" s="2">
        <v>193</v>
      </c>
      <c r="L2314" s="2">
        <v>8</v>
      </c>
      <c r="M2314" s="7">
        <f t="shared" si="175"/>
        <v>1544</v>
      </c>
      <c r="N2314" s="7">
        <f t="shared" si="176"/>
        <v>1680</v>
      </c>
      <c r="O2314" s="2">
        <v>55</v>
      </c>
      <c r="P2314" s="8">
        <f t="shared" si="177"/>
        <v>1735</v>
      </c>
      <c r="Q2314" s="8">
        <f t="shared" si="178"/>
        <v>1487</v>
      </c>
      <c r="R2314" s="2" t="s">
        <v>28</v>
      </c>
      <c r="S2314" s="9">
        <f t="shared" si="179"/>
        <v>34.700000000000003</v>
      </c>
    </row>
    <row r="2315" spans="1:19" x14ac:dyDescent="0.3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str">
        <f>IFERROR(VLOOKUP('Customer Info'!A2307,'Customer Info'!A2307:C2806,2,FALSE),"Not Found")</f>
        <v>Not Found</v>
      </c>
      <c r="H2315" s="6" t="str">
        <f>IFERROR(VLOOKUP('Customer Info'!A2307,'Customer Info'!A2307:C2806,3,FALSE),"Not Found")</f>
        <v>Not Found</v>
      </c>
      <c r="I2315" s="6" t="str">
        <f>IFERROR(VLOOKUP('Customer Info'!A2307,'Customer Info'!A2307:E2806,5,FALSE),"Not Found")</f>
        <v>Not Found</v>
      </c>
      <c r="J2315" s="2">
        <v>7960</v>
      </c>
      <c r="K2315" s="2">
        <v>7375</v>
      </c>
      <c r="L2315" s="2">
        <v>2</v>
      </c>
      <c r="M2315" s="7">
        <f t="shared" ref="M2315:M2378" si="180">$K2315*$L2315</f>
        <v>14750</v>
      </c>
      <c r="N2315" s="7">
        <f t="shared" ref="N2315:N2378" si="181">$J2315*$L2315</f>
        <v>15920</v>
      </c>
      <c r="O2315" s="2">
        <v>77</v>
      </c>
      <c r="P2315" s="8">
        <f t="shared" ref="P2315:P2378" si="182">$N2315+$O2315</f>
        <v>15997</v>
      </c>
      <c r="Q2315" s="8">
        <f t="shared" ref="Q2315:Q2378" si="183">$N2315-$K2315</f>
        <v>8545</v>
      </c>
      <c r="R2315" s="2" t="s">
        <v>28</v>
      </c>
      <c r="S2315" s="9">
        <f t="shared" ref="S2315:S2378" si="184" xml:space="preserve"> P2315 * VLOOKUP(P2315, $T$2:$U$6, 2, TRUE)</f>
        <v>799.85</v>
      </c>
    </row>
    <row r="2316" spans="1:19" x14ac:dyDescent="0.3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str">
        <f>IFERROR(VLOOKUP('Customer Info'!A2308,'Customer Info'!A2308:C2807,2,FALSE),"Not Found")</f>
        <v>Not Found</v>
      </c>
      <c r="H2316" s="6" t="str">
        <f>IFERROR(VLOOKUP('Customer Info'!A2308,'Customer Info'!A2308:C2807,3,FALSE),"Not Found")</f>
        <v>Not Found</v>
      </c>
      <c r="I2316" s="6" t="str">
        <f>IFERROR(VLOOKUP('Customer Info'!A2308,'Customer Info'!A2308:E2807,5,FALSE),"Not Found")</f>
        <v>Not Found</v>
      </c>
      <c r="J2316" s="2">
        <v>21566</v>
      </c>
      <c r="K2316" s="2">
        <v>19225</v>
      </c>
      <c r="L2316" s="2">
        <v>4</v>
      </c>
      <c r="M2316" s="7">
        <f t="shared" si="180"/>
        <v>76900</v>
      </c>
      <c r="N2316" s="7">
        <f t="shared" si="181"/>
        <v>86264</v>
      </c>
      <c r="O2316" s="2">
        <v>100</v>
      </c>
      <c r="P2316" s="8">
        <f t="shared" si="182"/>
        <v>86364</v>
      </c>
      <c r="Q2316" s="8">
        <f t="shared" si="183"/>
        <v>67039</v>
      </c>
      <c r="R2316" s="2" t="s">
        <v>28</v>
      </c>
      <c r="S2316" s="9">
        <f t="shared" si="184"/>
        <v>7772.7599999999993</v>
      </c>
    </row>
    <row r="2317" spans="1:19" x14ac:dyDescent="0.3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str">
        <f>IFERROR(VLOOKUP('Customer Info'!A2309,'Customer Info'!A2309:C2808,2,FALSE),"Not Found")</f>
        <v>Not Found</v>
      </c>
      <c r="H2317" s="6" t="str">
        <f>IFERROR(VLOOKUP('Customer Info'!A2309,'Customer Info'!A2309:C2808,3,FALSE),"Not Found")</f>
        <v>Not Found</v>
      </c>
      <c r="I2317" s="6" t="str">
        <f>IFERROR(VLOOKUP('Customer Info'!A2309,'Customer Info'!A2309:E2808,5,FALSE),"Not Found")</f>
        <v>Not Found</v>
      </c>
      <c r="J2317" s="2">
        <v>61</v>
      </c>
      <c r="K2317" s="2">
        <v>56</v>
      </c>
      <c r="L2317" s="2">
        <v>1</v>
      </c>
      <c r="M2317" s="7">
        <f t="shared" si="180"/>
        <v>56</v>
      </c>
      <c r="N2317" s="7">
        <f t="shared" si="181"/>
        <v>61</v>
      </c>
      <c r="O2317" s="2">
        <v>10</v>
      </c>
      <c r="P2317" s="8">
        <f t="shared" si="182"/>
        <v>71</v>
      </c>
      <c r="Q2317" s="8">
        <f t="shared" si="183"/>
        <v>5</v>
      </c>
      <c r="R2317" s="2" t="s">
        <v>28</v>
      </c>
      <c r="S2317" s="9">
        <f t="shared" si="184"/>
        <v>1.42</v>
      </c>
    </row>
    <row r="2318" spans="1:19" x14ac:dyDescent="0.3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str">
        <f>IFERROR(VLOOKUP('Customer Info'!A2310,'Customer Info'!A2310:C2809,2,FALSE),"Not Found")</f>
        <v>Not Found</v>
      </c>
      <c r="H2318" s="6" t="str">
        <f>IFERROR(VLOOKUP('Customer Info'!A2310,'Customer Info'!A2310:C2809,3,FALSE),"Not Found")</f>
        <v>Not Found</v>
      </c>
      <c r="I2318" s="6" t="str">
        <f>IFERROR(VLOOKUP('Customer Info'!A2310,'Customer Info'!A2310:E2809,5,FALSE),"Not Found")</f>
        <v>Not Found</v>
      </c>
      <c r="J2318" s="2">
        <v>167</v>
      </c>
      <c r="K2318" s="2">
        <v>152</v>
      </c>
      <c r="L2318" s="2">
        <v>4</v>
      </c>
      <c r="M2318" s="7">
        <f t="shared" si="180"/>
        <v>608</v>
      </c>
      <c r="N2318" s="7">
        <f t="shared" si="181"/>
        <v>668</v>
      </c>
      <c r="O2318" s="2">
        <v>30</v>
      </c>
      <c r="P2318" s="8">
        <f t="shared" si="182"/>
        <v>698</v>
      </c>
      <c r="Q2318" s="8">
        <f t="shared" si="183"/>
        <v>516</v>
      </c>
      <c r="R2318" s="2" t="s">
        <v>50</v>
      </c>
      <c r="S2318" s="9">
        <f t="shared" si="184"/>
        <v>13.96</v>
      </c>
    </row>
    <row r="2319" spans="1:19" x14ac:dyDescent="0.3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str">
        <f>IFERROR(VLOOKUP('Customer Info'!A2311,'Customer Info'!A2311:C2810,2,FALSE),"Not Found")</f>
        <v>Not Found</v>
      </c>
      <c r="H2319" s="6" t="str">
        <f>IFERROR(VLOOKUP('Customer Info'!A2311,'Customer Info'!A2311:C2810,3,FALSE),"Not Found")</f>
        <v>Not Found</v>
      </c>
      <c r="I2319" s="6" t="str">
        <f>IFERROR(VLOOKUP('Customer Info'!A2311,'Customer Info'!A2311:E2810,5,FALSE),"Not Found")</f>
        <v>Not Found</v>
      </c>
      <c r="J2319" s="2">
        <v>1619</v>
      </c>
      <c r="K2319" s="2">
        <v>1442</v>
      </c>
      <c r="L2319" s="2">
        <v>3</v>
      </c>
      <c r="M2319" s="7">
        <f t="shared" si="180"/>
        <v>4326</v>
      </c>
      <c r="N2319" s="7">
        <f t="shared" si="181"/>
        <v>4857</v>
      </c>
      <c r="O2319" s="2">
        <v>25</v>
      </c>
      <c r="P2319" s="8">
        <f t="shared" si="182"/>
        <v>4882</v>
      </c>
      <c r="Q2319" s="8">
        <f t="shared" si="183"/>
        <v>3415</v>
      </c>
      <c r="R2319" s="2" t="s">
        <v>28</v>
      </c>
      <c r="S2319" s="9">
        <f t="shared" si="184"/>
        <v>97.64</v>
      </c>
    </row>
    <row r="2320" spans="1:19" x14ac:dyDescent="0.3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str">
        <f>IFERROR(VLOOKUP('Customer Info'!A2312,'Customer Info'!A2312:C2811,2,FALSE),"Not Found")</f>
        <v>Not Found</v>
      </c>
      <c r="H2320" s="6" t="str">
        <f>IFERROR(VLOOKUP('Customer Info'!A2312,'Customer Info'!A2312:C2811,3,FALSE),"Not Found")</f>
        <v>Not Found</v>
      </c>
      <c r="I2320" s="6" t="str">
        <f>IFERROR(VLOOKUP('Customer Info'!A2312,'Customer Info'!A2312:E2811,5,FALSE),"Not Found")</f>
        <v>Not Found</v>
      </c>
      <c r="J2320" s="2">
        <v>7534</v>
      </c>
      <c r="K2320" s="2">
        <v>7106</v>
      </c>
      <c r="L2320" s="2">
        <v>2</v>
      </c>
      <c r="M2320" s="7">
        <f t="shared" si="180"/>
        <v>14212</v>
      </c>
      <c r="N2320" s="7">
        <f t="shared" si="181"/>
        <v>15068</v>
      </c>
      <c r="O2320" s="2">
        <v>76</v>
      </c>
      <c r="P2320" s="8">
        <f t="shared" si="182"/>
        <v>15144</v>
      </c>
      <c r="Q2320" s="8">
        <f t="shared" si="183"/>
        <v>7962</v>
      </c>
      <c r="R2320" s="2" t="s">
        <v>28</v>
      </c>
      <c r="S2320" s="9">
        <f t="shared" si="184"/>
        <v>757.2</v>
      </c>
    </row>
    <row r="2321" spans="1:19" x14ac:dyDescent="0.3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str">
        <f>IFERROR(VLOOKUP('Customer Info'!A2313,'Customer Info'!A2313:C2812,2,FALSE),"Not Found")</f>
        <v>Not Found</v>
      </c>
      <c r="H2321" s="6" t="str">
        <f>IFERROR(VLOOKUP('Customer Info'!A2313,'Customer Info'!A2313:C2812,3,FALSE),"Not Found")</f>
        <v>Not Found</v>
      </c>
      <c r="I2321" s="6" t="str">
        <f>IFERROR(VLOOKUP('Customer Info'!A2313,'Customer Info'!A2313:E2812,5,FALSE),"Not Found")</f>
        <v>Not Found</v>
      </c>
      <c r="J2321" s="2">
        <v>542</v>
      </c>
      <c r="K2321" s="2">
        <v>492</v>
      </c>
      <c r="L2321" s="2">
        <v>5</v>
      </c>
      <c r="M2321" s="7">
        <f t="shared" si="180"/>
        <v>2460</v>
      </c>
      <c r="N2321" s="7">
        <f t="shared" si="181"/>
        <v>2710</v>
      </c>
      <c r="O2321" s="2">
        <v>87</v>
      </c>
      <c r="P2321" s="8">
        <f t="shared" si="182"/>
        <v>2797</v>
      </c>
      <c r="Q2321" s="8">
        <f t="shared" si="183"/>
        <v>2218</v>
      </c>
      <c r="R2321" s="2" t="s">
        <v>56</v>
      </c>
      <c r="S2321" s="9">
        <f t="shared" si="184"/>
        <v>55.94</v>
      </c>
    </row>
    <row r="2322" spans="1:19" x14ac:dyDescent="0.3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str">
        <f>IFERROR(VLOOKUP('Customer Info'!A2314,'Customer Info'!A2314:C2813,2,FALSE),"Not Found")</f>
        <v>Not Found</v>
      </c>
      <c r="H2322" s="6" t="str">
        <f>IFERROR(VLOOKUP('Customer Info'!A2314,'Customer Info'!A2314:C2813,3,FALSE),"Not Found")</f>
        <v>Not Found</v>
      </c>
      <c r="I2322" s="6" t="str">
        <f>IFERROR(VLOOKUP('Customer Info'!A2314,'Customer Info'!A2314:E2813,5,FALSE),"Not Found")</f>
        <v>Not Found</v>
      </c>
      <c r="J2322" s="2">
        <v>1146</v>
      </c>
      <c r="K2322" s="2">
        <v>1061</v>
      </c>
      <c r="L2322" s="2">
        <v>4</v>
      </c>
      <c r="M2322" s="7">
        <f t="shared" si="180"/>
        <v>4244</v>
      </c>
      <c r="N2322" s="7">
        <f t="shared" si="181"/>
        <v>4584</v>
      </c>
      <c r="O2322" s="2">
        <v>70</v>
      </c>
      <c r="P2322" s="8">
        <f t="shared" si="182"/>
        <v>4654</v>
      </c>
      <c r="Q2322" s="8">
        <f t="shared" si="183"/>
        <v>3523</v>
      </c>
      <c r="R2322" s="2" t="s">
        <v>26</v>
      </c>
      <c r="S2322" s="9">
        <f t="shared" si="184"/>
        <v>93.08</v>
      </c>
    </row>
    <row r="2323" spans="1:19" x14ac:dyDescent="0.3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str">
        <f>IFERROR(VLOOKUP('Customer Info'!A2315,'Customer Info'!A2315:C2814,2,FALSE),"Not Found")</f>
        <v>Not Found</v>
      </c>
      <c r="H2323" s="6" t="str">
        <f>IFERROR(VLOOKUP('Customer Info'!A2315,'Customer Info'!A2315:C2814,3,FALSE),"Not Found")</f>
        <v>Not Found</v>
      </c>
      <c r="I2323" s="6" t="str">
        <f>IFERROR(VLOOKUP('Customer Info'!A2315,'Customer Info'!A2315:E2814,5,FALSE),"Not Found")</f>
        <v>Not Found</v>
      </c>
      <c r="J2323" s="2">
        <v>3091</v>
      </c>
      <c r="K2323" s="2">
        <v>2889</v>
      </c>
      <c r="L2323" s="2">
        <v>1</v>
      </c>
      <c r="M2323" s="7">
        <f t="shared" si="180"/>
        <v>2889</v>
      </c>
      <c r="N2323" s="7">
        <f t="shared" si="181"/>
        <v>3091</v>
      </c>
      <c r="O2323" s="2">
        <v>45</v>
      </c>
      <c r="P2323" s="8">
        <f t="shared" si="182"/>
        <v>3136</v>
      </c>
      <c r="Q2323" s="8">
        <f t="shared" si="183"/>
        <v>202</v>
      </c>
      <c r="R2323" s="2" t="s">
        <v>28</v>
      </c>
      <c r="S2323" s="9">
        <f t="shared" si="184"/>
        <v>62.72</v>
      </c>
    </row>
    <row r="2324" spans="1:19" x14ac:dyDescent="0.3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str">
        <f>IFERROR(VLOOKUP('Customer Info'!A2316,'Customer Info'!A2316:C2815,2,FALSE),"Not Found")</f>
        <v>Not Found</v>
      </c>
      <c r="H2324" s="6" t="str">
        <f>IFERROR(VLOOKUP('Customer Info'!A2316,'Customer Info'!A2316:C2815,3,FALSE),"Not Found")</f>
        <v>Not Found</v>
      </c>
      <c r="I2324" s="6" t="str">
        <f>IFERROR(VLOOKUP('Customer Info'!A2316,'Customer Info'!A2316:E2815,5,FALSE),"Not Found")</f>
        <v>Not Found</v>
      </c>
      <c r="J2324" s="2">
        <v>191</v>
      </c>
      <c r="K2324" s="2">
        <v>170</v>
      </c>
      <c r="L2324" s="2">
        <v>1</v>
      </c>
      <c r="M2324" s="7">
        <f t="shared" si="180"/>
        <v>170</v>
      </c>
      <c r="N2324" s="7">
        <f t="shared" si="181"/>
        <v>191</v>
      </c>
      <c r="O2324" s="2">
        <v>30</v>
      </c>
      <c r="P2324" s="8">
        <f t="shared" si="182"/>
        <v>221</v>
      </c>
      <c r="Q2324" s="8">
        <f t="shared" si="183"/>
        <v>21</v>
      </c>
      <c r="R2324" s="2" t="s">
        <v>28</v>
      </c>
      <c r="S2324" s="9">
        <f t="shared" si="184"/>
        <v>4.42</v>
      </c>
    </row>
    <row r="2325" spans="1:19" x14ac:dyDescent="0.3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str">
        <f>IFERROR(VLOOKUP('Customer Info'!A2317,'Customer Info'!A2317:C2816,2,FALSE),"Not Found")</f>
        <v>Not Found</v>
      </c>
      <c r="H2325" s="6" t="str">
        <f>IFERROR(VLOOKUP('Customer Info'!A2317,'Customer Info'!A2317:C2816,3,FALSE),"Not Found")</f>
        <v>Not Found</v>
      </c>
      <c r="I2325" s="6" t="str">
        <f>IFERROR(VLOOKUP('Customer Info'!A2317,'Customer Info'!A2317:E2816,5,FALSE),"Not Found")</f>
        <v>Not Found</v>
      </c>
      <c r="J2325" s="2">
        <v>6027</v>
      </c>
      <c r="K2325" s="2">
        <v>5694</v>
      </c>
      <c r="L2325" s="2">
        <v>3</v>
      </c>
      <c r="M2325" s="7">
        <f t="shared" si="180"/>
        <v>17082</v>
      </c>
      <c r="N2325" s="7">
        <f t="shared" si="181"/>
        <v>18081</v>
      </c>
      <c r="O2325" s="2">
        <v>41</v>
      </c>
      <c r="P2325" s="8">
        <f t="shared" si="182"/>
        <v>18122</v>
      </c>
      <c r="Q2325" s="8">
        <f t="shared" si="183"/>
        <v>12387</v>
      </c>
      <c r="R2325" s="2" t="s">
        <v>28</v>
      </c>
      <c r="S2325" s="9">
        <f t="shared" si="184"/>
        <v>906.1</v>
      </c>
    </row>
    <row r="2326" spans="1:19" x14ac:dyDescent="0.3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str">
        <f>IFERROR(VLOOKUP('Customer Info'!A2318,'Customer Info'!A2318:C2817,2,FALSE),"Not Found")</f>
        <v>Not Found</v>
      </c>
      <c r="H2326" s="6" t="str">
        <f>IFERROR(VLOOKUP('Customer Info'!A2318,'Customer Info'!A2318:C2817,3,FALSE),"Not Found")</f>
        <v>Not Found</v>
      </c>
      <c r="I2326" s="6" t="str">
        <f>IFERROR(VLOOKUP('Customer Info'!A2318,'Customer Info'!A2318:E2817,5,FALSE),"Not Found")</f>
        <v>Not Found</v>
      </c>
      <c r="J2326" s="2">
        <v>38328</v>
      </c>
      <c r="K2326" s="2">
        <v>35164</v>
      </c>
      <c r="L2326" s="2">
        <v>1</v>
      </c>
      <c r="M2326" s="7">
        <f t="shared" si="180"/>
        <v>35164</v>
      </c>
      <c r="N2326" s="7">
        <f t="shared" si="181"/>
        <v>38328</v>
      </c>
      <c r="O2326" s="2">
        <v>34</v>
      </c>
      <c r="P2326" s="8">
        <f t="shared" si="182"/>
        <v>38362</v>
      </c>
      <c r="Q2326" s="8">
        <f t="shared" si="183"/>
        <v>3164</v>
      </c>
      <c r="R2326" s="2" t="s">
        <v>28</v>
      </c>
      <c r="S2326" s="9">
        <f t="shared" si="184"/>
        <v>2685.34</v>
      </c>
    </row>
    <row r="2327" spans="1:19" x14ac:dyDescent="0.3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str">
        <f>IFERROR(VLOOKUP('Customer Info'!A2319,'Customer Info'!A2319:C2818,2,FALSE),"Not Found")</f>
        <v>Not Found</v>
      </c>
      <c r="H2327" s="6" t="str">
        <f>IFERROR(VLOOKUP('Customer Info'!A2319,'Customer Info'!A2319:C2818,3,FALSE),"Not Found")</f>
        <v>Not Found</v>
      </c>
      <c r="I2327" s="6" t="str">
        <f>IFERROR(VLOOKUP('Customer Info'!A2319,'Customer Info'!A2319:E2818,5,FALSE),"Not Found")</f>
        <v>Not Found</v>
      </c>
      <c r="J2327" s="2">
        <v>1498</v>
      </c>
      <c r="K2327" s="2">
        <v>1335</v>
      </c>
      <c r="L2327" s="2">
        <v>1</v>
      </c>
      <c r="M2327" s="7">
        <f t="shared" si="180"/>
        <v>1335</v>
      </c>
      <c r="N2327" s="7">
        <f t="shared" si="181"/>
        <v>1498</v>
      </c>
      <c r="O2327" s="2">
        <v>37</v>
      </c>
      <c r="P2327" s="8">
        <f t="shared" si="182"/>
        <v>1535</v>
      </c>
      <c r="Q2327" s="8">
        <f t="shared" si="183"/>
        <v>163</v>
      </c>
      <c r="R2327" s="2" t="s">
        <v>28</v>
      </c>
      <c r="S2327" s="9">
        <f t="shared" si="184"/>
        <v>30.7</v>
      </c>
    </row>
    <row r="2328" spans="1:19" x14ac:dyDescent="0.3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str">
        <f>IFERROR(VLOOKUP('Customer Info'!A2320,'Customer Info'!A2320:C2819,2,FALSE),"Not Found")</f>
        <v>Not Found</v>
      </c>
      <c r="H2328" s="6" t="str">
        <f>IFERROR(VLOOKUP('Customer Info'!A2320,'Customer Info'!A2320:C2819,3,FALSE),"Not Found")</f>
        <v>Not Found</v>
      </c>
      <c r="I2328" s="6" t="str">
        <f>IFERROR(VLOOKUP('Customer Info'!A2320,'Customer Info'!A2320:E2819,5,FALSE),"Not Found")</f>
        <v>Not Found</v>
      </c>
      <c r="J2328" s="2">
        <v>3408</v>
      </c>
      <c r="K2328" s="2">
        <v>3215</v>
      </c>
      <c r="L2328" s="2">
        <v>4</v>
      </c>
      <c r="M2328" s="7">
        <f t="shared" si="180"/>
        <v>12860</v>
      </c>
      <c r="N2328" s="7">
        <f t="shared" si="181"/>
        <v>13632</v>
      </c>
      <c r="O2328" s="2">
        <v>48</v>
      </c>
      <c r="P2328" s="8">
        <f t="shared" si="182"/>
        <v>13680</v>
      </c>
      <c r="Q2328" s="8">
        <f t="shared" si="183"/>
        <v>10417</v>
      </c>
      <c r="R2328" s="2" t="s">
        <v>50</v>
      </c>
      <c r="S2328" s="9">
        <f t="shared" si="184"/>
        <v>684</v>
      </c>
    </row>
    <row r="2329" spans="1:19" x14ac:dyDescent="0.3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str">
        <f>IFERROR(VLOOKUP('Customer Info'!A2321,'Customer Info'!A2321:C2820,2,FALSE),"Not Found")</f>
        <v>Not Found</v>
      </c>
      <c r="H2329" s="6" t="str">
        <f>IFERROR(VLOOKUP('Customer Info'!A2321,'Customer Info'!A2321:C2820,3,FALSE),"Not Found")</f>
        <v>Not Found</v>
      </c>
      <c r="I2329" s="6" t="str">
        <f>IFERROR(VLOOKUP('Customer Info'!A2321,'Customer Info'!A2321:E2820,5,FALSE),"Not Found")</f>
        <v>Not Found</v>
      </c>
      <c r="J2329" s="2">
        <v>63</v>
      </c>
      <c r="K2329" s="2">
        <v>58</v>
      </c>
      <c r="L2329" s="2">
        <v>9</v>
      </c>
      <c r="M2329" s="7">
        <f t="shared" si="180"/>
        <v>522</v>
      </c>
      <c r="N2329" s="7">
        <f t="shared" si="181"/>
        <v>567</v>
      </c>
      <c r="O2329" s="2">
        <v>10</v>
      </c>
      <c r="P2329" s="8">
        <f t="shared" si="182"/>
        <v>577</v>
      </c>
      <c r="Q2329" s="8">
        <f t="shared" si="183"/>
        <v>509</v>
      </c>
      <c r="R2329" s="2" t="s">
        <v>28</v>
      </c>
      <c r="S2329" s="9">
        <f t="shared" si="184"/>
        <v>11.540000000000001</v>
      </c>
    </row>
    <row r="2330" spans="1:19" x14ac:dyDescent="0.3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str">
        <f>IFERROR(VLOOKUP('Customer Info'!A2322,'Customer Info'!A2322:C2821,2,FALSE),"Not Found")</f>
        <v>Not Found</v>
      </c>
      <c r="H2330" s="6" t="str">
        <f>IFERROR(VLOOKUP('Customer Info'!A2322,'Customer Info'!A2322:C2821,3,FALSE),"Not Found")</f>
        <v>Not Found</v>
      </c>
      <c r="I2330" s="6" t="str">
        <f>IFERROR(VLOOKUP('Customer Info'!A2322,'Customer Info'!A2322:E2821,5,FALSE),"Not Found")</f>
        <v>Not Found</v>
      </c>
      <c r="J2330" s="2">
        <v>1623</v>
      </c>
      <c r="K2330" s="2">
        <v>1546</v>
      </c>
      <c r="L2330" s="2">
        <v>3</v>
      </c>
      <c r="M2330" s="7">
        <f t="shared" si="180"/>
        <v>4638</v>
      </c>
      <c r="N2330" s="7">
        <f t="shared" si="181"/>
        <v>4869</v>
      </c>
      <c r="O2330" s="2">
        <v>48</v>
      </c>
      <c r="P2330" s="8">
        <f t="shared" si="182"/>
        <v>4917</v>
      </c>
      <c r="Q2330" s="8">
        <f t="shared" si="183"/>
        <v>3323</v>
      </c>
      <c r="R2330" s="2" t="s">
        <v>28</v>
      </c>
      <c r="S2330" s="9">
        <f t="shared" si="184"/>
        <v>98.34</v>
      </c>
    </row>
    <row r="2331" spans="1:19" x14ac:dyDescent="0.3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str">
        <f>IFERROR(VLOOKUP('Customer Info'!A2323,'Customer Info'!A2323:C2822,2,FALSE),"Not Found")</f>
        <v>Not Found</v>
      </c>
      <c r="H2331" s="6" t="str">
        <f>IFERROR(VLOOKUP('Customer Info'!A2323,'Customer Info'!A2323:C2822,3,FALSE),"Not Found")</f>
        <v>Not Found</v>
      </c>
      <c r="I2331" s="6" t="str">
        <f>IFERROR(VLOOKUP('Customer Info'!A2323,'Customer Info'!A2323:E2822,5,FALSE),"Not Found")</f>
        <v>Not Found</v>
      </c>
      <c r="J2331" s="2">
        <v>8379</v>
      </c>
      <c r="K2331" s="2">
        <v>8061</v>
      </c>
      <c r="L2331" s="2">
        <v>2</v>
      </c>
      <c r="M2331" s="7">
        <f t="shared" si="180"/>
        <v>16122</v>
      </c>
      <c r="N2331" s="7">
        <f t="shared" si="181"/>
        <v>16758</v>
      </c>
      <c r="O2331" s="2">
        <v>98</v>
      </c>
      <c r="P2331" s="8">
        <f t="shared" si="182"/>
        <v>16856</v>
      </c>
      <c r="Q2331" s="8">
        <f t="shared" si="183"/>
        <v>8697</v>
      </c>
      <c r="R2331" s="2" t="s">
        <v>50</v>
      </c>
      <c r="S2331" s="9">
        <f t="shared" si="184"/>
        <v>842.80000000000007</v>
      </c>
    </row>
    <row r="2332" spans="1:19" x14ac:dyDescent="0.3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str">
        <f>IFERROR(VLOOKUP('Customer Info'!A2324,'Customer Info'!A2324:C2823,2,FALSE),"Not Found")</f>
        <v>Not Found</v>
      </c>
      <c r="H2332" s="6" t="str">
        <f>IFERROR(VLOOKUP('Customer Info'!A2324,'Customer Info'!A2324:C2823,3,FALSE),"Not Found")</f>
        <v>Not Found</v>
      </c>
      <c r="I2332" s="6" t="str">
        <f>IFERROR(VLOOKUP('Customer Info'!A2324,'Customer Info'!A2324:E2823,5,FALSE),"Not Found")</f>
        <v>Not Found</v>
      </c>
      <c r="J2332" s="2">
        <v>1809</v>
      </c>
      <c r="K2332" s="2">
        <v>1691</v>
      </c>
      <c r="L2332" s="2">
        <v>1</v>
      </c>
      <c r="M2332" s="7">
        <f t="shared" si="180"/>
        <v>1691</v>
      </c>
      <c r="N2332" s="7">
        <f t="shared" si="181"/>
        <v>1809</v>
      </c>
      <c r="O2332" s="2">
        <v>32</v>
      </c>
      <c r="P2332" s="8">
        <f t="shared" si="182"/>
        <v>1841</v>
      </c>
      <c r="Q2332" s="8">
        <f t="shared" si="183"/>
        <v>118</v>
      </c>
      <c r="R2332" s="2" t="s">
        <v>28</v>
      </c>
      <c r="S2332" s="9">
        <f t="shared" si="184"/>
        <v>36.82</v>
      </c>
    </row>
    <row r="2333" spans="1:19" x14ac:dyDescent="0.3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str">
        <f>IFERROR(VLOOKUP('Customer Info'!A2325,'Customer Info'!A2325:C2824,2,FALSE),"Not Found")</f>
        <v>Not Found</v>
      </c>
      <c r="H2333" s="6" t="str">
        <f>IFERROR(VLOOKUP('Customer Info'!A2325,'Customer Info'!A2325:C2824,3,FALSE),"Not Found")</f>
        <v>Not Found</v>
      </c>
      <c r="I2333" s="6" t="str">
        <f>IFERROR(VLOOKUP('Customer Info'!A2325,'Customer Info'!A2325:E2824,5,FALSE),"Not Found")</f>
        <v>Not Found</v>
      </c>
      <c r="J2333" s="2">
        <v>511</v>
      </c>
      <c r="K2333" s="2">
        <v>468</v>
      </c>
      <c r="L2333" s="2">
        <v>3</v>
      </c>
      <c r="M2333" s="7">
        <f t="shared" si="180"/>
        <v>1404</v>
      </c>
      <c r="N2333" s="7">
        <f t="shared" si="181"/>
        <v>1533</v>
      </c>
      <c r="O2333" s="2">
        <v>88</v>
      </c>
      <c r="P2333" s="8">
        <f t="shared" si="182"/>
        <v>1621</v>
      </c>
      <c r="Q2333" s="8">
        <f t="shared" si="183"/>
        <v>1065</v>
      </c>
      <c r="R2333" s="2" t="s">
        <v>50</v>
      </c>
      <c r="S2333" s="9">
        <f t="shared" si="184"/>
        <v>32.42</v>
      </c>
    </row>
    <row r="2334" spans="1:19" x14ac:dyDescent="0.3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str">
        <f>IFERROR(VLOOKUP('Customer Info'!A2326,'Customer Info'!A2326:C2825,2,FALSE),"Not Found")</f>
        <v>Not Found</v>
      </c>
      <c r="H2334" s="6" t="str">
        <f>IFERROR(VLOOKUP('Customer Info'!A2326,'Customer Info'!A2326:C2825,3,FALSE),"Not Found")</f>
        <v>Not Found</v>
      </c>
      <c r="I2334" s="6" t="str">
        <f>IFERROR(VLOOKUP('Customer Info'!A2326,'Customer Info'!A2326:E2825,5,FALSE),"Not Found")</f>
        <v>Not Found</v>
      </c>
      <c r="J2334" s="2">
        <v>8619</v>
      </c>
      <c r="K2334" s="2">
        <v>7759</v>
      </c>
      <c r="L2334" s="2">
        <v>5</v>
      </c>
      <c r="M2334" s="7">
        <f t="shared" si="180"/>
        <v>38795</v>
      </c>
      <c r="N2334" s="7">
        <f t="shared" si="181"/>
        <v>43095</v>
      </c>
      <c r="O2334" s="2">
        <v>73</v>
      </c>
      <c r="P2334" s="8">
        <f t="shared" si="182"/>
        <v>43168</v>
      </c>
      <c r="Q2334" s="8">
        <f t="shared" si="183"/>
        <v>35336</v>
      </c>
      <c r="R2334" s="2" t="s">
        <v>50</v>
      </c>
      <c r="S2334" s="9">
        <f t="shared" si="184"/>
        <v>3021.76</v>
      </c>
    </row>
    <row r="2335" spans="1:19" x14ac:dyDescent="0.3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str">
        <f>IFERROR(VLOOKUP('Customer Info'!A2327,'Customer Info'!A2327:C2826,2,FALSE),"Not Found")</f>
        <v>Not Found</v>
      </c>
      <c r="H2335" s="6" t="str">
        <f>IFERROR(VLOOKUP('Customer Info'!A2327,'Customer Info'!A2327:C2826,3,FALSE),"Not Found")</f>
        <v>Not Found</v>
      </c>
      <c r="I2335" s="6" t="str">
        <f>IFERROR(VLOOKUP('Customer Info'!A2327,'Customer Info'!A2327:E2826,5,FALSE),"Not Found")</f>
        <v>Not Found</v>
      </c>
      <c r="J2335" s="2">
        <v>5836</v>
      </c>
      <c r="K2335" s="2">
        <v>5457</v>
      </c>
      <c r="L2335" s="2">
        <v>6</v>
      </c>
      <c r="M2335" s="7">
        <f t="shared" si="180"/>
        <v>32742</v>
      </c>
      <c r="N2335" s="7">
        <f t="shared" si="181"/>
        <v>35016</v>
      </c>
      <c r="O2335" s="2">
        <v>61</v>
      </c>
      <c r="P2335" s="8">
        <f t="shared" si="182"/>
        <v>35077</v>
      </c>
      <c r="Q2335" s="8">
        <f t="shared" si="183"/>
        <v>29559</v>
      </c>
      <c r="R2335" s="2" t="s">
        <v>28</v>
      </c>
      <c r="S2335" s="9">
        <f t="shared" si="184"/>
        <v>2455.3900000000003</v>
      </c>
    </row>
    <row r="2336" spans="1:19" x14ac:dyDescent="0.3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str">
        <f>IFERROR(VLOOKUP('Customer Info'!A2328,'Customer Info'!A2328:C2827,2,FALSE),"Not Found")</f>
        <v>Not Found</v>
      </c>
      <c r="H2336" s="6" t="str">
        <f>IFERROR(VLOOKUP('Customer Info'!A2328,'Customer Info'!A2328:C2827,3,FALSE),"Not Found")</f>
        <v>Not Found</v>
      </c>
      <c r="I2336" s="6" t="str">
        <f>IFERROR(VLOOKUP('Customer Info'!A2328,'Customer Info'!A2328:E2827,5,FALSE),"Not Found")</f>
        <v>Not Found</v>
      </c>
      <c r="J2336" s="2">
        <v>2706</v>
      </c>
      <c r="K2336" s="2">
        <v>2553</v>
      </c>
      <c r="L2336" s="2">
        <v>1</v>
      </c>
      <c r="M2336" s="7">
        <f t="shared" si="180"/>
        <v>2553</v>
      </c>
      <c r="N2336" s="7">
        <f t="shared" si="181"/>
        <v>2706</v>
      </c>
      <c r="O2336" s="2">
        <v>56</v>
      </c>
      <c r="P2336" s="8">
        <f t="shared" si="182"/>
        <v>2762</v>
      </c>
      <c r="Q2336" s="8">
        <f t="shared" si="183"/>
        <v>153</v>
      </c>
      <c r="R2336" s="2" t="s">
        <v>50</v>
      </c>
      <c r="S2336" s="9">
        <f t="shared" si="184"/>
        <v>55.24</v>
      </c>
    </row>
    <row r="2337" spans="1:19" x14ac:dyDescent="0.3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str">
        <f>IFERROR(VLOOKUP('Customer Info'!A2329,'Customer Info'!A2329:C2828,2,FALSE),"Not Found")</f>
        <v>Not Found</v>
      </c>
      <c r="H2337" s="6" t="str">
        <f>IFERROR(VLOOKUP('Customer Info'!A2329,'Customer Info'!A2329:C2828,3,FALSE),"Not Found")</f>
        <v>Not Found</v>
      </c>
      <c r="I2337" s="6" t="str">
        <f>IFERROR(VLOOKUP('Customer Info'!A2329,'Customer Info'!A2329:E2828,5,FALSE),"Not Found")</f>
        <v>Not Found</v>
      </c>
      <c r="J2337" s="2">
        <v>458</v>
      </c>
      <c r="K2337" s="2">
        <v>419</v>
      </c>
      <c r="L2337" s="2">
        <v>7</v>
      </c>
      <c r="M2337" s="7">
        <f t="shared" si="180"/>
        <v>2933</v>
      </c>
      <c r="N2337" s="7">
        <f t="shared" si="181"/>
        <v>3206</v>
      </c>
      <c r="O2337" s="2">
        <v>32</v>
      </c>
      <c r="P2337" s="8">
        <f t="shared" si="182"/>
        <v>3238</v>
      </c>
      <c r="Q2337" s="8">
        <f t="shared" si="183"/>
        <v>2787</v>
      </c>
      <c r="R2337" s="2" t="s">
        <v>28</v>
      </c>
      <c r="S2337" s="9">
        <f t="shared" si="184"/>
        <v>64.760000000000005</v>
      </c>
    </row>
    <row r="2338" spans="1:19" x14ac:dyDescent="0.3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str">
        <f>IFERROR(VLOOKUP('Customer Info'!A2330,'Customer Info'!A2330:C2829,2,FALSE),"Not Found")</f>
        <v>Not Found</v>
      </c>
      <c r="H2338" s="6" t="str">
        <f>IFERROR(VLOOKUP('Customer Info'!A2330,'Customer Info'!A2330:C2829,3,FALSE),"Not Found")</f>
        <v>Not Found</v>
      </c>
      <c r="I2338" s="6" t="str">
        <f>IFERROR(VLOOKUP('Customer Info'!A2330,'Customer Info'!A2330:E2829,5,FALSE),"Not Found")</f>
        <v>Not Found</v>
      </c>
      <c r="J2338" s="2">
        <v>8619</v>
      </c>
      <c r="K2338" s="2">
        <v>7759</v>
      </c>
      <c r="L2338" s="2">
        <v>3</v>
      </c>
      <c r="M2338" s="7">
        <f t="shared" si="180"/>
        <v>23277</v>
      </c>
      <c r="N2338" s="7">
        <f t="shared" si="181"/>
        <v>25857</v>
      </c>
      <c r="O2338" s="2">
        <v>60</v>
      </c>
      <c r="P2338" s="8">
        <f t="shared" si="182"/>
        <v>25917</v>
      </c>
      <c r="Q2338" s="8">
        <f t="shared" si="183"/>
        <v>18098</v>
      </c>
      <c r="R2338" s="2" t="s">
        <v>28</v>
      </c>
      <c r="S2338" s="9">
        <f t="shared" si="184"/>
        <v>1814.1900000000003</v>
      </c>
    </row>
    <row r="2339" spans="1:19" x14ac:dyDescent="0.3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str">
        <f>IFERROR(VLOOKUP('Customer Info'!A2331,'Customer Info'!A2331:C2830,2,FALSE),"Not Found")</f>
        <v>Not Found</v>
      </c>
      <c r="H2339" s="6" t="str">
        <f>IFERROR(VLOOKUP('Customer Info'!A2331,'Customer Info'!A2331:C2830,3,FALSE),"Not Found")</f>
        <v>Not Found</v>
      </c>
      <c r="I2339" s="6" t="str">
        <f>IFERROR(VLOOKUP('Customer Info'!A2331,'Customer Info'!A2331:E2830,5,FALSE),"Not Found")</f>
        <v>Not Found</v>
      </c>
      <c r="J2339" s="2">
        <v>143</v>
      </c>
      <c r="K2339" s="2">
        <v>137</v>
      </c>
      <c r="L2339" s="2">
        <v>7</v>
      </c>
      <c r="M2339" s="7">
        <f t="shared" si="180"/>
        <v>959</v>
      </c>
      <c r="N2339" s="7">
        <f t="shared" si="181"/>
        <v>1001</v>
      </c>
      <c r="O2339" s="2">
        <v>30</v>
      </c>
      <c r="P2339" s="8">
        <f t="shared" si="182"/>
        <v>1031</v>
      </c>
      <c r="Q2339" s="8">
        <f t="shared" si="183"/>
        <v>864</v>
      </c>
      <c r="R2339" s="2" t="s">
        <v>28</v>
      </c>
      <c r="S2339" s="9">
        <f t="shared" si="184"/>
        <v>20.62</v>
      </c>
    </row>
    <row r="2340" spans="1:19" x14ac:dyDescent="0.3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str">
        <f>IFERROR(VLOOKUP('Customer Info'!A2332,'Customer Info'!A2332:C2831,2,FALSE),"Not Found")</f>
        <v>Not Found</v>
      </c>
      <c r="H2340" s="6" t="str">
        <f>IFERROR(VLOOKUP('Customer Info'!A2332,'Customer Info'!A2332:C2831,3,FALSE),"Not Found")</f>
        <v>Not Found</v>
      </c>
      <c r="I2340" s="6" t="str">
        <f>IFERROR(VLOOKUP('Customer Info'!A2332,'Customer Info'!A2332:E2831,5,FALSE),"Not Found")</f>
        <v>Not Found</v>
      </c>
      <c r="J2340" s="2">
        <v>5848</v>
      </c>
      <c r="K2340" s="2">
        <v>5214</v>
      </c>
      <c r="L2340" s="2">
        <v>1</v>
      </c>
      <c r="M2340" s="7">
        <f t="shared" si="180"/>
        <v>5214</v>
      </c>
      <c r="N2340" s="7">
        <f t="shared" si="181"/>
        <v>5848</v>
      </c>
      <c r="O2340" s="2">
        <v>61</v>
      </c>
      <c r="P2340" s="8">
        <f t="shared" si="182"/>
        <v>5909</v>
      </c>
      <c r="Q2340" s="8">
        <f t="shared" si="183"/>
        <v>634</v>
      </c>
      <c r="R2340" s="2" t="s">
        <v>28</v>
      </c>
      <c r="S2340" s="9">
        <f t="shared" si="184"/>
        <v>295.45</v>
      </c>
    </row>
    <row r="2341" spans="1:19" x14ac:dyDescent="0.3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str">
        <f>IFERROR(VLOOKUP('Customer Info'!A2333,'Customer Info'!A2333:C2832,2,FALSE),"Not Found")</f>
        <v>Not Found</v>
      </c>
      <c r="H2341" s="6" t="str">
        <f>IFERROR(VLOOKUP('Customer Info'!A2333,'Customer Info'!A2333:C2832,3,FALSE),"Not Found")</f>
        <v>Not Found</v>
      </c>
      <c r="I2341" s="6" t="str">
        <f>IFERROR(VLOOKUP('Customer Info'!A2333,'Customer Info'!A2333:E2832,5,FALSE),"Not Found")</f>
        <v>Not Found</v>
      </c>
      <c r="J2341" s="2">
        <v>1798</v>
      </c>
      <c r="K2341" s="2">
        <v>1650</v>
      </c>
      <c r="L2341" s="2">
        <v>5</v>
      </c>
      <c r="M2341" s="7">
        <f t="shared" si="180"/>
        <v>8250</v>
      </c>
      <c r="N2341" s="7">
        <f t="shared" si="181"/>
        <v>8990</v>
      </c>
      <c r="O2341" s="2">
        <v>24</v>
      </c>
      <c r="P2341" s="8">
        <f t="shared" si="182"/>
        <v>9014</v>
      </c>
      <c r="Q2341" s="8">
        <f t="shared" si="183"/>
        <v>7340</v>
      </c>
      <c r="R2341" s="2" t="s">
        <v>26</v>
      </c>
      <c r="S2341" s="9">
        <f t="shared" si="184"/>
        <v>450.70000000000005</v>
      </c>
    </row>
    <row r="2342" spans="1:19" x14ac:dyDescent="0.3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str">
        <f>IFERROR(VLOOKUP('Customer Info'!A2334,'Customer Info'!A2334:C2833,2,FALSE),"Not Found")</f>
        <v>Not Found</v>
      </c>
      <c r="H2342" s="6" t="str">
        <f>IFERROR(VLOOKUP('Customer Info'!A2334,'Customer Info'!A2334:C2833,3,FALSE),"Not Found")</f>
        <v>Not Found</v>
      </c>
      <c r="I2342" s="6" t="str">
        <f>IFERROR(VLOOKUP('Customer Info'!A2334,'Customer Info'!A2334:E2833,5,FALSE),"Not Found")</f>
        <v>Not Found</v>
      </c>
      <c r="J2342" s="2">
        <v>194</v>
      </c>
      <c r="K2342" s="2">
        <v>176</v>
      </c>
      <c r="L2342" s="2">
        <v>2</v>
      </c>
      <c r="M2342" s="7">
        <f t="shared" si="180"/>
        <v>352</v>
      </c>
      <c r="N2342" s="7">
        <f t="shared" si="181"/>
        <v>388</v>
      </c>
      <c r="O2342" s="2">
        <v>30</v>
      </c>
      <c r="P2342" s="8">
        <f t="shared" si="182"/>
        <v>418</v>
      </c>
      <c r="Q2342" s="8">
        <f t="shared" si="183"/>
        <v>212</v>
      </c>
      <c r="R2342" s="2" t="s">
        <v>50</v>
      </c>
      <c r="S2342" s="9">
        <f t="shared" si="184"/>
        <v>8.36</v>
      </c>
    </row>
    <row r="2343" spans="1:19" x14ac:dyDescent="0.3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str">
        <f>IFERROR(VLOOKUP('Customer Info'!A2335,'Customer Info'!A2335:C2834,2,FALSE),"Not Found")</f>
        <v>Not Found</v>
      </c>
      <c r="H2343" s="6" t="str">
        <f>IFERROR(VLOOKUP('Customer Info'!A2335,'Customer Info'!A2335:C2834,3,FALSE),"Not Found")</f>
        <v>Not Found</v>
      </c>
      <c r="I2343" s="6" t="str">
        <f>IFERROR(VLOOKUP('Customer Info'!A2335,'Customer Info'!A2335:E2834,5,FALSE),"Not Found")</f>
        <v>Not Found</v>
      </c>
      <c r="J2343" s="2">
        <v>77</v>
      </c>
      <c r="K2343" s="2">
        <v>73</v>
      </c>
      <c r="L2343" s="2">
        <v>4</v>
      </c>
      <c r="M2343" s="7">
        <f t="shared" si="180"/>
        <v>292</v>
      </c>
      <c r="N2343" s="7">
        <f t="shared" si="181"/>
        <v>308</v>
      </c>
      <c r="O2343" s="2">
        <v>10</v>
      </c>
      <c r="P2343" s="8">
        <f t="shared" si="182"/>
        <v>318</v>
      </c>
      <c r="Q2343" s="8">
        <f t="shared" si="183"/>
        <v>235</v>
      </c>
      <c r="R2343" s="2" t="s">
        <v>28</v>
      </c>
      <c r="S2343" s="9">
        <f t="shared" si="184"/>
        <v>6.36</v>
      </c>
    </row>
    <row r="2344" spans="1:19" x14ac:dyDescent="0.3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str">
        <f>IFERROR(VLOOKUP('Customer Info'!A2336,'Customer Info'!A2336:C2835,2,FALSE),"Not Found")</f>
        <v>Not Found</v>
      </c>
      <c r="H2344" s="6" t="str">
        <f>IFERROR(VLOOKUP('Customer Info'!A2336,'Customer Info'!A2336:C2835,3,FALSE),"Not Found")</f>
        <v>Not Found</v>
      </c>
      <c r="I2344" s="6" t="str">
        <f>IFERROR(VLOOKUP('Customer Info'!A2336,'Customer Info'!A2336:E2835,5,FALSE),"Not Found")</f>
        <v>Not Found</v>
      </c>
      <c r="J2344" s="2">
        <v>400</v>
      </c>
      <c r="K2344" s="2">
        <v>360</v>
      </c>
      <c r="L2344" s="2">
        <v>14</v>
      </c>
      <c r="M2344" s="7">
        <f t="shared" si="180"/>
        <v>5040</v>
      </c>
      <c r="N2344" s="7">
        <f t="shared" si="181"/>
        <v>5600</v>
      </c>
      <c r="O2344" s="2">
        <v>51</v>
      </c>
      <c r="P2344" s="8">
        <f t="shared" si="182"/>
        <v>5651</v>
      </c>
      <c r="Q2344" s="8">
        <f t="shared" si="183"/>
        <v>5240</v>
      </c>
      <c r="R2344" s="2" t="s">
        <v>28</v>
      </c>
      <c r="S2344" s="9">
        <f t="shared" si="184"/>
        <v>282.55</v>
      </c>
    </row>
    <row r="2345" spans="1:19" x14ac:dyDescent="0.3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str">
        <f>IFERROR(VLOOKUP('Customer Info'!A2337,'Customer Info'!A2337:C2836,2,FALSE),"Not Found")</f>
        <v>Not Found</v>
      </c>
      <c r="H2345" s="6" t="str">
        <f>IFERROR(VLOOKUP('Customer Info'!A2337,'Customer Info'!A2337:C2836,3,FALSE),"Not Found")</f>
        <v>Not Found</v>
      </c>
      <c r="I2345" s="6" t="str">
        <f>IFERROR(VLOOKUP('Customer Info'!A2337,'Customer Info'!A2337:E2836,5,FALSE),"Not Found")</f>
        <v>Not Found</v>
      </c>
      <c r="J2345" s="2">
        <v>8351</v>
      </c>
      <c r="K2345" s="2">
        <v>8033</v>
      </c>
      <c r="L2345" s="2">
        <v>13</v>
      </c>
      <c r="M2345" s="7">
        <f t="shared" si="180"/>
        <v>104429</v>
      </c>
      <c r="N2345" s="7">
        <f t="shared" si="181"/>
        <v>108563</v>
      </c>
      <c r="O2345" s="2">
        <v>29</v>
      </c>
      <c r="P2345" s="8">
        <f t="shared" si="182"/>
        <v>108592</v>
      </c>
      <c r="Q2345" s="8">
        <f t="shared" si="183"/>
        <v>100530</v>
      </c>
      <c r="R2345" s="2" t="s">
        <v>50</v>
      </c>
      <c r="S2345" s="9">
        <f t="shared" si="184"/>
        <v>13031.039999999999</v>
      </c>
    </row>
    <row r="2346" spans="1:19" x14ac:dyDescent="0.3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str">
        <f>IFERROR(VLOOKUP('Customer Info'!A2338,'Customer Info'!A2338:C2837,2,FALSE),"Not Found")</f>
        <v>Not Found</v>
      </c>
      <c r="H2346" s="6" t="str">
        <f>IFERROR(VLOOKUP('Customer Info'!A2338,'Customer Info'!A2338:C2837,3,FALSE),"Not Found")</f>
        <v>Not Found</v>
      </c>
      <c r="I2346" s="6" t="str">
        <f>IFERROR(VLOOKUP('Customer Info'!A2338,'Customer Info'!A2338:E2837,5,FALSE),"Not Found")</f>
        <v>Not Found</v>
      </c>
      <c r="J2346" s="2">
        <v>2759</v>
      </c>
      <c r="K2346" s="2">
        <v>2628</v>
      </c>
      <c r="L2346" s="2">
        <v>11</v>
      </c>
      <c r="M2346" s="7">
        <f t="shared" si="180"/>
        <v>28908</v>
      </c>
      <c r="N2346" s="7">
        <f t="shared" si="181"/>
        <v>30349</v>
      </c>
      <c r="O2346" s="2">
        <v>95</v>
      </c>
      <c r="P2346" s="8">
        <f t="shared" si="182"/>
        <v>30444</v>
      </c>
      <c r="Q2346" s="8">
        <f t="shared" si="183"/>
        <v>27721</v>
      </c>
      <c r="R2346" s="2" t="s">
        <v>28</v>
      </c>
      <c r="S2346" s="9">
        <f t="shared" si="184"/>
        <v>2131.0800000000004</v>
      </c>
    </row>
    <row r="2347" spans="1:19" x14ac:dyDescent="0.3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str">
        <f>IFERROR(VLOOKUP('Customer Info'!A2339,'Customer Info'!A2339:C2838,2,FALSE),"Not Found")</f>
        <v>Not Found</v>
      </c>
      <c r="H2347" s="6" t="str">
        <f>IFERROR(VLOOKUP('Customer Info'!A2339,'Customer Info'!A2339:C2838,3,FALSE),"Not Found")</f>
        <v>Not Found</v>
      </c>
      <c r="I2347" s="6" t="str">
        <f>IFERROR(VLOOKUP('Customer Info'!A2339,'Customer Info'!A2339:E2838,5,FALSE),"Not Found")</f>
        <v>Not Found</v>
      </c>
      <c r="J2347" s="2">
        <v>2365</v>
      </c>
      <c r="K2347" s="2">
        <v>2232</v>
      </c>
      <c r="L2347" s="2">
        <v>2</v>
      </c>
      <c r="M2347" s="7">
        <f t="shared" si="180"/>
        <v>4464</v>
      </c>
      <c r="N2347" s="7">
        <f t="shared" si="181"/>
        <v>4730</v>
      </c>
      <c r="O2347" s="2">
        <v>50</v>
      </c>
      <c r="P2347" s="8">
        <f t="shared" si="182"/>
        <v>4780</v>
      </c>
      <c r="Q2347" s="8">
        <f t="shared" si="183"/>
        <v>2498</v>
      </c>
      <c r="R2347" s="2" t="s">
        <v>26</v>
      </c>
      <c r="S2347" s="9">
        <f t="shared" si="184"/>
        <v>95.600000000000009</v>
      </c>
    </row>
    <row r="2348" spans="1:19" x14ac:dyDescent="0.3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str">
        <f>IFERROR(VLOOKUP('Customer Info'!A2340,'Customer Info'!A2340:C2839,2,FALSE),"Not Found")</f>
        <v>Not Found</v>
      </c>
      <c r="H2348" s="6" t="str">
        <f>IFERROR(VLOOKUP('Customer Info'!A2340,'Customer Info'!A2340:C2839,3,FALSE),"Not Found")</f>
        <v>Not Found</v>
      </c>
      <c r="I2348" s="6" t="str">
        <f>IFERROR(VLOOKUP('Customer Info'!A2340,'Customer Info'!A2340:E2839,5,FALSE),"Not Found")</f>
        <v>Not Found</v>
      </c>
      <c r="J2348" s="2">
        <v>63</v>
      </c>
      <c r="K2348" s="2">
        <v>58</v>
      </c>
      <c r="L2348" s="2">
        <v>9</v>
      </c>
      <c r="M2348" s="7">
        <f t="shared" si="180"/>
        <v>522</v>
      </c>
      <c r="N2348" s="7">
        <f t="shared" si="181"/>
        <v>567</v>
      </c>
      <c r="O2348" s="2">
        <v>10</v>
      </c>
      <c r="P2348" s="8">
        <f t="shared" si="182"/>
        <v>577</v>
      </c>
      <c r="Q2348" s="8">
        <f t="shared" si="183"/>
        <v>509</v>
      </c>
      <c r="R2348" s="2" t="s">
        <v>28</v>
      </c>
      <c r="S2348" s="9">
        <f t="shared" si="184"/>
        <v>11.540000000000001</v>
      </c>
    </row>
    <row r="2349" spans="1:19" x14ac:dyDescent="0.3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str">
        <f>IFERROR(VLOOKUP('Customer Info'!A2341,'Customer Info'!A2341:C2840,2,FALSE),"Not Found")</f>
        <v>Not Found</v>
      </c>
      <c r="H2349" s="6" t="str">
        <f>IFERROR(VLOOKUP('Customer Info'!A2341,'Customer Info'!A2341:C2840,3,FALSE),"Not Found")</f>
        <v>Not Found</v>
      </c>
      <c r="I2349" s="6" t="str">
        <f>IFERROR(VLOOKUP('Customer Info'!A2341,'Customer Info'!A2341:E2840,5,FALSE),"Not Found")</f>
        <v>Not Found</v>
      </c>
      <c r="J2349" s="2">
        <v>1704</v>
      </c>
      <c r="K2349" s="2">
        <v>1624</v>
      </c>
      <c r="L2349" s="2">
        <v>1</v>
      </c>
      <c r="M2349" s="7">
        <f t="shared" si="180"/>
        <v>1624</v>
      </c>
      <c r="N2349" s="7">
        <f t="shared" si="181"/>
        <v>1704</v>
      </c>
      <c r="O2349" s="2">
        <v>60</v>
      </c>
      <c r="P2349" s="8">
        <f t="shared" si="182"/>
        <v>1764</v>
      </c>
      <c r="Q2349" s="8">
        <f t="shared" si="183"/>
        <v>80</v>
      </c>
      <c r="R2349" s="2" t="s">
        <v>26</v>
      </c>
      <c r="S2349" s="9">
        <f t="shared" si="184"/>
        <v>35.28</v>
      </c>
    </row>
    <row r="2350" spans="1:19" x14ac:dyDescent="0.3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str">
        <f>IFERROR(VLOOKUP('Customer Info'!A2342,'Customer Info'!A2342:C2841,2,FALSE),"Not Found")</f>
        <v>Not Found</v>
      </c>
      <c r="H2350" s="6" t="str">
        <f>IFERROR(VLOOKUP('Customer Info'!A2342,'Customer Info'!A2342:C2841,3,FALSE),"Not Found")</f>
        <v>Not Found</v>
      </c>
      <c r="I2350" s="6" t="str">
        <f>IFERROR(VLOOKUP('Customer Info'!A2342,'Customer Info'!A2342:E2841,5,FALSE),"Not Found")</f>
        <v>Not Found</v>
      </c>
      <c r="J2350" s="2">
        <v>170</v>
      </c>
      <c r="K2350" s="2">
        <v>160</v>
      </c>
      <c r="L2350" s="2">
        <v>4</v>
      </c>
      <c r="M2350" s="7">
        <f t="shared" si="180"/>
        <v>640</v>
      </c>
      <c r="N2350" s="7">
        <f t="shared" si="181"/>
        <v>680</v>
      </c>
      <c r="O2350" s="2">
        <v>30</v>
      </c>
      <c r="P2350" s="8">
        <f t="shared" si="182"/>
        <v>710</v>
      </c>
      <c r="Q2350" s="8">
        <f t="shared" si="183"/>
        <v>520</v>
      </c>
      <c r="R2350" s="2" t="s">
        <v>50</v>
      </c>
      <c r="S2350" s="9">
        <f t="shared" si="184"/>
        <v>14.200000000000001</v>
      </c>
    </row>
    <row r="2351" spans="1:19" x14ac:dyDescent="0.3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str">
        <f>IFERROR(VLOOKUP('Customer Info'!A2343,'Customer Info'!A2343:C2842,2,FALSE),"Not Found")</f>
        <v>Not Found</v>
      </c>
      <c r="H2351" s="6" t="str">
        <f>IFERROR(VLOOKUP('Customer Info'!A2343,'Customer Info'!A2343:C2842,3,FALSE),"Not Found")</f>
        <v>Not Found</v>
      </c>
      <c r="I2351" s="6" t="str">
        <f>IFERROR(VLOOKUP('Customer Info'!A2343,'Customer Info'!A2343:E2842,5,FALSE),"Not Found")</f>
        <v>Not Found</v>
      </c>
      <c r="J2351" s="2">
        <v>3224</v>
      </c>
      <c r="K2351" s="2">
        <v>2984</v>
      </c>
      <c r="L2351" s="2">
        <v>1</v>
      </c>
      <c r="M2351" s="7">
        <f t="shared" si="180"/>
        <v>2984</v>
      </c>
      <c r="N2351" s="7">
        <f t="shared" si="181"/>
        <v>3224</v>
      </c>
      <c r="O2351" s="2">
        <v>38</v>
      </c>
      <c r="P2351" s="8">
        <f t="shared" si="182"/>
        <v>3262</v>
      </c>
      <c r="Q2351" s="8">
        <f t="shared" si="183"/>
        <v>240</v>
      </c>
      <c r="R2351" s="2" t="s">
        <v>26</v>
      </c>
      <c r="S2351" s="9">
        <f t="shared" si="184"/>
        <v>65.239999999999995</v>
      </c>
    </row>
    <row r="2352" spans="1:19" x14ac:dyDescent="0.3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str">
        <f>IFERROR(VLOOKUP('Customer Info'!A2344,'Customer Info'!A2344:C2843,2,FALSE),"Not Found")</f>
        <v>Not Found</v>
      </c>
      <c r="H2352" s="6" t="str">
        <f>IFERROR(VLOOKUP('Customer Info'!A2344,'Customer Info'!A2344:C2843,3,FALSE),"Not Found")</f>
        <v>Not Found</v>
      </c>
      <c r="I2352" s="6" t="str">
        <f>IFERROR(VLOOKUP('Customer Info'!A2344,'Customer Info'!A2344:E2843,5,FALSE),"Not Found")</f>
        <v>Not Found</v>
      </c>
      <c r="J2352" s="2">
        <v>220</v>
      </c>
      <c r="K2352" s="2">
        <v>206</v>
      </c>
      <c r="L2352" s="2">
        <v>4</v>
      </c>
      <c r="M2352" s="7">
        <f t="shared" si="180"/>
        <v>824</v>
      </c>
      <c r="N2352" s="7">
        <f t="shared" si="181"/>
        <v>880</v>
      </c>
      <c r="O2352" s="2">
        <v>74</v>
      </c>
      <c r="P2352" s="8">
        <f t="shared" si="182"/>
        <v>954</v>
      </c>
      <c r="Q2352" s="8">
        <f t="shared" si="183"/>
        <v>674</v>
      </c>
      <c r="R2352" s="2" t="s">
        <v>28</v>
      </c>
      <c r="S2352" s="9">
        <f t="shared" si="184"/>
        <v>19.080000000000002</v>
      </c>
    </row>
    <row r="2353" spans="1:19" x14ac:dyDescent="0.3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str">
        <f>IFERROR(VLOOKUP('Customer Info'!A2345,'Customer Info'!A2345:C2844,2,FALSE),"Not Found")</f>
        <v>Not Found</v>
      </c>
      <c r="H2353" s="6" t="str">
        <f>IFERROR(VLOOKUP('Customer Info'!A2345,'Customer Info'!A2345:C2844,3,FALSE),"Not Found")</f>
        <v>Not Found</v>
      </c>
      <c r="I2353" s="6" t="str">
        <f>IFERROR(VLOOKUP('Customer Info'!A2345,'Customer Info'!A2345:E2844,5,FALSE),"Not Found")</f>
        <v>Not Found</v>
      </c>
      <c r="J2353" s="2">
        <v>3289</v>
      </c>
      <c r="K2353" s="2">
        <v>3105</v>
      </c>
      <c r="L2353" s="2">
        <v>2</v>
      </c>
      <c r="M2353" s="7">
        <f t="shared" si="180"/>
        <v>6210</v>
      </c>
      <c r="N2353" s="7">
        <f t="shared" si="181"/>
        <v>6578</v>
      </c>
      <c r="O2353" s="2">
        <v>71</v>
      </c>
      <c r="P2353" s="8">
        <f t="shared" si="182"/>
        <v>6649</v>
      </c>
      <c r="Q2353" s="8">
        <f t="shared" si="183"/>
        <v>3473</v>
      </c>
      <c r="R2353" s="2" t="s">
        <v>28</v>
      </c>
      <c r="S2353" s="9">
        <f t="shared" si="184"/>
        <v>332.45000000000005</v>
      </c>
    </row>
    <row r="2354" spans="1:19" x14ac:dyDescent="0.3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str">
        <f>IFERROR(VLOOKUP('Customer Info'!A2346,'Customer Info'!A2346:C2845,2,FALSE),"Not Found")</f>
        <v>Not Found</v>
      </c>
      <c r="H2354" s="6" t="str">
        <f>IFERROR(VLOOKUP('Customer Info'!A2346,'Customer Info'!A2346:C2845,3,FALSE),"Not Found")</f>
        <v>Not Found</v>
      </c>
      <c r="I2354" s="6" t="str">
        <f>IFERROR(VLOOKUP('Customer Info'!A2346,'Customer Info'!A2346:E2845,5,FALSE),"Not Found")</f>
        <v>Not Found</v>
      </c>
      <c r="J2354" s="2">
        <v>6701</v>
      </c>
      <c r="K2354" s="2">
        <v>6384</v>
      </c>
      <c r="L2354" s="2">
        <v>2</v>
      </c>
      <c r="M2354" s="7">
        <f t="shared" si="180"/>
        <v>12768</v>
      </c>
      <c r="N2354" s="7">
        <f t="shared" si="181"/>
        <v>13402</v>
      </c>
      <c r="O2354" s="2">
        <v>67</v>
      </c>
      <c r="P2354" s="8">
        <f t="shared" si="182"/>
        <v>13469</v>
      </c>
      <c r="Q2354" s="8">
        <f t="shared" si="183"/>
        <v>7018</v>
      </c>
      <c r="R2354" s="2" t="s">
        <v>28</v>
      </c>
      <c r="S2354" s="9">
        <f t="shared" si="184"/>
        <v>673.45</v>
      </c>
    </row>
    <row r="2355" spans="1:19" x14ac:dyDescent="0.3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str">
        <f>IFERROR(VLOOKUP('Customer Info'!A2347,'Customer Info'!A2347:C2846,2,FALSE),"Not Found")</f>
        <v>Not Found</v>
      </c>
      <c r="H2355" s="6" t="str">
        <f>IFERROR(VLOOKUP('Customer Info'!A2347,'Customer Info'!A2347:C2846,3,FALSE),"Not Found")</f>
        <v>Not Found</v>
      </c>
      <c r="I2355" s="6" t="str">
        <f>IFERROR(VLOOKUP('Customer Info'!A2347,'Customer Info'!A2347:E2846,5,FALSE),"Not Found")</f>
        <v>Not Found</v>
      </c>
      <c r="J2355" s="2">
        <v>2310</v>
      </c>
      <c r="K2355" s="2">
        <v>2040</v>
      </c>
      <c r="L2355" s="2">
        <v>3</v>
      </c>
      <c r="M2355" s="7">
        <f t="shared" si="180"/>
        <v>6120</v>
      </c>
      <c r="N2355" s="7">
        <f t="shared" si="181"/>
        <v>6930</v>
      </c>
      <c r="O2355" s="2">
        <v>39</v>
      </c>
      <c r="P2355" s="8">
        <f t="shared" si="182"/>
        <v>6969</v>
      </c>
      <c r="Q2355" s="8">
        <f t="shared" si="183"/>
        <v>4890</v>
      </c>
      <c r="R2355" s="2" t="s">
        <v>28</v>
      </c>
      <c r="S2355" s="9">
        <f t="shared" si="184"/>
        <v>348.45000000000005</v>
      </c>
    </row>
    <row r="2356" spans="1:19" x14ac:dyDescent="0.3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str">
        <f>IFERROR(VLOOKUP('Customer Info'!A2348,'Customer Info'!A2348:C2847,2,FALSE),"Not Found")</f>
        <v>Not Found</v>
      </c>
      <c r="H2356" s="6" t="str">
        <f>IFERROR(VLOOKUP('Customer Info'!A2348,'Customer Info'!A2348:C2847,3,FALSE),"Not Found")</f>
        <v>Not Found</v>
      </c>
      <c r="I2356" s="6" t="str">
        <f>IFERROR(VLOOKUP('Customer Info'!A2348,'Customer Info'!A2348:E2847,5,FALSE),"Not Found")</f>
        <v>Not Found</v>
      </c>
      <c r="J2356" s="2">
        <v>169</v>
      </c>
      <c r="K2356" s="2">
        <v>154</v>
      </c>
      <c r="L2356" s="2">
        <v>4</v>
      </c>
      <c r="M2356" s="7">
        <f t="shared" si="180"/>
        <v>616</v>
      </c>
      <c r="N2356" s="7">
        <f t="shared" si="181"/>
        <v>676</v>
      </c>
      <c r="O2356" s="2">
        <v>30</v>
      </c>
      <c r="P2356" s="8">
        <f t="shared" si="182"/>
        <v>706</v>
      </c>
      <c r="Q2356" s="8">
        <f t="shared" si="183"/>
        <v>522</v>
      </c>
      <c r="R2356" s="2" t="s">
        <v>28</v>
      </c>
      <c r="S2356" s="9">
        <f t="shared" si="184"/>
        <v>14.120000000000001</v>
      </c>
    </row>
    <row r="2357" spans="1:19" x14ac:dyDescent="0.3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str">
        <f>IFERROR(VLOOKUP('Customer Info'!A2349,'Customer Info'!A2349:C2848,2,FALSE),"Not Found")</f>
        <v>Not Found</v>
      </c>
      <c r="H2357" s="6" t="str">
        <f>IFERROR(VLOOKUP('Customer Info'!A2349,'Customer Info'!A2349:C2848,3,FALSE),"Not Found")</f>
        <v>Not Found</v>
      </c>
      <c r="I2357" s="6" t="str">
        <f>IFERROR(VLOOKUP('Customer Info'!A2349,'Customer Info'!A2349:E2848,5,FALSE),"Not Found")</f>
        <v>Not Found</v>
      </c>
      <c r="J2357" s="2">
        <v>1809</v>
      </c>
      <c r="K2357" s="2">
        <v>1691</v>
      </c>
      <c r="L2357" s="2">
        <v>5</v>
      </c>
      <c r="M2357" s="7">
        <f t="shared" si="180"/>
        <v>8455</v>
      </c>
      <c r="N2357" s="7">
        <f t="shared" si="181"/>
        <v>9045</v>
      </c>
      <c r="O2357" s="2">
        <v>25</v>
      </c>
      <c r="P2357" s="8">
        <f t="shared" si="182"/>
        <v>9070</v>
      </c>
      <c r="Q2357" s="8">
        <f t="shared" si="183"/>
        <v>7354</v>
      </c>
      <c r="R2357" s="2" t="s">
        <v>28</v>
      </c>
      <c r="S2357" s="9">
        <f t="shared" si="184"/>
        <v>453.5</v>
      </c>
    </row>
    <row r="2358" spans="1:19" x14ac:dyDescent="0.3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str">
        <f>IFERROR(VLOOKUP('Customer Info'!A2350,'Customer Info'!A2350:C2849,2,FALSE),"Not Found")</f>
        <v>Not Found</v>
      </c>
      <c r="H2358" s="6" t="str">
        <f>IFERROR(VLOOKUP('Customer Info'!A2350,'Customer Info'!A2350:C2849,3,FALSE),"Not Found")</f>
        <v>Not Found</v>
      </c>
      <c r="I2358" s="6" t="str">
        <f>IFERROR(VLOOKUP('Customer Info'!A2350,'Customer Info'!A2350:E2849,5,FALSE),"Not Found")</f>
        <v>Not Found</v>
      </c>
      <c r="J2358" s="2">
        <v>1574</v>
      </c>
      <c r="K2358" s="2">
        <v>1458</v>
      </c>
      <c r="L2358" s="2">
        <v>3</v>
      </c>
      <c r="M2358" s="7">
        <f t="shared" si="180"/>
        <v>4374</v>
      </c>
      <c r="N2358" s="7">
        <f t="shared" si="181"/>
        <v>4722</v>
      </c>
      <c r="O2358" s="2">
        <v>36</v>
      </c>
      <c r="P2358" s="8">
        <f t="shared" si="182"/>
        <v>4758</v>
      </c>
      <c r="Q2358" s="8">
        <f t="shared" si="183"/>
        <v>3264</v>
      </c>
      <c r="R2358" s="2" t="s">
        <v>28</v>
      </c>
      <c r="S2358" s="9">
        <f t="shared" si="184"/>
        <v>95.16</v>
      </c>
    </row>
    <row r="2359" spans="1:19" x14ac:dyDescent="0.3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str">
        <f>IFERROR(VLOOKUP('Customer Info'!A2351,'Customer Info'!A2351:C2850,2,FALSE),"Not Found")</f>
        <v>Not Found</v>
      </c>
      <c r="H2359" s="6" t="str">
        <f>IFERROR(VLOOKUP('Customer Info'!A2351,'Customer Info'!A2351:C2850,3,FALSE),"Not Found")</f>
        <v>Not Found</v>
      </c>
      <c r="I2359" s="6" t="str">
        <f>IFERROR(VLOOKUP('Customer Info'!A2351,'Customer Info'!A2351:E2850,5,FALSE),"Not Found")</f>
        <v>Not Found</v>
      </c>
      <c r="J2359" s="2">
        <v>183</v>
      </c>
      <c r="K2359" s="2">
        <v>168</v>
      </c>
      <c r="L2359" s="2">
        <v>1</v>
      </c>
      <c r="M2359" s="7">
        <f t="shared" si="180"/>
        <v>168</v>
      </c>
      <c r="N2359" s="7">
        <f t="shared" si="181"/>
        <v>183</v>
      </c>
      <c r="O2359" s="2">
        <v>30</v>
      </c>
      <c r="P2359" s="8">
        <f t="shared" si="182"/>
        <v>213</v>
      </c>
      <c r="Q2359" s="8">
        <f t="shared" si="183"/>
        <v>15</v>
      </c>
      <c r="R2359" s="2" t="s">
        <v>28</v>
      </c>
      <c r="S2359" s="9">
        <f t="shared" si="184"/>
        <v>4.26</v>
      </c>
    </row>
    <row r="2360" spans="1:19" x14ac:dyDescent="0.3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str">
        <f>IFERROR(VLOOKUP('Customer Info'!A2352,'Customer Info'!A2352:C2851,2,FALSE),"Not Found")</f>
        <v>Not Found</v>
      </c>
      <c r="H2360" s="6" t="str">
        <f>IFERROR(VLOOKUP('Customer Info'!A2352,'Customer Info'!A2352:C2851,3,FALSE),"Not Found")</f>
        <v>Not Found</v>
      </c>
      <c r="I2360" s="6" t="str">
        <f>IFERROR(VLOOKUP('Customer Info'!A2352,'Customer Info'!A2352:E2851,5,FALSE),"Not Found")</f>
        <v>Not Found</v>
      </c>
      <c r="J2360" s="2">
        <v>520</v>
      </c>
      <c r="K2360" s="2">
        <v>477</v>
      </c>
      <c r="L2360" s="2">
        <v>3</v>
      </c>
      <c r="M2360" s="7">
        <f t="shared" si="180"/>
        <v>1431</v>
      </c>
      <c r="N2360" s="7">
        <f t="shared" si="181"/>
        <v>1560</v>
      </c>
      <c r="O2360" s="2">
        <v>39</v>
      </c>
      <c r="P2360" s="8">
        <f t="shared" si="182"/>
        <v>1599</v>
      </c>
      <c r="Q2360" s="8">
        <f t="shared" si="183"/>
        <v>1083</v>
      </c>
      <c r="R2360" s="2" t="s">
        <v>28</v>
      </c>
      <c r="S2360" s="9">
        <f t="shared" si="184"/>
        <v>31.98</v>
      </c>
    </row>
    <row r="2361" spans="1:19" x14ac:dyDescent="0.3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str">
        <f>IFERROR(VLOOKUP('Customer Info'!A2353,'Customer Info'!A2353:C2852,2,FALSE),"Not Found")</f>
        <v>Not Found</v>
      </c>
      <c r="H2361" s="6" t="str">
        <f>IFERROR(VLOOKUP('Customer Info'!A2353,'Customer Info'!A2353:C2852,3,FALSE),"Not Found")</f>
        <v>Not Found</v>
      </c>
      <c r="I2361" s="6" t="str">
        <f>IFERROR(VLOOKUP('Customer Info'!A2353,'Customer Info'!A2353:E2852,5,FALSE),"Not Found")</f>
        <v>Not Found</v>
      </c>
      <c r="J2361" s="2">
        <v>8399</v>
      </c>
      <c r="K2361" s="2">
        <v>8001</v>
      </c>
      <c r="L2361" s="2">
        <v>1</v>
      </c>
      <c r="M2361" s="7">
        <f t="shared" si="180"/>
        <v>8001</v>
      </c>
      <c r="N2361" s="7">
        <f t="shared" si="181"/>
        <v>8399</v>
      </c>
      <c r="O2361" s="2">
        <v>80</v>
      </c>
      <c r="P2361" s="8">
        <f t="shared" si="182"/>
        <v>8479</v>
      </c>
      <c r="Q2361" s="8">
        <f t="shared" si="183"/>
        <v>398</v>
      </c>
      <c r="R2361" s="2" t="s">
        <v>50</v>
      </c>
      <c r="S2361" s="9">
        <f t="shared" si="184"/>
        <v>423.95000000000005</v>
      </c>
    </row>
    <row r="2362" spans="1:19" x14ac:dyDescent="0.3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str">
        <f>IFERROR(VLOOKUP('Customer Info'!A2354,'Customer Info'!A2354:C2853,2,FALSE),"Not Found")</f>
        <v>Not Found</v>
      </c>
      <c r="H2362" s="6" t="str">
        <f>IFERROR(VLOOKUP('Customer Info'!A2354,'Customer Info'!A2354:C2853,3,FALSE),"Not Found")</f>
        <v>Not Found</v>
      </c>
      <c r="I2362" s="6" t="str">
        <f>IFERROR(VLOOKUP('Customer Info'!A2354,'Customer Info'!A2354:E2853,5,FALSE),"Not Found")</f>
        <v>Not Found</v>
      </c>
      <c r="J2362" s="2">
        <v>2526</v>
      </c>
      <c r="K2362" s="2">
        <v>2408</v>
      </c>
      <c r="L2362" s="2">
        <v>9</v>
      </c>
      <c r="M2362" s="7">
        <f t="shared" si="180"/>
        <v>21672</v>
      </c>
      <c r="N2362" s="7">
        <f t="shared" si="181"/>
        <v>22734</v>
      </c>
      <c r="O2362" s="2">
        <v>82</v>
      </c>
      <c r="P2362" s="8">
        <f t="shared" si="182"/>
        <v>22816</v>
      </c>
      <c r="Q2362" s="8">
        <f t="shared" si="183"/>
        <v>20326</v>
      </c>
      <c r="R2362" s="2" t="s">
        <v>50</v>
      </c>
      <c r="S2362" s="9">
        <f t="shared" si="184"/>
        <v>1140.8</v>
      </c>
    </row>
    <row r="2363" spans="1:19" x14ac:dyDescent="0.3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str">
        <f>IFERROR(VLOOKUP('Customer Info'!A2355,'Customer Info'!A2355:C2854,2,FALSE),"Not Found")</f>
        <v>Not Found</v>
      </c>
      <c r="H2363" s="6" t="str">
        <f>IFERROR(VLOOKUP('Customer Info'!A2355,'Customer Info'!A2355:C2854,3,FALSE),"Not Found")</f>
        <v>Not Found</v>
      </c>
      <c r="I2363" s="6" t="str">
        <f>IFERROR(VLOOKUP('Customer Info'!A2355,'Customer Info'!A2355:E2854,5,FALSE),"Not Found")</f>
        <v>Not Found</v>
      </c>
      <c r="J2363" s="2">
        <v>520</v>
      </c>
      <c r="K2363" s="2">
        <v>477</v>
      </c>
      <c r="L2363" s="2">
        <v>3</v>
      </c>
      <c r="M2363" s="7">
        <f t="shared" si="180"/>
        <v>1431</v>
      </c>
      <c r="N2363" s="7">
        <f t="shared" si="181"/>
        <v>1560</v>
      </c>
      <c r="O2363" s="2">
        <v>49</v>
      </c>
      <c r="P2363" s="8">
        <f t="shared" si="182"/>
        <v>1609</v>
      </c>
      <c r="Q2363" s="8">
        <f t="shared" si="183"/>
        <v>1083</v>
      </c>
      <c r="R2363" s="2" t="s">
        <v>50</v>
      </c>
      <c r="S2363" s="9">
        <f t="shared" si="184"/>
        <v>32.18</v>
      </c>
    </row>
    <row r="2364" spans="1:19" x14ac:dyDescent="0.3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str">
        <f>IFERROR(VLOOKUP('Customer Info'!A2356,'Customer Info'!A2356:C2855,2,FALSE),"Not Found")</f>
        <v>Not Found</v>
      </c>
      <c r="H2364" s="6" t="str">
        <f>IFERROR(VLOOKUP('Customer Info'!A2356,'Customer Info'!A2356:C2855,3,FALSE),"Not Found")</f>
        <v>Not Found</v>
      </c>
      <c r="I2364" s="6" t="str">
        <f>IFERROR(VLOOKUP('Customer Info'!A2356,'Customer Info'!A2356:E2855,5,FALSE),"Not Found")</f>
        <v>Not Found</v>
      </c>
      <c r="J2364" s="2">
        <v>511</v>
      </c>
      <c r="K2364" s="2">
        <v>477</v>
      </c>
      <c r="L2364" s="2">
        <v>9</v>
      </c>
      <c r="M2364" s="7">
        <f t="shared" si="180"/>
        <v>4293</v>
      </c>
      <c r="N2364" s="7">
        <f t="shared" si="181"/>
        <v>4599</v>
      </c>
      <c r="O2364" s="2">
        <v>82</v>
      </c>
      <c r="P2364" s="8">
        <f t="shared" si="182"/>
        <v>4681</v>
      </c>
      <c r="Q2364" s="8">
        <f t="shared" si="183"/>
        <v>4122</v>
      </c>
      <c r="R2364" s="2" t="s">
        <v>50</v>
      </c>
      <c r="S2364" s="9">
        <f t="shared" si="184"/>
        <v>93.62</v>
      </c>
    </row>
    <row r="2365" spans="1:19" x14ac:dyDescent="0.3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str">
        <f>IFERROR(VLOOKUP('Customer Info'!A2357,'Customer Info'!A2357:C2856,2,FALSE),"Not Found")</f>
        <v>Not Found</v>
      </c>
      <c r="H2365" s="6" t="str">
        <f>IFERROR(VLOOKUP('Customer Info'!A2357,'Customer Info'!A2357:C2856,3,FALSE),"Not Found")</f>
        <v>Not Found</v>
      </c>
      <c r="I2365" s="6" t="str">
        <f>IFERROR(VLOOKUP('Customer Info'!A2357,'Customer Info'!A2357:E2856,5,FALSE),"Not Found")</f>
        <v>Not Found</v>
      </c>
      <c r="J2365" s="2">
        <v>954</v>
      </c>
      <c r="K2365" s="2">
        <v>901</v>
      </c>
      <c r="L2365" s="2">
        <v>1</v>
      </c>
      <c r="M2365" s="7">
        <f t="shared" si="180"/>
        <v>901</v>
      </c>
      <c r="N2365" s="7">
        <f t="shared" si="181"/>
        <v>954</v>
      </c>
      <c r="O2365" s="2">
        <v>46</v>
      </c>
      <c r="P2365" s="8">
        <f t="shared" si="182"/>
        <v>1000</v>
      </c>
      <c r="Q2365" s="8">
        <f t="shared" si="183"/>
        <v>53</v>
      </c>
      <c r="R2365" s="2" t="s">
        <v>28</v>
      </c>
      <c r="S2365" s="9">
        <f t="shared" si="184"/>
        <v>20</v>
      </c>
    </row>
    <row r="2366" spans="1:19" x14ac:dyDescent="0.3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str">
        <f>IFERROR(VLOOKUP('Customer Info'!A2358,'Customer Info'!A2358:C2857,2,FALSE),"Not Found")</f>
        <v>Not Found</v>
      </c>
      <c r="H2366" s="6" t="str">
        <f>IFERROR(VLOOKUP('Customer Info'!A2358,'Customer Info'!A2358:C2857,3,FALSE),"Not Found")</f>
        <v>Not Found</v>
      </c>
      <c r="I2366" s="6" t="str">
        <f>IFERROR(VLOOKUP('Customer Info'!A2358,'Customer Info'!A2358:E2857,5,FALSE),"Not Found")</f>
        <v>Not Found</v>
      </c>
      <c r="J2366" s="2">
        <v>93</v>
      </c>
      <c r="K2366" s="2">
        <v>86</v>
      </c>
      <c r="L2366" s="2">
        <v>3</v>
      </c>
      <c r="M2366" s="7">
        <f t="shared" si="180"/>
        <v>258</v>
      </c>
      <c r="N2366" s="7">
        <f t="shared" si="181"/>
        <v>279</v>
      </c>
      <c r="O2366" s="2">
        <v>10</v>
      </c>
      <c r="P2366" s="8">
        <f t="shared" si="182"/>
        <v>289</v>
      </c>
      <c r="Q2366" s="8">
        <f t="shared" si="183"/>
        <v>193</v>
      </c>
      <c r="R2366" s="2" t="s">
        <v>28</v>
      </c>
      <c r="S2366" s="9">
        <f t="shared" si="184"/>
        <v>5.78</v>
      </c>
    </row>
    <row r="2367" spans="1:19" x14ac:dyDescent="0.3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str">
        <f>IFERROR(VLOOKUP('Customer Info'!A2359,'Customer Info'!A2359:C2858,2,FALSE),"Not Found")</f>
        <v>Not Found</v>
      </c>
      <c r="H2367" s="6" t="str">
        <f>IFERROR(VLOOKUP('Customer Info'!A2359,'Customer Info'!A2359:C2858,3,FALSE),"Not Found")</f>
        <v>Not Found</v>
      </c>
      <c r="I2367" s="6" t="str">
        <f>IFERROR(VLOOKUP('Customer Info'!A2359,'Customer Info'!A2359:E2858,5,FALSE),"Not Found")</f>
        <v>Not Found</v>
      </c>
      <c r="J2367" s="2">
        <v>171</v>
      </c>
      <c r="K2367" s="2">
        <v>153</v>
      </c>
      <c r="L2367" s="2">
        <v>5</v>
      </c>
      <c r="M2367" s="7">
        <f t="shared" si="180"/>
        <v>765</v>
      </c>
      <c r="N2367" s="7">
        <f t="shared" si="181"/>
        <v>855</v>
      </c>
      <c r="O2367" s="2">
        <v>30</v>
      </c>
      <c r="P2367" s="8">
        <f t="shared" si="182"/>
        <v>885</v>
      </c>
      <c r="Q2367" s="8">
        <f t="shared" si="183"/>
        <v>702</v>
      </c>
      <c r="R2367" s="2" t="s">
        <v>50</v>
      </c>
      <c r="S2367" s="9">
        <f t="shared" si="184"/>
        <v>17.7</v>
      </c>
    </row>
    <row r="2368" spans="1:19" x14ac:dyDescent="0.3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str">
        <f>IFERROR(VLOOKUP('Customer Info'!A2360,'Customer Info'!A2360:C2859,2,FALSE),"Not Found")</f>
        <v>Not Found</v>
      </c>
      <c r="H2368" s="6" t="str">
        <f>IFERROR(VLOOKUP('Customer Info'!A2360,'Customer Info'!A2360:C2859,3,FALSE),"Not Found")</f>
        <v>Not Found</v>
      </c>
      <c r="I2368" s="6" t="str">
        <f>IFERROR(VLOOKUP('Customer Info'!A2360,'Customer Info'!A2360:E2859,5,FALSE),"Not Found")</f>
        <v>Not Found</v>
      </c>
      <c r="J2368" s="2">
        <v>2778</v>
      </c>
      <c r="K2368" s="2">
        <v>2573</v>
      </c>
      <c r="L2368" s="2">
        <v>1</v>
      </c>
      <c r="M2368" s="7">
        <f t="shared" si="180"/>
        <v>2573</v>
      </c>
      <c r="N2368" s="7">
        <f t="shared" si="181"/>
        <v>2778</v>
      </c>
      <c r="O2368" s="2">
        <v>66</v>
      </c>
      <c r="P2368" s="8">
        <f t="shared" si="182"/>
        <v>2844</v>
      </c>
      <c r="Q2368" s="8">
        <f t="shared" si="183"/>
        <v>205</v>
      </c>
      <c r="R2368" s="2" t="s">
        <v>28</v>
      </c>
      <c r="S2368" s="9">
        <f t="shared" si="184"/>
        <v>56.88</v>
      </c>
    </row>
    <row r="2369" spans="1:19" x14ac:dyDescent="0.3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str">
        <f>IFERROR(VLOOKUP('Customer Info'!A2361,'Customer Info'!A2361:C2860,2,FALSE),"Not Found")</f>
        <v>Not Found</v>
      </c>
      <c r="H2369" s="6" t="str">
        <f>IFERROR(VLOOKUP('Customer Info'!A2361,'Customer Info'!A2361:C2860,3,FALSE),"Not Found")</f>
        <v>Not Found</v>
      </c>
      <c r="I2369" s="6" t="str">
        <f>IFERROR(VLOOKUP('Customer Info'!A2361,'Customer Info'!A2361:E2860,5,FALSE),"Not Found")</f>
        <v>Not Found</v>
      </c>
      <c r="J2369" s="2">
        <v>1798</v>
      </c>
      <c r="K2369" s="2">
        <v>1666</v>
      </c>
      <c r="L2369" s="2">
        <v>1</v>
      </c>
      <c r="M2369" s="7">
        <f t="shared" si="180"/>
        <v>1666</v>
      </c>
      <c r="N2369" s="7">
        <f t="shared" si="181"/>
        <v>1798</v>
      </c>
      <c r="O2369" s="2">
        <v>26</v>
      </c>
      <c r="P2369" s="8">
        <f t="shared" si="182"/>
        <v>1824</v>
      </c>
      <c r="Q2369" s="8">
        <f t="shared" si="183"/>
        <v>132</v>
      </c>
      <c r="R2369" s="2" t="s">
        <v>28</v>
      </c>
      <c r="S2369" s="9">
        <f t="shared" si="184"/>
        <v>36.480000000000004</v>
      </c>
    </row>
    <row r="2370" spans="1:19" x14ac:dyDescent="0.3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str">
        <f>IFERROR(VLOOKUP('Customer Info'!A2362,'Customer Info'!A2362:C2861,2,FALSE),"Not Found")</f>
        <v>Not Found</v>
      </c>
      <c r="H2370" s="6" t="str">
        <f>IFERROR(VLOOKUP('Customer Info'!A2362,'Customer Info'!A2362:C2861,3,FALSE),"Not Found")</f>
        <v>Not Found</v>
      </c>
      <c r="I2370" s="6" t="str">
        <f>IFERROR(VLOOKUP('Customer Info'!A2362,'Customer Info'!A2362:E2861,5,FALSE),"Not Found")</f>
        <v>Not Found</v>
      </c>
      <c r="J2370" s="2">
        <v>2453</v>
      </c>
      <c r="K2370" s="2">
        <v>2336</v>
      </c>
      <c r="L2370" s="2">
        <v>2</v>
      </c>
      <c r="M2370" s="7">
        <f t="shared" si="180"/>
        <v>4672</v>
      </c>
      <c r="N2370" s="7">
        <f t="shared" si="181"/>
        <v>4906</v>
      </c>
      <c r="O2370" s="2">
        <v>83</v>
      </c>
      <c r="P2370" s="8">
        <f t="shared" si="182"/>
        <v>4989</v>
      </c>
      <c r="Q2370" s="8">
        <f t="shared" si="183"/>
        <v>2570</v>
      </c>
      <c r="R2370" s="2" t="s">
        <v>28</v>
      </c>
      <c r="S2370" s="9">
        <f t="shared" si="184"/>
        <v>99.78</v>
      </c>
    </row>
    <row r="2371" spans="1:19" x14ac:dyDescent="0.3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str">
        <f>IFERROR(VLOOKUP('Customer Info'!A2363,'Customer Info'!A2363:C2862,2,FALSE),"Not Found")</f>
        <v>Not Found</v>
      </c>
      <c r="H2371" s="6" t="str">
        <f>IFERROR(VLOOKUP('Customer Info'!A2363,'Customer Info'!A2363:C2862,3,FALSE),"Not Found")</f>
        <v>Not Found</v>
      </c>
      <c r="I2371" s="6" t="str">
        <f>IFERROR(VLOOKUP('Customer Info'!A2363,'Customer Info'!A2363:E2862,5,FALSE),"Not Found")</f>
        <v>Not Found</v>
      </c>
      <c r="J2371" s="2">
        <v>1246</v>
      </c>
      <c r="K2371" s="2">
        <v>1164</v>
      </c>
      <c r="L2371" s="2">
        <v>3</v>
      </c>
      <c r="M2371" s="7">
        <f t="shared" si="180"/>
        <v>3492</v>
      </c>
      <c r="N2371" s="7">
        <f t="shared" si="181"/>
        <v>3738</v>
      </c>
      <c r="O2371" s="2">
        <v>75</v>
      </c>
      <c r="P2371" s="8">
        <f t="shared" si="182"/>
        <v>3813</v>
      </c>
      <c r="Q2371" s="8">
        <f t="shared" si="183"/>
        <v>2574</v>
      </c>
      <c r="R2371" s="2" t="s">
        <v>28</v>
      </c>
      <c r="S2371" s="9">
        <f t="shared" si="184"/>
        <v>76.260000000000005</v>
      </c>
    </row>
    <row r="2372" spans="1:19" x14ac:dyDescent="0.3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str">
        <f>IFERROR(VLOOKUP('Customer Info'!A2364,'Customer Info'!A2364:C2863,2,FALSE),"Not Found")</f>
        <v>Not Found</v>
      </c>
      <c r="H2372" s="6" t="str">
        <f>IFERROR(VLOOKUP('Customer Info'!A2364,'Customer Info'!A2364:C2863,3,FALSE),"Not Found")</f>
        <v>Not Found</v>
      </c>
      <c r="I2372" s="6" t="str">
        <f>IFERROR(VLOOKUP('Customer Info'!A2364,'Customer Info'!A2364:E2863,5,FALSE),"Not Found")</f>
        <v>Not Found</v>
      </c>
      <c r="J2372" s="2">
        <v>751</v>
      </c>
      <c r="K2372" s="2">
        <v>696</v>
      </c>
      <c r="L2372" s="2">
        <v>1</v>
      </c>
      <c r="M2372" s="7">
        <f t="shared" si="180"/>
        <v>696</v>
      </c>
      <c r="N2372" s="7">
        <f t="shared" si="181"/>
        <v>751</v>
      </c>
      <c r="O2372" s="2">
        <v>46</v>
      </c>
      <c r="P2372" s="8">
        <f t="shared" si="182"/>
        <v>797</v>
      </c>
      <c r="Q2372" s="8">
        <f t="shared" si="183"/>
        <v>55</v>
      </c>
      <c r="R2372" s="2" t="s">
        <v>50</v>
      </c>
      <c r="S2372" s="9">
        <f t="shared" si="184"/>
        <v>15.94</v>
      </c>
    </row>
    <row r="2373" spans="1:19" x14ac:dyDescent="0.3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str">
        <f>IFERROR(VLOOKUP('Customer Info'!A2365,'Customer Info'!A2365:C2864,2,FALSE),"Not Found")</f>
        <v>Not Found</v>
      </c>
      <c r="H2373" s="6" t="str">
        <f>IFERROR(VLOOKUP('Customer Info'!A2365,'Customer Info'!A2365:C2864,3,FALSE),"Not Found")</f>
        <v>Not Found</v>
      </c>
      <c r="I2373" s="6" t="str">
        <f>IFERROR(VLOOKUP('Customer Info'!A2365,'Customer Info'!A2365:E2864,5,FALSE),"Not Found")</f>
        <v>Not Found</v>
      </c>
      <c r="J2373" s="2">
        <v>2478</v>
      </c>
      <c r="K2373" s="2">
        <v>2406</v>
      </c>
      <c r="L2373" s="2">
        <v>2</v>
      </c>
      <c r="M2373" s="7">
        <f t="shared" si="180"/>
        <v>4812</v>
      </c>
      <c r="N2373" s="7">
        <f t="shared" si="181"/>
        <v>4956</v>
      </c>
      <c r="O2373" s="2">
        <v>46</v>
      </c>
      <c r="P2373" s="8">
        <f t="shared" si="182"/>
        <v>5002</v>
      </c>
      <c r="Q2373" s="8">
        <f t="shared" si="183"/>
        <v>2550</v>
      </c>
      <c r="R2373" s="2" t="s">
        <v>50</v>
      </c>
      <c r="S2373" s="9">
        <f t="shared" si="184"/>
        <v>250.10000000000002</v>
      </c>
    </row>
    <row r="2374" spans="1:19" x14ac:dyDescent="0.3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str">
        <f>IFERROR(VLOOKUP('Customer Info'!A2366,'Customer Info'!A2366:C2865,2,FALSE),"Not Found")</f>
        <v>Not Found</v>
      </c>
      <c r="H2374" s="6" t="str">
        <f>IFERROR(VLOOKUP('Customer Info'!A2366,'Customer Info'!A2366:C2865,3,FALSE),"Not Found")</f>
        <v>Not Found</v>
      </c>
      <c r="I2374" s="6" t="str">
        <f>IFERROR(VLOOKUP('Customer Info'!A2366,'Customer Info'!A2366:E2865,5,FALSE),"Not Found")</f>
        <v>Not Found</v>
      </c>
      <c r="J2374" s="2">
        <v>175</v>
      </c>
      <c r="K2374" s="2">
        <v>162</v>
      </c>
      <c r="L2374" s="2">
        <v>3</v>
      </c>
      <c r="M2374" s="7">
        <f t="shared" si="180"/>
        <v>486</v>
      </c>
      <c r="N2374" s="7">
        <f t="shared" si="181"/>
        <v>525</v>
      </c>
      <c r="O2374" s="2">
        <v>30</v>
      </c>
      <c r="P2374" s="8">
        <f t="shared" si="182"/>
        <v>555</v>
      </c>
      <c r="Q2374" s="8">
        <f t="shared" si="183"/>
        <v>363</v>
      </c>
      <c r="R2374" s="2" t="s">
        <v>28</v>
      </c>
      <c r="S2374" s="9">
        <f t="shared" si="184"/>
        <v>11.1</v>
      </c>
    </row>
    <row r="2375" spans="1:19" x14ac:dyDescent="0.3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str">
        <f>IFERROR(VLOOKUP('Customer Info'!A2367,'Customer Info'!A2367:C2866,2,FALSE),"Not Found")</f>
        <v>Not Found</v>
      </c>
      <c r="H2375" s="6" t="str">
        <f>IFERROR(VLOOKUP('Customer Info'!A2367,'Customer Info'!A2367:C2866,3,FALSE),"Not Found")</f>
        <v>Not Found</v>
      </c>
      <c r="I2375" s="6" t="str">
        <f>IFERROR(VLOOKUP('Customer Info'!A2367,'Customer Info'!A2367:E2866,5,FALSE),"Not Found")</f>
        <v>Not Found</v>
      </c>
      <c r="J2375" s="2">
        <v>2296</v>
      </c>
      <c r="K2375" s="2">
        <v>2146</v>
      </c>
      <c r="L2375" s="2">
        <v>4</v>
      </c>
      <c r="M2375" s="7">
        <f t="shared" si="180"/>
        <v>8584</v>
      </c>
      <c r="N2375" s="7">
        <f t="shared" si="181"/>
        <v>9184</v>
      </c>
      <c r="O2375" s="2">
        <v>37</v>
      </c>
      <c r="P2375" s="8">
        <f t="shared" si="182"/>
        <v>9221</v>
      </c>
      <c r="Q2375" s="8">
        <f t="shared" si="183"/>
        <v>7038</v>
      </c>
      <c r="R2375" s="2" t="s">
        <v>28</v>
      </c>
      <c r="S2375" s="9">
        <f t="shared" si="184"/>
        <v>461.05</v>
      </c>
    </row>
    <row r="2376" spans="1:19" x14ac:dyDescent="0.3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str">
        <f>IFERROR(VLOOKUP('Customer Info'!A2368,'Customer Info'!A2368:C2867,2,FALSE),"Not Found")</f>
        <v>Not Found</v>
      </c>
      <c r="H2376" s="6" t="str">
        <f>IFERROR(VLOOKUP('Customer Info'!A2368,'Customer Info'!A2368:C2867,3,FALSE),"Not Found")</f>
        <v>Not Found</v>
      </c>
      <c r="I2376" s="6" t="str">
        <f>IFERROR(VLOOKUP('Customer Info'!A2368,'Customer Info'!A2368:E2867,5,FALSE),"Not Found")</f>
        <v>Not Found</v>
      </c>
      <c r="J2376" s="2">
        <v>5941</v>
      </c>
      <c r="K2376" s="2">
        <v>5827</v>
      </c>
      <c r="L2376" s="2">
        <v>9</v>
      </c>
      <c r="M2376" s="7">
        <f t="shared" si="180"/>
        <v>52443</v>
      </c>
      <c r="N2376" s="7">
        <f t="shared" si="181"/>
        <v>53469</v>
      </c>
      <c r="O2376" s="2">
        <v>86</v>
      </c>
      <c r="P2376" s="8">
        <f t="shared" si="182"/>
        <v>53555</v>
      </c>
      <c r="Q2376" s="8">
        <f t="shared" si="183"/>
        <v>47642</v>
      </c>
      <c r="R2376" s="2" t="s">
        <v>28</v>
      </c>
      <c r="S2376" s="9">
        <f t="shared" si="184"/>
        <v>4819.95</v>
      </c>
    </row>
    <row r="2377" spans="1:19" x14ac:dyDescent="0.3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str">
        <f>IFERROR(VLOOKUP('Customer Info'!A2369,'Customer Info'!A2369:C2868,2,FALSE),"Not Found")</f>
        <v>Not Found</v>
      </c>
      <c r="H2377" s="6" t="str">
        <f>IFERROR(VLOOKUP('Customer Info'!A2369,'Customer Info'!A2369:C2868,3,FALSE),"Not Found")</f>
        <v>Not Found</v>
      </c>
      <c r="I2377" s="6" t="str">
        <f>IFERROR(VLOOKUP('Customer Info'!A2369,'Customer Info'!A2369:E2868,5,FALSE),"Not Found")</f>
        <v>Not Found</v>
      </c>
      <c r="J2377" s="2">
        <v>1568</v>
      </c>
      <c r="K2377" s="2">
        <v>1495</v>
      </c>
      <c r="L2377" s="2">
        <v>3</v>
      </c>
      <c r="M2377" s="7">
        <f t="shared" si="180"/>
        <v>4485</v>
      </c>
      <c r="N2377" s="7">
        <f t="shared" si="181"/>
        <v>4704</v>
      </c>
      <c r="O2377" s="2">
        <v>36</v>
      </c>
      <c r="P2377" s="8">
        <f t="shared" si="182"/>
        <v>4740</v>
      </c>
      <c r="Q2377" s="8">
        <f t="shared" si="183"/>
        <v>3209</v>
      </c>
      <c r="R2377" s="2" t="s">
        <v>50</v>
      </c>
      <c r="S2377" s="9">
        <f t="shared" si="184"/>
        <v>94.8</v>
      </c>
    </row>
    <row r="2378" spans="1:19" x14ac:dyDescent="0.3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str">
        <f>IFERROR(VLOOKUP('Customer Info'!A2370,'Customer Info'!A2370:C2869,2,FALSE),"Not Found")</f>
        <v>Not Found</v>
      </c>
      <c r="H2378" s="6" t="str">
        <f>IFERROR(VLOOKUP('Customer Info'!A2370,'Customer Info'!A2370:C2869,3,FALSE),"Not Found")</f>
        <v>Not Found</v>
      </c>
      <c r="I2378" s="6" t="str">
        <f>IFERROR(VLOOKUP('Customer Info'!A2370,'Customer Info'!A2370:E2869,5,FALSE),"Not Found")</f>
        <v>Not Found</v>
      </c>
      <c r="J2378" s="2">
        <v>1246</v>
      </c>
      <c r="K2378" s="2">
        <v>1164</v>
      </c>
      <c r="L2378" s="2">
        <v>1</v>
      </c>
      <c r="M2378" s="7">
        <f t="shared" si="180"/>
        <v>1164</v>
      </c>
      <c r="N2378" s="7">
        <f t="shared" si="181"/>
        <v>1246</v>
      </c>
      <c r="O2378" s="2">
        <v>59</v>
      </c>
      <c r="P2378" s="8">
        <f t="shared" si="182"/>
        <v>1305</v>
      </c>
      <c r="Q2378" s="8">
        <f t="shared" si="183"/>
        <v>82</v>
      </c>
      <c r="R2378" s="2" t="s">
        <v>28</v>
      </c>
      <c r="S2378" s="9">
        <f t="shared" si="184"/>
        <v>26.1</v>
      </c>
    </row>
    <row r="2379" spans="1:19" x14ac:dyDescent="0.3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str">
        <f>IFERROR(VLOOKUP('Customer Info'!A2371,'Customer Info'!A2371:C2870,2,FALSE),"Not Found")</f>
        <v>Not Found</v>
      </c>
      <c r="H2379" s="6" t="str">
        <f>IFERROR(VLOOKUP('Customer Info'!A2371,'Customer Info'!A2371:C2870,3,FALSE),"Not Found")</f>
        <v>Not Found</v>
      </c>
      <c r="I2379" s="6" t="str">
        <f>IFERROR(VLOOKUP('Customer Info'!A2371,'Customer Info'!A2371:E2870,5,FALSE),"Not Found")</f>
        <v>Not Found</v>
      </c>
      <c r="J2379" s="2">
        <v>139</v>
      </c>
      <c r="K2379" s="2">
        <v>133</v>
      </c>
      <c r="L2379" s="2">
        <v>4</v>
      </c>
      <c r="M2379" s="7">
        <f t="shared" ref="M2379:M2442" si="185">$K2379*$L2379</f>
        <v>532</v>
      </c>
      <c r="N2379" s="7">
        <f t="shared" ref="N2379:N2442" si="186">$J2379*$L2379</f>
        <v>556</v>
      </c>
      <c r="O2379" s="2">
        <v>30</v>
      </c>
      <c r="P2379" s="8">
        <f t="shared" ref="P2379:P2442" si="187">$N2379+$O2379</f>
        <v>586</v>
      </c>
      <c r="Q2379" s="8">
        <f t="shared" ref="Q2379:Q2442" si="188">$N2379-$K2379</f>
        <v>423</v>
      </c>
      <c r="R2379" s="2" t="s">
        <v>28</v>
      </c>
      <c r="S2379" s="9">
        <f t="shared" ref="S2379:S2442" si="189" xml:space="preserve"> P2379 * VLOOKUP(P2379, $T$2:$U$6, 2, TRUE)</f>
        <v>11.72</v>
      </c>
    </row>
    <row r="2380" spans="1:19" x14ac:dyDescent="0.3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str">
        <f>IFERROR(VLOOKUP('Customer Info'!A2372,'Customer Info'!A2372:C2871,2,FALSE),"Not Found")</f>
        <v>Not Found</v>
      </c>
      <c r="H2380" s="6" t="str">
        <f>IFERROR(VLOOKUP('Customer Info'!A2372,'Customer Info'!A2372:C2871,3,FALSE),"Not Found")</f>
        <v>Not Found</v>
      </c>
      <c r="I2380" s="6" t="str">
        <f>IFERROR(VLOOKUP('Customer Info'!A2372,'Customer Info'!A2372:E2871,5,FALSE),"Not Found")</f>
        <v>Not Found</v>
      </c>
      <c r="J2380" s="2">
        <v>2365</v>
      </c>
      <c r="K2380" s="2">
        <v>2232</v>
      </c>
      <c r="L2380" s="2">
        <v>1</v>
      </c>
      <c r="M2380" s="7">
        <f t="shared" si="185"/>
        <v>2232</v>
      </c>
      <c r="N2380" s="7">
        <f t="shared" si="186"/>
        <v>2365</v>
      </c>
      <c r="O2380" s="2">
        <v>40</v>
      </c>
      <c r="P2380" s="8">
        <f t="shared" si="187"/>
        <v>2405</v>
      </c>
      <c r="Q2380" s="8">
        <f t="shared" si="188"/>
        <v>133</v>
      </c>
      <c r="R2380" s="2" t="s">
        <v>28</v>
      </c>
      <c r="S2380" s="9">
        <f t="shared" si="189"/>
        <v>48.1</v>
      </c>
    </row>
    <row r="2381" spans="1:19" x14ac:dyDescent="0.3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str">
        <f>IFERROR(VLOOKUP('Customer Info'!A2373,'Customer Info'!A2373:C2872,2,FALSE),"Not Found")</f>
        <v>Not Found</v>
      </c>
      <c r="H2381" s="6" t="str">
        <f>IFERROR(VLOOKUP('Customer Info'!A2373,'Customer Info'!A2373:C2872,3,FALSE),"Not Found")</f>
        <v>Not Found</v>
      </c>
      <c r="I2381" s="6" t="str">
        <f>IFERROR(VLOOKUP('Customer Info'!A2373,'Customer Info'!A2373:E2872,5,FALSE),"Not Found")</f>
        <v>Not Found</v>
      </c>
      <c r="J2381" s="2">
        <v>1528</v>
      </c>
      <c r="K2381" s="2">
        <v>1348</v>
      </c>
      <c r="L2381" s="2">
        <v>2</v>
      </c>
      <c r="M2381" s="7">
        <f t="shared" si="185"/>
        <v>2696</v>
      </c>
      <c r="N2381" s="7">
        <f t="shared" si="186"/>
        <v>3056</v>
      </c>
      <c r="O2381" s="2">
        <v>86</v>
      </c>
      <c r="P2381" s="8">
        <f t="shared" si="187"/>
        <v>3142</v>
      </c>
      <c r="Q2381" s="8">
        <f t="shared" si="188"/>
        <v>1708</v>
      </c>
      <c r="R2381" s="2" t="s">
        <v>28</v>
      </c>
      <c r="S2381" s="9">
        <f t="shared" si="189"/>
        <v>62.84</v>
      </c>
    </row>
    <row r="2382" spans="1:19" x14ac:dyDescent="0.3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str">
        <f>IFERROR(VLOOKUP('Customer Info'!A2374,'Customer Info'!A2374:C2873,2,FALSE),"Not Found")</f>
        <v>Not Found</v>
      </c>
      <c r="H2382" s="6" t="str">
        <f>IFERROR(VLOOKUP('Customer Info'!A2374,'Customer Info'!A2374:C2873,3,FALSE),"Not Found")</f>
        <v>Not Found</v>
      </c>
      <c r="I2382" s="6" t="str">
        <f>IFERROR(VLOOKUP('Customer Info'!A2374,'Customer Info'!A2374:E2873,5,FALSE),"Not Found")</f>
        <v>Not Found</v>
      </c>
      <c r="J2382" s="2">
        <v>825</v>
      </c>
      <c r="K2382" s="2">
        <v>793</v>
      </c>
      <c r="L2382" s="2">
        <v>2</v>
      </c>
      <c r="M2382" s="7">
        <f t="shared" si="185"/>
        <v>1586</v>
      </c>
      <c r="N2382" s="7">
        <f t="shared" si="186"/>
        <v>1650</v>
      </c>
      <c r="O2382" s="2">
        <v>41</v>
      </c>
      <c r="P2382" s="8">
        <f t="shared" si="187"/>
        <v>1691</v>
      </c>
      <c r="Q2382" s="8">
        <f t="shared" si="188"/>
        <v>857</v>
      </c>
      <c r="R2382" s="2" t="s">
        <v>28</v>
      </c>
      <c r="S2382" s="9">
        <f t="shared" si="189"/>
        <v>33.82</v>
      </c>
    </row>
    <row r="2383" spans="1:19" x14ac:dyDescent="0.3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str">
        <f>IFERROR(VLOOKUP('Customer Info'!A2375,'Customer Info'!A2375:C2874,2,FALSE),"Not Found")</f>
        <v>Not Found</v>
      </c>
      <c r="H2383" s="6" t="str">
        <f>IFERROR(VLOOKUP('Customer Info'!A2375,'Customer Info'!A2375:C2874,3,FALSE),"Not Found")</f>
        <v>Not Found</v>
      </c>
      <c r="I2383" s="6" t="str">
        <f>IFERROR(VLOOKUP('Customer Info'!A2375,'Customer Info'!A2375:E2874,5,FALSE),"Not Found")</f>
        <v>Not Found</v>
      </c>
      <c r="J2383" s="2">
        <v>67</v>
      </c>
      <c r="K2383" s="2">
        <v>62</v>
      </c>
      <c r="L2383" s="2">
        <v>1</v>
      </c>
      <c r="M2383" s="7">
        <f t="shared" si="185"/>
        <v>62</v>
      </c>
      <c r="N2383" s="7">
        <f t="shared" si="186"/>
        <v>67</v>
      </c>
      <c r="O2383" s="2">
        <v>10</v>
      </c>
      <c r="P2383" s="8">
        <f t="shared" si="187"/>
        <v>77</v>
      </c>
      <c r="Q2383" s="8">
        <f t="shared" si="188"/>
        <v>5</v>
      </c>
      <c r="R2383" s="2" t="s">
        <v>26</v>
      </c>
      <c r="S2383" s="9">
        <f t="shared" si="189"/>
        <v>1.54</v>
      </c>
    </row>
    <row r="2384" spans="1:19" x14ac:dyDescent="0.3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str">
        <f>IFERROR(VLOOKUP('Customer Info'!A2376,'Customer Info'!A2376:C2875,2,FALSE),"Not Found")</f>
        <v>Not Found</v>
      </c>
      <c r="H2384" s="6" t="str">
        <f>IFERROR(VLOOKUP('Customer Info'!A2376,'Customer Info'!A2376:C2875,3,FALSE),"Not Found")</f>
        <v>Not Found</v>
      </c>
      <c r="I2384" s="6" t="str">
        <f>IFERROR(VLOOKUP('Customer Info'!A2376,'Customer Info'!A2376:E2875,5,FALSE),"Not Found")</f>
        <v>Not Found</v>
      </c>
      <c r="J2384" s="2">
        <v>2310</v>
      </c>
      <c r="K2384" s="2">
        <v>2040</v>
      </c>
      <c r="L2384" s="2">
        <v>3</v>
      </c>
      <c r="M2384" s="7">
        <f t="shared" si="185"/>
        <v>6120</v>
      </c>
      <c r="N2384" s="7">
        <f t="shared" si="186"/>
        <v>6930</v>
      </c>
      <c r="O2384" s="2">
        <v>54</v>
      </c>
      <c r="P2384" s="8">
        <f t="shared" si="187"/>
        <v>6984</v>
      </c>
      <c r="Q2384" s="8">
        <f t="shared" si="188"/>
        <v>4890</v>
      </c>
      <c r="R2384" s="2" t="s">
        <v>28</v>
      </c>
      <c r="S2384" s="9">
        <f t="shared" si="189"/>
        <v>349.20000000000005</v>
      </c>
    </row>
    <row r="2385" spans="1:19" x14ac:dyDescent="0.3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str">
        <f>IFERROR(VLOOKUP('Customer Info'!A2377,'Customer Info'!A2377:C2876,2,FALSE),"Not Found")</f>
        <v>Not Found</v>
      </c>
      <c r="H2385" s="6" t="str">
        <f>IFERROR(VLOOKUP('Customer Info'!A2377,'Customer Info'!A2377:C2876,3,FALSE),"Not Found")</f>
        <v>Not Found</v>
      </c>
      <c r="I2385" s="6" t="str">
        <f>IFERROR(VLOOKUP('Customer Info'!A2377,'Customer Info'!A2377:E2876,5,FALSE),"Not Found")</f>
        <v>Not Found</v>
      </c>
      <c r="J2385" s="2">
        <v>4577</v>
      </c>
      <c r="K2385" s="2">
        <v>4280</v>
      </c>
      <c r="L2385" s="2">
        <v>2</v>
      </c>
      <c r="M2385" s="7">
        <f t="shared" si="185"/>
        <v>8560</v>
      </c>
      <c r="N2385" s="7">
        <f t="shared" si="186"/>
        <v>9154</v>
      </c>
      <c r="O2385" s="2">
        <v>50</v>
      </c>
      <c r="P2385" s="8">
        <f t="shared" si="187"/>
        <v>9204</v>
      </c>
      <c r="Q2385" s="8">
        <f t="shared" si="188"/>
        <v>4874</v>
      </c>
      <c r="R2385" s="2" t="s">
        <v>28</v>
      </c>
      <c r="S2385" s="9">
        <f t="shared" si="189"/>
        <v>460.20000000000005</v>
      </c>
    </row>
    <row r="2386" spans="1:19" x14ac:dyDescent="0.3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str">
        <f>IFERROR(VLOOKUP('Customer Info'!A2378,'Customer Info'!A2378:C2877,2,FALSE),"Not Found")</f>
        <v>Not Found</v>
      </c>
      <c r="H2386" s="6" t="str">
        <f>IFERROR(VLOOKUP('Customer Info'!A2378,'Customer Info'!A2378:C2877,3,FALSE),"Not Found")</f>
        <v>Not Found</v>
      </c>
      <c r="I2386" s="6" t="str">
        <f>IFERROR(VLOOKUP('Customer Info'!A2378,'Customer Info'!A2378:E2877,5,FALSE),"Not Found")</f>
        <v>Not Found</v>
      </c>
      <c r="J2386" s="2">
        <v>73</v>
      </c>
      <c r="K2386" s="2">
        <v>65</v>
      </c>
      <c r="L2386" s="2">
        <v>5</v>
      </c>
      <c r="M2386" s="7">
        <f t="shared" si="185"/>
        <v>325</v>
      </c>
      <c r="N2386" s="7">
        <f t="shared" si="186"/>
        <v>365</v>
      </c>
      <c r="O2386" s="2">
        <v>10</v>
      </c>
      <c r="P2386" s="8">
        <f t="shared" si="187"/>
        <v>375</v>
      </c>
      <c r="Q2386" s="8">
        <f t="shared" si="188"/>
        <v>300</v>
      </c>
      <c r="R2386" s="2" t="s">
        <v>28</v>
      </c>
      <c r="S2386" s="9">
        <f t="shared" si="189"/>
        <v>7.5</v>
      </c>
    </row>
    <row r="2387" spans="1:19" x14ac:dyDescent="0.3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str">
        <f>IFERROR(VLOOKUP('Customer Info'!A2379,'Customer Info'!A2379:C2878,2,FALSE),"Not Found")</f>
        <v>Not Found</v>
      </c>
      <c r="H2387" s="6" t="str">
        <f>IFERROR(VLOOKUP('Customer Info'!A2379,'Customer Info'!A2379:C2878,3,FALSE),"Not Found")</f>
        <v>Not Found</v>
      </c>
      <c r="I2387" s="6" t="str">
        <f>IFERROR(VLOOKUP('Customer Info'!A2379,'Customer Info'!A2379:E2878,5,FALSE),"Not Found")</f>
        <v>Not Found</v>
      </c>
      <c r="J2387" s="2">
        <v>151</v>
      </c>
      <c r="K2387" s="2">
        <v>139</v>
      </c>
      <c r="L2387" s="2">
        <v>3</v>
      </c>
      <c r="M2387" s="7">
        <f t="shared" si="185"/>
        <v>417</v>
      </c>
      <c r="N2387" s="7">
        <f t="shared" si="186"/>
        <v>453</v>
      </c>
      <c r="O2387" s="2">
        <v>30</v>
      </c>
      <c r="P2387" s="8">
        <f t="shared" si="187"/>
        <v>483</v>
      </c>
      <c r="Q2387" s="8">
        <f t="shared" si="188"/>
        <v>314</v>
      </c>
      <c r="R2387" s="2" t="s">
        <v>50</v>
      </c>
      <c r="S2387" s="9">
        <f t="shared" si="189"/>
        <v>9.66</v>
      </c>
    </row>
    <row r="2388" spans="1:19" x14ac:dyDescent="0.3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str">
        <f>IFERROR(VLOOKUP('Customer Info'!A2380,'Customer Info'!A2380:C2879,2,FALSE),"Not Found")</f>
        <v>Not Found</v>
      </c>
      <c r="H2388" s="6" t="str">
        <f>IFERROR(VLOOKUP('Customer Info'!A2380,'Customer Info'!A2380:C2879,3,FALSE),"Not Found")</f>
        <v>Not Found</v>
      </c>
      <c r="I2388" s="6" t="str">
        <f>IFERROR(VLOOKUP('Customer Info'!A2380,'Customer Info'!A2380:E2879,5,FALSE),"Not Found")</f>
        <v>Not Found</v>
      </c>
      <c r="J2388" s="2">
        <v>184</v>
      </c>
      <c r="K2388" s="2">
        <v>176</v>
      </c>
      <c r="L2388" s="2">
        <v>5</v>
      </c>
      <c r="M2388" s="7">
        <f t="shared" si="185"/>
        <v>880</v>
      </c>
      <c r="N2388" s="7">
        <f t="shared" si="186"/>
        <v>920</v>
      </c>
      <c r="O2388" s="2">
        <v>30</v>
      </c>
      <c r="P2388" s="8">
        <f t="shared" si="187"/>
        <v>950</v>
      </c>
      <c r="Q2388" s="8">
        <f t="shared" si="188"/>
        <v>744</v>
      </c>
      <c r="R2388" s="2" t="s">
        <v>50</v>
      </c>
      <c r="S2388" s="9">
        <f t="shared" si="189"/>
        <v>19</v>
      </c>
    </row>
    <row r="2389" spans="1:19" x14ac:dyDescent="0.3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str">
        <f>IFERROR(VLOOKUP('Customer Info'!A2381,'Customer Info'!A2381:C2880,2,FALSE),"Not Found")</f>
        <v>Not Found</v>
      </c>
      <c r="H2389" s="6" t="str">
        <f>IFERROR(VLOOKUP('Customer Info'!A2381,'Customer Info'!A2381:C2880,3,FALSE),"Not Found")</f>
        <v>Not Found</v>
      </c>
      <c r="I2389" s="6" t="str">
        <f>IFERROR(VLOOKUP('Customer Info'!A2381,'Customer Info'!A2381:E2880,5,FALSE),"Not Found")</f>
        <v>Not Found</v>
      </c>
      <c r="J2389" s="2">
        <v>456</v>
      </c>
      <c r="K2389" s="2">
        <v>430</v>
      </c>
      <c r="L2389" s="2">
        <v>3</v>
      </c>
      <c r="M2389" s="7">
        <f t="shared" si="185"/>
        <v>1290</v>
      </c>
      <c r="N2389" s="7">
        <f t="shared" si="186"/>
        <v>1368</v>
      </c>
      <c r="O2389" s="2">
        <v>81</v>
      </c>
      <c r="P2389" s="8">
        <f t="shared" si="187"/>
        <v>1449</v>
      </c>
      <c r="Q2389" s="8">
        <f t="shared" si="188"/>
        <v>938</v>
      </c>
      <c r="R2389" s="2" t="s">
        <v>50</v>
      </c>
      <c r="S2389" s="9">
        <f t="shared" si="189"/>
        <v>28.98</v>
      </c>
    </row>
    <row r="2390" spans="1:19" x14ac:dyDescent="0.3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str">
        <f>IFERROR(VLOOKUP('Customer Info'!A2382,'Customer Info'!A2382:C2881,2,FALSE),"Not Found")</f>
        <v>Not Found</v>
      </c>
      <c r="H2390" s="6" t="str">
        <f>IFERROR(VLOOKUP('Customer Info'!A2382,'Customer Info'!A2382:C2881,3,FALSE),"Not Found")</f>
        <v>Not Found</v>
      </c>
      <c r="I2390" s="6" t="str">
        <f>IFERROR(VLOOKUP('Customer Info'!A2382,'Customer Info'!A2382:E2881,5,FALSE),"Not Found")</f>
        <v>Not Found</v>
      </c>
      <c r="J2390" s="2">
        <v>674</v>
      </c>
      <c r="K2390" s="2">
        <v>629</v>
      </c>
      <c r="L2390" s="2">
        <v>5</v>
      </c>
      <c r="M2390" s="7">
        <f t="shared" si="185"/>
        <v>3145</v>
      </c>
      <c r="N2390" s="7">
        <f t="shared" si="186"/>
        <v>3370</v>
      </c>
      <c r="O2390" s="2">
        <v>81</v>
      </c>
      <c r="P2390" s="8">
        <f t="shared" si="187"/>
        <v>3451</v>
      </c>
      <c r="Q2390" s="8">
        <f t="shared" si="188"/>
        <v>2741</v>
      </c>
      <c r="R2390" s="2" t="s">
        <v>26</v>
      </c>
      <c r="S2390" s="9">
        <f t="shared" si="189"/>
        <v>69.02</v>
      </c>
    </row>
    <row r="2391" spans="1:19" x14ac:dyDescent="0.3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str">
        <f>IFERROR(VLOOKUP('Customer Info'!A2383,'Customer Info'!A2383:C2882,2,FALSE),"Not Found")</f>
        <v>Not Found</v>
      </c>
      <c r="H2391" s="6" t="str">
        <f>IFERROR(VLOOKUP('Customer Info'!A2383,'Customer Info'!A2383:C2882,3,FALSE),"Not Found")</f>
        <v>Not Found</v>
      </c>
      <c r="I2391" s="6" t="str">
        <f>IFERROR(VLOOKUP('Customer Info'!A2383,'Customer Info'!A2383:E2882,5,FALSE),"Not Found")</f>
        <v>Not Found</v>
      </c>
      <c r="J2391" s="2">
        <v>279</v>
      </c>
      <c r="K2391" s="2">
        <v>254</v>
      </c>
      <c r="L2391" s="2">
        <v>2</v>
      </c>
      <c r="M2391" s="7">
        <f t="shared" si="185"/>
        <v>508</v>
      </c>
      <c r="N2391" s="7">
        <f t="shared" si="186"/>
        <v>558</v>
      </c>
      <c r="O2391" s="2">
        <v>51</v>
      </c>
      <c r="P2391" s="8">
        <f t="shared" si="187"/>
        <v>609</v>
      </c>
      <c r="Q2391" s="8">
        <f t="shared" si="188"/>
        <v>304</v>
      </c>
      <c r="R2391" s="2" t="s">
        <v>26</v>
      </c>
      <c r="S2391" s="9">
        <f t="shared" si="189"/>
        <v>12.18</v>
      </c>
    </row>
    <row r="2392" spans="1:19" x14ac:dyDescent="0.3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str">
        <f>IFERROR(VLOOKUP('Customer Info'!A2384,'Customer Info'!A2384:C2883,2,FALSE),"Not Found")</f>
        <v>Not Found</v>
      </c>
      <c r="H2392" s="6" t="str">
        <f>IFERROR(VLOOKUP('Customer Info'!A2384,'Customer Info'!A2384:C2883,3,FALSE),"Not Found")</f>
        <v>Not Found</v>
      </c>
      <c r="I2392" s="6" t="str">
        <f>IFERROR(VLOOKUP('Customer Info'!A2384,'Customer Info'!A2384:E2883,5,FALSE),"Not Found")</f>
        <v>Not Found</v>
      </c>
      <c r="J2392" s="2">
        <v>214</v>
      </c>
      <c r="K2392" s="2">
        <v>199</v>
      </c>
      <c r="L2392" s="2">
        <v>2</v>
      </c>
      <c r="M2392" s="7">
        <f t="shared" si="185"/>
        <v>398</v>
      </c>
      <c r="N2392" s="7">
        <f t="shared" si="186"/>
        <v>428</v>
      </c>
      <c r="O2392" s="2">
        <v>45</v>
      </c>
      <c r="P2392" s="8">
        <f t="shared" si="187"/>
        <v>473</v>
      </c>
      <c r="Q2392" s="8">
        <f t="shared" si="188"/>
        <v>229</v>
      </c>
      <c r="R2392" s="2" t="s">
        <v>28</v>
      </c>
      <c r="S2392" s="9">
        <f t="shared" si="189"/>
        <v>9.4600000000000009</v>
      </c>
    </row>
    <row r="2393" spans="1:19" x14ac:dyDescent="0.3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str">
        <f>IFERROR(VLOOKUP('Customer Info'!A2385,'Customer Info'!A2385:C2884,2,FALSE),"Not Found")</f>
        <v>Not Found</v>
      </c>
      <c r="H2393" s="6" t="str">
        <f>IFERROR(VLOOKUP('Customer Info'!A2385,'Customer Info'!A2385:C2884,3,FALSE),"Not Found")</f>
        <v>Not Found</v>
      </c>
      <c r="I2393" s="6" t="str">
        <f>IFERROR(VLOOKUP('Customer Info'!A2385,'Customer Info'!A2385:E2884,5,FALSE),"Not Found")</f>
        <v>Not Found</v>
      </c>
      <c r="J2393" s="2">
        <v>38328</v>
      </c>
      <c r="K2393" s="2">
        <v>35164</v>
      </c>
      <c r="L2393" s="2">
        <v>2</v>
      </c>
      <c r="M2393" s="7">
        <f t="shared" si="185"/>
        <v>70328</v>
      </c>
      <c r="N2393" s="7">
        <f t="shared" si="186"/>
        <v>76656</v>
      </c>
      <c r="O2393" s="2">
        <v>49</v>
      </c>
      <c r="P2393" s="8">
        <f t="shared" si="187"/>
        <v>76705</v>
      </c>
      <c r="Q2393" s="8">
        <f t="shared" si="188"/>
        <v>41492</v>
      </c>
      <c r="R2393" s="2" t="s">
        <v>26</v>
      </c>
      <c r="S2393" s="9">
        <f t="shared" si="189"/>
        <v>6903.45</v>
      </c>
    </row>
    <row r="2394" spans="1:19" x14ac:dyDescent="0.3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str">
        <f>IFERROR(VLOOKUP('Customer Info'!A2386,'Customer Info'!A2386:C2885,2,FALSE),"Not Found")</f>
        <v>Not Found</v>
      </c>
      <c r="H2394" s="6" t="str">
        <f>IFERROR(VLOOKUP('Customer Info'!A2386,'Customer Info'!A2386:C2885,3,FALSE),"Not Found")</f>
        <v>Not Found</v>
      </c>
      <c r="I2394" s="6" t="str">
        <f>IFERROR(VLOOKUP('Customer Info'!A2386,'Customer Info'!A2386:E2885,5,FALSE),"Not Found")</f>
        <v>Not Found</v>
      </c>
      <c r="J2394" s="2">
        <v>1399</v>
      </c>
      <c r="K2394" s="2">
        <v>1308</v>
      </c>
      <c r="L2394" s="2">
        <v>3</v>
      </c>
      <c r="M2394" s="7">
        <f t="shared" si="185"/>
        <v>3924</v>
      </c>
      <c r="N2394" s="7">
        <f t="shared" si="186"/>
        <v>4197</v>
      </c>
      <c r="O2394" s="2">
        <v>42</v>
      </c>
      <c r="P2394" s="8">
        <f t="shared" si="187"/>
        <v>4239</v>
      </c>
      <c r="Q2394" s="8">
        <f t="shared" si="188"/>
        <v>2889</v>
      </c>
      <c r="R2394" s="2" t="s">
        <v>50</v>
      </c>
      <c r="S2394" s="9">
        <f t="shared" si="189"/>
        <v>84.78</v>
      </c>
    </row>
    <row r="2395" spans="1:19" x14ac:dyDescent="0.3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str">
        <f>IFERROR(VLOOKUP('Customer Info'!A2387,'Customer Info'!A2387:C2886,2,FALSE),"Not Found")</f>
        <v>Not Found</v>
      </c>
      <c r="H2395" s="6" t="str">
        <f>IFERROR(VLOOKUP('Customer Info'!A2387,'Customer Info'!A2387:C2886,3,FALSE),"Not Found")</f>
        <v>Not Found</v>
      </c>
      <c r="I2395" s="6" t="str">
        <f>IFERROR(VLOOKUP('Customer Info'!A2387,'Customer Info'!A2387:E2886,5,FALSE),"Not Found")</f>
        <v>Not Found</v>
      </c>
      <c r="J2395" s="2">
        <v>542</v>
      </c>
      <c r="K2395" s="2">
        <v>492</v>
      </c>
      <c r="L2395" s="2">
        <v>7</v>
      </c>
      <c r="M2395" s="7">
        <f t="shared" si="185"/>
        <v>3444</v>
      </c>
      <c r="N2395" s="7">
        <f t="shared" si="186"/>
        <v>3794</v>
      </c>
      <c r="O2395" s="2">
        <v>53</v>
      </c>
      <c r="P2395" s="8">
        <f t="shared" si="187"/>
        <v>3847</v>
      </c>
      <c r="Q2395" s="8">
        <f t="shared" si="188"/>
        <v>3302</v>
      </c>
      <c r="R2395" s="2" t="s">
        <v>56</v>
      </c>
      <c r="S2395" s="9">
        <f t="shared" si="189"/>
        <v>76.94</v>
      </c>
    </row>
    <row r="2396" spans="1:19" x14ac:dyDescent="0.3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str">
        <f>IFERROR(VLOOKUP('Customer Info'!A2388,'Customer Info'!A2388:C2887,2,FALSE),"Not Found")</f>
        <v>Not Found</v>
      </c>
      <c r="H2396" s="6" t="str">
        <f>IFERROR(VLOOKUP('Customer Info'!A2388,'Customer Info'!A2388:C2887,3,FALSE),"Not Found")</f>
        <v>Not Found</v>
      </c>
      <c r="I2396" s="6" t="str">
        <f>IFERROR(VLOOKUP('Customer Info'!A2388,'Customer Info'!A2388:E2887,5,FALSE),"Not Found")</f>
        <v>Not Found</v>
      </c>
      <c r="J2396" s="2">
        <v>5051</v>
      </c>
      <c r="K2396" s="2">
        <v>4634</v>
      </c>
      <c r="L2396" s="2">
        <v>4</v>
      </c>
      <c r="M2396" s="7">
        <f t="shared" si="185"/>
        <v>18536</v>
      </c>
      <c r="N2396" s="7">
        <f t="shared" si="186"/>
        <v>20204</v>
      </c>
      <c r="O2396" s="2">
        <v>59</v>
      </c>
      <c r="P2396" s="8">
        <f t="shared" si="187"/>
        <v>20263</v>
      </c>
      <c r="Q2396" s="8">
        <f t="shared" si="188"/>
        <v>15570</v>
      </c>
      <c r="R2396" s="2" t="s">
        <v>26</v>
      </c>
      <c r="S2396" s="9">
        <f t="shared" si="189"/>
        <v>1013.1500000000001</v>
      </c>
    </row>
    <row r="2397" spans="1:19" x14ac:dyDescent="0.3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str">
        <f>IFERROR(VLOOKUP('Customer Info'!A2389,'Customer Info'!A2389:C2888,2,FALSE),"Not Found")</f>
        <v>Not Found</v>
      </c>
      <c r="H2397" s="6" t="str">
        <f>IFERROR(VLOOKUP('Customer Info'!A2389,'Customer Info'!A2389:C2888,3,FALSE),"Not Found")</f>
        <v>Not Found</v>
      </c>
      <c r="I2397" s="6" t="str">
        <f>IFERROR(VLOOKUP('Customer Info'!A2389,'Customer Info'!A2389:E2888,5,FALSE),"Not Found")</f>
        <v>Not Found</v>
      </c>
      <c r="J2397" s="2">
        <v>1790</v>
      </c>
      <c r="K2397" s="2">
        <v>1706</v>
      </c>
      <c r="L2397" s="2">
        <v>3</v>
      </c>
      <c r="M2397" s="7">
        <f t="shared" si="185"/>
        <v>5118</v>
      </c>
      <c r="N2397" s="7">
        <f t="shared" si="186"/>
        <v>5370</v>
      </c>
      <c r="O2397" s="2">
        <v>50</v>
      </c>
      <c r="P2397" s="8">
        <f t="shared" si="187"/>
        <v>5420</v>
      </c>
      <c r="Q2397" s="8">
        <f t="shared" si="188"/>
        <v>3664</v>
      </c>
      <c r="R2397" s="2" t="s">
        <v>28</v>
      </c>
      <c r="S2397" s="9">
        <f t="shared" si="189"/>
        <v>271</v>
      </c>
    </row>
    <row r="2398" spans="1:19" x14ac:dyDescent="0.3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str">
        <f>IFERROR(VLOOKUP('Customer Info'!A2390,'Customer Info'!A2390:C2889,2,FALSE),"Not Found")</f>
        <v>Not Found</v>
      </c>
      <c r="H2398" s="6" t="str">
        <f>IFERROR(VLOOKUP('Customer Info'!A2390,'Customer Info'!A2390:C2889,3,FALSE),"Not Found")</f>
        <v>Not Found</v>
      </c>
      <c r="I2398" s="6" t="str">
        <f>IFERROR(VLOOKUP('Customer Info'!A2390,'Customer Info'!A2390:E2889,5,FALSE),"Not Found")</f>
        <v>Not Found</v>
      </c>
      <c r="J2398" s="2">
        <v>2907</v>
      </c>
      <c r="K2398" s="2">
        <v>2667</v>
      </c>
      <c r="L2398" s="2">
        <v>4</v>
      </c>
      <c r="M2398" s="7">
        <f t="shared" si="185"/>
        <v>10668</v>
      </c>
      <c r="N2398" s="7">
        <f t="shared" si="186"/>
        <v>11628</v>
      </c>
      <c r="O2398" s="2">
        <v>91</v>
      </c>
      <c r="P2398" s="8">
        <f t="shared" si="187"/>
        <v>11719</v>
      </c>
      <c r="Q2398" s="8">
        <f t="shared" si="188"/>
        <v>8961</v>
      </c>
      <c r="R2398" s="2" t="s">
        <v>28</v>
      </c>
      <c r="S2398" s="9">
        <f t="shared" si="189"/>
        <v>585.95000000000005</v>
      </c>
    </row>
    <row r="2399" spans="1:19" x14ac:dyDescent="0.3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str">
        <f>IFERROR(VLOOKUP('Customer Info'!A2391,'Customer Info'!A2391:C2890,2,FALSE),"Not Found")</f>
        <v>Not Found</v>
      </c>
      <c r="H2399" s="6" t="str">
        <f>IFERROR(VLOOKUP('Customer Info'!A2391,'Customer Info'!A2391:C2890,3,FALSE),"Not Found")</f>
        <v>Not Found</v>
      </c>
      <c r="I2399" s="6" t="str">
        <f>IFERROR(VLOOKUP('Customer Info'!A2391,'Customer Info'!A2391:E2890,5,FALSE),"Not Found")</f>
        <v>Not Found</v>
      </c>
      <c r="J2399" s="2">
        <v>2981</v>
      </c>
      <c r="K2399" s="2">
        <v>2870</v>
      </c>
      <c r="L2399" s="2">
        <v>2</v>
      </c>
      <c r="M2399" s="7">
        <f t="shared" si="185"/>
        <v>5740</v>
      </c>
      <c r="N2399" s="7">
        <f t="shared" si="186"/>
        <v>5962</v>
      </c>
      <c r="O2399" s="2">
        <v>21</v>
      </c>
      <c r="P2399" s="8">
        <f t="shared" si="187"/>
        <v>5983</v>
      </c>
      <c r="Q2399" s="8">
        <f t="shared" si="188"/>
        <v>3092</v>
      </c>
      <c r="R2399" s="2" t="s">
        <v>26</v>
      </c>
      <c r="S2399" s="9">
        <f t="shared" si="189"/>
        <v>299.15000000000003</v>
      </c>
    </row>
    <row r="2400" spans="1:19" x14ac:dyDescent="0.3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str">
        <f>IFERROR(VLOOKUP('Customer Info'!A2392,'Customer Info'!A2392:C2891,2,FALSE),"Not Found")</f>
        <v>Not Found</v>
      </c>
      <c r="H2400" s="6" t="str">
        <f>IFERROR(VLOOKUP('Customer Info'!A2392,'Customer Info'!A2392:C2891,3,FALSE),"Not Found")</f>
        <v>Not Found</v>
      </c>
      <c r="I2400" s="6" t="str">
        <f>IFERROR(VLOOKUP('Customer Info'!A2392,'Customer Info'!A2392:E2891,5,FALSE),"Not Found")</f>
        <v>Not Found</v>
      </c>
      <c r="J2400" s="2">
        <v>1205</v>
      </c>
      <c r="K2400" s="2">
        <v>1159</v>
      </c>
      <c r="L2400" s="2">
        <v>14</v>
      </c>
      <c r="M2400" s="7">
        <f t="shared" si="185"/>
        <v>16226</v>
      </c>
      <c r="N2400" s="7">
        <f t="shared" si="186"/>
        <v>16870</v>
      </c>
      <c r="O2400" s="2">
        <v>57</v>
      </c>
      <c r="P2400" s="8">
        <f t="shared" si="187"/>
        <v>16927</v>
      </c>
      <c r="Q2400" s="8">
        <f t="shared" si="188"/>
        <v>15711</v>
      </c>
      <c r="R2400" s="2" t="s">
        <v>28</v>
      </c>
      <c r="S2400" s="9">
        <f t="shared" si="189"/>
        <v>846.35</v>
      </c>
    </row>
    <row r="2401" spans="1:19" x14ac:dyDescent="0.3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str">
        <f>IFERROR(VLOOKUP('Customer Info'!A2393,'Customer Info'!A2393:C2892,2,FALSE),"Not Found")</f>
        <v>Not Found</v>
      </c>
      <c r="H2401" s="6" t="str">
        <f>IFERROR(VLOOKUP('Customer Info'!A2393,'Customer Info'!A2393:C2892,3,FALSE),"Not Found")</f>
        <v>Not Found</v>
      </c>
      <c r="I2401" s="6" t="str">
        <f>IFERROR(VLOOKUP('Customer Info'!A2393,'Customer Info'!A2393:E2892,5,FALSE),"Not Found")</f>
        <v>Not Found</v>
      </c>
      <c r="J2401" s="2">
        <v>2951</v>
      </c>
      <c r="K2401" s="2">
        <v>2786</v>
      </c>
      <c r="L2401" s="2">
        <v>1</v>
      </c>
      <c r="M2401" s="7">
        <f t="shared" si="185"/>
        <v>2786</v>
      </c>
      <c r="N2401" s="7">
        <f t="shared" si="186"/>
        <v>2951</v>
      </c>
      <c r="O2401" s="2">
        <v>28</v>
      </c>
      <c r="P2401" s="8">
        <f t="shared" si="187"/>
        <v>2979</v>
      </c>
      <c r="Q2401" s="8">
        <f t="shared" si="188"/>
        <v>165</v>
      </c>
      <c r="R2401" s="2" t="s">
        <v>28</v>
      </c>
      <c r="S2401" s="9">
        <f t="shared" si="189"/>
        <v>59.58</v>
      </c>
    </row>
    <row r="2402" spans="1:19" x14ac:dyDescent="0.3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str">
        <f>IFERROR(VLOOKUP('Customer Info'!A2394,'Customer Info'!A2394:C2893,2,FALSE),"Not Found")</f>
        <v>Not Found</v>
      </c>
      <c r="H2402" s="6" t="str">
        <f>IFERROR(VLOOKUP('Customer Info'!A2394,'Customer Info'!A2394:C2893,3,FALSE),"Not Found")</f>
        <v>Not Found</v>
      </c>
      <c r="I2402" s="6" t="str">
        <f>IFERROR(VLOOKUP('Customer Info'!A2394,'Customer Info'!A2394:E2893,5,FALSE),"Not Found")</f>
        <v>Not Found</v>
      </c>
      <c r="J2402" s="2">
        <v>1774</v>
      </c>
      <c r="K2402" s="2">
        <v>1642</v>
      </c>
      <c r="L2402" s="2">
        <v>3</v>
      </c>
      <c r="M2402" s="7">
        <f t="shared" si="185"/>
        <v>4926</v>
      </c>
      <c r="N2402" s="7">
        <f t="shared" si="186"/>
        <v>5322</v>
      </c>
      <c r="O2402" s="2">
        <v>65</v>
      </c>
      <c r="P2402" s="8">
        <f t="shared" si="187"/>
        <v>5387</v>
      </c>
      <c r="Q2402" s="8">
        <f t="shared" si="188"/>
        <v>3680</v>
      </c>
      <c r="R2402" s="2" t="s">
        <v>28</v>
      </c>
      <c r="S2402" s="9">
        <f t="shared" si="189"/>
        <v>269.35000000000002</v>
      </c>
    </row>
    <row r="2403" spans="1:19" x14ac:dyDescent="0.3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str">
        <f>IFERROR(VLOOKUP('Customer Info'!A2395,'Customer Info'!A2395:C2894,2,FALSE),"Not Found")</f>
        <v>Not Found</v>
      </c>
      <c r="H2403" s="6" t="str">
        <f>IFERROR(VLOOKUP('Customer Info'!A2395,'Customer Info'!A2395:C2894,3,FALSE),"Not Found")</f>
        <v>Not Found</v>
      </c>
      <c r="I2403" s="6" t="str">
        <f>IFERROR(VLOOKUP('Customer Info'!A2395,'Customer Info'!A2395:E2894,5,FALSE),"Not Found")</f>
        <v>Not Found</v>
      </c>
      <c r="J2403" s="2">
        <v>789</v>
      </c>
      <c r="K2403" s="2">
        <v>739</v>
      </c>
      <c r="L2403" s="2">
        <v>3</v>
      </c>
      <c r="M2403" s="7">
        <f t="shared" si="185"/>
        <v>2217</v>
      </c>
      <c r="N2403" s="7">
        <f t="shared" si="186"/>
        <v>2367</v>
      </c>
      <c r="O2403" s="2">
        <v>61</v>
      </c>
      <c r="P2403" s="8">
        <f t="shared" si="187"/>
        <v>2428</v>
      </c>
      <c r="Q2403" s="8">
        <f t="shared" si="188"/>
        <v>1628</v>
      </c>
      <c r="R2403" s="2" t="s">
        <v>26</v>
      </c>
      <c r="S2403" s="9">
        <f t="shared" si="189"/>
        <v>48.56</v>
      </c>
    </row>
    <row r="2404" spans="1:19" x14ac:dyDescent="0.3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str">
        <f>IFERROR(VLOOKUP('Customer Info'!A2396,'Customer Info'!A2396:C2895,2,FALSE),"Not Found")</f>
        <v>Not Found</v>
      </c>
      <c r="H2404" s="6" t="str">
        <f>IFERROR(VLOOKUP('Customer Info'!A2396,'Customer Info'!A2396:C2895,3,FALSE),"Not Found")</f>
        <v>Not Found</v>
      </c>
      <c r="I2404" s="6" t="str">
        <f>IFERROR(VLOOKUP('Customer Info'!A2396,'Customer Info'!A2396:E2895,5,FALSE),"Not Found")</f>
        <v>Not Found</v>
      </c>
      <c r="J2404" s="2">
        <v>1283</v>
      </c>
      <c r="K2404" s="2">
        <v>1187</v>
      </c>
      <c r="L2404" s="2">
        <v>1</v>
      </c>
      <c r="M2404" s="7">
        <f t="shared" si="185"/>
        <v>1187</v>
      </c>
      <c r="N2404" s="7">
        <f t="shared" si="186"/>
        <v>1283</v>
      </c>
      <c r="O2404" s="2">
        <v>83</v>
      </c>
      <c r="P2404" s="8">
        <f t="shared" si="187"/>
        <v>1366</v>
      </c>
      <c r="Q2404" s="8">
        <f t="shared" si="188"/>
        <v>96</v>
      </c>
      <c r="R2404" s="2" t="s">
        <v>28</v>
      </c>
      <c r="S2404" s="9">
        <f t="shared" si="189"/>
        <v>27.32</v>
      </c>
    </row>
    <row r="2405" spans="1:19" x14ac:dyDescent="0.3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str">
        <f>IFERROR(VLOOKUP('Customer Info'!A2397,'Customer Info'!A2397:C2896,2,FALSE),"Not Found")</f>
        <v>Not Found</v>
      </c>
      <c r="H2405" s="6" t="str">
        <f>IFERROR(VLOOKUP('Customer Info'!A2397,'Customer Info'!A2397:C2896,3,FALSE),"Not Found")</f>
        <v>Not Found</v>
      </c>
      <c r="I2405" s="6" t="str">
        <f>IFERROR(VLOOKUP('Customer Info'!A2397,'Customer Info'!A2397:E2896,5,FALSE),"Not Found")</f>
        <v>Not Found</v>
      </c>
      <c r="J2405" s="2">
        <v>61</v>
      </c>
      <c r="K2405" s="2">
        <v>56</v>
      </c>
      <c r="L2405" s="2">
        <v>5</v>
      </c>
      <c r="M2405" s="7">
        <f t="shared" si="185"/>
        <v>280</v>
      </c>
      <c r="N2405" s="7">
        <f t="shared" si="186"/>
        <v>305</v>
      </c>
      <c r="O2405" s="2">
        <v>10</v>
      </c>
      <c r="P2405" s="8">
        <f t="shared" si="187"/>
        <v>315</v>
      </c>
      <c r="Q2405" s="8">
        <f t="shared" si="188"/>
        <v>249</v>
      </c>
      <c r="R2405" s="2" t="s">
        <v>28</v>
      </c>
      <c r="S2405" s="9">
        <f t="shared" si="189"/>
        <v>6.3</v>
      </c>
    </row>
    <row r="2406" spans="1:19" x14ac:dyDescent="0.3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str">
        <f>IFERROR(VLOOKUP('Customer Info'!A2398,'Customer Info'!A2398:C2897,2,FALSE),"Not Found")</f>
        <v>Not Found</v>
      </c>
      <c r="H2406" s="6" t="str">
        <f>IFERROR(VLOOKUP('Customer Info'!A2398,'Customer Info'!A2398:C2897,3,FALSE),"Not Found")</f>
        <v>Not Found</v>
      </c>
      <c r="I2406" s="6" t="str">
        <f>IFERROR(VLOOKUP('Customer Info'!A2398,'Customer Info'!A2398:E2897,5,FALSE),"Not Found")</f>
        <v>Not Found</v>
      </c>
      <c r="J2406" s="2">
        <v>8022</v>
      </c>
      <c r="K2406" s="2">
        <v>7868</v>
      </c>
      <c r="L2406" s="2">
        <v>1</v>
      </c>
      <c r="M2406" s="7">
        <f t="shared" si="185"/>
        <v>7868</v>
      </c>
      <c r="N2406" s="7">
        <f t="shared" si="186"/>
        <v>8022</v>
      </c>
      <c r="O2406" s="2">
        <v>86</v>
      </c>
      <c r="P2406" s="8">
        <f t="shared" si="187"/>
        <v>8108</v>
      </c>
      <c r="Q2406" s="8">
        <f t="shared" si="188"/>
        <v>154</v>
      </c>
      <c r="R2406" s="2" t="s">
        <v>28</v>
      </c>
      <c r="S2406" s="9">
        <f t="shared" si="189"/>
        <v>405.40000000000003</v>
      </c>
    </row>
    <row r="2407" spans="1:19" x14ac:dyDescent="0.3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str">
        <f>IFERROR(VLOOKUP('Customer Info'!A2399,'Customer Info'!A2399:C2898,2,FALSE),"Not Found")</f>
        <v>Not Found</v>
      </c>
      <c r="H2407" s="6" t="str">
        <f>IFERROR(VLOOKUP('Customer Info'!A2399,'Customer Info'!A2399:C2898,3,FALSE),"Not Found")</f>
        <v>Not Found</v>
      </c>
      <c r="I2407" s="6" t="str">
        <f>IFERROR(VLOOKUP('Customer Info'!A2399,'Customer Info'!A2399:E2898,5,FALSE),"Not Found")</f>
        <v>Not Found</v>
      </c>
      <c r="J2407" s="2">
        <v>7474</v>
      </c>
      <c r="K2407" s="2">
        <v>6858</v>
      </c>
      <c r="L2407" s="2">
        <v>4</v>
      </c>
      <c r="M2407" s="7">
        <f t="shared" si="185"/>
        <v>27432</v>
      </c>
      <c r="N2407" s="7">
        <f t="shared" si="186"/>
        <v>29896</v>
      </c>
      <c r="O2407" s="2">
        <v>52</v>
      </c>
      <c r="P2407" s="8">
        <f t="shared" si="187"/>
        <v>29948</v>
      </c>
      <c r="Q2407" s="8">
        <f t="shared" si="188"/>
        <v>23038</v>
      </c>
      <c r="R2407" s="2" t="s">
        <v>28</v>
      </c>
      <c r="S2407" s="9">
        <f t="shared" si="189"/>
        <v>2096.36</v>
      </c>
    </row>
    <row r="2408" spans="1:19" x14ac:dyDescent="0.3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str">
        <f>IFERROR(VLOOKUP('Customer Info'!A2400,'Customer Info'!A2400:C2899,2,FALSE),"Not Found")</f>
        <v>Not Found</v>
      </c>
      <c r="H2408" s="6" t="str">
        <f>IFERROR(VLOOKUP('Customer Info'!A2400,'Customer Info'!A2400:C2899,3,FALSE),"Not Found")</f>
        <v>Not Found</v>
      </c>
      <c r="I2408" s="6" t="str">
        <f>IFERROR(VLOOKUP('Customer Info'!A2400,'Customer Info'!A2400:E2899,5,FALSE),"Not Found")</f>
        <v>Not Found</v>
      </c>
      <c r="J2408" s="2">
        <v>67</v>
      </c>
      <c r="K2408" s="2">
        <v>62</v>
      </c>
      <c r="L2408" s="2">
        <v>2</v>
      </c>
      <c r="M2408" s="7">
        <f t="shared" si="185"/>
        <v>124</v>
      </c>
      <c r="N2408" s="7">
        <f t="shared" si="186"/>
        <v>134</v>
      </c>
      <c r="O2408" s="2">
        <v>10</v>
      </c>
      <c r="P2408" s="8">
        <f t="shared" si="187"/>
        <v>144</v>
      </c>
      <c r="Q2408" s="8">
        <f t="shared" si="188"/>
        <v>72</v>
      </c>
      <c r="R2408" s="2" t="s">
        <v>28</v>
      </c>
      <c r="S2408" s="9">
        <f t="shared" si="189"/>
        <v>2.88</v>
      </c>
    </row>
    <row r="2409" spans="1:19" x14ac:dyDescent="0.3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str">
        <f>IFERROR(VLOOKUP('Customer Info'!A2401,'Customer Info'!A2401:C2900,2,FALSE),"Not Found")</f>
        <v>Not Found</v>
      </c>
      <c r="H2409" s="6" t="str">
        <f>IFERROR(VLOOKUP('Customer Info'!A2401,'Customer Info'!A2401:C2900,3,FALSE),"Not Found")</f>
        <v>Not Found</v>
      </c>
      <c r="I2409" s="6" t="str">
        <f>IFERROR(VLOOKUP('Customer Info'!A2401,'Customer Info'!A2401:E2900,5,FALSE),"Not Found")</f>
        <v>Not Found</v>
      </c>
      <c r="J2409" s="2">
        <v>140</v>
      </c>
      <c r="K2409" s="2">
        <v>137</v>
      </c>
      <c r="L2409" s="2">
        <v>2</v>
      </c>
      <c r="M2409" s="7">
        <f t="shared" si="185"/>
        <v>274</v>
      </c>
      <c r="N2409" s="7">
        <f t="shared" si="186"/>
        <v>280</v>
      </c>
      <c r="O2409" s="2">
        <v>30</v>
      </c>
      <c r="P2409" s="8">
        <f t="shared" si="187"/>
        <v>310</v>
      </c>
      <c r="Q2409" s="8">
        <f t="shared" si="188"/>
        <v>143</v>
      </c>
      <c r="R2409" s="2" t="s">
        <v>28</v>
      </c>
      <c r="S2409" s="9">
        <f t="shared" si="189"/>
        <v>6.2</v>
      </c>
    </row>
    <row r="2410" spans="1:19" x14ac:dyDescent="0.3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str">
        <f>IFERROR(VLOOKUP('Customer Info'!A2402,'Customer Info'!A2402:C2901,2,FALSE),"Not Found")</f>
        <v>Not Found</v>
      </c>
      <c r="H2410" s="6" t="str">
        <f>IFERROR(VLOOKUP('Customer Info'!A2402,'Customer Info'!A2402:C2901,3,FALSE),"Not Found")</f>
        <v>Not Found</v>
      </c>
      <c r="I2410" s="6" t="str">
        <f>IFERROR(VLOOKUP('Customer Info'!A2402,'Customer Info'!A2402:E2901,5,FALSE),"Not Found")</f>
        <v>Not Found</v>
      </c>
      <c r="J2410" s="2">
        <v>8022</v>
      </c>
      <c r="K2410" s="2">
        <v>7868</v>
      </c>
      <c r="L2410" s="2">
        <v>2</v>
      </c>
      <c r="M2410" s="7">
        <f t="shared" si="185"/>
        <v>15736</v>
      </c>
      <c r="N2410" s="7">
        <f t="shared" si="186"/>
        <v>16044</v>
      </c>
      <c r="O2410" s="2">
        <v>96</v>
      </c>
      <c r="P2410" s="8">
        <f t="shared" si="187"/>
        <v>16140</v>
      </c>
      <c r="Q2410" s="8">
        <f t="shared" si="188"/>
        <v>8176</v>
      </c>
      <c r="R2410" s="2" t="s">
        <v>50</v>
      </c>
      <c r="S2410" s="9">
        <f t="shared" si="189"/>
        <v>807</v>
      </c>
    </row>
    <row r="2411" spans="1:19" x14ac:dyDescent="0.3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str">
        <f>IFERROR(VLOOKUP('Customer Info'!A2403,'Customer Info'!A2403:C2902,2,FALSE),"Not Found")</f>
        <v>Not Found</v>
      </c>
      <c r="H2411" s="6" t="str">
        <f>IFERROR(VLOOKUP('Customer Info'!A2403,'Customer Info'!A2403:C2902,3,FALSE),"Not Found")</f>
        <v>Not Found</v>
      </c>
      <c r="I2411" s="6" t="str">
        <f>IFERROR(VLOOKUP('Customer Info'!A2403,'Customer Info'!A2403:E2902,5,FALSE),"Not Found")</f>
        <v>Not Found</v>
      </c>
      <c r="J2411" s="2">
        <v>8967</v>
      </c>
      <c r="K2411" s="2">
        <v>8151</v>
      </c>
      <c r="L2411" s="2">
        <v>1</v>
      </c>
      <c r="M2411" s="7">
        <f t="shared" si="185"/>
        <v>8151</v>
      </c>
      <c r="N2411" s="7">
        <f t="shared" si="186"/>
        <v>8967</v>
      </c>
      <c r="O2411" s="2">
        <v>41</v>
      </c>
      <c r="P2411" s="8">
        <f t="shared" si="187"/>
        <v>9008</v>
      </c>
      <c r="Q2411" s="8">
        <f t="shared" si="188"/>
        <v>816</v>
      </c>
      <c r="R2411" s="2" t="s">
        <v>28</v>
      </c>
      <c r="S2411" s="9">
        <f t="shared" si="189"/>
        <v>450.40000000000003</v>
      </c>
    </row>
    <row r="2412" spans="1:19" x14ac:dyDescent="0.3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str">
        <f>IFERROR(VLOOKUP('Customer Info'!A2404,'Customer Info'!A2404:C2903,2,FALSE),"Not Found")</f>
        <v>Not Found</v>
      </c>
      <c r="H2412" s="6" t="str">
        <f>IFERROR(VLOOKUP('Customer Info'!A2404,'Customer Info'!A2404:C2903,3,FALSE),"Not Found")</f>
        <v>Not Found</v>
      </c>
      <c r="I2412" s="6" t="str">
        <f>IFERROR(VLOOKUP('Customer Info'!A2404,'Customer Info'!A2404:E2903,5,FALSE),"Not Found")</f>
        <v>Not Found</v>
      </c>
      <c r="J2412" s="2">
        <v>2007</v>
      </c>
      <c r="K2412" s="2">
        <v>1839</v>
      </c>
      <c r="L2412" s="2">
        <v>1</v>
      </c>
      <c r="M2412" s="7">
        <f t="shared" si="185"/>
        <v>1839</v>
      </c>
      <c r="N2412" s="7">
        <f t="shared" si="186"/>
        <v>2007</v>
      </c>
      <c r="O2412" s="2">
        <v>97</v>
      </c>
      <c r="P2412" s="8">
        <f t="shared" si="187"/>
        <v>2104</v>
      </c>
      <c r="Q2412" s="8">
        <f t="shared" si="188"/>
        <v>168</v>
      </c>
      <c r="R2412" s="2" t="s">
        <v>26</v>
      </c>
      <c r="S2412" s="9">
        <f t="shared" si="189"/>
        <v>42.08</v>
      </c>
    </row>
    <row r="2413" spans="1:19" x14ac:dyDescent="0.3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str">
        <f>IFERROR(VLOOKUP('Customer Info'!A2405,'Customer Info'!A2405:C2904,2,FALSE),"Not Found")</f>
        <v>Not Found</v>
      </c>
      <c r="H2413" s="6" t="str">
        <f>IFERROR(VLOOKUP('Customer Info'!A2405,'Customer Info'!A2405:C2904,3,FALSE),"Not Found")</f>
        <v>Not Found</v>
      </c>
      <c r="I2413" s="6" t="str">
        <f>IFERROR(VLOOKUP('Customer Info'!A2405,'Customer Info'!A2405:E2904,5,FALSE),"Not Found")</f>
        <v>Not Found</v>
      </c>
      <c r="J2413" s="2">
        <v>658</v>
      </c>
      <c r="K2413" s="2">
        <v>615</v>
      </c>
      <c r="L2413" s="2">
        <v>3</v>
      </c>
      <c r="M2413" s="7">
        <f t="shared" si="185"/>
        <v>1845</v>
      </c>
      <c r="N2413" s="7">
        <f t="shared" si="186"/>
        <v>1974</v>
      </c>
      <c r="O2413" s="2">
        <v>73</v>
      </c>
      <c r="P2413" s="8">
        <f t="shared" si="187"/>
        <v>2047</v>
      </c>
      <c r="Q2413" s="8">
        <f t="shared" si="188"/>
        <v>1359</v>
      </c>
      <c r="R2413" s="2" t="s">
        <v>28</v>
      </c>
      <c r="S2413" s="9">
        <f t="shared" si="189"/>
        <v>40.94</v>
      </c>
    </row>
    <row r="2414" spans="1:19" x14ac:dyDescent="0.3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str">
        <f>IFERROR(VLOOKUP('Customer Info'!A2406,'Customer Info'!A2406:C2905,2,FALSE),"Not Found")</f>
        <v>Not Found</v>
      </c>
      <c r="H2414" s="6" t="str">
        <f>IFERROR(VLOOKUP('Customer Info'!A2406,'Customer Info'!A2406:C2905,3,FALSE),"Not Found")</f>
        <v>Not Found</v>
      </c>
      <c r="I2414" s="6" t="str">
        <f>IFERROR(VLOOKUP('Customer Info'!A2406,'Customer Info'!A2406:E2905,5,FALSE),"Not Found")</f>
        <v>Not Found</v>
      </c>
      <c r="J2414" s="2">
        <v>2242</v>
      </c>
      <c r="K2414" s="2">
        <v>2075</v>
      </c>
      <c r="L2414" s="2">
        <v>6</v>
      </c>
      <c r="M2414" s="7">
        <f t="shared" si="185"/>
        <v>12450</v>
      </c>
      <c r="N2414" s="7">
        <f t="shared" si="186"/>
        <v>13452</v>
      </c>
      <c r="O2414" s="2">
        <v>57</v>
      </c>
      <c r="P2414" s="8">
        <f t="shared" si="187"/>
        <v>13509</v>
      </c>
      <c r="Q2414" s="8">
        <f t="shared" si="188"/>
        <v>11377</v>
      </c>
      <c r="R2414" s="2" t="s">
        <v>28</v>
      </c>
      <c r="S2414" s="9">
        <f t="shared" si="189"/>
        <v>675.45</v>
      </c>
    </row>
    <row r="2415" spans="1:19" x14ac:dyDescent="0.3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str">
        <f>IFERROR(VLOOKUP('Customer Info'!A2407,'Customer Info'!A2407:C2906,2,FALSE),"Not Found")</f>
        <v>Not Found</v>
      </c>
      <c r="H2415" s="6" t="str">
        <f>IFERROR(VLOOKUP('Customer Info'!A2407,'Customer Info'!A2407:C2906,3,FALSE),"Not Found")</f>
        <v>Not Found</v>
      </c>
      <c r="I2415" s="6" t="str">
        <f>IFERROR(VLOOKUP('Customer Info'!A2407,'Customer Info'!A2407:E2906,5,FALSE),"Not Found")</f>
        <v>Not Found</v>
      </c>
      <c r="J2415" s="2">
        <v>5909</v>
      </c>
      <c r="K2415" s="2">
        <v>5528</v>
      </c>
      <c r="L2415" s="2">
        <v>3</v>
      </c>
      <c r="M2415" s="7">
        <f t="shared" si="185"/>
        <v>16584</v>
      </c>
      <c r="N2415" s="7">
        <f t="shared" si="186"/>
        <v>17727</v>
      </c>
      <c r="O2415" s="2">
        <v>57</v>
      </c>
      <c r="P2415" s="8">
        <f t="shared" si="187"/>
        <v>17784</v>
      </c>
      <c r="Q2415" s="8">
        <f t="shared" si="188"/>
        <v>12199</v>
      </c>
      <c r="R2415" s="2" t="s">
        <v>28</v>
      </c>
      <c r="S2415" s="9">
        <f t="shared" si="189"/>
        <v>889.2</v>
      </c>
    </row>
    <row r="2416" spans="1:19" x14ac:dyDescent="0.3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str">
        <f>IFERROR(VLOOKUP('Customer Info'!A2408,'Customer Info'!A2408:C2907,2,FALSE),"Not Found")</f>
        <v>Not Found</v>
      </c>
      <c r="H2416" s="6" t="str">
        <f>IFERROR(VLOOKUP('Customer Info'!A2408,'Customer Info'!A2408:C2907,3,FALSE),"Not Found")</f>
        <v>Not Found</v>
      </c>
      <c r="I2416" s="6" t="str">
        <f>IFERROR(VLOOKUP('Customer Info'!A2408,'Customer Info'!A2408:E2907,5,FALSE),"Not Found")</f>
        <v>Not Found</v>
      </c>
      <c r="J2416" s="2">
        <v>1306</v>
      </c>
      <c r="K2416" s="2">
        <v>1197</v>
      </c>
      <c r="L2416" s="2">
        <v>7</v>
      </c>
      <c r="M2416" s="7">
        <f t="shared" si="185"/>
        <v>8379</v>
      </c>
      <c r="N2416" s="7">
        <f t="shared" si="186"/>
        <v>9142</v>
      </c>
      <c r="O2416" s="2">
        <v>81</v>
      </c>
      <c r="P2416" s="8">
        <f t="shared" si="187"/>
        <v>9223</v>
      </c>
      <c r="Q2416" s="8">
        <f t="shared" si="188"/>
        <v>7945</v>
      </c>
      <c r="R2416" s="2" t="s">
        <v>28</v>
      </c>
      <c r="S2416" s="9">
        <f t="shared" si="189"/>
        <v>461.15000000000003</v>
      </c>
    </row>
    <row r="2417" spans="1:19" x14ac:dyDescent="0.3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str">
        <f>IFERROR(VLOOKUP('Customer Info'!A2409,'Customer Info'!A2409:C2908,2,FALSE),"Not Found")</f>
        <v>Not Found</v>
      </c>
      <c r="H2417" s="6" t="str">
        <f>IFERROR(VLOOKUP('Customer Info'!A2409,'Customer Info'!A2409:C2908,3,FALSE),"Not Found")</f>
        <v>Not Found</v>
      </c>
      <c r="I2417" s="6" t="str">
        <f>IFERROR(VLOOKUP('Customer Info'!A2409,'Customer Info'!A2409:E2908,5,FALSE),"Not Found")</f>
        <v>Not Found</v>
      </c>
      <c r="J2417" s="2">
        <v>9214</v>
      </c>
      <c r="K2417" s="2">
        <v>8295</v>
      </c>
      <c r="L2417" s="2">
        <v>1</v>
      </c>
      <c r="M2417" s="7">
        <f t="shared" si="185"/>
        <v>8295</v>
      </c>
      <c r="N2417" s="7">
        <f t="shared" si="186"/>
        <v>9214</v>
      </c>
      <c r="O2417" s="2">
        <v>68</v>
      </c>
      <c r="P2417" s="8">
        <f t="shared" si="187"/>
        <v>9282</v>
      </c>
      <c r="Q2417" s="8">
        <f t="shared" si="188"/>
        <v>919</v>
      </c>
      <c r="R2417" s="2" t="s">
        <v>56</v>
      </c>
      <c r="S2417" s="9">
        <f t="shared" si="189"/>
        <v>464.1</v>
      </c>
    </row>
    <row r="2418" spans="1:19" x14ac:dyDescent="0.3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str">
        <f>IFERROR(VLOOKUP('Customer Info'!A2410,'Customer Info'!A2410:C2909,2,FALSE),"Not Found")</f>
        <v>Not Found</v>
      </c>
      <c r="H2418" s="6" t="str">
        <f>IFERROR(VLOOKUP('Customer Info'!A2410,'Customer Info'!A2410:C2909,3,FALSE),"Not Found")</f>
        <v>Not Found</v>
      </c>
      <c r="I2418" s="6" t="str">
        <f>IFERROR(VLOOKUP('Customer Info'!A2410,'Customer Info'!A2410:E2909,5,FALSE),"Not Found")</f>
        <v>Not Found</v>
      </c>
      <c r="J2418" s="2">
        <v>2808</v>
      </c>
      <c r="K2418" s="2">
        <v>2674</v>
      </c>
      <c r="L2418" s="2">
        <v>10</v>
      </c>
      <c r="M2418" s="7">
        <f t="shared" si="185"/>
        <v>26740</v>
      </c>
      <c r="N2418" s="7">
        <f t="shared" si="186"/>
        <v>28080</v>
      </c>
      <c r="O2418" s="2">
        <v>52</v>
      </c>
      <c r="P2418" s="8">
        <f t="shared" si="187"/>
        <v>28132</v>
      </c>
      <c r="Q2418" s="8">
        <f t="shared" si="188"/>
        <v>25406</v>
      </c>
      <c r="R2418" s="2" t="s">
        <v>50</v>
      </c>
      <c r="S2418" s="9">
        <f t="shared" si="189"/>
        <v>1969.2400000000002</v>
      </c>
    </row>
    <row r="2419" spans="1:19" x14ac:dyDescent="0.3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str">
        <f>IFERROR(VLOOKUP('Customer Info'!A2411,'Customer Info'!A2411:C2910,2,FALSE),"Not Found")</f>
        <v>Not Found</v>
      </c>
      <c r="H2419" s="6" t="str">
        <f>IFERROR(VLOOKUP('Customer Info'!A2411,'Customer Info'!A2411:C2910,3,FALSE),"Not Found")</f>
        <v>Not Found</v>
      </c>
      <c r="I2419" s="6" t="str">
        <f>IFERROR(VLOOKUP('Customer Info'!A2411,'Customer Info'!A2411:E2910,5,FALSE),"Not Found")</f>
        <v>Not Found</v>
      </c>
      <c r="J2419" s="2">
        <v>851</v>
      </c>
      <c r="K2419" s="2">
        <v>773</v>
      </c>
      <c r="L2419" s="2">
        <v>3</v>
      </c>
      <c r="M2419" s="7">
        <f t="shared" si="185"/>
        <v>2319</v>
      </c>
      <c r="N2419" s="7">
        <f t="shared" si="186"/>
        <v>2553</v>
      </c>
      <c r="O2419" s="2">
        <v>20</v>
      </c>
      <c r="P2419" s="8">
        <f t="shared" si="187"/>
        <v>2573</v>
      </c>
      <c r="Q2419" s="8">
        <f t="shared" si="188"/>
        <v>1780</v>
      </c>
      <c r="R2419" s="2" t="s">
        <v>28</v>
      </c>
      <c r="S2419" s="9">
        <f t="shared" si="189"/>
        <v>51.46</v>
      </c>
    </row>
    <row r="2420" spans="1:19" x14ac:dyDescent="0.3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str">
        <f>IFERROR(VLOOKUP('Customer Info'!A2412,'Customer Info'!A2412:C2911,2,FALSE),"Not Found")</f>
        <v>Not Found</v>
      </c>
      <c r="H2420" s="6" t="str">
        <f>IFERROR(VLOOKUP('Customer Info'!A2412,'Customer Info'!A2412:C2911,3,FALSE),"Not Found")</f>
        <v>Not Found</v>
      </c>
      <c r="I2420" s="6" t="str">
        <f>IFERROR(VLOOKUP('Customer Info'!A2412,'Customer Info'!A2412:E2911,5,FALSE),"Not Found")</f>
        <v>Not Found</v>
      </c>
      <c r="J2420" s="2">
        <v>2503</v>
      </c>
      <c r="K2420" s="2">
        <v>2454</v>
      </c>
      <c r="L2420" s="2">
        <v>1</v>
      </c>
      <c r="M2420" s="7">
        <f t="shared" si="185"/>
        <v>2454</v>
      </c>
      <c r="N2420" s="7">
        <f t="shared" si="186"/>
        <v>2503</v>
      </c>
      <c r="O2420" s="2">
        <v>93</v>
      </c>
      <c r="P2420" s="8">
        <f t="shared" si="187"/>
        <v>2596</v>
      </c>
      <c r="Q2420" s="8">
        <f t="shared" si="188"/>
        <v>49</v>
      </c>
      <c r="R2420" s="2" t="s">
        <v>28</v>
      </c>
      <c r="S2420" s="9">
        <f t="shared" si="189"/>
        <v>51.92</v>
      </c>
    </row>
    <row r="2421" spans="1:19" x14ac:dyDescent="0.3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str">
        <f>IFERROR(VLOOKUP('Customer Info'!A2413,'Customer Info'!A2413:C2912,2,FALSE),"Not Found")</f>
        <v>Not Found</v>
      </c>
      <c r="H2421" s="6" t="str">
        <f>IFERROR(VLOOKUP('Customer Info'!A2413,'Customer Info'!A2413:C2912,3,FALSE),"Not Found")</f>
        <v>Not Found</v>
      </c>
      <c r="I2421" s="6" t="str">
        <f>IFERROR(VLOOKUP('Customer Info'!A2413,'Customer Info'!A2413:E2912,5,FALSE),"Not Found")</f>
        <v>Not Found</v>
      </c>
      <c r="J2421" s="2">
        <v>1186</v>
      </c>
      <c r="K2421" s="2">
        <v>1141</v>
      </c>
      <c r="L2421" s="2">
        <v>2</v>
      </c>
      <c r="M2421" s="7">
        <f t="shared" si="185"/>
        <v>2282</v>
      </c>
      <c r="N2421" s="7">
        <f t="shared" si="186"/>
        <v>2372</v>
      </c>
      <c r="O2421" s="2">
        <v>83</v>
      </c>
      <c r="P2421" s="8">
        <f t="shared" si="187"/>
        <v>2455</v>
      </c>
      <c r="Q2421" s="8">
        <f t="shared" si="188"/>
        <v>1231</v>
      </c>
      <c r="R2421" s="2" t="s">
        <v>50</v>
      </c>
      <c r="S2421" s="9">
        <f t="shared" si="189"/>
        <v>49.1</v>
      </c>
    </row>
    <row r="2422" spans="1:19" x14ac:dyDescent="0.3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str">
        <f>IFERROR(VLOOKUP('Customer Info'!A2414,'Customer Info'!A2414:C2913,2,FALSE),"Not Found")</f>
        <v>Not Found</v>
      </c>
      <c r="H2422" s="6" t="str">
        <f>IFERROR(VLOOKUP('Customer Info'!A2414,'Customer Info'!A2414:C2913,3,FALSE),"Not Found")</f>
        <v>Not Found</v>
      </c>
      <c r="I2422" s="6" t="str">
        <f>IFERROR(VLOOKUP('Customer Info'!A2414,'Customer Info'!A2414:E2913,5,FALSE),"Not Found")</f>
        <v>Not Found</v>
      </c>
      <c r="J2422" s="2">
        <v>7922</v>
      </c>
      <c r="K2422" s="2">
        <v>7328</v>
      </c>
      <c r="L2422" s="2">
        <v>5</v>
      </c>
      <c r="M2422" s="7">
        <f t="shared" si="185"/>
        <v>36640</v>
      </c>
      <c r="N2422" s="7">
        <f t="shared" si="186"/>
        <v>39610</v>
      </c>
      <c r="O2422" s="2">
        <v>42</v>
      </c>
      <c r="P2422" s="8">
        <f t="shared" si="187"/>
        <v>39652</v>
      </c>
      <c r="Q2422" s="8">
        <f t="shared" si="188"/>
        <v>32282</v>
      </c>
      <c r="R2422" s="2" t="s">
        <v>50</v>
      </c>
      <c r="S2422" s="9">
        <f t="shared" si="189"/>
        <v>2775.6400000000003</v>
      </c>
    </row>
    <row r="2423" spans="1:19" x14ac:dyDescent="0.3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str">
        <f>IFERROR(VLOOKUP('Customer Info'!A2415,'Customer Info'!A2415:C2914,2,FALSE),"Not Found")</f>
        <v>Not Found</v>
      </c>
      <c r="H2423" s="6" t="str">
        <f>IFERROR(VLOOKUP('Customer Info'!A2415,'Customer Info'!A2415:C2914,3,FALSE),"Not Found")</f>
        <v>Not Found</v>
      </c>
      <c r="I2423" s="6" t="str">
        <f>IFERROR(VLOOKUP('Customer Info'!A2415,'Customer Info'!A2415:E2914,5,FALSE),"Not Found")</f>
        <v>Not Found</v>
      </c>
      <c r="J2423" s="2">
        <v>896</v>
      </c>
      <c r="K2423" s="2">
        <v>870</v>
      </c>
      <c r="L2423" s="2">
        <v>1</v>
      </c>
      <c r="M2423" s="7">
        <f t="shared" si="185"/>
        <v>870</v>
      </c>
      <c r="N2423" s="7">
        <f t="shared" si="186"/>
        <v>896</v>
      </c>
      <c r="O2423" s="2">
        <v>25</v>
      </c>
      <c r="P2423" s="8">
        <f t="shared" si="187"/>
        <v>921</v>
      </c>
      <c r="Q2423" s="8">
        <f t="shared" si="188"/>
        <v>26</v>
      </c>
      <c r="R2423" s="2" t="s">
        <v>50</v>
      </c>
      <c r="S2423" s="9">
        <f t="shared" si="189"/>
        <v>18.420000000000002</v>
      </c>
    </row>
    <row r="2424" spans="1:19" x14ac:dyDescent="0.3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str">
        <f>IFERROR(VLOOKUP('Customer Info'!A2416,'Customer Info'!A2416:C2915,2,FALSE),"Not Found")</f>
        <v>Not Found</v>
      </c>
      <c r="H2424" s="6" t="str">
        <f>IFERROR(VLOOKUP('Customer Info'!A2416,'Customer Info'!A2416:C2915,3,FALSE),"Not Found")</f>
        <v>Not Found</v>
      </c>
      <c r="I2424" s="6" t="str">
        <f>IFERROR(VLOOKUP('Customer Info'!A2416,'Customer Info'!A2416:E2915,5,FALSE),"Not Found")</f>
        <v>Not Found</v>
      </c>
      <c r="J2424" s="2">
        <v>1060</v>
      </c>
      <c r="K2424" s="2">
        <v>964</v>
      </c>
      <c r="L2424" s="2">
        <v>3</v>
      </c>
      <c r="M2424" s="7">
        <f t="shared" si="185"/>
        <v>2892</v>
      </c>
      <c r="N2424" s="7">
        <f t="shared" si="186"/>
        <v>3180</v>
      </c>
      <c r="O2424" s="2">
        <v>60</v>
      </c>
      <c r="P2424" s="8">
        <f t="shared" si="187"/>
        <v>3240</v>
      </c>
      <c r="Q2424" s="8">
        <f t="shared" si="188"/>
        <v>2216</v>
      </c>
      <c r="R2424" s="2" t="s">
        <v>56</v>
      </c>
      <c r="S2424" s="9">
        <f t="shared" si="189"/>
        <v>64.8</v>
      </c>
    </row>
    <row r="2425" spans="1:19" x14ac:dyDescent="0.3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str">
        <f>IFERROR(VLOOKUP('Customer Info'!A2417,'Customer Info'!A2417:C2916,2,FALSE),"Not Found")</f>
        <v>Not Found</v>
      </c>
      <c r="H2425" s="6" t="str">
        <f>IFERROR(VLOOKUP('Customer Info'!A2417,'Customer Info'!A2417:C2916,3,FALSE),"Not Found")</f>
        <v>Not Found</v>
      </c>
      <c r="I2425" s="6" t="str">
        <f>IFERROR(VLOOKUP('Customer Info'!A2417,'Customer Info'!A2417:E2916,5,FALSE),"Not Found")</f>
        <v>Not Found</v>
      </c>
      <c r="J2425" s="2">
        <v>1359</v>
      </c>
      <c r="K2425" s="2">
        <v>1221</v>
      </c>
      <c r="L2425" s="2">
        <v>4</v>
      </c>
      <c r="M2425" s="7">
        <f t="shared" si="185"/>
        <v>4884</v>
      </c>
      <c r="N2425" s="7">
        <f t="shared" si="186"/>
        <v>5436</v>
      </c>
      <c r="O2425" s="2">
        <v>57</v>
      </c>
      <c r="P2425" s="8">
        <f t="shared" si="187"/>
        <v>5493</v>
      </c>
      <c r="Q2425" s="8">
        <f t="shared" si="188"/>
        <v>4215</v>
      </c>
      <c r="R2425" s="2" t="s">
        <v>50</v>
      </c>
      <c r="S2425" s="9">
        <f t="shared" si="189"/>
        <v>274.65000000000003</v>
      </c>
    </row>
    <row r="2426" spans="1:19" x14ac:dyDescent="0.3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str">
        <f>IFERROR(VLOOKUP('Customer Info'!A2418,'Customer Info'!A2418:C2917,2,FALSE),"Not Found")</f>
        <v>Not Found</v>
      </c>
      <c r="H2426" s="6" t="str">
        <f>IFERROR(VLOOKUP('Customer Info'!A2418,'Customer Info'!A2418:C2917,3,FALSE),"Not Found")</f>
        <v>Not Found</v>
      </c>
      <c r="I2426" s="6" t="str">
        <f>IFERROR(VLOOKUP('Customer Info'!A2418,'Customer Info'!A2418:E2917,5,FALSE),"Not Found")</f>
        <v>Not Found</v>
      </c>
      <c r="J2426" s="2">
        <v>169</v>
      </c>
      <c r="K2426" s="2">
        <v>160</v>
      </c>
      <c r="L2426" s="2">
        <v>5</v>
      </c>
      <c r="M2426" s="7">
        <f t="shared" si="185"/>
        <v>800</v>
      </c>
      <c r="N2426" s="7">
        <f t="shared" si="186"/>
        <v>845</v>
      </c>
      <c r="O2426" s="2">
        <v>30</v>
      </c>
      <c r="P2426" s="8">
        <f t="shared" si="187"/>
        <v>875</v>
      </c>
      <c r="Q2426" s="8">
        <f t="shared" si="188"/>
        <v>685</v>
      </c>
      <c r="R2426" s="2" t="s">
        <v>50</v>
      </c>
      <c r="S2426" s="9">
        <f t="shared" si="189"/>
        <v>17.5</v>
      </c>
    </row>
    <row r="2427" spans="1:19" x14ac:dyDescent="0.3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str">
        <f>IFERROR(VLOOKUP('Customer Info'!A2419,'Customer Info'!A2419:C2918,2,FALSE),"Not Found")</f>
        <v>Not Found</v>
      </c>
      <c r="H2427" s="6" t="str">
        <f>IFERROR(VLOOKUP('Customer Info'!A2419,'Customer Info'!A2419:C2918,3,FALSE),"Not Found")</f>
        <v>Not Found</v>
      </c>
      <c r="I2427" s="6" t="str">
        <f>IFERROR(VLOOKUP('Customer Info'!A2419,'Customer Info'!A2419:E2918,5,FALSE),"Not Found")</f>
        <v>Not Found</v>
      </c>
      <c r="J2427" s="2">
        <v>1399</v>
      </c>
      <c r="K2427" s="2">
        <v>1308</v>
      </c>
      <c r="L2427" s="2">
        <v>3</v>
      </c>
      <c r="M2427" s="7">
        <f t="shared" si="185"/>
        <v>3924</v>
      </c>
      <c r="N2427" s="7">
        <f t="shared" si="186"/>
        <v>4197</v>
      </c>
      <c r="O2427" s="2">
        <v>74</v>
      </c>
      <c r="P2427" s="8">
        <f t="shared" si="187"/>
        <v>4271</v>
      </c>
      <c r="Q2427" s="8">
        <f t="shared" si="188"/>
        <v>2889</v>
      </c>
      <c r="R2427" s="2" t="s">
        <v>28</v>
      </c>
      <c r="S2427" s="9">
        <f t="shared" si="189"/>
        <v>85.42</v>
      </c>
    </row>
    <row r="2428" spans="1:19" x14ac:dyDescent="0.3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str">
        <f>IFERROR(VLOOKUP('Customer Info'!A2420,'Customer Info'!A2420:C2919,2,FALSE),"Not Found")</f>
        <v>Not Found</v>
      </c>
      <c r="H2428" s="6" t="str">
        <f>IFERROR(VLOOKUP('Customer Info'!A2420,'Customer Info'!A2420:C2919,3,FALSE),"Not Found")</f>
        <v>Not Found</v>
      </c>
      <c r="I2428" s="6" t="str">
        <f>IFERROR(VLOOKUP('Customer Info'!A2420,'Customer Info'!A2420:E2919,5,FALSE),"Not Found")</f>
        <v>Not Found</v>
      </c>
      <c r="J2428" s="2">
        <v>142</v>
      </c>
      <c r="K2428" s="2">
        <v>134</v>
      </c>
      <c r="L2428" s="2">
        <v>4</v>
      </c>
      <c r="M2428" s="7">
        <f t="shared" si="185"/>
        <v>536</v>
      </c>
      <c r="N2428" s="7">
        <f t="shared" si="186"/>
        <v>568</v>
      </c>
      <c r="O2428" s="2">
        <v>30</v>
      </c>
      <c r="P2428" s="8">
        <f t="shared" si="187"/>
        <v>598</v>
      </c>
      <c r="Q2428" s="8">
        <f t="shared" si="188"/>
        <v>434</v>
      </c>
      <c r="R2428" s="2" t="s">
        <v>26</v>
      </c>
      <c r="S2428" s="9">
        <f t="shared" si="189"/>
        <v>11.96</v>
      </c>
    </row>
    <row r="2429" spans="1:19" x14ac:dyDescent="0.3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str">
        <f>IFERROR(VLOOKUP('Customer Info'!A2421,'Customer Info'!A2421:C2920,2,FALSE),"Not Found")</f>
        <v>Not Found</v>
      </c>
      <c r="H2429" s="6" t="str">
        <f>IFERROR(VLOOKUP('Customer Info'!A2421,'Customer Info'!A2421:C2920,3,FALSE),"Not Found")</f>
        <v>Not Found</v>
      </c>
      <c r="I2429" s="6" t="str">
        <f>IFERROR(VLOOKUP('Customer Info'!A2421,'Customer Info'!A2421:E2920,5,FALSE),"Not Found")</f>
        <v>Not Found</v>
      </c>
      <c r="J2429" s="2">
        <v>5894</v>
      </c>
      <c r="K2429" s="2">
        <v>5621</v>
      </c>
      <c r="L2429" s="2">
        <v>3</v>
      </c>
      <c r="M2429" s="7">
        <f t="shared" si="185"/>
        <v>16863</v>
      </c>
      <c r="N2429" s="7">
        <f t="shared" si="186"/>
        <v>17682</v>
      </c>
      <c r="O2429" s="2">
        <v>80</v>
      </c>
      <c r="P2429" s="8">
        <f t="shared" si="187"/>
        <v>17762</v>
      </c>
      <c r="Q2429" s="8">
        <f t="shared" si="188"/>
        <v>12061</v>
      </c>
      <c r="R2429" s="2" t="s">
        <v>50</v>
      </c>
      <c r="S2429" s="9">
        <f t="shared" si="189"/>
        <v>888.1</v>
      </c>
    </row>
    <row r="2430" spans="1:19" x14ac:dyDescent="0.3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str">
        <f>IFERROR(VLOOKUP('Customer Info'!A2422,'Customer Info'!A2422:C2921,2,FALSE),"Not Found")</f>
        <v>Not Found</v>
      </c>
      <c r="H2430" s="6" t="str">
        <f>IFERROR(VLOOKUP('Customer Info'!A2422,'Customer Info'!A2422:C2921,3,FALSE),"Not Found")</f>
        <v>Not Found</v>
      </c>
      <c r="I2430" s="6" t="str">
        <f>IFERROR(VLOOKUP('Customer Info'!A2422,'Customer Info'!A2422:E2921,5,FALSE),"Not Found")</f>
        <v>Not Found</v>
      </c>
      <c r="J2430" s="2">
        <v>992</v>
      </c>
      <c r="K2430" s="2">
        <v>928</v>
      </c>
      <c r="L2430" s="2">
        <v>1</v>
      </c>
      <c r="M2430" s="7">
        <f t="shared" si="185"/>
        <v>928</v>
      </c>
      <c r="N2430" s="7">
        <f t="shared" si="186"/>
        <v>992</v>
      </c>
      <c r="O2430" s="2">
        <v>80</v>
      </c>
      <c r="P2430" s="8">
        <f t="shared" si="187"/>
        <v>1072</v>
      </c>
      <c r="Q2430" s="8">
        <f t="shared" si="188"/>
        <v>64</v>
      </c>
      <c r="R2430" s="2" t="s">
        <v>28</v>
      </c>
      <c r="S2430" s="9">
        <f t="shared" si="189"/>
        <v>21.44</v>
      </c>
    </row>
    <row r="2431" spans="1:19" x14ac:dyDescent="0.3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str">
        <f>IFERROR(VLOOKUP('Customer Info'!A2423,'Customer Info'!A2423:C2922,2,FALSE),"Not Found")</f>
        <v>Not Found</v>
      </c>
      <c r="H2431" s="6" t="str">
        <f>IFERROR(VLOOKUP('Customer Info'!A2423,'Customer Info'!A2423:C2922,3,FALSE),"Not Found")</f>
        <v>Not Found</v>
      </c>
      <c r="I2431" s="6" t="str">
        <f>IFERROR(VLOOKUP('Customer Info'!A2423,'Customer Info'!A2423:E2922,5,FALSE),"Not Found")</f>
        <v>Not Found</v>
      </c>
      <c r="J2431" s="2">
        <v>4784</v>
      </c>
      <c r="K2431" s="2">
        <v>4518</v>
      </c>
      <c r="L2431" s="2">
        <v>3</v>
      </c>
      <c r="M2431" s="7">
        <f t="shared" si="185"/>
        <v>13554</v>
      </c>
      <c r="N2431" s="7">
        <f t="shared" si="186"/>
        <v>14352</v>
      </c>
      <c r="O2431" s="2">
        <v>76</v>
      </c>
      <c r="P2431" s="8">
        <f t="shared" si="187"/>
        <v>14428</v>
      </c>
      <c r="Q2431" s="8">
        <f t="shared" si="188"/>
        <v>9834</v>
      </c>
      <c r="R2431" s="2" t="s">
        <v>28</v>
      </c>
      <c r="S2431" s="9">
        <f t="shared" si="189"/>
        <v>721.40000000000009</v>
      </c>
    </row>
    <row r="2432" spans="1:19" x14ac:dyDescent="0.3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str">
        <f>IFERROR(VLOOKUP('Customer Info'!A2424,'Customer Info'!A2424:C2923,2,FALSE),"Not Found")</f>
        <v>Not Found</v>
      </c>
      <c r="H2432" s="6" t="str">
        <f>IFERROR(VLOOKUP('Customer Info'!A2424,'Customer Info'!A2424:C2923,3,FALSE),"Not Found")</f>
        <v>Not Found</v>
      </c>
      <c r="I2432" s="6" t="str">
        <f>IFERROR(VLOOKUP('Customer Info'!A2424,'Customer Info'!A2424:E2923,5,FALSE),"Not Found")</f>
        <v>Not Found</v>
      </c>
      <c r="J2432" s="2">
        <v>914</v>
      </c>
      <c r="K2432" s="2">
        <v>830</v>
      </c>
      <c r="L2432" s="2">
        <v>2</v>
      </c>
      <c r="M2432" s="7">
        <f t="shared" si="185"/>
        <v>1660</v>
      </c>
      <c r="N2432" s="7">
        <f t="shared" si="186"/>
        <v>1828</v>
      </c>
      <c r="O2432" s="2">
        <v>86</v>
      </c>
      <c r="P2432" s="8">
        <f t="shared" si="187"/>
        <v>1914</v>
      </c>
      <c r="Q2432" s="8">
        <f t="shared" si="188"/>
        <v>998</v>
      </c>
      <c r="R2432" s="2" t="s">
        <v>50</v>
      </c>
      <c r="S2432" s="9">
        <f t="shared" si="189"/>
        <v>38.28</v>
      </c>
    </row>
    <row r="2433" spans="1:19" x14ac:dyDescent="0.3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str">
        <f>IFERROR(VLOOKUP('Customer Info'!A2425,'Customer Info'!A2425:C2924,2,FALSE),"Not Found")</f>
        <v>Not Found</v>
      </c>
      <c r="H2433" s="6" t="str">
        <f>IFERROR(VLOOKUP('Customer Info'!A2425,'Customer Info'!A2425:C2924,3,FALSE),"Not Found")</f>
        <v>Not Found</v>
      </c>
      <c r="I2433" s="6" t="str">
        <f>IFERROR(VLOOKUP('Customer Info'!A2425,'Customer Info'!A2425:E2924,5,FALSE),"Not Found")</f>
        <v>Not Found</v>
      </c>
      <c r="J2433" s="2">
        <v>1703</v>
      </c>
      <c r="K2433" s="2">
        <v>1639</v>
      </c>
      <c r="L2433" s="2">
        <v>4</v>
      </c>
      <c r="M2433" s="7">
        <f t="shared" si="185"/>
        <v>6556</v>
      </c>
      <c r="N2433" s="7">
        <f t="shared" si="186"/>
        <v>6812</v>
      </c>
      <c r="O2433" s="2">
        <v>91</v>
      </c>
      <c r="P2433" s="8">
        <f t="shared" si="187"/>
        <v>6903</v>
      </c>
      <c r="Q2433" s="8">
        <f t="shared" si="188"/>
        <v>5173</v>
      </c>
      <c r="R2433" s="2" t="s">
        <v>28</v>
      </c>
      <c r="S2433" s="9">
        <f t="shared" si="189"/>
        <v>345.15000000000003</v>
      </c>
    </row>
    <row r="2434" spans="1:19" x14ac:dyDescent="0.3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str">
        <f>IFERROR(VLOOKUP('Customer Info'!A2426,'Customer Info'!A2426:C2925,2,FALSE),"Not Found")</f>
        <v>Not Found</v>
      </c>
      <c r="H2434" s="6" t="str">
        <f>IFERROR(VLOOKUP('Customer Info'!A2426,'Customer Info'!A2426:C2925,3,FALSE),"Not Found")</f>
        <v>Not Found</v>
      </c>
      <c r="I2434" s="6" t="str">
        <f>IFERROR(VLOOKUP('Customer Info'!A2426,'Customer Info'!A2426:E2925,5,FALSE),"Not Found")</f>
        <v>Not Found</v>
      </c>
      <c r="J2434" s="2">
        <v>811</v>
      </c>
      <c r="K2434" s="2">
        <v>780</v>
      </c>
      <c r="L2434" s="2">
        <v>5</v>
      </c>
      <c r="M2434" s="7">
        <f t="shared" si="185"/>
        <v>3900</v>
      </c>
      <c r="N2434" s="7">
        <f t="shared" si="186"/>
        <v>4055</v>
      </c>
      <c r="O2434" s="2">
        <v>20</v>
      </c>
      <c r="P2434" s="8">
        <f t="shared" si="187"/>
        <v>4075</v>
      </c>
      <c r="Q2434" s="8">
        <f t="shared" si="188"/>
        <v>3275</v>
      </c>
      <c r="R2434" s="2" t="s">
        <v>26</v>
      </c>
      <c r="S2434" s="9">
        <f t="shared" si="189"/>
        <v>81.5</v>
      </c>
    </row>
    <row r="2435" spans="1:19" x14ac:dyDescent="0.3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str">
        <f>IFERROR(VLOOKUP('Customer Info'!A2427,'Customer Info'!A2427:C2926,2,FALSE),"Not Found")</f>
        <v>Not Found</v>
      </c>
      <c r="H2435" s="6" t="str">
        <f>IFERROR(VLOOKUP('Customer Info'!A2427,'Customer Info'!A2427:C2926,3,FALSE),"Not Found")</f>
        <v>Not Found</v>
      </c>
      <c r="I2435" s="6" t="str">
        <f>IFERROR(VLOOKUP('Customer Info'!A2427,'Customer Info'!A2427:E2926,5,FALSE),"Not Found")</f>
        <v>Not Found</v>
      </c>
      <c r="J2435" s="2">
        <v>1332</v>
      </c>
      <c r="K2435" s="2">
        <v>1209</v>
      </c>
      <c r="L2435" s="2">
        <v>4</v>
      </c>
      <c r="M2435" s="7">
        <f t="shared" si="185"/>
        <v>4836</v>
      </c>
      <c r="N2435" s="7">
        <f t="shared" si="186"/>
        <v>5328</v>
      </c>
      <c r="O2435" s="2">
        <v>57</v>
      </c>
      <c r="P2435" s="8">
        <f t="shared" si="187"/>
        <v>5385</v>
      </c>
      <c r="Q2435" s="8">
        <f t="shared" si="188"/>
        <v>4119</v>
      </c>
      <c r="R2435" s="2" t="s">
        <v>28</v>
      </c>
      <c r="S2435" s="9">
        <f t="shared" si="189"/>
        <v>269.25</v>
      </c>
    </row>
    <row r="2436" spans="1:19" x14ac:dyDescent="0.3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str">
        <f>IFERROR(VLOOKUP('Customer Info'!A2428,'Customer Info'!A2428:C2927,2,FALSE),"Not Found")</f>
        <v>Not Found</v>
      </c>
      <c r="H2436" s="6" t="str">
        <f>IFERROR(VLOOKUP('Customer Info'!A2428,'Customer Info'!A2428:C2927,3,FALSE),"Not Found")</f>
        <v>Not Found</v>
      </c>
      <c r="I2436" s="6" t="str">
        <f>IFERROR(VLOOKUP('Customer Info'!A2428,'Customer Info'!A2428:E2927,5,FALSE),"Not Found")</f>
        <v>Not Found</v>
      </c>
      <c r="J2436" s="2">
        <v>4487</v>
      </c>
      <c r="K2436" s="2">
        <v>4201</v>
      </c>
      <c r="L2436" s="2">
        <v>4</v>
      </c>
      <c r="M2436" s="7">
        <f t="shared" si="185"/>
        <v>16804</v>
      </c>
      <c r="N2436" s="7">
        <f t="shared" si="186"/>
        <v>17948</v>
      </c>
      <c r="O2436" s="2">
        <v>52</v>
      </c>
      <c r="P2436" s="8">
        <f t="shared" si="187"/>
        <v>18000</v>
      </c>
      <c r="Q2436" s="8">
        <f t="shared" si="188"/>
        <v>13747</v>
      </c>
      <c r="R2436" s="2" t="s">
        <v>28</v>
      </c>
      <c r="S2436" s="9">
        <f t="shared" si="189"/>
        <v>900</v>
      </c>
    </row>
    <row r="2437" spans="1:19" x14ac:dyDescent="0.3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str">
        <f>IFERROR(VLOOKUP('Customer Info'!A2429,'Customer Info'!A2429:C2928,2,FALSE),"Not Found")</f>
        <v>Not Found</v>
      </c>
      <c r="H2437" s="6" t="str">
        <f>IFERROR(VLOOKUP('Customer Info'!A2429,'Customer Info'!A2429:C2928,3,FALSE),"Not Found")</f>
        <v>Not Found</v>
      </c>
      <c r="I2437" s="6" t="str">
        <f>IFERROR(VLOOKUP('Customer Info'!A2429,'Customer Info'!A2429:E2928,5,FALSE),"Not Found")</f>
        <v>Not Found</v>
      </c>
      <c r="J2437" s="2">
        <v>67</v>
      </c>
      <c r="K2437" s="2">
        <v>62</v>
      </c>
      <c r="L2437" s="2">
        <v>2</v>
      </c>
      <c r="M2437" s="7">
        <f t="shared" si="185"/>
        <v>124</v>
      </c>
      <c r="N2437" s="7">
        <f t="shared" si="186"/>
        <v>134</v>
      </c>
      <c r="O2437" s="2">
        <v>10</v>
      </c>
      <c r="P2437" s="8">
        <f t="shared" si="187"/>
        <v>144</v>
      </c>
      <c r="Q2437" s="8">
        <f t="shared" si="188"/>
        <v>72</v>
      </c>
      <c r="R2437" s="2" t="s">
        <v>26</v>
      </c>
      <c r="S2437" s="9">
        <f t="shared" si="189"/>
        <v>2.88</v>
      </c>
    </row>
    <row r="2438" spans="1:19" x14ac:dyDescent="0.3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str">
        <f>IFERROR(VLOOKUP('Customer Info'!A2430,'Customer Info'!A2430:C2929,2,FALSE),"Not Found")</f>
        <v>Not Found</v>
      </c>
      <c r="H2438" s="6" t="str">
        <f>IFERROR(VLOOKUP('Customer Info'!A2430,'Customer Info'!A2430:C2929,3,FALSE),"Not Found")</f>
        <v>Not Found</v>
      </c>
      <c r="I2438" s="6" t="str">
        <f>IFERROR(VLOOKUP('Customer Info'!A2430,'Customer Info'!A2430:E2929,5,FALSE),"Not Found")</f>
        <v>Not Found</v>
      </c>
      <c r="J2438" s="2">
        <v>193</v>
      </c>
      <c r="K2438" s="2">
        <v>173</v>
      </c>
      <c r="L2438" s="2">
        <v>3</v>
      </c>
      <c r="M2438" s="7">
        <f t="shared" si="185"/>
        <v>519</v>
      </c>
      <c r="N2438" s="7">
        <f t="shared" si="186"/>
        <v>579</v>
      </c>
      <c r="O2438" s="2">
        <v>30</v>
      </c>
      <c r="P2438" s="8">
        <f t="shared" si="187"/>
        <v>609</v>
      </c>
      <c r="Q2438" s="8">
        <f t="shared" si="188"/>
        <v>406</v>
      </c>
      <c r="R2438" s="2" t="s">
        <v>50</v>
      </c>
      <c r="S2438" s="9">
        <f t="shared" si="189"/>
        <v>12.18</v>
      </c>
    </row>
    <row r="2439" spans="1:19" x14ac:dyDescent="0.3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str">
        <f>IFERROR(VLOOKUP('Customer Info'!A2431,'Customer Info'!A2431:C2930,2,FALSE),"Not Found")</f>
        <v>Not Found</v>
      </c>
      <c r="H2439" s="6" t="str">
        <f>IFERROR(VLOOKUP('Customer Info'!A2431,'Customer Info'!A2431:C2930,3,FALSE),"Not Found")</f>
        <v>Not Found</v>
      </c>
      <c r="I2439" s="6" t="str">
        <f>IFERROR(VLOOKUP('Customer Info'!A2431,'Customer Info'!A2431:E2930,5,FALSE),"Not Found")</f>
        <v>Not Found</v>
      </c>
      <c r="J2439" s="2">
        <v>1125</v>
      </c>
      <c r="K2439" s="2">
        <v>1040</v>
      </c>
      <c r="L2439" s="2">
        <v>2</v>
      </c>
      <c r="M2439" s="7">
        <f t="shared" si="185"/>
        <v>2080</v>
      </c>
      <c r="N2439" s="7">
        <f t="shared" si="186"/>
        <v>2250</v>
      </c>
      <c r="O2439" s="2">
        <v>83</v>
      </c>
      <c r="P2439" s="8">
        <f t="shared" si="187"/>
        <v>2333</v>
      </c>
      <c r="Q2439" s="8">
        <f t="shared" si="188"/>
        <v>1210</v>
      </c>
      <c r="R2439" s="2" t="s">
        <v>28</v>
      </c>
      <c r="S2439" s="9">
        <f t="shared" si="189"/>
        <v>46.660000000000004</v>
      </c>
    </row>
    <row r="2440" spans="1:19" x14ac:dyDescent="0.3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str">
        <f>IFERROR(VLOOKUP('Customer Info'!A2432,'Customer Info'!A2432:C2931,2,FALSE),"Not Found")</f>
        <v>Not Found</v>
      </c>
      <c r="H2440" s="6" t="str">
        <f>IFERROR(VLOOKUP('Customer Info'!A2432,'Customer Info'!A2432:C2931,3,FALSE),"Not Found")</f>
        <v>Not Found</v>
      </c>
      <c r="I2440" s="6" t="str">
        <f>IFERROR(VLOOKUP('Customer Info'!A2432,'Customer Info'!A2432:E2931,5,FALSE),"Not Found")</f>
        <v>Not Found</v>
      </c>
      <c r="J2440" s="2">
        <v>170</v>
      </c>
      <c r="K2440" s="2">
        <v>160</v>
      </c>
      <c r="L2440" s="2">
        <v>1</v>
      </c>
      <c r="M2440" s="7">
        <f t="shared" si="185"/>
        <v>160</v>
      </c>
      <c r="N2440" s="7">
        <f t="shared" si="186"/>
        <v>170</v>
      </c>
      <c r="O2440" s="2">
        <v>30</v>
      </c>
      <c r="P2440" s="8">
        <f t="shared" si="187"/>
        <v>200</v>
      </c>
      <c r="Q2440" s="8">
        <f t="shared" si="188"/>
        <v>10</v>
      </c>
      <c r="R2440" s="2" t="s">
        <v>50</v>
      </c>
      <c r="S2440" s="9">
        <f t="shared" si="189"/>
        <v>4</v>
      </c>
    </row>
    <row r="2441" spans="1:19" x14ac:dyDescent="0.3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str">
        <f>IFERROR(VLOOKUP('Customer Info'!A2433,'Customer Info'!A2433:C2932,2,FALSE),"Not Found")</f>
        <v>Not Found</v>
      </c>
      <c r="H2441" s="6" t="str">
        <f>IFERROR(VLOOKUP('Customer Info'!A2433,'Customer Info'!A2433:C2932,3,FALSE),"Not Found")</f>
        <v>Not Found</v>
      </c>
      <c r="I2441" s="6" t="str">
        <f>IFERROR(VLOOKUP('Customer Info'!A2433,'Customer Info'!A2433:E2932,5,FALSE),"Not Found")</f>
        <v>Not Found</v>
      </c>
      <c r="J2441" s="2">
        <v>1585</v>
      </c>
      <c r="K2441" s="2">
        <v>1495</v>
      </c>
      <c r="L2441" s="2">
        <v>4</v>
      </c>
      <c r="M2441" s="7">
        <f t="shared" si="185"/>
        <v>5980</v>
      </c>
      <c r="N2441" s="7">
        <f t="shared" si="186"/>
        <v>6340</v>
      </c>
      <c r="O2441" s="2">
        <v>60</v>
      </c>
      <c r="P2441" s="8">
        <f t="shared" si="187"/>
        <v>6400</v>
      </c>
      <c r="Q2441" s="8">
        <f t="shared" si="188"/>
        <v>4845</v>
      </c>
      <c r="R2441" s="2" t="s">
        <v>28</v>
      </c>
      <c r="S2441" s="9">
        <f t="shared" si="189"/>
        <v>320</v>
      </c>
    </row>
    <row r="2442" spans="1:19" x14ac:dyDescent="0.3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str">
        <f>IFERROR(VLOOKUP('Customer Info'!A2434,'Customer Info'!A2434:C2933,2,FALSE),"Not Found")</f>
        <v>Not Found</v>
      </c>
      <c r="H2442" s="6" t="str">
        <f>IFERROR(VLOOKUP('Customer Info'!A2434,'Customer Info'!A2434:C2933,3,FALSE),"Not Found")</f>
        <v>Not Found</v>
      </c>
      <c r="I2442" s="6" t="str">
        <f>IFERROR(VLOOKUP('Customer Info'!A2434,'Customer Info'!A2434:E2933,5,FALSE),"Not Found")</f>
        <v>Not Found</v>
      </c>
      <c r="J2442" s="2">
        <v>63</v>
      </c>
      <c r="K2442" s="2">
        <v>58</v>
      </c>
      <c r="L2442" s="2">
        <v>2</v>
      </c>
      <c r="M2442" s="7">
        <f t="shared" si="185"/>
        <v>116</v>
      </c>
      <c r="N2442" s="7">
        <f t="shared" si="186"/>
        <v>126</v>
      </c>
      <c r="O2442" s="2">
        <v>10</v>
      </c>
      <c r="P2442" s="8">
        <f t="shared" si="187"/>
        <v>136</v>
      </c>
      <c r="Q2442" s="8">
        <f t="shared" si="188"/>
        <v>68</v>
      </c>
      <c r="R2442" s="2" t="s">
        <v>50</v>
      </c>
      <c r="S2442" s="9">
        <f t="shared" si="189"/>
        <v>2.72</v>
      </c>
    </row>
    <row r="2443" spans="1:19" x14ac:dyDescent="0.3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str">
        <f>IFERROR(VLOOKUP('Customer Info'!A2435,'Customer Info'!A2435:C2934,2,FALSE),"Not Found")</f>
        <v>Not Found</v>
      </c>
      <c r="H2443" s="6" t="str">
        <f>IFERROR(VLOOKUP('Customer Info'!A2435,'Customer Info'!A2435:C2934,3,FALSE),"Not Found")</f>
        <v>Not Found</v>
      </c>
      <c r="I2443" s="6" t="str">
        <f>IFERROR(VLOOKUP('Customer Info'!A2435,'Customer Info'!A2435:E2934,5,FALSE),"Not Found")</f>
        <v>Not Found</v>
      </c>
      <c r="J2443" s="2">
        <v>1071</v>
      </c>
      <c r="K2443" s="2">
        <v>1010</v>
      </c>
      <c r="L2443" s="2">
        <v>2</v>
      </c>
      <c r="M2443" s="7">
        <f t="shared" ref="M2443:M2506" si="190">$K2443*$L2443</f>
        <v>2020</v>
      </c>
      <c r="N2443" s="7">
        <f t="shared" ref="N2443:N2506" si="191">$J2443*$L2443</f>
        <v>2142</v>
      </c>
      <c r="O2443" s="2">
        <v>41</v>
      </c>
      <c r="P2443" s="8">
        <f t="shared" ref="P2443:P2506" si="192">$N2443+$O2443</f>
        <v>2183</v>
      </c>
      <c r="Q2443" s="8">
        <f t="shared" ref="Q2443:Q2506" si="193">$N2443-$K2443</f>
        <v>1132</v>
      </c>
      <c r="R2443" s="2" t="s">
        <v>28</v>
      </c>
      <c r="S2443" s="9">
        <f t="shared" ref="S2443:S2506" si="194" xml:space="preserve"> P2443 * VLOOKUP(P2443, $T$2:$U$6, 2, TRUE)</f>
        <v>43.660000000000004</v>
      </c>
    </row>
    <row r="2444" spans="1:19" x14ac:dyDescent="0.3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str">
        <f>IFERROR(VLOOKUP('Customer Info'!A2436,'Customer Info'!A2436:C2935,2,FALSE),"Not Found")</f>
        <v>Not Found</v>
      </c>
      <c r="H2444" s="6" t="str">
        <f>IFERROR(VLOOKUP('Customer Info'!A2436,'Customer Info'!A2436:C2935,3,FALSE),"Not Found")</f>
        <v>Not Found</v>
      </c>
      <c r="I2444" s="6" t="str">
        <f>IFERROR(VLOOKUP('Customer Info'!A2436,'Customer Info'!A2436:E2935,5,FALSE),"Not Found")</f>
        <v>Not Found</v>
      </c>
      <c r="J2444" s="2">
        <v>8878</v>
      </c>
      <c r="K2444" s="2">
        <v>7914</v>
      </c>
      <c r="L2444" s="2">
        <v>4</v>
      </c>
      <c r="M2444" s="7">
        <f t="shared" si="190"/>
        <v>31656</v>
      </c>
      <c r="N2444" s="7">
        <f t="shared" si="191"/>
        <v>35512</v>
      </c>
      <c r="O2444" s="2">
        <v>99</v>
      </c>
      <c r="P2444" s="8">
        <f t="shared" si="192"/>
        <v>35611</v>
      </c>
      <c r="Q2444" s="8">
        <f t="shared" si="193"/>
        <v>27598</v>
      </c>
      <c r="R2444" s="2" t="s">
        <v>26</v>
      </c>
      <c r="S2444" s="9">
        <f t="shared" si="194"/>
        <v>2492.7700000000004</v>
      </c>
    </row>
    <row r="2445" spans="1:19" x14ac:dyDescent="0.3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str">
        <f>IFERROR(VLOOKUP('Customer Info'!A2437,'Customer Info'!A2437:C2936,2,FALSE),"Not Found")</f>
        <v>Not Found</v>
      </c>
      <c r="H2445" s="6" t="str">
        <f>IFERROR(VLOOKUP('Customer Info'!A2437,'Customer Info'!A2437:C2936,3,FALSE),"Not Found")</f>
        <v>Not Found</v>
      </c>
      <c r="I2445" s="6" t="str">
        <f>IFERROR(VLOOKUP('Customer Info'!A2437,'Customer Info'!A2437:E2936,5,FALSE),"Not Found")</f>
        <v>Not Found</v>
      </c>
      <c r="J2445" s="2">
        <v>78</v>
      </c>
      <c r="K2445" s="2">
        <v>74</v>
      </c>
      <c r="L2445" s="2">
        <v>4</v>
      </c>
      <c r="M2445" s="7">
        <f t="shared" si="190"/>
        <v>296</v>
      </c>
      <c r="N2445" s="7">
        <f t="shared" si="191"/>
        <v>312</v>
      </c>
      <c r="O2445" s="2">
        <v>10</v>
      </c>
      <c r="P2445" s="8">
        <f t="shared" si="192"/>
        <v>322</v>
      </c>
      <c r="Q2445" s="8">
        <f t="shared" si="193"/>
        <v>238</v>
      </c>
      <c r="R2445" s="2" t="s">
        <v>50</v>
      </c>
      <c r="S2445" s="9">
        <f t="shared" si="194"/>
        <v>6.44</v>
      </c>
    </row>
    <row r="2446" spans="1:19" x14ac:dyDescent="0.3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str">
        <f>IFERROR(VLOOKUP('Customer Info'!A2438,'Customer Info'!A2438:C2937,2,FALSE),"Not Found")</f>
        <v>Not Found</v>
      </c>
      <c r="H2446" s="6" t="str">
        <f>IFERROR(VLOOKUP('Customer Info'!A2438,'Customer Info'!A2438:C2937,3,FALSE),"Not Found")</f>
        <v>Not Found</v>
      </c>
      <c r="I2446" s="6" t="str">
        <f>IFERROR(VLOOKUP('Customer Info'!A2438,'Customer Info'!A2438:E2937,5,FALSE),"Not Found")</f>
        <v>Not Found</v>
      </c>
      <c r="J2446" s="2">
        <v>63</v>
      </c>
      <c r="K2446" s="2">
        <v>58</v>
      </c>
      <c r="L2446" s="2">
        <v>2</v>
      </c>
      <c r="M2446" s="7">
        <f t="shared" si="190"/>
        <v>116</v>
      </c>
      <c r="N2446" s="7">
        <f t="shared" si="191"/>
        <v>126</v>
      </c>
      <c r="O2446" s="2">
        <v>10</v>
      </c>
      <c r="P2446" s="8">
        <f t="shared" si="192"/>
        <v>136</v>
      </c>
      <c r="Q2446" s="8">
        <f t="shared" si="193"/>
        <v>68</v>
      </c>
      <c r="R2446" s="2" t="s">
        <v>50</v>
      </c>
      <c r="S2446" s="9">
        <f t="shared" si="194"/>
        <v>2.72</v>
      </c>
    </row>
    <row r="2447" spans="1:19" x14ac:dyDescent="0.3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str">
        <f>IFERROR(VLOOKUP('Customer Info'!A2439,'Customer Info'!A2439:C2938,2,FALSE),"Not Found")</f>
        <v>Not Found</v>
      </c>
      <c r="H2447" s="6" t="str">
        <f>IFERROR(VLOOKUP('Customer Info'!A2439,'Customer Info'!A2439:C2938,3,FALSE),"Not Found")</f>
        <v>Not Found</v>
      </c>
      <c r="I2447" s="6" t="str">
        <f>IFERROR(VLOOKUP('Customer Info'!A2439,'Customer Info'!A2439:E2938,5,FALSE),"Not Found")</f>
        <v>Not Found</v>
      </c>
      <c r="J2447" s="2">
        <v>1518</v>
      </c>
      <c r="K2447" s="2">
        <v>1392</v>
      </c>
      <c r="L2447" s="2">
        <v>5</v>
      </c>
      <c r="M2447" s="7">
        <f t="shared" si="190"/>
        <v>6960</v>
      </c>
      <c r="N2447" s="7">
        <f t="shared" si="191"/>
        <v>7590</v>
      </c>
      <c r="O2447" s="2">
        <v>28</v>
      </c>
      <c r="P2447" s="8">
        <f t="shared" si="192"/>
        <v>7618</v>
      </c>
      <c r="Q2447" s="8">
        <f t="shared" si="193"/>
        <v>6198</v>
      </c>
      <c r="R2447" s="2" t="s">
        <v>28</v>
      </c>
      <c r="S2447" s="9">
        <f t="shared" si="194"/>
        <v>380.90000000000003</v>
      </c>
    </row>
    <row r="2448" spans="1:19" x14ac:dyDescent="0.3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str">
        <f>IFERROR(VLOOKUP('Customer Info'!A2440,'Customer Info'!A2440:C2939,2,FALSE),"Not Found")</f>
        <v>Not Found</v>
      </c>
      <c r="H2448" s="6" t="str">
        <f>IFERROR(VLOOKUP('Customer Info'!A2440,'Customer Info'!A2440:C2939,3,FALSE),"Not Found")</f>
        <v>Not Found</v>
      </c>
      <c r="I2448" s="6" t="str">
        <f>IFERROR(VLOOKUP('Customer Info'!A2440,'Customer Info'!A2440:E2939,5,FALSE),"Not Found")</f>
        <v>Not Found</v>
      </c>
      <c r="J2448" s="2">
        <v>1717</v>
      </c>
      <c r="K2448" s="2">
        <v>1652</v>
      </c>
      <c r="L2448" s="2">
        <v>2</v>
      </c>
      <c r="M2448" s="7">
        <f t="shared" si="190"/>
        <v>3304</v>
      </c>
      <c r="N2448" s="7">
        <f t="shared" si="191"/>
        <v>3434</v>
      </c>
      <c r="O2448" s="2">
        <v>26</v>
      </c>
      <c r="P2448" s="8">
        <f t="shared" si="192"/>
        <v>3460</v>
      </c>
      <c r="Q2448" s="8">
        <f t="shared" si="193"/>
        <v>1782</v>
      </c>
      <c r="R2448" s="2" t="s">
        <v>28</v>
      </c>
      <c r="S2448" s="9">
        <f t="shared" si="194"/>
        <v>69.2</v>
      </c>
    </row>
    <row r="2449" spans="1:19" x14ac:dyDescent="0.3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str">
        <f>IFERROR(VLOOKUP('Customer Info'!A2441,'Customer Info'!A2441:C2940,2,FALSE),"Not Found")</f>
        <v>Not Found</v>
      </c>
      <c r="H2449" s="6" t="str">
        <f>IFERROR(VLOOKUP('Customer Info'!A2441,'Customer Info'!A2441:C2940,3,FALSE),"Not Found")</f>
        <v>Not Found</v>
      </c>
      <c r="I2449" s="6" t="str">
        <f>IFERROR(VLOOKUP('Customer Info'!A2441,'Customer Info'!A2441:E2940,5,FALSE),"Not Found")</f>
        <v>Not Found</v>
      </c>
      <c r="J2449" s="2">
        <v>914</v>
      </c>
      <c r="K2449" s="2">
        <v>830</v>
      </c>
      <c r="L2449" s="2">
        <v>4</v>
      </c>
      <c r="M2449" s="7">
        <f t="shared" si="190"/>
        <v>3320</v>
      </c>
      <c r="N2449" s="7">
        <f t="shared" si="191"/>
        <v>3656</v>
      </c>
      <c r="O2449" s="2">
        <v>41</v>
      </c>
      <c r="P2449" s="8">
        <f t="shared" si="192"/>
        <v>3697</v>
      </c>
      <c r="Q2449" s="8">
        <f t="shared" si="193"/>
        <v>2826</v>
      </c>
      <c r="R2449" s="2" t="s">
        <v>28</v>
      </c>
      <c r="S2449" s="9">
        <f t="shared" si="194"/>
        <v>73.94</v>
      </c>
    </row>
    <row r="2450" spans="1:19" x14ac:dyDescent="0.3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str">
        <f>IFERROR(VLOOKUP('Customer Info'!A2442,'Customer Info'!A2442:C2941,2,FALSE),"Not Found")</f>
        <v>Not Found</v>
      </c>
      <c r="H2450" s="6" t="str">
        <f>IFERROR(VLOOKUP('Customer Info'!A2442,'Customer Info'!A2442:C2941,3,FALSE),"Not Found")</f>
        <v>Not Found</v>
      </c>
      <c r="I2450" s="6" t="str">
        <f>IFERROR(VLOOKUP('Customer Info'!A2442,'Customer Info'!A2442:E2941,5,FALSE),"Not Found")</f>
        <v>Not Found</v>
      </c>
      <c r="J2450" s="2">
        <v>542</v>
      </c>
      <c r="K2450" s="2">
        <v>492</v>
      </c>
      <c r="L2450" s="2">
        <v>1</v>
      </c>
      <c r="M2450" s="7">
        <f t="shared" si="190"/>
        <v>492</v>
      </c>
      <c r="N2450" s="7">
        <f t="shared" si="191"/>
        <v>542</v>
      </c>
      <c r="O2450" s="2">
        <v>23</v>
      </c>
      <c r="P2450" s="8">
        <f t="shared" si="192"/>
        <v>565</v>
      </c>
      <c r="Q2450" s="8">
        <f t="shared" si="193"/>
        <v>50</v>
      </c>
      <c r="R2450" s="2" t="s">
        <v>50</v>
      </c>
      <c r="S2450" s="9">
        <f t="shared" si="194"/>
        <v>11.3</v>
      </c>
    </row>
    <row r="2451" spans="1:19" x14ac:dyDescent="0.3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str">
        <f>IFERROR(VLOOKUP('Customer Info'!A2443,'Customer Info'!A2443:C2942,2,FALSE),"Not Found")</f>
        <v>Not Found</v>
      </c>
      <c r="H2451" s="6" t="str">
        <f>IFERROR(VLOOKUP('Customer Info'!A2443,'Customer Info'!A2443:C2942,3,FALSE),"Not Found")</f>
        <v>Not Found</v>
      </c>
      <c r="I2451" s="6" t="str">
        <f>IFERROR(VLOOKUP('Customer Info'!A2443,'Customer Info'!A2443:E2942,5,FALSE),"Not Found")</f>
        <v>Not Found</v>
      </c>
      <c r="J2451" s="2">
        <v>179</v>
      </c>
      <c r="K2451" s="2">
        <v>166</v>
      </c>
      <c r="L2451" s="2">
        <v>5</v>
      </c>
      <c r="M2451" s="7">
        <f t="shared" si="190"/>
        <v>830</v>
      </c>
      <c r="N2451" s="7">
        <f t="shared" si="191"/>
        <v>895</v>
      </c>
      <c r="O2451" s="2">
        <v>30</v>
      </c>
      <c r="P2451" s="8">
        <f t="shared" si="192"/>
        <v>925</v>
      </c>
      <c r="Q2451" s="8">
        <f t="shared" si="193"/>
        <v>729</v>
      </c>
      <c r="R2451" s="2" t="s">
        <v>56</v>
      </c>
      <c r="S2451" s="9">
        <f t="shared" si="194"/>
        <v>18.5</v>
      </c>
    </row>
    <row r="2452" spans="1:19" x14ac:dyDescent="0.3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str">
        <f>IFERROR(VLOOKUP('Customer Info'!A2444,'Customer Info'!A2444:C2943,2,FALSE),"Not Found")</f>
        <v>Not Found</v>
      </c>
      <c r="H2452" s="6" t="str">
        <f>IFERROR(VLOOKUP('Customer Info'!A2444,'Customer Info'!A2444:C2943,3,FALSE),"Not Found")</f>
        <v>Not Found</v>
      </c>
      <c r="I2452" s="6" t="str">
        <f>IFERROR(VLOOKUP('Customer Info'!A2444,'Customer Info'!A2444:E2943,5,FALSE),"Not Found")</f>
        <v>Not Found</v>
      </c>
      <c r="J2452" s="2">
        <v>2296</v>
      </c>
      <c r="K2452" s="2">
        <v>2146</v>
      </c>
      <c r="L2452" s="2">
        <v>2</v>
      </c>
      <c r="M2452" s="7">
        <f t="shared" si="190"/>
        <v>4292</v>
      </c>
      <c r="N2452" s="7">
        <f t="shared" si="191"/>
        <v>4592</v>
      </c>
      <c r="O2452" s="2">
        <v>50</v>
      </c>
      <c r="P2452" s="8">
        <f t="shared" si="192"/>
        <v>4642</v>
      </c>
      <c r="Q2452" s="8">
        <f t="shared" si="193"/>
        <v>2446</v>
      </c>
      <c r="R2452" s="2" t="s">
        <v>28</v>
      </c>
      <c r="S2452" s="9">
        <f t="shared" si="194"/>
        <v>92.84</v>
      </c>
    </row>
    <row r="2453" spans="1:19" x14ac:dyDescent="0.3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str">
        <f>IFERROR(VLOOKUP('Customer Info'!A2445,'Customer Info'!A2445:C2944,2,FALSE),"Not Found")</f>
        <v>Not Found</v>
      </c>
      <c r="H2453" s="6" t="str">
        <f>IFERROR(VLOOKUP('Customer Info'!A2445,'Customer Info'!A2445:C2944,3,FALSE),"Not Found")</f>
        <v>Not Found</v>
      </c>
      <c r="I2453" s="6" t="str">
        <f>IFERROR(VLOOKUP('Customer Info'!A2445,'Customer Info'!A2445:E2944,5,FALSE),"Not Found")</f>
        <v>Not Found</v>
      </c>
      <c r="J2453" s="2">
        <v>4737</v>
      </c>
      <c r="K2453" s="2">
        <v>4473</v>
      </c>
      <c r="L2453" s="2">
        <v>4</v>
      </c>
      <c r="M2453" s="7">
        <f t="shared" si="190"/>
        <v>17892</v>
      </c>
      <c r="N2453" s="7">
        <f t="shared" si="191"/>
        <v>18948</v>
      </c>
      <c r="O2453" s="2">
        <v>62</v>
      </c>
      <c r="P2453" s="8">
        <f t="shared" si="192"/>
        <v>19010</v>
      </c>
      <c r="Q2453" s="8">
        <f t="shared" si="193"/>
        <v>14475</v>
      </c>
      <c r="R2453" s="2" t="s">
        <v>28</v>
      </c>
      <c r="S2453" s="9">
        <f t="shared" si="194"/>
        <v>950.5</v>
      </c>
    </row>
    <row r="2454" spans="1:19" x14ac:dyDescent="0.3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str">
        <f>IFERROR(VLOOKUP('Customer Info'!A2446,'Customer Info'!A2446:C2945,2,FALSE),"Not Found")</f>
        <v>Not Found</v>
      </c>
      <c r="H2454" s="6" t="str">
        <f>IFERROR(VLOOKUP('Customer Info'!A2446,'Customer Info'!A2446:C2945,3,FALSE),"Not Found")</f>
        <v>Not Found</v>
      </c>
      <c r="I2454" s="6" t="str">
        <f>IFERROR(VLOOKUP('Customer Info'!A2446,'Customer Info'!A2446:E2945,5,FALSE),"Not Found")</f>
        <v>Not Found</v>
      </c>
      <c r="J2454" s="2">
        <v>765</v>
      </c>
      <c r="K2454" s="2">
        <v>701</v>
      </c>
      <c r="L2454" s="2">
        <v>3</v>
      </c>
      <c r="M2454" s="7">
        <f t="shared" si="190"/>
        <v>2103</v>
      </c>
      <c r="N2454" s="7">
        <f t="shared" si="191"/>
        <v>2295</v>
      </c>
      <c r="O2454" s="2">
        <v>82</v>
      </c>
      <c r="P2454" s="8">
        <f t="shared" si="192"/>
        <v>2377</v>
      </c>
      <c r="Q2454" s="8">
        <f t="shared" si="193"/>
        <v>1594</v>
      </c>
      <c r="R2454" s="2" t="s">
        <v>26</v>
      </c>
      <c r="S2454" s="9">
        <f t="shared" si="194"/>
        <v>47.54</v>
      </c>
    </row>
    <row r="2455" spans="1:19" x14ac:dyDescent="0.3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str">
        <f>IFERROR(VLOOKUP('Customer Info'!A2447,'Customer Info'!A2447:C2946,2,FALSE),"Not Found")</f>
        <v>Not Found</v>
      </c>
      <c r="H2455" s="6" t="str">
        <f>IFERROR(VLOOKUP('Customer Info'!A2447,'Customer Info'!A2447:C2946,3,FALSE),"Not Found")</f>
        <v>Not Found</v>
      </c>
      <c r="I2455" s="6" t="str">
        <f>IFERROR(VLOOKUP('Customer Info'!A2447,'Customer Info'!A2447:E2946,5,FALSE),"Not Found")</f>
        <v>Not Found</v>
      </c>
      <c r="J2455" s="2">
        <v>4246</v>
      </c>
      <c r="K2455" s="2">
        <v>3857</v>
      </c>
      <c r="L2455" s="2">
        <v>5</v>
      </c>
      <c r="M2455" s="7">
        <f t="shared" si="190"/>
        <v>19285</v>
      </c>
      <c r="N2455" s="7">
        <f t="shared" si="191"/>
        <v>21230</v>
      </c>
      <c r="O2455" s="2">
        <v>94</v>
      </c>
      <c r="P2455" s="8">
        <f t="shared" si="192"/>
        <v>21324</v>
      </c>
      <c r="Q2455" s="8">
        <f t="shared" si="193"/>
        <v>17373</v>
      </c>
      <c r="R2455" s="2" t="s">
        <v>28</v>
      </c>
      <c r="S2455" s="9">
        <f t="shared" si="194"/>
        <v>1066.2</v>
      </c>
    </row>
    <row r="2456" spans="1:19" x14ac:dyDescent="0.3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str">
        <f>IFERROR(VLOOKUP('Customer Info'!A2448,'Customer Info'!A2448:C2947,2,FALSE),"Not Found")</f>
        <v>Not Found</v>
      </c>
      <c r="H2456" s="6" t="str">
        <f>IFERROR(VLOOKUP('Customer Info'!A2448,'Customer Info'!A2448:C2947,3,FALSE),"Not Found")</f>
        <v>Not Found</v>
      </c>
      <c r="I2456" s="6" t="str">
        <f>IFERROR(VLOOKUP('Customer Info'!A2448,'Customer Info'!A2448:E2947,5,FALSE),"Not Found")</f>
        <v>Not Found</v>
      </c>
      <c r="J2456" s="2">
        <v>142</v>
      </c>
      <c r="K2456" s="2">
        <v>134</v>
      </c>
      <c r="L2456" s="2">
        <v>1</v>
      </c>
      <c r="M2456" s="7">
        <f t="shared" si="190"/>
        <v>134</v>
      </c>
      <c r="N2456" s="7">
        <f t="shared" si="191"/>
        <v>142</v>
      </c>
      <c r="O2456" s="2">
        <v>30</v>
      </c>
      <c r="P2456" s="8">
        <f t="shared" si="192"/>
        <v>172</v>
      </c>
      <c r="Q2456" s="8">
        <f t="shared" si="193"/>
        <v>8</v>
      </c>
      <c r="R2456" s="2" t="s">
        <v>28</v>
      </c>
      <c r="S2456" s="9">
        <f t="shared" si="194"/>
        <v>3.44</v>
      </c>
    </row>
    <row r="2457" spans="1:19" x14ac:dyDescent="0.3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str">
        <f>IFERROR(VLOOKUP('Customer Info'!A2449,'Customer Info'!A2449:C2948,2,FALSE),"Not Found")</f>
        <v>Not Found</v>
      </c>
      <c r="H2457" s="6" t="str">
        <f>IFERROR(VLOOKUP('Customer Info'!A2449,'Customer Info'!A2449:C2948,3,FALSE),"Not Found")</f>
        <v>Not Found</v>
      </c>
      <c r="I2457" s="6" t="str">
        <f>IFERROR(VLOOKUP('Customer Info'!A2449,'Customer Info'!A2449:E2948,5,FALSE),"Not Found")</f>
        <v>Not Found</v>
      </c>
      <c r="J2457" s="2">
        <v>1283</v>
      </c>
      <c r="K2457" s="2">
        <v>1187</v>
      </c>
      <c r="L2457" s="2">
        <v>6</v>
      </c>
      <c r="M2457" s="7">
        <f t="shared" si="190"/>
        <v>7122</v>
      </c>
      <c r="N2457" s="7">
        <f t="shared" si="191"/>
        <v>7698</v>
      </c>
      <c r="O2457" s="2">
        <v>49</v>
      </c>
      <c r="P2457" s="8">
        <f t="shared" si="192"/>
        <v>7747</v>
      </c>
      <c r="Q2457" s="8">
        <f t="shared" si="193"/>
        <v>6511</v>
      </c>
      <c r="R2457" s="2" t="s">
        <v>28</v>
      </c>
      <c r="S2457" s="9">
        <f t="shared" si="194"/>
        <v>387.35</v>
      </c>
    </row>
    <row r="2458" spans="1:19" x14ac:dyDescent="0.3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str">
        <f>IFERROR(VLOOKUP('Customer Info'!A2450,'Customer Info'!A2450:C2949,2,FALSE),"Not Found")</f>
        <v>Not Found</v>
      </c>
      <c r="H2458" s="6" t="str">
        <f>IFERROR(VLOOKUP('Customer Info'!A2450,'Customer Info'!A2450:C2949,3,FALSE),"Not Found")</f>
        <v>Not Found</v>
      </c>
      <c r="I2458" s="6" t="str">
        <f>IFERROR(VLOOKUP('Customer Info'!A2450,'Customer Info'!A2450:E2949,5,FALSE),"Not Found")</f>
        <v>Not Found</v>
      </c>
      <c r="J2458" s="2">
        <v>2418</v>
      </c>
      <c r="K2458" s="2">
        <v>2282</v>
      </c>
      <c r="L2458" s="2">
        <v>3</v>
      </c>
      <c r="M2458" s="7">
        <f t="shared" si="190"/>
        <v>6846</v>
      </c>
      <c r="N2458" s="7">
        <f t="shared" si="191"/>
        <v>7254</v>
      </c>
      <c r="O2458" s="2">
        <v>52</v>
      </c>
      <c r="P2458" s="8">
        <f t="shared" si="192"/>
        <v>7306</v>
      </c>
      <c r="Q2458" s="8">
        <f t="shared" si="193"/>
        <v>4972</v>
      </c>
      <c r="R2458" s="2" t="s">
        <v>28</v>
      </c>
      <c r="S2458" s="9">
        <f t="shared" si="194"/>
        <v>365.3</v>
      </c>
    </row>
    <row r="2459" spans="1:19" x14ac:dyDescent="0.3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str">
        <f>IFERROR(VLOOKUP('Customer Info'!A2451,'Customer Info'!A2451:C2950,2,FALSE),"Not Found")</f>
        <v>Not Found</v>
      </c>
      <c r="H2459" s="6" t="str">
        <f>IFERROR(VLOOKUP('Customer Info'!A2451,'Customer Info'!A2451:C2950,3,FALSE),"Not Found")</f>
        <v>Not Found</v>
      </c>
      <c r="I2459" s="6" t="str">
        <f>IFERROR(VLOOKUP('Customer Info'!A2451,'Customer Info'!A2451:E2950,5,FALSE),"Not Found")</f>
        <v>Not Found</v>
      </c>
      <c r="J2459" s="2">
        <v>1816</v>
      </c>
      <c r="K2459" s="2">
        <v>1699</v>
      </c>
      <c r="L2459" s="2">
        <v>1</v>
      </c>
      <c r="M2459" s="7">
        <f t="shared" si="190"/>
        <v>1699</v>
      </c>
      <c r="N2459" s="7">
        <f t="shared" si="191"/>
        <v>1816</v>
      </c>
      <c r="O2459" s="2">
        <v>63</v>
      </c>
      <c r="P2459" s="8">
        <f t="shared" si="192"/>
        <v>1879</v>
      </c>
      <c r="Q2459" s="8">
        <f t="shared" si="193"/>
        <v>117</v>
      </c>
      <c r="R2459" s="2" t="s">
        <v>50</v>
      </c>
      <c r="S2459" s="9">
        <f t="shared" si="194"/>
        <v>37.58</v>
      </c>
    </row>
    <row r="2460" spans="1:19" x14ac:dyDescent="0.3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str">
        <f>IFERROR(VLOOKUP('Customer Info'!A2452,'Customer Info'!A2452:C2951,2,FALSE),"Not Found")</f>
        <v>Not Found</v>
      </c>
      <c r="H2460" s="6" t="str">
        <f>IFERROR(VLOOKUP('Customer Info'!A2452,'Customer Info'!A2452:C2951,3,FALSE),"Not Found")</f>
        <v>Not Found</v>
      </c>
      <c r="I2460" s="6" t="str">
        <f>IFERROR(VLOOKUP('Customer Info'!A2452,'Customer Info'!A2452:E2951,5,FALSE),"Not Found")</f>
        <v>Not Found</v>
      </c>
      <c r="J2460" s="2">
        <v>224</v>
      </c>
      <c r="K2460" s="2">
        <v>210</v>
      </c>
      <c r="L2460" s="2">
        <v>1</v>
      </c>
      <c r="M2460" s="7">
        <f t="shared" si="190"/>
        <v>210</v>
      </c>
      <c r="N2460" s="7">
        <f t="shared" si="191"/>
        <v>224</v>
      </c>
      <c r="O2460" s="2">
        <v>86</v>
      </c>
      <c r="P2460" s="8">
        <f t="shared" si="192"/>
        <v>310</v>
      </c>
      <c r="Q2460" s="8">
        <f t="shared" si="193"/>
        <v>14</v>
      </c>
      <c r="R2460" s="2" t="s">
        <v>28</v>
      </c>
      <c r="S2460" s="9">
        <f t="shared" si="194"/>
        <v>6.2</v>
      </c>
    </row>
    <row r="2461" spans="1:19" x14ac:dyDescent="0.3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str">
        <f>IFERROR(VLOOKUP('Customer Info'!A2453,'Customer Info'!A2453:C2952,2,FALSE),"Not Found")</f>
        <v>Not Found</v>
      </c>
      <c r="H2461" s="6" t="str">
        <f>IFERROR(VLOOKUP('Customer Info'!A2453,'Customer Info'!A2453:C2952,3,FALSE),"Not Found")</f>
        <v>Not Found</v>
      </c>
      <c r="I2461" s="6" t="str">
        <f>IFERROR(VLOOKUP('Customer Info'!A2453,'Customer Info'!A2453:E2952,5,FALSE),"Not Found")</f>
        <v>Not Found</v>
      </c>
      <c r="J2461" s="2">
        <v>5051</v>
      </c>
      <c r="K2461" s="2">
        <v>4634</v>
      </c>
      <c r="L2461" s="2">
        <v>5</v>
      </c>
      <c r="M2461" s="7">
        <f t="shared" si="190"/>
        <v>23170</v>
      </c>
      <c r="N2461" s="7">
        <f t="shared" si="191"/>
        <v>25255</v>
      </c>
      <c r="O2461" s="2">
        <v>67</v>
      </c>
      <c r="P2461" s="8">
        <f t="shared" si="192"/>
        <v>25322</v>
      </c>
      <c r="Q2461" s="8">
        <f t="shared" si="193"/>
        <v>20621</v>
      </c>
      <c r="R2461" s="2" t="s">
        <v>28</v>
      </c>
      <c r="S2461" s="9">
        <f t="shared" si="194"/>
        <v>1772.5400000000002</v>
      </c>
    </row>
    <row r="2462" spans="1:19" x14ac:dyDescent="0.3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str">
        <f>IFERROR(VLOOKUP('Customer Info'!A2454,'Customer Info'!A2454:C2953,2,FALSE),"Not Found")</f>
        <v>Not Found</v>
      </c>
      <c r="H2462" s="6" t="str">
        <f>IFERROR(VLOOKUP('Customer Info'!A2454,'Customer Info'!A2454:C2953,3,FALSE),"Not Found")</f>
        <v>Not Found</v>
      </c>
      <c r="I2462" s="6" t="str">
        <f>IFERROR(VLOOKUP('Customer Info'!A2454,'Customer Info'!A2454:E2953,5,FALSE),"Not Found")</f>
        <v>Not Found</v>
      </c>
      <c r="J2462" s="2">
        <v>1246</v>
      </c>
      <c r="K2462" s="2">
        <v>1164</v>
      </c>
      <c r="L2462" s="2">
        <v>2</v>
      </c>
      <c r="M2462" s="7">
        <f t="shared" si="190"/>
        <v>2328</v>
      </c>
      <c r="N2462" s="7">
        <f t="shared" si="191"/>
        <v>2492</v>
      </c>
      <c r="O2462" s="2">
        <v>79</v>
      </c>
      <c r="P2462" s="8">
        <f t="shared" si="192"/>
        <v>2571</v>
      </c>
      <c r="Q2462" s="8">
        <f t="shared" si="193"/>
        <v>1328</v>
      </c>
      <c r="R2462" s="2" t="s">
        <v>28</v>
      </c>
      <c r="S2462" s="9">
        <f t="shared" si="194"/>
        <v>51.42</v>
      </c>
    </row>
    <row r="2463" spans="1:19" x14ac:dyDescent="0.3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str">
        <f>IFERROR(VLOOKUP('Customer Info'!A2455,'Customer Info'!A2455:C2954,2,FALSE),"Not Found")</f>
        <v>Not Found</v>
      </c>
      <c r="H2463" s="6" t="str">
        <f>IFERROR(VLOOKUP('Customer Info'!A2455,'Customer Info'!A2455:C2954,3,FALSE),"Not Found")</f>
        <v>Not Found</v>
      </c>
      <c r="I2463" s="6" t="str">
        <f>IFERROR(VLOOKUP('Customer Info'!A2455,'Customer Info'!A2455:E2954,5,FALSE),"Not Found")</f>
        <v>Not Found</v>
      </c>
      <c r="J2463" s="2">
        <v>4577</v>
      </c>
      <c r="K2463" s="2">
        <v>4280</v>
      </c>
      <c r="L2463" s="2">
        <v>3</v>
      </c>
      <c r="M2463" s="7">
        <f t="shared" si="190"/>
        <v>12840</v>
      </c>
      <c r="N2463" s="7">
        <f t="shared" si="191"/>
        <v>13731</v>
      </c>
      <c r="O2463" s="2">
        <v>81</v>
      </c>
      <c r="P2463" s="8">
        <f t="shared" si="192"/>
        <v>13812</v>
      </c>
      <c r="Q2463" s="8">
        <f t="shared" si="193"/>
        <v>9451</v>
      </c>
      <c r="R2463" s="2" t="s">
        <v>50</v>
      </c>
      <c r="S2463" s="9">
        <f t="shared" si="194"/>
        <v>690.6</v>
      </c>
    </row>
    <row r="2464" spans="1:19" x14ac:dyDescent="0.3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str">
        <f>IFERROR(VLOOKUP('Customer Info'!A2456,'Customer Info'!A2456:C2955,2,FALSE),"Not Found")</f>
        <v>Not Found</v>
      </c>
      <c r="H2464" s="6" t="str">
        <f>IFERROR(VLOOKUP('Customer Info'!A2456,'Customer Info'!A2456:C2955,3,FALSE),"Not Found")</f>
        <v>Not Found</v>
      </c>
      <c r="I2464" s="6" t="str">
        <f>IFERROR(VLOOKUP('Customer Info'!A2456,'Customer Info'!A2456:E2955,5,FALSE),"Not Found")</f>
        <v>Not Found</v>
      </c>
      <c r="J2464" s="2">
        <v>2249</v>
      </c>
      <c r="K2464" s="2">
        <v>2102</v>
      </c>
      <c r="L2464" s="2">
        <v>3</v>
      </c>
      <c r="M2464" s="7">
        <f t="shared" si="190"/>
        <v>6306</v>
      </c>
      <c r="N2464" s="7">
        <f t="shared" si="191"/>
        <v>6747</v>
      </c>
      <c r="O2464" s="2">
        <v>36</v>
      </c>
      <c r="P2464" s="8">
        <f t="shared" si="192"/>
        <v>6783</v>
      </c>
      <c r="Q2464" s="8">
        <f t="shared" si="193"/>
        <v>4645</v>
      </c>
      <c r="R2464" s="2" t="s">
        <v>56</v>
      </c>
      <c r="S2464" s="9">
        <f t="shared" si="194"/>
        <v>339.15000000000003</v>
      </c>
    </row>
    <row r="2465" spans="1:19" x14ac:dyDescent="0.3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str">
        <f>IFERROR(VLOOKUP('Customer Info'!A2457,'Customer Info'!A2457:C2956,2,FALSE),"Not Found")</f>
        <v>Not Found</v>
      </c>
      <c r="H2465" s="6" t="str">
        <f>IFERROR(VLOOKUP('Customer Info'!A2457,'Customer Info'!A2457:C2956,3,FALSE),"Not Found")</f>
        <v>Not Found</v>
      </c>
      <c r="I2465" s="6" t="str">
        <f>IFERROR(VLOOKUP('Customer Info'!A2457,'Customer Info'!A2457:E2956,5,FALSE),"Not Found")</f>
        <v>Not Found</v>
      </c>
      <c r="J2465" s="2">
        <v>90</v>
      </c>
      <c r="K2465" s="2">
        <v>81</v>
      </c>
      <c r="L2465" s="2">
        <v>3</v>
      </c>
      <c r="M2465" s="7">
        <f t="shared" si="190"/>
        <v>243</v>
      </c>
      <c r="N2465" s="7">
        <f t="shared" si="191"/>
        <v>270</v>
      </c>
      <c r="O2465" s="2">
        <v>10</v>
      </c>
      <c r="P2465" s="8">
        <f t="shared" si="192"/>
        <v>280</v>
      </c>
      <c r="Q2465" s="8">
        <f t="shared" si="193"/>
        <v>189</v>
      </c>
      <c r="R2465" s="2" t="s">
        <v>26</v>
      </c>
      <c r="S2465" s="9">
        <f t="shared" si="194"/>
        <v>5.6000000000000005</v>
      </c>
    </row>
    <row r="2466" spans="1:19" x14ac:dyDescent="0.3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str">
        <f>IFERROR(VLOOKUP('Customer Info'!A2458,'Customer Info'!A2458:C2957,2,FALSE),"Not Found")</f>
        <v>Not Found</v>
      </c>
      <c r="H2466" s="6" t="str">
        <f>IFERROR(VLOOKUP('Customer Info'!A2458,'Customer Info'!A2458:C2957,3,FALSE),"Not Found")</f>
        <v>Not Found</v>
      </c>
      <c r="I2466" s="6" t="str">
        <f>IFERROR(VLOOKUP('Customer Info'!A2458,'Customer Info'!A2458:E2957,5,FALSE),"Not Found")</f>
        <v>Not Found</v>
      </c>
      <c r="J2466" s="2">
        <v>63</v>
      </c>
      <c r="K2466" s="2">
        <v>58</v>
      </c>
      <c r="L2466" s="2">
        <v>9</v>
      </c>
      <c r="M2466" s="7">
        <f t="shared" si="190"/>
        <v>522</v>
      </c>
      <c r="N2466" s="7">
        <f t="shared" si="191"/>
        <v>567</v>
      </c>
      <c r="O2466" s="2">
        <v>10</v>
      </c>
      <c r="P2466" s="8">
        <f t="shared" si="192"/>
        <v>577</v>
      </c>
      <c r="Q2466" s="8">
        <f t="shared" si="193"/>
        <v>509</v>
      </c>
      <c r="R2466" s="2" t="s">
        <v>28</v>
      </c>
      <c r="S2466" s="9">
        <f t="shared" si="194"/>
        <v>11.540000000000001</v>
      </c>
    </row>
    <row r="2467" spans="1:19" x14ac:dyDescent="0.3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str">
        <f>IFERROR(VLOOKUP('Customer Info'!A2459,'Customer Info'!A2459:C2958,2,FALSE),"Not Found")</f>
        <v>Not Found</v>
      </c>
      <c r="H2467" s="6" t="str">
        <f>IFERROR(VLOOKUP('Customer Info'!A2459,'Customer Info'!A2459:C2958,3,FALSE),"Not Found")</f>
        <v>Not Found</v>
      </c>
      <c r="I2467" s="6" t="str">
        <f>IFERROR(VLOOKUP('Customer Info'!A2459,'Customer Info'!A2459:E2958,5,FALSE),"Not Found")</f>
        <v>Not Found</v>
      </c>
      <c r="J2467" s="2">
        <v>5894</v>
      </c>
      <c r="K2467" s="2">
        <v>5621</v>
      </c>
      <c r="L2467" s="2">
        <v>3</v>
      </c>
      <c r="M2467" s="7">
        <f t="shared" si="190"/>
        <v>16863</v>
      </c>
      <c r="N2467" s="7">
        <f t="shared" si="191"/>
        <v>17682</v>
      </c>
      <c r="O2467" s="2">
        <v>96</v>
      </c>
      <c r="P2467" s="8">
        <f t="shared" si="192"/>
        <v>17778</v>
      </c>
      <c r="Q2467" s="8">
        <f t="shared" si="193"/>
        <v>12061</v>
      </c>
      <c r="R2467" s="2" t="s">
        <v>28</v>
      </c>
      <c r="S2467" s="9">
        <f t="shared" si="194"/>
        <v>888.90000000000009</v>
      </c>
    </row>
    <row r="2468" spans="1:19" x14ac:dyDescent="0.3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str">
        <f>IFERROR(VLOOKUP('Customer Info'!A2460,'Customer Info'!A2460:C2959,2,FALSE),"Not Found")</f>
        <v>Not Found</v>
      </c>
      <c r="H2468" s="6" t="str">
        <f>IFERROR(VLOOKUP('Customer Info'!A2460,'Customer Info'!A2460:C2959,3,FALSE),"Not Found")</f>
        <v>Not Found</v>
      </c>
      <c r="I2468" s="6" t="str">
        <f>IFERROR(VLOOKUP('Customer Info'!A2460,'Customer Info'!A2460:E2959,5,FALSE),"Not Found")</f>
        <v>Not Found</v>
      </c>
      <c r="J2468" s="2">
        <v>6864</v>
      </c>
      <c r="K2468" s="2">
        <v>6667</v>
      </c>
      <c r="L2468" s="2">
        <v>8</v>
      </c>
      <c r="M2468" s="7">
        <f t="shared" si="190"/>
        <v>53336</v>
      </c>
      <c r="N2468" s="7">
        <f t="shared" si="191"/>
        <v>54912</v>
      </c>
      <c r="O2468" s="2">
        <v>37</v>
      </c>
      <c r="P2468" s="8">
        <f t="shared" si="192"/>
        <v>54949</v>
      </c>
      <c r="Q2468" s="8">
        <f t="shared" si="193"/>
        <v>48245</v>
      </c>
      <c r="R2468" s="2" t="s">
        <v>28</v>
      </c>
      <c r="S2468" s="9">
        <f t="shared" si="194"/>
        <v>4945.41</v>
      </c>
    </row>
    <row r="2469" spans="1:19" x14ac:dyDescent="0.3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str">
        <f>IFERROR(VLOOKUP('Customer Info'!A2461,'Customer Info'!A2461:C2960,2,FALSE),"Not Found")</f>
        <v>Not Found</v>
      </c>
      <c r="H2469" s="6" t="str">
        <f>IFERROR(VLOOKUP('Customer Info'!A2461,'Customer Info'!A2461:C2960,3,FALSE),"Not Found")</f>
        <v>Not Found</v>
      </c>
      <c r="I2469" s="6" t="str">
        <f>IFERROR(VLOOKUP('Customer Info'!A2461,'Customer Info'!A2461:E2960,5,FALSE),"Not Found")</f>
        <v>Not Found</v>
      </c>
      <c r="J2469" s="2">
        <v>1798</v>
      </c>
      <c r="K2469" s="2">
        <v>1666</v>
      </c>
      <c r="L2469" s="2">
        <v>2</v>
      </c>
      <c r="M2469" s="7">
        <f t="shared" si="190"/>
        <v>3332</v>
      </c>
      <c r="N2469" s="7">
        <f t="shared" si="191"/>
        <v>3596</v>
      </c>
      <c r="O2469" s="2">
        <v>88</v>
      </c>
      <c r="P2469" s="8">
        <f t="shared" si="192"/>
        <v>3684</v>
      </c>
      <c r="Q2469" s="8">
        <f t="shared" si="193"/>
        <v>1930</v>
      </c>
      <c r="R2469" s="2" t="s">
        <v>50</v>
      </c>
      <c r="S2469" s="9">
        <f t="shared" si="194"/>
        <v>73.680000000000007</v>
      </c>
    </row>
    <row r="2470" spans="1:19" x14ac:dyDescent="0.3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str">
        <f>IFERROR(VLOOKUP('Customer Info'!A2462,'Customer Info'!A2462:C2961,2,FALSE),"Not Found")</f>
        <v>Not Found</v>
      </c>
      <c r="H2470" s="6" t="str">
        <f>IFERROR(VLOOKUP('Customer Info'!A2462,'Customer Info'!A2462:C2961,3,FALSE),"Not Found")</f>
        <v>Not Found</v>
      </c>
      <c r="I2470" s="6" t="str">
        <f>IFERROR(VLOOKUP('Customer Info'!A2462,'Customer Info'!A2462:E2961,5,FALSE),"Not Found")</f>
        <v>Not Found</v>
      </c>
      <c r="J2470" s="2">
        <v>4714</v>
      </c>
      <c r="K2470" s="2">
        <v>4323</v>
      </c>
      <c r="L2470" s="2">
        <v>1</v>
      </c>
      <c r="M2470" s="7">
        <f t="shared" si="190"/>
        <v>4323</v>
      </c>
      <c r="N2470" s="7">
        <f t="shared" si="191"/>
        <v>4714</v>
      </c>
      <c r="O2470" s="2">
        <v>77</v>
      </c>
      <c r="P2470" s="8">
        <f t="shared" si="192"/>
        <v>4791</v>
      </c>
      <c r="Q2470" s="8">
        <f t="shared" si="193"/>
        <v>391</v>
      </c>
      <c r="R2470" s="2" t="s">
        <v>26</v>
      </c>
      <c r="S2470" s="9">
        <f t="shared" si="194"/>
        <v>95.820000000000007</v>
      </c>
    </row>
    <row r="2471" spans="1:19" x14ac:dyDescent="0.3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str">
        <f>IFERROR(VLOOKUP('Customer Info'!A2463,'Customer Info'!A2463:C2962,2,FALSE),"Not Found")</f>
        <v>Not Found</v>
      </c>
      <c r="H2471" s="6" t="str">
        <f>IFERROR(VLOOKUP('Customer Info'!A2463,'Customer Info'!A2463:C2962,3,FALSE),"Not Found")</f>
        <v>Not Found</v>
      </c>
      <c r="I2471" s="6" t="str">
        <f>IFERROR(VLOOKUP('Customer Info'!A2463,'Customer Info'!A2463:E2962,5,FALSE),"Not Found")</f>
        <v>Not Found</v>
      </c>
      <c r="J2471" s="2">
        <v>7960</v>
      </c>
      <c r="K2471" s="2">
        <v>7375</v>
      </c>
      <c r="L2471" s="2">
        <v>3</v>
      </c>
      <c r="M2471" s="7">
        <f t="shared" si="190"/>
        <v>22125</v>
      </c>
      <c r="N2471" s="7">
        <f t="shared" si="191"/>
        <v>23880</v>
      </c>
      <c r="O2471" s="2">
        <v>32</v>
      </c>
      <c r="P2471" s="8">
        <f t="shared" si="192"/>
        <v>23912</v>
      </c>
      <c r="Q2471" s="8">
        <f t="shared" si="193"/>
        <v>16505</v>
      </c>
      <c r="R2471" s="2" t="s">
        <v>50</v>
      </c>
      <c r="S2471" s="9">
        <f t="shared" si="194"/>
        <v>1195.6000000000001</v>
      </c>
    </row>
    <row r="2472" spans="1:19" x14ac:dyDescent="0.3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str">
        <f>IFERROR(VLOOKUP('Customer Info'!A2464,'Customer Info'!A2464:C2963,2,FALSE),"Not Found")</f>
        <v>Not Found</v>
      </c>
      <c r="H2472" s="6" t="str">
        <f>IFERROR(VLOOKUP('Customer Info'!A2464,'Customer Info'!A2464:C2963,3,FALSE),"Not Found")</f>
        <v>Not Found</v>
      </c>
      <c r="I2472" s="6" t="str">
        <f>IFERROR(VLOOKUP('Customer Info'!A2464,'Customer Info'!A2464:E2963,5,FALSE),"Not Found")</f>
        <v>Not Found</v>
      </c>
      <c r="J2472" s="2">
        <v>222</v>
      </c>
      <c r="K2472" s="2">
        <v>208</v>
      </c>
      <c r="L2472" s="2">
        <v>3</v>
      </c>
      <c r="M2472" s="7">
        <f t="shared" si="190"/>
        <v>624</v>
      </c>
      <c r="N2472" s="7">
        <f t="shared" si="191"/>
        <v>666</v>
      </c>
      <c r="O2472" s="2">
        <v>74</v>
      </c>
      <c r="P2472" s="8">
        <f t="shared" si="192"/>
        <v>740</v>
      </c>
      <c r="Q2472" s="8">
        <f t="shared" si="193"/>
        <v>458</v>
      </c>
      <c r="R2472" s="2" t="s">
        <v>50</v>
      </c>
      <c r="S2472" s="9">
        <f t="shared" si="194"/>
        <v>14.8</v>
      </c>
    </row>
    <row r="2473" spans="1:19" x14ac:dyDescent="0.3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str">
        <f>IFERROR(VLOOKUP('Customer Info'!A2465,'Customer Info'!A2465:C2964,2,FALSE),"Not Found")</f>
        <v>Not Found</v>
      </c>
      <c r="H2473" s="6" t="str">
        <f>IFERROR(VLOOKUP('Customer Info'!A2465,'Customer Info'!A2465:C2964,3,FALSE),"Not Found")</f>
        <v>Not Found</v>
      </c>
      <c r="I2473" s="6" t="str">
        <f>IFERROR(VLOOKUP('Customer Info'!A2465,'Customer Info'!A2465:E2964,5,FALSE),"Not Found")</f>
        <v>Not Found</v>
      </c>
      <c r="J2473" s="2">
        <v>3321</v>
      </c>
      <c r="K2473" s="2">
        <v>2989</v>
      </c>
      <c r="L2473" s="2">
        <v>1</v>
      </c>
      <c r="M2473" s="7">
        <f t="shared" si="190"/>
        <v>2989</v>
      </c>
      <c r="N2473" s="7">
        <f t="shared" si="191"/>
        <v>3321</v>
      </c>
      <c r="O2473" s="2">
        <v>56</v>
      </c>
      <c r="P2473" s="8">
        <f t="shared" si="192"/>
        <v>3377</v>
      </c>
      <c r="Q2473" s="8">
        <f t="shared" si="193"/>
        <v>332</v>
      </c>
      <c r="R2473" s="2" t="s">
        <v>28</v>
      </c>
      <c r="S2473" s="9">
        <f t="shared" si="194"/>
        <v>67.540000000000006</v>
      </c>
    </row>
    <row r="2474" spans="1:19" x14ac:dyDescent="0.3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str">
        <f>IFERROR(VLOOKUP('Customer Info'!A2466,'Customer Info'!A2466:C2965,2,FALSE),"Not Found")</f>
        <v>Not Found</v>
      </c>
      <c r="H2474" s="6" t="str">
        <f>IFERROR(VLOOKUP('Customer Info'!A2466,'Customer Info'!A2466:C2965,3,FALSE),"Not Found")</f>
        <v>Not Found</v>
      </c>
      <c r="I2474" s="6" t="str">
        <f>IFERROR(VLOOKUP('Customer Info'!A2466,'Customer Info'!A2466:E2965,5,FALSE),"Not Found")</f>
        <v>Not Found</v>
      </c>
      <c r="J2474" s="2">
        <v>1717</v>
      </c>
      <c r="K2474" s="2">
        <v>1652</v>
      </c>
      <c r="L2474" s="2">
        <v>4</v>
      </c>
      <c r="M2474" s="7">
        <f t="shared" si="190"/>
        <v>6608</v>
      </c>
      <c r="N2474" s="7">
        <f t="shared" si="191"/>
        <v>6868</v>
      </c>
      <c r="O2474" s="2">
        <v>97</v>
      </c>
      <c r="P2474" s="8">
        <f t="shared" si="192"/>
        <v>6965</v>
      </c>
      <c r="Q2474" s="8">
        <f t="shared" si="193"/>
        <v>5216</v>
      </c>
      <c r="R2474" s="2" t="s">
        <v>28</v>
      </c>
      <c r="S2474" s="9">
        <f t="shared" si="194"/>
        <v>348.25</v>
      </c>
    </row>
    <row r="2475" spans="1:19" x14ac:dyDescent="0.3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str">
        <f>IFERROR(VLOOKUP('Customer Info'!A2467,'Customer Info'!A2467:C2966,2,FALSE),"Not Found")</f>
        <v>Not Found</v>
      </c>
      <c r="H2475" s="6" t="str">
        <f>IFERROR(VLOOKUP('Customer Info'!A2467,'Customer Info'!A2467:C2966,3,FALSE),"Not Found")</f>
        <v>Not Found</v>
      </c>
      <c r="I2475" s="6" t="str">
        <f>IFERROR(VLOOKUP('Customer Info'!A2467,'Customer Info'!A2467:E2966,5,FALSE),"Not Found")</f>
        <v>Not Found</v>
      </c>
      <c r="J2475" s="2">
        <v>8399</v>
      </c>
      <c r="K2475" s="2">
        <v>8001</v>
      </c>
      <c r="L2475" s="2">
        <v>1</v>
      </c>
      <c r="M2475" s="7">
        <f t="shared" si="190"/>
        <v>8001</v>
      </c>
      <c r="N2475" s="7">
        <f t="shared" si="191"/>
        <v>8399</v>
      </c>
      <c r="O2475" s="2">
        <v>85</v>
      </c>
      <c r="P2475" s="8">
        <f t="shared" si="192"/>
        <v>8484</v>
      </c>
      <c r="Q2475" s="8">
        <f t="shared" si="193"/>
        <v>398</v>
      </c>
      <c r="R2475" s="2" t="s">
        <v>28</v>
      </c>
      <c r="S2475" s="9">
        <f t="shared" si="194"/>
        <v>424.20000000000005</v>
      </c>
    </row>
    <row r="2476" spans="1:19" x14ac:dyDescent="0.3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str">
        <f>IFERROR(VLOOKUP('Customer Info'!A2468,'Customer Info'!A2468:C2967,2,FALSE),"Not Found")</f>
        <v>Not Found</v>
      </c>
      <c r="H2476" s="6" t="str">
        <f>IFERROR(VLOOKUP('Customer Info'!A2468,'Customer Info'!A2468:C2967,3,FALSE),"Not Found")</f>
        <v>Not Found</v>
      </c>
      <c r="I2476" s="6" t="str">
        <f>IFERROR(VLOOKUP('Customer Info'!A2468,'Customer Info'!A2468:E2967,5,FALSE),"Not Found")</f>
        <v>Not Found</v>
      </c>
      <c r="J2476" s="2">
        <v>183</v>
      </c>
      <c r="K2476" s="2">
        <v>168</v>
      </c>
      <c r="L2476" s="2">
        <v>6</v>
      </c>
      <c r="M2476" s="7">
        <f t="shared" si="190"/>
        <v>1008</v>
      </c>
      <c r="N2476" s="7">
        <f t="shared" si="191"/>
        <v>1098</v>
      </c>
      <c r="O2476" s="2">
        <v>30</v>
      </c>
      <c r="P2476" s="8">
        <f t="shared" si="192"/>
        <v>1128</v>
      </c>
      <c r="Q2476" s="8">
        <f t="shared" si="193"/>
        <v>930</v>
      </c>
      <c r="R2476" s="2" t="s">
        <v>28</v>
      </c>
      <c r="S2476" s="9">
        <f t="shared" si="194"/>
        <v>22.56</v>
      </c>
    </row>
    <row r="2477" spans="1:19" x14ac:dyDescent="0.3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str">
        <f>IFERROR(VLOOKUP('Customer Info'!A2469,'Customer Info'!A2469:C2968,2,FALSE),"Not Found")</f>
        <v>Not Found</v>
      </c>
      <c r="H2477" s="6" t="str">
        <f>IFERROR(VLOOKUP('Customer Info'!A2469,'Customer Info'!A2469:C2968,3,FALSE),"Not Found")</f>
        <v>Not Found</v>
      </c>
      <c r="I2477" s="6" t="str">
        <f>IFERROR(VLOOKUP('Customer Info'!A2469,'Customer Info'!A2469:E2968,5,FALSE),"Not Found")</f>
        <v>Not Found</v>
      </c>
      <c r="J2477" s="2">
        <v>3321</v>
      </c>
      <c r="K2477" s="2">
        <v>2989</v>
      </c>
      <c r="L2477" s="2">
        <v>1</v>
      </c>
      <c r="M2477" s="7">
        <f t="shared" si="190"/>
        <v>2989</v>
      </c>
      <c r="N2477" s="7">
        <f t="shared" si="191"/>
        <v>3321</v>
      </c>
      <c r="O2477" s="2">
        <v>76</v>
      </c>
      <c r="P2477" s="8">
        <f t="shared" si="192"/>
        <v>3397</v>
      </c>
      <c r="Q2477" s="8">
        <f t="shared" si="193"/>
        <v>332</v>
      </c>
      <c r="R2477" s="2" t="s">
        <v>26</v>
      </c>
      <c r="S2477" s="9">
        <f t="shared" si="194"/>
        <v>67.94</v>
      </c>
    </row>
    <row r="2478" spans="1:19" x14ac:dyDescent="0.3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str">
        <f>IFERROR(VLOOKUP('Customer Info'!A2470,'Customer Info'!A2470:C2969,2,FALSE),"Not Found")</f>
        <v>Not Found</v>
      </c>
      <c r="H2478" s="6" t="str">
        <f>IFERROR(VLOOKUP('Customer Info'!A2470,'Customer Info'!A2470:C2969,3,FALSE),"Not Found")</f>
        <v>Not Found</v>
      </c>
      <c r="I2478" s="6" t="str">
        <f>IFERROR(VLOOKUP('Customer Info'!A2470,'Customer Info'!A2470:E2969,5,FALSE),"Not Found")</f>
        <v>Not Found</v>
      </c>
      <c r="J2478" s="2">
        <v>877</v>
      </c>
      <c r="K2478" s="2">
        <v>788</v>
      </c>
      <c r="L2478" s="2">
        <v>4</v>
      </c>
      <c r="M2478" s="7">
        <f t="shared" si="190"/>
        <v>3152</v>
      </c>
      <c r="N2478" s="7">
        <f t="shared" si="191"/>
        <v>3508</v>
      </c>
      <c r="O2478" s="2">
        <v>51</v>
      </c>
      <c r="P2478" s="8">
        <f t="shared" si="192"/>
        <v>3559</v>
      </c>
      <c r="Q2478" s="8">
        <f t="shared" si="193"/>
        <v>2720</v>
      </c>
      <c r="R2478" s="2" t="s">
        <v>50</v>
      </c>
      <c r="S2478" s="9">
        <f t="shared" si="194"/>
        <v>71.180000000000007</v>
      </c>
    </row>
    <row r="2479" spans="1:19" x14ac:dyDescent="0.3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str">
        <f>IFERROR(VLOOKUP('Customer Info'!A2471,'Customer Info'!A2471:C2970,2,FALSE),"Not Found")</f>
        <v>Not Found</v>
      </c>
      <c r="H2479" s="6" t="str">
        <f>IFERROR(VLOOKUP('Customer Info'!A2471,'Customer Info'!A2471:C2970,3,FALSE),"Not Found")</f>
        <v>Not Found</v>
      </c>
      <c r="I2479" s="6" t="str">
        <f>IFERROR(VLOOKUP('Customer Info'!A2471,'Customer Info'!A2471:E2970,5,FALSE),"Not Found")</f>
        <v>Not Found</v>
      </c>
      <c r="J2479" s="2">
        <v>2540</v>
      </c>
      <c r="K2479" s="2">
        <v>2397</v>
      </c>
      <c r="L2479" s="2">
        <v>2</v>
      </c>
      <c r="M2479" s="7">
        <f t="shared" si="190"/>
        <v>4794</v>
      </c>
      <c r="N2479" s="7">
        <f t="shared" si="191"/>
        <v>5080</v>
      </c>
      <c r="O2479" s="2">
        <v>96</v>
      </c>
      <c r="P2479" s="8">
        <f t="shared" si="192"/>
        <v>5176</v>
      </c>
      <c r="Q2479" s="8">
        <f t="shared" si="193"/>
        <v>2683</v>
      </c>
      <c r="R2479" s="2" t="s">
        <v>28</v>
      </c>
      <c r="S2479" s="9">
        <f t="shared" si="194"/>
        <v>258.8</v>
      </c>
    </row>
    <row r="2480" spans="1:19" x14ac:dyDescent="0.3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str">
        <f>IFERROR(VLOOKUP('Customer Info'!A2472,'Customer Info'!A2472:C2971,2,FALSE),"Not Found")</f>
        <v>Not Found</v>
      </c>
      <c r="H2480" s="6" t="str">
        <f>IFERROR(VLOOKUP('Customer Info'!A2472,'Customer Info'!A2472:C2971,3,FALSE),"Not Found")</f>
        <v>Not Found</v>
      </c>
      <c r="I2480" s="6" t="str">
        <f>IFERROR(VLOOKUP('Customer Info'!A2472,'Customer Info'!A2472:E2971,5,FALSE),"Not Found")</f>
        <v>Not Found</v>
      </c>
      <c r="J2480" s="2">
        <v>5848</v>
      </c>
      <c r="K2480" s="2">
        <v>5214</v>
      </c>
      <c r="L2480" s="2">
        <v>1</v>
      </c>
      <c r="M2480" s="7">
        <f t="shared" si="190"/>
        <v>5214</v>
      </c>
      <c r="N2480" s="7">
        <f t="shared" si="191"/>
        <v>5848</v>
      </c>
      <c r="O2480" s="2">
        <v>94</v>
      </c>
      <c r="P2480" s="8">
        <f t="shared" si="192"/>
        <v>5942</v>
      </c>
      <c r="Q2480" s="8">
        <f t="shared" si="193"/>
        <v>634</v>
      </c>
      <c r="R2480" s="2" t="s">
        <v>28</v>
      </c>
      <c r="S2480" s="9">
        <f t="shared" si="194"/>
        <v>297.10000000000002</v>
      </c>
    </row>
    <row r="2481" spans="1:19" x14ac:dyDescent="0.3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str">
        <f>IFERROR(VLOOKUP('Customer Info'!A2473,'Customer Info'!A2473:C2972,2,FALSE),"Not Found")</f>
        <v>Not Found</v>
      </c>
      <c r="H2481" s="6" t="str">
        <f>IFERROR(VLOOKUP('Customer Info'!A2473,'Customer Info'!A2473:C2972,3,FALSE),"Not Found")</f>
        <v>Not Found</v>
      </c>
      <c r="I2481" s="6" t="str">
        <f>IFERROR(VLOOKUP('Customer Info'!A2473,'Customer Info'!A2473:E2972,5,FALSE),"Not Found")</f>
        <v>Not Found</v>
      </c>
      <c r="J2481" s="2">
        <v>79</v>
      </c>
      <c r="K2481" s="2">
        <v>75</v>
      </c>
      <c r="L2481" s="2">
        <v>2</v>
      </c>
      <c r="M2481" s="7">
        <f t="shared" si="190"/>
        <v>150</v>
      </c>
      <c r="N2481" s="7">
        <f t="shared" si="191"/>
        <v>158</v>
      </c>
      <c r="O2481" s="2">
        <v>10</v>
      </c>
      <c r="P2481" s="8">
        <f t="shared" si="192"/>
        <v>168</v>
      </c>
      <c r="Q2481" s="8">
        <f t="shared" si="193"/>
        <v>83</v>
      </c>
      <c r="R2481" s="2" t="s">
        <v>50</v>
      </c>
      <c r="S2481" s="9">
        <f t="shared" si="194"/>
        <v>3.36</v>
      </c>
    </row>
    <row r="2482" spans="1:19" x14ac:dyDescent="0.3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str">
        <f>IFERROR(VLOOKUP('Customer Info'!A2474,'Customer Info'!A2474:C2973,2,FALSE),"Not Found")</f>
        <v>Not Found</v>
      </c>
      <c r="H2482" s="6" t="str">
        <f>IFERROR(VLOOKUP('Customer Info'!A2474,'Customer Info'!A2474:C2973,3,FALSE),"Not Found")</f>
        <v>Not Found</v>
      </c>
      <c r="I2482" s="6" t="str">
        <f>IFERROR(VLOOKUP('Customer Info'!A2474,'Customer Info'!A2474:E2973,5,FALSE),"Not Found")</f>
        <v>Not Found</v>
      </c>
      <c r="J2482" s="2">
        <v>1834</v>
      </c>
      <c r="K2482" s="2">
        <v>1716</v>
      </c>
      <c r="L2482" s="2">
        <v>1</v>
      </c>
      <c r="M2482" s="7">
        <f t="shared" si="190"/>
        <v>1716</v>
      </c>
      <c r="N2482" s="7">
        <f t="shared" si="191"/>
        <v>1834</v>
      </c>
      <c r="O2482" s="2">
        <v>20</v>
      </c>
      <c r="P2482" s="8">
        <f t="shared" si="192"/>
        <v>1854</v>
      </c>
      <c r="Q2482" s="8">
        <f t="shared" si="193"/>
        <v>118</v>
      </c>
      <c r="R2482" s="2" t="s">
        <v>28</v>
      </c>
      <c r="S2482" s="9">
        <f t="shared" si="194"/>
        <v>37.08</v>
      </c>
    </row>
    <row r="2483" spans="1:19" x14ac:dyDescent="0.3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str">
        <f>IFERROR(VLOOKUP('Customer Info'!A2475,'Customer Info'!A2475:C2974,2,FALSE),"Not Found")</f>
        <v>Not Found</v>
      </c>
      <c r="H2483" s="6" t="str">
        <f>IFERROR(VLOOKUP('Customer Info'!A2475,'Customer Info'!A2475:C2974,3,FALSE),"Not Found")</f>
        <v>Not Found</v>
      </c>
      <c r="I2483" s="6" t="str">
        <f>IFERROR(VLOOKUP('Customer Info'!A2475,'Customer Info'!A2475:E2974,5,FALSE),"Not Found")</f>
        <v>Not Found</v>
      </c>
      <c r="J2483" s="2">
        <v>183</v>
      </c>
      <c r="K2483" s="2">
        <v>168</v>
      </c>
      <c r="L2483" s="2">
        <v>1</v>
      </c>
      <c r="M2483" s="7">
        <f t="shared" si="190"/>
        <v>168</v>
      </c>
      <c r="N2483" s="7">
        <f t="shared" si="191"/>
        <v>183</v>
      </c>
      <c r="O2483" s="2">
        <v>30</v>
      </c>
      <c r="P2483" s="8">
        <f t="shared" si="192"/>
        <v>213</v>
      </c>
      <c r="Q2483" s="8">
        <f t="shared" si="193"/>
        <v>15</v>
      </c>
      <c r="R2483" s="2" t="s">
        <v>28</v>
      </c>
      <c r="S2483" s="9">
        <f t="shared" si="194"/>
        <v>4.26</v>
      </c>
    </row>
    <row r="2484" spans="1:19" x14ac:dyDescent="0.3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str">
        <f>IFERROR(VLOOKUP('Customer Info'!A2476,'Customer Info'!A2476:C2975,2,FALSE),"Not Found")</f>
        <v>Not Found</v>
      </c>
      <c r="H2484" s="6" t="str">
        <f>IFERROR(VLOOKUP('Customer Info'!A2476,'Customer Info'!A2476:C2975,3,FALSE),"Not Found")</f>
        <v>Not Found</v>
      </c>
      <c r="I2484" s="6" t="str">
        <f>IFERROR(VLOOKUP('Customer Info'!A2476,'Customer Info'!A2476:E2975,5,FALSE),"Not Found")</f>
        <v>Not Found</v>
      </c>
      <c r="J2484" s="2">
        <v>2333</v>
      </c>
      <c r="K2484" s="2">
        <v>2060</v>
      </c>
      <c r="L2484" s="2">
        <v>3</v>
      </c>
      <c r="M2484" s="7">
        <f t="shared" si="190"/>
        <v>6180</v>
      </c>
      <c r="N2484" s="7">
        <f t="shared" si="191"/>
        <v>6999</v>
      </c>
      <c r="O2484" s="2">
        <v>37</v>
      </c>
      <c r="P2484" s="8">
        <f t="shared" si="192"/>
        <v>7036</v>
      </c>
      <c r="Q2484" s="8">
        <f t="shared" si="193"/>
        <v>4939</v>
      </c>
      <c r="R2484" s="2" t="s">
        <v>28</v>
      </c>
      <c r="S2484" s="9">
        <f t="shared" si="194"/>
        <v>351.8</v>
      </c>
    </row>
    <row r="2485" spans="1:19" x14ac:dyDescent="0.3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str">
        <f>IFERROR(VLOOKUP('Customer Info'!A2477,'Customer Info'!A2477:C2976,2,FALSE),"Not Found")</f>
        <v>Not Found</v>
      </c>
      <c r="H2485" s="6" t="str">
        <f>IFERROR(VLOOKUP('Customer Info'!A2477,'Customer Info'!A2477:C2976,3,FALSE),"Not Found")</f>
        <v>Not Found</v>
      </c>
      <c r="I2485" s="6" t="str">
        <f>IFERROR(VLOOKUP('Customer Info'!A2477,'Customer Info'!A2477:E2976,5,FALSE),"Not Found")</f>
        <v>Not Found</v>
      </c>
      <c r="J2485" s="2">
        <v>2960</v>
      </c>
      <c r="K2485" s="2">
        <v>2635</v>
      </c>
      <c r="L2485" s="2">
        <v>4</v>
      </c>
      <c r="M2485" s="7">
        <f t="shared" si="190"/>
        <v>10540</v>
      </c>
      <c r="N2485" s="7">
        <f t="shared" si="191"/>
        <v>11840</v>
      </c>
      <c r="O2485" s="2">
        <v>37</v>
      </c>
      <c r="P2485" s="8">
        <f t="shared" si="192"/>
        <v>11877</v>
      </c>
      <c r="Q2485" s="8">
        <f t="shared" si="193"/>
        <v>9205</v>
      </c>
      <c r="R2485" s="2" t="s">
        <v>50</v>
      </c>
      <c r="S2485" s="9">
        <f t="shared" si="194"/>
        <v>593.85</v>
      </c>
    </row>
    <row r="2486" spans="1:19" x14ac:dyDescent="0.3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str">
        <f>IFERROR(VLOOKUP('Customer Info'!A2478,'Customer Info'!A2478:C2977,2,FALSE),"Not Found")</f>
        <v>Not Found</v>
      </c>
      <c r="H2486" s="6" t="str">
        <f>IFERROR(VLOOKUP('Customer Info'!A2478,'Customer Info'!A2478:C2977,3,FALSE),"Not Found")</f>
        <v>Not Found</v>
      </c>
      <c r="I2486" s="6" t="str">
        <f>IFERROR(VLOOKUP('Customer Info'!A2478,'Customer Info'!A2478:E2977,5,FALSE),"Not Found")</f>
        <v>Not Found</v>
      </c>
      <c r="J2486" s="2">
        <v>1413</v>
      </c>
      <c r="K2486" s="2">
        <v>1334</v>
      </c>
      <c r="L2486" s="2">
        <v>6</v>
      </c>
      <c r="M2486" s="7">
        <f t="shared" si="190"/>
        <v>8004</v>
      </c>
      <c r="N2486" s="7">
        <f t="shared" si="191"/>
        <v>8478</v>
      </c>
      <c r="O2486" s="2">
        <v>21</v>
      </c>
      <c r="P2486" s="8">
        <f t="shared" si="192"/>
        <v>8499</v>
      </c>
      <c r="Q2486" s="8">
        <f t="shared" si="193"/>
        <v>7144</v>
      </c>
      <c r="R2486" s="2" t="s">
        <v>28</v>
      </c>
      <c r="S2486" s="9">
        <f t="shared" si="194"/>
        <v>424.95000000000005</v>
      </c>
    </row>
    <row r="2487" spans="1:19" x14ac:dyDescent="0.3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str">
        <f>IFERROR(VLOOKUP('Customer Info'!A2479,'Customer Info'!A2479:C2978,2,FALSE),"Not Found")</f>
        <v>Not Found</v>
      </c>
      <c r="H2487" s="6" t="str">
        <f>IFERROR(VLOOKUP('Customer Info'!A2479,'Customer Info'!A2479:C2978,3,FALSE),"Not Found")</f>
        <v>Not Found</v>
      </c>
      <c r="I2487" s="6" t="str">
        <f>IFERROR(VLOOKUP('Customer Info'!A2479,'Customer Info'!A2479:E2978,5,FALSE),"Not Found")</f>
        <v>Not Found</v>
      </c>
      <c r="J2487" s="2">
        <v>825</v>
      </c>
      <c r="K2487" s="2">
        <v>793</v>
      </c>
      <c r="L2487" s="2">
        <v>2</v>
      </c>
      <c r="M2487" s="7">
        <f t="shared" si="190"/>
        <v>1586</v>
      </c>
      <c r="N2487" s="7">
        <f t="shared" si="191"/>
        <v>1650</v>
      </c>
      <c r="O2487" s="2">
        <v>87</v>
      </c>
      <c r="P2487" s="8">
        <f t="shared" si="192"/>
        <v>1737</v>
      </c>
      <c r="Q2487" s="8">
        <f t="shared" si="193"/>
        <v>857</v>
      </c>
      <c r="R2487" s="2" t="s">
        <v>28</v>
      </c>
      <c r="S2487" s="9">
        <f t="shared" si="194"/>
        <v>34.74</v>
      </c>
    </row>
    <row r="2488" spans="1:19" x14ac:dyDescent="0.3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str">
        <f>IFERROR(VLOOKUP('Customer Info'!A2480,'Customer Info'!A2480:C2979,2,FALSE),"Not Found")</f>
        <v>Not Found</v>
      </c>
      <c r="H2488" s="6" t="str">
        <f>IFERROR(VLOOKUP('Customer Info'!A2480,'Customer Info'!A2480:C2979,3,FALSE),"Not Found")</f>
        <v>Not Found</v>
      </c>
      <c r="I2488" s="6" t="str">
        <f>IFERROR(VLOOKUP('Customer Info'!A2480,'Customer Info'!A2480:E2979,5,FALSE),"Not Found")</f>
        <v>Not Found</v>
      </c>
      <c r="J2488" s="2">
        <v>7474</v>
      </c>
      <c r="K2488" s="2">
        <v>6858</v>
      </c>
      <c r="L2488" s="2">
        <v>1</v>
      </c>
      <c r="M2488" s="7">
        <f t="shared" si="190"/>
        <v>6858</v>
      </c>
      <c r="N2488" s="7">
        <f t="shared" si="191"/>
        <v>7474</v>
      </c>
      <c r="O2488" s="2">
        <v>79</v>
      </c>
      <c r="P2488" s="8">
        <f t="shared" si="192"/>
        <v>7553</v>
      </c>
      <c r="Q2488" s="8">
        <f t="shared" si="193"/>
        <v>616</v>
      </c>
      <c r="R2488" s="2" t="s">
        <v>56</v>
      </c>
      <c r="S2488" s="9">
        <f t="shared" si="194"/>
        <v>377.65000000000003</v>
      </c>
    </row>
    <row r="2489" spans="1:19" x14ac:dyDescent="0.3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str">
        <f>IFERROR(VLOOKUP('Customer Info'!A2481,'Customer Info'!A2481:C2980,2,FALSE),"Not Found")</f>
        <v>Not Found</v>
      </c>
      <c r="H2489" s="6" t="str">
        <f>IFERROR(VLOOKUP('Customer Info'!A2481,'Customer Info'!A2481:C2980,3,FALSE),"Not Found")</f>
        <v>Not Found</v>
      </c>
      <c r="I2489" s="6" t="str">
        <f>IFERROR(VLOOKUP('Customer Info'!A2481,'Customer Info'!A2481:E2980,5,FALSE),"Not Found")</f>
        <v>Not Found</v>
      </c>
      <c r="J2489" s="2">
        <v>5848</v>
      </c>
      <c r="K2489" s="2">
        <v>5214</v>
      </c>
      <c r="L2489" s="2">
        <v>6</v>
      </c>
      <c r="M2489" s="7">
        <f t="shared" si="190"/>
        <v>31284</v>
      </c>
      <c r="N2489" s="7">
        <f t="shared" si="191"/>
        <v>35088</v>
      </c>
      <c r="O2489" s="2">
        <v>90</v>
      </c>
      <c r="P2489" s="8">
        <f t="shared" si="192"/>
        <v>35178</v>
      </c>
      <c r="Q2489" s="8">
        <f t="shared" si="193"/>
        <v>29874</v>
      </c>
      <c r="R2489" s="2" t="s">
        <v>28</v>
      </c>
      <c r="S2489" s="9">
        <f t="shared" si="194"/>
        <v>2462.46</v>
      </c>
    </row>
    <row r="2490" spans="1:19" x14ac:dyDescent="0.3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str">
        <f>IFERROR(VLOOKUP('Customer Info'!A2482,'Customer Info'!A2482:C2981,2,FALSE),"Not Found")</f>
        <v>Not Found</v>
      </c>
      <c r="H2490" s="6" t="str">
        <f>IFERROR(VLOOKUP('Customer Info'!A2482,'Customer Info'!A2482:C2981,3,FALSE),"Not Found")</f>
        <v>Not Found</v>
      </c>
      <c r="I2490" s="6" t="str">
        <f>IFERROR(VLOOKUP('Customer Info'!A2482,'Customer Info'!A2482:E2981,5,FALSE),"Not Found")</f>
        <v>Not Found</v>
      </c>
      <c r="J2490" s="2">
        <v>2706</v>
      </c>
      <c r="K2490" s="2">
        <v>2553</v>
      </c>
      <c r="L2490" s="2">
        <v>3</v>
      </c>
      <c r="M2490" s="7">
        <f t="shared" si="190"/>
        <v>7659</v>
      </c>
      <c r="N2490" s="7">
        <f t="shared" si="191"/>
        <v>8118</v>
      </c>
      <c r="O2490" s="2">
        <v>77</v>
      </c>
      <c r="P2490" s="8">
        <f t="shared" si="192"/>
        <v>8195</v>
      </c>
      <c r="Q2490" s="8">
        <f t="shared" si="193"/>
        <v>5565</v>
      </c>
      <c r="R2490" s="2" t="s">
        <v>28</v>
      </c>
      <c r="S2490" s="9">
        <f t="shared" si="194"/>
        <v>409.75</v>
      </c>
    </row>
    <row r="2491" spans="1:19" x14ac:dyDescent="0.3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str">
        <f>IFERROR(VLOOKUP('Customer Info'!A2483,'Customer Info'!A2483:C2982,2,FALSE),"Not Found")</f>
        <v>Not Found</v>
      </c>
      <c r="H2491" s="6" t="str">
        <f>IFERROR(VLOOKUP('Customer Info'!A2483,'Customer Info'!A2483:C2982,3,FALSE),"Not Found")</f>
        <v>Not Found</v>
      </c>
      <c r="I2491" s="6" t="str">
        <f>IFERROR(VLOOKUP('Customer Info'!A2483,'Customer Info'!A2483:E2982,5,FALSE),"Not Found")</f>
        <v>Not Found</v>
      </c>
      <c r="J2491" s="2">
        <v>138</v>
      </c>
      <c r="K2491" s="2">
        <v>128</v>
      </c>
      <c r="L2491" s="2">
        <v>2</v>
      </c>
      <c r="M2491" s="7">
        <f t="shared" si="190"/>
        <v>256</v>
      </c>
      <c r="N2491" s="7">
        <f t="shared" si="191"/>
        <v>276</v>
      </c>
      <c r="O2491" s="2">
        <v>30</v>
      </c>
      <c r="P2491" s="8">
        <f t="shared" si="192"/>
        <v>306</v>
      </c>
      <c r="Q2491" s="8">
        <f t="shared" si="193"/>
        <v>148</v>
      </c>
      <c r="R2491" s="2" t="s">
        <v>28</v>
      </c>
      <c r="S2491" s="9">
        <f t="shared" si="194"/>
        <v>6.12</v>
      </c>
    </row>
    <row r="2492" spans="1:19" x14ac:dyDescent="0.3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str">
        <f>IFERROR(VLOOKUP('Customer Info'!A2484,'Customer Info'!A2484:C2983,2,FALSE),"Not Found")</f>
        <v>Not Found</v>
      </c>
      <c r="H2492" s="6" t="str">
        <f>IFERROR(VLOOKUP('Customer Info'!A2484,'Customer Info'!A2484:C2983,3,FALSE),"Not Found")</f>
        <v>Not Found</v>
      </c>
      <c r="I2492" s="6" t="str">
        <f>IFERROR(VLOOKUP('Customer Info'!A2484,'Customer Info'!A2484:E2983,5,FALSE),"Not Found")</f>
        <v>Not Found</v>
      </c>
      <c r="J2492" s="2">
        <v>9135</v>
      </c>
      <c r="K2492" s="2">
        <v>8143</v>
      </c>
      <c r="L2492" s="2">
        <v>1</v>
      </c>
      <c r="M2492" s="7">
        <f t="shared" si="190"/>
        <v>8143</v>
      </c>
      <c r="N2492" s="7">
        <f t="shared" si="191"/>
        <v>9135</v>
      </c>
      <c r="O2492" s="2">
        <v>73</v>
      </c>
      <c r="P2492" s="8">
        <f t="shared" si="192"/>
        <v>9208</v>
      </c>
      <c r="Q2492" s="8">
        <f t="shared" si="193"/>
        <v>992</v>
      </c>
      <c r="R2492" s="2" t="s">
        <v>50</v>
      </c>
      <c r="S2492" s="9">
        <f t="shared" si="194"/>
        <v>460.40000000000003</v>
      </c>
    </row>
    <row r="2493" spans="1:19" x14ac:dyDescent="0.3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str">
        <f>IFERROR(VLOOKUP('Customer Info'!A2485,'Customer Info'!A2485:C2984,2,FALSE),"Not Found")</f>
        <v>Not Found</v>
      </c>
      <c r="H2493" s="6" t="str">
        <f>IFERROR(VLOOKUP('Customer Info'!A2485,'Customer Info'!A2485:C2984,3,FALSE),"Not Found")</f>
        <v>Not Found</v>
      </c>
      <c r="I2493" s="6" t="str">
        <f>IFERROR(VLOOKUP('Customer Info'!A2485,'Customer Info'!A2485:E2984,5,FALSE),"Not Found")</f>
        <v>Not Found</v>
      </c>
      <c r="J2493" s="2">
        <v>973</v>
      </c>
      <c r="K2493" s="2">
        <v>910</v>
      </c>
      <c r="L2493" s="2">
        <v>5</v>
      </c>
      <c r="M2493" s="7">
        <f t="shared" si="190"/>
        <v>4550</v>
      </c>
      <c r="N2493" s="7">
        <f t="shared" si="191"/>
        <v>4865</v>
      </c>
      <c r="O2493" s="2">
        <v>80</v>
      </c>
      <c r="P2493" s="8">
        <f t="shared" si="192"/>
        <v>4945</v>
      </c>
      <c r="Q2493" s="8">
        <f t="shared" si="193"/>
        <v>3955</v>
      </c>
      <c r="R2493" s="2" t="s">
        <v>50</v>
      </c>
      <c r="S2493" s="9">
        <f t="shared" si="194"/>
        <v>98.9</v>
      </c>
    </row>
    <row r="2494" spans="1:19" x14ac:dyDescent="0.3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str">
        <f>IFERROR(VLOOKUP('Customer Info'!A2486,'Customer Info'!A2486:C2985,2,FALSE),"Not Found")</f>
        <v>Not Found</v>
      </c>
      <c r="H2494" s="6" t="str">
        <f>IFERROR(VLOOKUP('Customer Info'!A2486,'Customer Info'!A2486:C2985,3,FALSE),"Not Found")</f>
        <v>Not Found</v>
      </c>
      <c r="I2494" s="6" t="str">
        <f>IFERROR(VLOOKUP('Customer Info'!A2486,'Customer Info'!A2486:E2985,5,FALSE),"Not Found")</f>
        <v>Not Found</v>
      </c>
      <c r="J2494" s="2">
        <v>954</v>
      </c>
      <c r="K2494" s="2">
        <v>901</v>
      </c>
      <c r="L2494" s="2">
        <v>4</v>
      </c>
      <c r="M2494" s="7">
        <f t="shared" si="190"/>
        <v>3604</v>
      </c>
      <c r="N2494" s="7">
        <f t="shared" si="191"/>
        <v>3816</v>
      </c>
      <c r="O2494" s="2">
        <v>52</v>
      </c>
      <c r="P2494" s="8">
        <f t="shared" si="192"/>
        <v>3868</v>
      </c>
      <c r="Q2494" s="8">
        <f t="shared" si="193"/>
        <v>2915</v>
      </c>
      <c r="R2494" s="2" t="s">
        <v>50</v>
      </c>
      <c r="S2494" s="9">
        <f t="shared" si="194"/>
        <v>77.36</v>
      </c>
    </row>
    <row r="2495" spans="1:19" x14ac:dyDescent="0.3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str">
        <f>IFERROR(VLOOKUP('Customer Info'!A2487,'Customer Info'!A2487:C2986,2,FALSE),"Not Found")</f>
        <v>Not Found</v>
      </c>
      <c r="H2495" s="6" t="str">
        <f>IFERROR(VLOOKUP('Customer Info'!A2487,'Customer Info'!A2487:C2986,3,FALSE),"Not Found")</f>
        <v>Not Found</v>
      </c>
      <c r="I2495" s="6" t="str">
        <f>IFERROR(VLOOKUP('Customer Info'!A2487,'Customer Info'!A2487:E2986,5,FALSE),"Not Found")</f>
        <v>Not Found</v>
      </c>
      <c r="J2495" s="2">
        <v>61</v>
      </c>
      <c r="K2495" s="2">
        <v>56</v>
      </c>
      <c r="L2495" s="2">
        <v>1</v>
      </c>
      <c r="M2495" s="7">
        <f t="shared" si="190"/>
        <v>56</v>
      </c>
      <c r="N2495" s="7">
        <f t="shared" si="191"/>
        <v>61</v>
      </c>
      <c r="O2495" s="2">
        <v>10</v>
      </c>
      <c r="P2495" s="8">
        <f t="shared" si="192"/>
        <v>71</v>
      </c>
      <c r="Q2495" s="8">
        <f t="shared" si="193"/>
        <v>5</v>
      </c>
      <c r="R2495" s="2" t="s">
        <v>28</v>
      </c>
      <c r="S2495" s="9">
        <f t="shared" si="194"/>
        <v>1.42</v>
      </c>
    </row>
    <row r="2496" spans="1:19" x14ac:dyDescent="0.3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str">
        <f>IFERROR(VLOOKUP('Customer Info'!A2488,'Customer Info'!A2488:C2987,2,FALSE),"Not Found")</f>
        <v>Not Found</v>
      </c>
      <c r="H2496" s="6" t="str">
        <f>IFERROR(VLOOKUP('Customer Info'!A2488,'Customer Info'!A2488:C2987,3,FALSE),"Not Found")</f>
        <v>Not Found</v>
      </c>
      <c r="I2496" s="6" t="str">
        <f>IFERROR(VLOOKUP('Customer Info'!A2488,'Customer Info'!A2488:E2987,5,FALSE),"Not Found")</f>
        <v>Not Found</v>
      </c>
      <c r="J2496" s="2">
        <v>1399</v>
      </c>
      <c r="K2496" s="2">
        <v>1308</v>
      </c>
      <c r="L2496" s="2">
        <v>2</v>
      </c>
      <c r="M2496" s="7">
        <f t="shared" si="190"/>
        <v>2616</v>
      </c>
      <c r="N2496" s="7">
        <f t="shared" si="191"/>
        <v>2798</v>
      </c>
      <c r="O2496" s="2">
        <v>35</v>
      </c>
      <c r="P2496" s="8">
        <f t="shared" si="192"/>
        <v>2833</v>
      </c>
      <c r="Q2496" s="8">
        <f t="shared" si="193"/>
        <v>1490</v>
      </c>
      <c r="R2496" s="2" t="s">
        <v>28</v>
      </c>
      <c r="S2496" s="9">
        <f t="shared" si="194"/>
        <v>56.660000000000004</v>
      </c>
    </row>
    <row r="2497" spans="1:19" x14ac:dyDescent="0.3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str">
        <f>IFERROR(VLOOKUP('Customer Info'!A2489,'Customer Info'!A2489:C2988,2,FALSE),"Not Found")</f>
        <v>Not Found</v>
      </c>
      <c r="H2497" s="6" t="str">
        <f>IFERROR(VLOOKUP('Customer Info'!A2489,'Customer Info'!A2489:C2988,3,FALSE),"Not Found")</f>
        <v>Not Found</v>
      </c>
      <c r="I2497" s="6" t="str">
        <f>IFERROR(VLOOKUP('Customer Info'!A2489,'Customer Info'!A2489:E2988,5,FALSE),"Not Found")</f>
        <v>Not Found</v>
      </c>
      <c r="J2497" s="2">
        <v>626</v>
      </c>
      <c r="K2497" s="2">
        <v>559</v>
      </c>
      <c r="L2497" s="2">
        <v>8</v>
      </c>
      <c r="M2497" s="7">
        <f t="shared" si="190"/>
        <v>4472</v>
      </c>
      <c r="N2497" s="7">
        <f t="shared" si="191"/>
        <v>5008</v>
      </c>
      <c r="O2497" s="2">
        <v>90</v>
      </c>
      <c r="P2497" s="8">
        <f t="shared" si="192"/>
        <v>5098</v>
      </c>
      <c r="Q2497" s="8">
        <f t="shared" si="193"/>
        <v>4449</v>
      </c>
      <c r="R2497" s="2" t="s">
        <v>28</v>
      </c>
      <c r="S2497" s="9">
        <f t="shared" si="194"/>
        <v>254.9</v>
      </c>
    </row>
    <row r="2498" spans="1:19" x14ac:dyDescent="0.3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str">
        <f>IFERROR(VLOOKUP('Customer Info'!A2490,'Customer Info'!A2490:C2989,2,FALSE),"Not Found")</f>
        <v>Not Found</v>
      </c>
      <c r="H2498" s="6" t="str">
        <f>IFERROR(VLOOKUP('Customer Info'!A2490,'Customer Info'!A2490:C2989,3,FALSE),"Not Found")</f>
        <v>Not Found</v>
      </c>
      <c r="I2498" s="6" t="str">
        <f>IFERROR(VLOOKUP('Customer Info'!A2490,'Customer Info'!A2490:E2989,5,FALSE),"Not Found")</f>
        <v>Not Found</v>
      </c>
      <c r="J2498" s="2">
        <v>3108</v>
      </c>
      <c r="K2498" s="2">
        <v>2882</v>
      </c>
      <c r="L2498" s="2">
        <v>2</v>
      </c>
      <c r="M2498" s="7">
        <f t="shared" si="190"/>
        <v>5764</v>
      </c>
      <c r="N2498" s="7">
        <f t="shared" si="191"/>
        <v>6216</v>
      </c>
      <c r="O2498" s="2">
        <v>28</v>
      </c>
      <c r="P2498" s="8">
        <f t="shared" si="192"/>
        <v>6244</v>
      </c>
      <c r="Q2498" s="8">
        <f t="shared" si="193"/>
        <v>3334</v>
      </c>
      <c r="R2498" s="2" t="s">
        <v>28</v>
      </c>
      <c r="S2498" s="9">
        <f t="shared" si="194"/>
        <v>312.20000000000005</v>
      </c>
    </row>
    <row r="2499" spans="1:19" x14ac:dyDescent="0.3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str">
        <f>IFERROR(VLOOKUP('Customer Info'!A2491,'Customer Info'!A2491:C2990,2,FALSE),"Not Found")</f>
        <v>Not Found</v>
      </c>
      <c r="H2499" s="6" t="str">
        <f>IFERROR(VLOOKUP('Customer Info'!A2491,'Customer Info'!A2491:C2990,3,FALSE),"Not Found")</f>
        <v>Not Found</v>
      </c>
      <c r="I2499" s="6" t="str">
        <f>IFERROR(VLOOKUP('Customer Info'!A2491,'Customer Info'!A2491:E2990,5,FALSE),"Not Found")</f>
        <v>Not Found</v>
      </c>
      <c r="J2499" s="2">
        <v>1772</v>
      </c>
      <c r="K2499" s="2">
        <v>1656</v>
      </c>
      <c r="L2499" s="2">
        <v>5</v>
      </c>
      <c r="M2499" s="7">
        <f t="shared" si="190"/>
        <v>8280</v>
      </c>
      <c r="N2499" s="7">
        <f t="shared" si="191"/>
        <v>8860</v>
      </c>
      <c r="O2499" s="2">
        <v>20</v>
      </c>
      <c r="P2499" s="8">
        <f t="shared" si="192"/>
        <v>8880</v>
      </c>
      <c r="Q2499" s="8">
        <f t="shared" si="193"/>
        <v>7204</v>
      </c>
      <c r="R2499" s="2" t="s">
        <v>28</v>
      </c>
      <c r="S2499" s="9">
        <f t="shared" si="194"/>
        <v>444</v>
      </c>
    </row>
    <row r="2500" spans="1:19" x14ac:dyDescent="0.3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str">
        <f>IFERROR(VLOOKUP('Customer Info'!A2492,'Customer Info'!A2492:C2991,2,FALSE),"Not Found")</f>
        <v>Not Found</v>
      </c>
      <c r="H2500" s="6" t="str">
        <f>IFERROR(VLOOKUP('Customer Info'!A2492,'Customer Info'!A2492:C2991,3,FALSE),"Not Found")</f>
        <v>Not Found</v>
      </c>
      <c r="I2500" s="6" t="str">
        <f>IFERROR(VLOOKUP('Customer Info'!A2492,'Customer Info'!A2492:E2991,5,FALSE),"Not Found")</f>
        <v>Not Found</v>
      </c>
      <c r="J2500" s="2">
        <v>3184</v>
      </c>
      <c r="K2500" s="2">
        <v>2947</v>
      </c>
      <c r="L2500" s="2">
        <v>1</v>
      </c>
      <c r="M2500" s="7">
        <f t="shared" si="190"/>
        <v>2947</v>
      </c>
      <c r="N2500" s="7">
        <f t="shared" si="191"/>
        <v>3184</v>
      </c>
      <c r="O2500" s="2">
        <v>90</v>
      </c>
      <c r="P2500" s="8">
        <f t="shared" si="192"/>
        <v>3274</v>
      </c>
      <c r="Q2500" s="8">
        <f t="shared" si="193"/>
        <v>237</v>
      </c>
      <c r="R2500" s="2" t="s">
        <v>50</v>
      </c>
      <c r="S2500" s="9">
        <f t="shared" si="194"/>
        <v>65.48</v>
      </c>
    </row>
    <row r="2501" spans="1:19" x14ac:dyDescent="0.3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str">
        <f>IFERROR(VLOOKUP('Customer Info'!A2493,'Customer Info'!A2493:C2992,2,FALSE),"Not Found")</f>
        <v>Not Found</v>
      </c>
      <c r="H2501" s="6" t="str">
        <f>IFERROR(VLOOKUP('Customer Info'!A2493,'Customer Info'!A2493:C2992,3,FALSE),"Not Found")</f>
        <v>Not Found</v>
      </c>
      <c r="I2501" s="6" t="str">
        <f>IFERROR(VLOOKUP('Customer Info'!A2493,'Customer Info'!A2493:E2992,5,FALSE),"Not Found")</f>
        <v>Not Found</v>
      </c>
      <c r="J2501" s="2">
        <v>542</v>
      </c>
      <c r="K2501" s="2">
        <v>492</v>
      </c>
      <c r="L2501" s="2">
        <v>4</v>
      </c>
      <c r="M2501" s="7">
        <f t="shared" si="190"/>
        <v>1968</v>
      </c>
      <c r="N2501" s="7">
        <f t="shared" si="191"/>
        <v>2168</v>
      </c>
      <c r="O2501" s="2">
        <v>72</v>
      </c>
      <c r="P2501" s="8">
        <f t="shared" si="192"/>
        <v>2240</v>
      </c>
      <c r="Q2501" s="8">
        <f t="shared" si="193"/>
        <v>1676</v>
      </c>
      <c r="R2501" s="2" t="s">
        <v>50</v>
      </c>
      <c r="S2501" s="9">
        <f t="shared" si="194"/>
        <v>44.800000000000004</v>
      </c>
    </row>
    <row r="2502" spans="1:19" x14ac:dyDescent="0.3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str">
        <f>IFERROR(VLOOKUP('Customer Info'!A2494,'Customer Info'!A2494:C2993,2,FALSE),"Not Found")</f>
        <v>Not Found</v>
      </c>
      <c r="H2502" s="6" t="str">
        <f>IFERROR(VLOOKUP('Customer Info'!A2494,'Customer Info'!A2494:C2993,3,FALSE),"Not Found")</f>
        <v>Not Found</v>
      </c>
      <c r="I2502" s="6" t="str">
        <f>IFERROR(VLOOKUP('Customer Info'!A2494,'Customer Info'!A2494:E2993,5,FALSE),"Not Found")</f>
        <v>Not Found</v>
      </c>
      <c r="J2502" s="2">
        <v>1637</v>
      </c>
      <c r="K2502" s="2">
        <v>1591</v>
      </c>
      <c r="L2502" s="2">
        <v>1</v>
      </c>
      <c r="M2502" s="7">
        <f t="shared" si="190"/>
        <v>1591</v>
      </c>
      <c r="N2502" s="7">
        <f t="shared" si="191"/>
        <v>1637</v>
      </c>
      <c r="O2502" s="2">
        <v>99</v>
      </c>
      <c r="P2502" s="8">
        <f t="shared" si="192"/>
        <v>1736</v>
      </c>
      <c r="Q2502" s="8">
        <f t="shared" si="193"/>
        <v>46</v>
      </c>
      <c r="R2502" s="2" t="s">
        <v>50</v>
      </c>
      <c r="S2502" s="9">
        <f t="shared" si="194"/>
        <v>34.72</v>
      </c>
    </row>
    <row r="2503" spans="1:19" x14ac:dyDescent="0.3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str">
        <f>IFERROR(VLOOKUP('Customer Info'!A2495,'Customer Info'!A2495:C2994,2,FALSE),"Not Found")</f>
        <v>Not Found</v>
      </c>
      <c r="H2503" s="6" t="str">
        <f>IFERROR(VLOOKUP('Customer Info'!A2495,'Customer Info'!A2495:C2994,3,FALSE),"Not Found")</f>
        <v>Not Found</v>
      </c>
      <c r="I2503" s="6" t="str">
        <f>IFERROR(VLOOKUP('Customer Info'!A2495,'Customer Info'!A2495:E2994,5,FALSE),"Not Found")</f>
        <v>Not Found</v>
      </c>
      <c r="J2503" s="2">
        <v>166</v>
      </c>
      <c r="K2503" s="2">
        <v>157</v>
      </c>
      <c r="L2503" s="2">
        <v>2</v>
      </c>
      <c r="M2503" s="7">
        <f t="shared" si="190"/>
        <v>314</v>
      </c>
      <c r="N2503" s="7">
        <f t="shared" si="191"/>
        <v>332</v>
      </c>
      <c r="O2503" s="2">
        <v>30</v>
      </c>
      <c r="P2503" s="8">
        <f t="shared" si="192"/>
        <v>362</v>
      </c>
      <c r="Q2503" s="8">
        <f t="shared" si="193"/>
        <v>175</v>
      </c>
      <c r="R2503" s="2" t="s">
        <v>28</v>
      </c>
      <c r="S2503" s="9">
        <f t="shared" si="194"/>
        <v>7.24</v>
      </c>
    </row>
    <row r="2504" spans="1:19" x14ac:dyDescent="0.3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str">
        <f>IFERROR(VLOOKUP('Customer Info'!A2496,'Customer Info'!A2496:C2995,2,FALSE),"Not Found")</f>
        <v>Not Found</v>
      </c>
      <c r="H2504" s="6" t="str">
        <f>IFERROR(VLOOKUP('Customer Info'!A2496,'Customer Info'!A2496:C2995,3,FALSE),"Not Found")</f>
        <v>Not Found</v>
      </c>
      <c r="I2504" s="6" t="str">
        <f>IFERROR(VLOOKUP('Customer Info'!A2496,'Customer Info'!A2496:E2995,5,FALSE),"Not Found")</f>
        <v>Not Found</v>
      </c>
      <c r="J2504" s="2">
        <v>2222</v>
      </c>
      <c r="K2504" s="2">
        <v>2081</v>
      </c>
      <c r="L2504" s="2">
        <v>2</v>
      </c>
      <c r="M2504" s="7">
        <f t="shared" si="190"/>
        <v>4162</v>
      </c>
      <c r="N2504" s="7">
        <f t="shared" si="191"/>
        <v>4444</v>
      </c>
      <c r="O2504" s="2">
        <v>75</v>
      </c>
      <c r="P2504" s="8">
        <f t="shared" si="192"/>
        <v>4519</v>
      </c>
      <c r="Q2504" s="8">
        <f t="shared" si="193"/>
        <v>2363</v>
      </c>
      <c r="R2504" s="2" t="s">
        <v>50</v>
      </c>
      <c r="S2504" s="9">
        <f t="shared" si="194"/>
        <v>90.38</v>
      </c>
    </row>
    <row r="2505" spans="1:19" x14ac:dyDescent="0.3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str">
        <f>IFERROR(VLOOKUP('Customer Info'!A2497,'Customer Info'!A2497:C2996,2,FALSE),"Not Found")</f>
        <v>Not Found</v>
      </c>
      <c r="H2505" s="6" t="str">
        <f>IFERROR(VLOOKUP('Customer Info'!A2497,'Customer Info'!A2497:C2996,3,FALSE),"Not Found")</f>
        <v>Not Found</v>
      </c>
      <c r="I2505" s="6" t="str">
        <f>IFERROR(VLOOKUP('Customer Info'!A2497,'Customer Info'!A2497:E2996,5,FALSE),"Not Found")</f>
        <v>Not Found</v>
      </c>
      <c r="J2505" s="2">
        <v>7065</v>
      </c>
      <c r="K2505" s="2">
        <v>6545</v>
      </c>
      <c r="L2505" s="2">
        <v>2</v>
      </c>
      <c r="M2505" s="7">
        <f t="shared" si="190"/>
        <v>13090</v>
      </c>
      <c r="N2505" s="7">
        <f t="shared" si="191"/>
        <v>14130</v>
      </c>
      <c r="O2505" s="2">
        <v>37</v>
      </c>
      <c r="P2505" s="8">
        <f t="shared" si="192"/>
        <v>14167</v>
      </c>
      <c r="Q2505" s="8">
        <f t="shared" si="193"/>
        <v>7585</v>
      </c>
      <c r="R2505" s="2" t="s">
        <v>28</v>
      </c>
      <c r="S2505" s="9">
        <f t="shared" si="194"/>
        <v>708.35</v>
      </c>
    </row>
    <row r="2506" spans="1:19" x14ac:dyDescent="0.3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str">
        <f>IFERROR(VLOOKUP('Customer Info'!A2498,'Customer Info'!A2498:C2997,2,FALSE),"Not Found")</f>
        <v>Not Found</v>
      </c>
      <c r="H2506" s="6" t="str">
        <f>IFERROR(VLOOKUP('Customer Info'!A2498,'Customer Info'!A2498:C2997,3,FALSE),"Not Found")</f>
        <v>Not Found</v>
      </c>
      <c r="I2506" s="6" t="str">
        <f>IFERROR(VLOOKUP('Customer Info'!A2498,'Customer Info'!A2498:E2997,5,FALSE),"Not Found")</f>
        <v>Not Found</v>
      </c>
      <c r="J2506" s="2">
        <v>1911</v>
      </c>
      <c r="K2506" s="2">
        <v>1785</v>
      </c>
      <c r="L2506" s="2">
        <v>1</v>
      </c>
      <c r="M2506" s="7">
        <f t="shared" si="190"/>
        <v>1785</v>
      </c>
      <c r="N2506" s="7">
        <f t="shared" si="191"/>
        <v>1911</v>
      </c>
      <c r="O2506" s="2">
        <v>97</v>
      </c>
      <c r="P2506" s="8">
        <f t="shared" si="192"/>
        <v>2008</v>
      </c>
      <c r="Q2506" s="8">
        <f t="shared" si="193"/>
        <v>126</v>
      </c>
      <c r="R2506" s="2" t="s">
        <v>28</v>
      </c>
      <c r="S2506" s="9">
        <f t="shared" si="194"/>
        <v>40.160000000000004</v>
      </c>
    </row>
    <row r="2507" spans="1:19" x14ac:dyDescent="0.3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str">
        <f>IFERROR(VLOOKUP('Customer Info'!A2499,'Customer Info'!A2499:C2998,2,FALSE),"Not Found")</f>
        <v>Not Found</v>
      </c>
      <c r="H2507" s="6" t="str">
        <f>IFERROR(VLOOKUP('Customer Info'!A2499,'Customer Info'!A2499:C2998,3,FALSE),"Not Found")</f>
        <v>Not Found</v>
      </c>
      <c r="I2507" s="6" t="str">
        <f>IFERROR(VLOOKUP('Customer Info'!A2499,'Customer Info'!A2499:E2998,5,FALSE),"Not Found")</f>
        <v>Not Found</v>
      </c>
      <c r="J2507" s="2">
        <v>1512</v>
      </c>
      <c r="K2507" s="2">
        <v>1497</v>
      </c>
      <c r="L2507" s="2">
        <v>3</v>
      </c>
      <c r="M2507" s="7">
        <f t="shared" ref="M2507:M2570" si="195">$K2507*$L2507</f>
        <v>4491</v>
      </c>
      <c r="N2507" s="7">
        <f t="shared" ref="N2507:N2570" si="196">$J2507*$L2507</f>
        <v>4536</v>
      </c>
      <c r="O2507" s="2">
        <v>82</v>
      </c>
      <c r="P2507" s="8">
        <f t="shared" ref="P2507:P2570" si="197">$N2507+$O2507</f>
        <v>4618</v>
      </c>
      <c r="Q2507" s="8">
        <f t="shared" ref="Q2507:Q2570" si="198">$N2507-$K2507</f>
        <v>3039</v>
      </c>
      <c r="R2507" s="2" t="s">
        <v>28</v>
      </c>
      <c r="S2507" s="9">
        <f t="shared" ref="S2507:S2570" si="199" xml:space="preserve"> P2507 * VLOOKUP(P2507, $T$2:$U$6, 2, TRUE)</f>
        <v>92.36</v>
      </c>
    </row>
    <row r="2508" spans="1:19" x14ac:dyDescent="0.3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str">
        <f>IFERROR(VLOOKUP('Customer Info'!A2500,'Customer Info'!A2500:C2999,2,FALSE),"Not Found")</f>
        <v>Not Found</v>
      </c>
      <c r="H2508" s="6" t="str">
        <f>IFERROR(VLOOKUP('Customer Info'!A2500,'Customer Info'!A2500:C2999,3,FALSE),"Not Found")</f>
        <v>Not Found</v>
      </c>
      <c r="I2508" s="6" t="str">
        <f>IFERROR(VLOOKUP('Customer Info'!A2500,'Customer Info'!A2500:E2999,5,FALSE),"Not Found")</f>
        <v>Not Found</v>
      </c>
      <c r="J2508" s="2">
        <v>7508</v>
      </c>
      <c r="K2508" s="2">
        <v>6956</v>
      </c>
      <c r="L2508" s="2">
        <v>5</v>
      </c>
      <c r="M2508" s="7">
        <f t="shared" si="195"/>
        <v>34780</v>
      </c>
      <c r="N2508" s="7">
        <f t="shared" si="196"/>
        <v>37540</v>
      </c>
      <c r="O2508" s="2">
        <v>90</v>
      </c>
      <c r="P2508" s="8">
        <f t="shared" si="197"/>
        <v>37630</v>
      </c>
      <c r="Q2508" s="8">
        <f t="shared" si="198"/>
        <v>30584</v>
      </c>
      <c r="R2508" s="2" t="s">
        <v>28</v>
      </c>
      <c r="S2508" s="9">
        <f t="shared" si="199"/>
        <v>2634.1000000000004</v>
      </c>
    </row>
    <row r="2509" spans="1:19" x14ac:dyDescent="0.3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str">
        <f>IFERROR(VLOOKUP('Customer Info'!A2501,'Customer Info'!A2501:C3000,2,FALSE),"Not Found")</f>
        <v>Not Found</v>
      </c>
      <c r="H2509" s="6" t="str">
        <f>IFERROR(VLOOKUP('Customer Info'!A2501,'Customer Info'!A2501:C3000,3,FALSE),"Not Found")</f>
        <v>Not Found</v>
      </c>
      <c r="I2509" s="6" t="str">
        <f>IFERROR(VLOOKUP('Customer Info'!A2501,'Customer Info'!A2501:E3000,5,FALSE),"Not Found")</f>
        <v>Not Found</v>
      </c>
      <c r="J2509" s="2">
        <v>7534</v>
      </c>
      <c r="K2509" s="2">
        <v>7106</v>
      </c>
      <c r="L2509" s="2">
        <v>2</v>
      </c>
      <c r="M2509" s="7">
        <f t="shared" si="195"/>
        <v>14212</v>
      </c>
      <c r="N2509" s="7">
        <f t="shared" si="196"/>
        <v>15068</v>
      </c>
      <c r="O2509" s="2">
        <v>47</v>
      </c>
      <c r="P2509" s="8">
        <f t="shared" si="197"/>
        <v>15115</v>
      </c>
      <c r="Q2509" s="8">
        <f t="shared" si="198"/>
        <v>7962</v>
      </c>
      <c r="R2509" s="2" t="s">
        <v>28</v>
      </c>
      <c r="S2509" s="9">
        <f t="shared" si="199"/>
        <v>755.75</v>
      </c>
    </row>
    <row r="2510" spans="1:19" x14ac:dyDescent="0.3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str">
        <f>IFERROR(VLOOKUP('Customer Info'!A2502,'Customer Info'!A2502:C3001,2,FALSE),"Not Found")</f>
        <v>Not Found</v>
      </c>
      <c r="H2510" s="6" t="str">
        <f>IFERROR(VLOOKUP('Customer Info'!A2502,'Customer Info'!A2502:C3001,3,FALSE),"Not Found")</f>
        <v>Not Found</v>
      </c>
      <c r="I2510" s="6" t="str">
        <f>IFERROR(VLOOKUP('Customer Info'!A2502,'Customer Info'!A2502:E3001,5,FALSE),"Not Found")</f>
        <v>Not Found</v>
      </c>
      <c r="J2510" s="2">
        <v>3341</v>
      </c>
      <c r="K2510" s="2">
        <v>3152</v>
      </c>
      <c r="L2510" s="2">
        <v>2</v>
      </c>
      <c r="M2510" s="7">
        <f t="shared" si="195"/>
        <v>6304</v>
      </c>
      <c r="N2510" s="7">
        <f t="shared" si="196"/>
        <v>6682</v>
      </c>
      <c r="O2510" s="2">
        <v>61</v>
      </c>
      <c r="P2510" s="8">
        <f t="shared" si="197"/>
        <v>6743</v>
      </c>
      <c r="Q2510" s="8">
        <f t="shared" si="198"/>
        <v>3530</v>
      </c>
      <c r="R2510" s="2" t="s">
        <v>26</v>
      </c>
      <c r="S2510" s="9">
        <f t="shared" si="199"/>
        <v>337.15000000000003</v>
      </c>
    </row>
    <row r="2511" spans="1:19" x14ac:dyDescent="0.3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str">
        <f>IFERROR(VLOOKUP('Customer Info'!A2503,'Customer Info'!A2503:C3002,2,FALSE),"Not Found")</f>
        <v>Not Found</v>
      </c>
      <c r="H2511" s="6" t="str">
        <f>IFERROR(VLOOKUP('Customer Info'!A2503,'Customer Info'!A2503:C3002,3,FALSE),"Not Found")</f>
        <v>Not Found</v>
      </c>
      <c r="I2511" s="6" t="str">
        <f>IFERROR(VLOOKUP('Customer Info'!A2503,'Customer Info'!A2503:E3002,5,FALSE),"Not Found")</f>
        <v>Not Found</v>
      </c>
      <c r="J2511" s="2">
        <v>1283</v>
      </c>
      <c r="K2511" s="2">
        <v>1187</v>
      </c>
      <c r="L2511" s="2">
        <v>2</v>
      </c>
      <c r="M2511" s="7">
        <f t="shared" si="195"/>
        <v>2374</v>
      </c>
      <c r="N2511" s="7">
        <f t="shared" si="196"/>
        <v>2566</v>
      </c>
      <c r="O2511" s="2">
        <v>63</v>
      </c>
      <c r="P2511" s="8">
        <f t="shared" si="197"/>
        <v>2629</v>
      </c>
      <c r="Q2511" s="8">
        <f t="shared" si="198"/>
        <v>1379</v>
      </c>
      <c r="R2511" s="2" t="s">
        <v>50</v>
      </c>
      <c r="S2511" s="9">
        <f t="shared" si="199"/>
        <v>52.58</v>
      </c>
    </row>
    <row r="2512" spans="1:19" x14ac:dyDescent="0.3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str">
        <f>IFERROR(VLOOKUP('Customer Info'!A2504,'Customer Info'!A2504:C3003,2,FALSE),"Not Found")</f>
        <v>Not Found</v>
      </c>
      <c r="H2512" s="6" t="str">
        <f>IFERROR(VLOOKUP('Customer Info'!A2504,'Customer Info'!A2504:C3003,3,FALSE),"Not Found")</f>
        <v>Not Found</v>
      </c>
      <c r="I2512" s="6" t="str">
        <f>IFERROR(VLOOKUP('Customer Info'!A2504,'Customer Info'!A2504:E3003,5,FALSE),"Not Found")</f>
        <v>Not Found</v>
      </c>
      <c r="J2512" s="2">
        <v>9214</v>
      </c>
      <c r="K2512" s="2">
        <v>8295</v>
      </c>
      <c r="L2512" s="2">
        <v>2</v>
      </c>
      <c r="M2512" s="7">
        <f t="shared" si="195"/>
        <v>16590</v>
      </c>
      <c r="N2512" s="7">
        <f t="shared" si="196"/>
        <v>18428</v>
      </c>
      <c r="O2512" s="2">
        <v>57</v>
      </c>
      <c r="P2512" s="8">
        <f t="shared" si="197"/>
        <v>18485</v>
      </c>
      <c r="Q2512" s="8">
        <f t="shared" si="198"/>
        <v>10133</v>
      </c>
      <c r="R2512" s="2" t="s">
        <v>28</v>
      </c>
      <c r="S2512" s="9">
        <f t="shared" si="199"/>
        <v>924.25</v>
      </c>
    </row>
    <row r="2513" spans="1:19" x14ac:dyDescent="0.3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str">
        <f>IFERROR(VLOOKUP('Customer Info'!A2505,'Customer Info'!A2505:C3004,2,FALSE),"Not Found")</f>
        <v>Not Found</v>
      </c>
      <c r="H2513" s="6" t="str">
        <f>IFERROR(VLOOKUP('Customer Info'!A2505,'Customer Info'!A2505:C3004,3,FALSE),"Not Found")</f>
        <v>Not Found</v>
      </c>
      <c r="I2513" s="6" t="str">
        <f>IFERROR(VLOOKUP('Customer Info'!A2505,'Customer Info'!A2505:E3004,5,FALSE),"Not Found")</f>
        <v>Not Found</v>
      </c>
      <c r="J2513" s="2">
        <v>773</v>
      </c>
      <c r="K2513" s="2">
        <v>708</v>
      </c>
      <c r="L2513" s="2">
        <v>3</v>
      </c>
      <c r="M2513" s="7">
        <f t="shared" si="195"/>
        <v>2124</v>
      </c>
      <c r="N2513" s="7">
        <f t="shared" si="196"/>
        <v>2319</v>
      </c>
      <c r="O2513" s="2">
        <v>57</v>
      </c>
      <c r="P2513" s="8">
        <f t="shared" si="197"/>
        <v>2376</v>
      </c>
      <c r="Q2513" s="8">
        <f t="shared" si="198"/>
        <v>1611</v>
      </c>
      <c r="R2513" s="2" t="s">
        <v>28</v>
      </c>
      <c r="S2513" s="9">
        <f t="shared" si="199"/>
        <v>47.52</v>
      </c>
    </row>
    <row r="2514" spans="1:19" x14ac:dyDescent="0.3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str">
        <f>IFERROR(VLOOKUP('Customer Info'!A2506,'Customer Info'!A2506:C3005,2,FALSE),"Not Found")</f>
        <v>Not Found</v>
      </c>
      <c r="H2514" s="6" t="str">
        <f>IFERROR(VLOOKUP('Customer Info'!A2506,'Customer Info'!A2506:C3005,3,FALSE),"Not Found")</f>
        <v>Not Found</v>
      </c>
      <c r="I2514" s="6" t="str">
        <f>IFERROR(VLOOKUP('Customer Info'!A2506,'Customer Info'!A2506:E3005,5,FALSE),"Not Found")</f>
        <v>Not Found</v>
      </c>
      <c r="J2514" s="2">
        <v>932</v>
      </c>
      <c r="K2514" s="2">
        <v>838</v>
      </c>
      <c r="L2514" s="2">
        <v>7</v>
      </c>
      <c r="M2514" s="7">
        <f t="shared" si="195"/>
        <v>5866</v>
      </c>
      <c r="N2514" s="7">
        <f t="shared" si="196"/>
        <v>6524</v>
      </c>
      <c r="O2514" s="2">
        <v>94</v>
      </c>
      <c r="P2514" s="8">
        <f t="shared" si="197"/>
        <v>6618</v>
      </c>
      <c r="Q2514" s="8">
        <f t="shared" si="198"/>
        <v>5686</v>
      </c>
      <c r="R2514" s="2" t="s">
        <v>28</v>
      </c>
      <c r="S2514" s="9">
        <f t="shared" si="199"/>
        <v>330.90000000000003</v>
      </c>
    </row>
    <row r="2515" spans="1:19" x14ac:dyDescent="0.3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str">
        <f>IFERROR(VLOOKUP('Customer Info'!A2507,'Customer Info'!A2507:C3006,2,FALSE),"Not Found")</f>
        <v>Not Found</v>
      </c>
      <c r="H2515" s="6" t="str">
        <f>IFERROR(VLOOKUP('Customer Info'!A2507,'Customer Info'!A2507:C3006,3,FALSE),"Not Found")</f>
        <v>Not Found</v>
      </c>
      <c r="I2515" s="6" t="str">
        <f>IFERROR(VLOOKUP('Customer Info'!A2507,'Customer Info'!A2507:E3006,5,FALSE),"Not Found")</f>
        <v>Not Found</v>
      </c>
      <c r="J2515" s="2">
        <v>6027</v>
      </c>
      <c r="K2515" s="2">
        <v>5694</v>
      </c>
      <c r="L2515" s="2">
        <v>5</v>
      </c>
      <c r="M2515" s="7">
        <f t="shared" si="195"/>
        <v>28470</v>
      </c>
      <c r="N2515" s="7">
        <f t="shared" si="196"/>
        <v>30135</v>
      </c>
      <c r="O2515" s="2">
        <v>36</v>
      </c>
      <c r="P2515" s="8">
        <f t="shared" si="197"/>
        <v>30171</v>
      </c>
      <c r="Q2515" s="8">
        <f t="shared" si="198"/>
        <v>24441</v>
      </c>
      <c r="R2515" s="2" t="s">
        <v>28</v>
      </c>
      <c r="S2515" s="9">
        <f t="shared" si="199"/>
        <v>2111.9700000000003</v>
      </c>
    </row>
    <row r="2516" spans="1:19" x14ac:dyDescent="0.3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str">
        <f>IFERROR(VLOOKUP('Customer Info'!A2508,'Customer Info'!A2508:C3007,2,FALSE),"Not Found")</f>
        <v>Not Found</v>
      </c>
      <c r="H2516" s="6" t="str">
        <f>IFERROR(VLOOKUP('Customer Info'!A2508,'Customer Info'!A2508:C3007,3,FALSE),"Not Found")</f>
        <v>Not Found</v>
      </c>
      <c r="I2516" s="6" t="str">
        <f>IFERROR(VLOOKUP('Customer Info'!A2508,'Customer Info'!A2508:E3007,5,FALSE),"Not Found")</f>
        <v>Not Found</v>
      </c>
      <c r="J2516" s="2">
        <v>1169</v>
      </c>
      <c r="K2516" s="2">
        <v>1103</v>
      </c>
      <c r="L2516" s="2">
        <v>5</v>
      </c>
      <c r="M2516" s="7">
        <f t="shared" si="195"/>
        <v>5515</v>
      </c>
      <c r="N2516" s="7">
        <f t="shared" si="196"/>
        <v>5845</v>
      </c>
      <c r="O2516" s="2">
        <v>25</v>
      </c>
      <c r="P2516" s="8">
        <f t="shared" si="197"/>
        <v>5870</v>
      </c>
      <c r="Q2516" s="8">
        <f t="shared" si="198"/>
        <v>4742</v>
      </c>
      <c r="R2516" s="2" t="s">
        <v>50</v>
      </c>
      <c r="S2516" s="9">
        <f t="shared" si="199"/>
        <v>293.5</v>
      </c>
    </row>
    <row r="2517" spans="1:19" x14ac:dyDescent="0.3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str">
        <f>IFERROR(VLOOKUP('Customer Info'!A2509,'Customer Info'!A2509:C3008,2,FALSE),"Not Found")</f>
        <v>Not Found</v>
      </c>
      <c r="H2517" s="6" t="str">
        <f>IFERROR(VLOOKUP('Customer Info'!A2509,'Customer Info'!A2509:C3008,3,FALSE),"Not Found")</f>
        <v>Not Found</v>
      </c>
      <c r="I2517" s="6" t="str">
        <f>IFERROR(VLOOKUP('Customer Info'!A2509,'Customer Info'!A2509:E3008,5,FALSE),"Not Found")</f>
        <v>Not Found</v>
      </c>
      <c r="J2517" s="2">
        <v>1512</v>
      </c>
      <c r="K2517" s="2">
        <v>1497</v>
      </c>
      <c r="L2517" s="2">
        <v>2</v>
      </c>
      <c r="M2517" s="7">
        <f t="shared" si="195"/>
        <v>2994</v>
      </c>
      <c r="N2517" s="7">
        <f t="shared" si="196"/>
        <v>3024</v>
      </c>
      <c r="O2517" s="2">
        <v>88</v>
      </c>
      <c r="P2517" s="8">
        <f t="shared" si="197"/>
        <v>3112</v>
      </c>
      <c r="Q2517" s="8">
        <f t="shared" si="198"/>
        <v>1527</v>
      </c>
      <c r="R2517" s="2" t="s">
        <v>28</v>
      </c>
      <c r="S2517" s="9">
        <f t="shared" si="199"/>
        <v>62.24</v>
      </c>
    </row>
    <row r="2518" spans="1:19" x14ac:dyDescent="0.3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str">
        <f>IFERROR(VLOOKUP('Customer Info'!A2510,'Customer Info'!A2510:C3009,2,FALSE),"Not Found")</f>
        <v>Not Found</v>
      </c>
      <c r="H2518" s="6" t="str">
        <f>IFERROR(VLOOKUP('Customer Info'!A2510,'Customer Info'!A2510:C3009,3,FALSE),"Not Found")</f>
        <v>Not Found</v>
      </c>
      <c r="I2518" s="6" t="str">
        <f>IFERROR(VLOOKUP('Customer Info'!A2510,'Customer Info'!A2510:E3009,5,FALSE),"Not Found")</f>
        <v>Not Found</v>
      </c>
      <c r="J2518" s="2">
        <v>173</v>
      </c>
      <c r="K2518" s="2">
        <v>155</v>
      </c>
      <c r="L2518" s="2">
        <v>1</v>
      </c>
      <c r="M2518" s="7">
        <f t="shared" si="195"/>
        <v>155</v>
      </c>
      <c r="N2518" s="7">
        <f t="shared" si="196"/>
        <v>173</v>
      </c>
      <c r="O2518" s="2">
        <v>30</v>
      </c>
      <c r="P2518" s="8">
        <f t="shared" si="197"/>
        <v>203</v>
      </c>
      <c r="Q2518" s="8">
        <f t="shared" si="198"/>
        <v>18</v>
      </c>
      <c r="R2518" s="2" t="s">
        <v>28</v>
      </c>
      <c r="S2518" s="9">
        <f t="shared" si="199"/>
        <v>4.0600000000000005</v>
      </c>
    </row>
    <row r="2519" spans="1:19" x14ac:dyDescent="0.3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str">
        <f>IFERROR(VLOOKUP('Customer Info'!A2511,'Customer Info'!A2511:C3010,2,FALSE),"Not Found")</f>
        <v>Not Found</v>
      </c>
      <c r="H2519" s="6" t="str">
        <f>IFERROR(VLOOKUP('Customer Info'!A2511,'Customer Info'!A2511:C3010,3,FALSE),"Not Found")</f>
        <v>Not Found</v>
      </c>
      <c r="I2519" s="6" t="str">
        <f>IFERROR(VLOOKUP('Customer Info'!A2511,'Customer Info'!A2511:E3010,5,FALSE),"Not Found")</f>
        <v>Not Found</v>
      </c>
      <c r="J2519" s="2">
        <v>456</v>
      </c>
      <c r="K2519" s="2">
        <v>430</v>
      </c>
      <c r="L2519" s="2">
        <v>2</v>
      </c>
      <c r="M2519" s="7">
        <f t="shared" si="195"/>
        <v>860</v>
      </c>
      <c r="N2519" s="7">
        <f t="shared" si="196"/>
        <v>912</v>
      </c>
      <c r="O2519" s="2">
        <v>55</v>
      </c>
      <c r="P2519" s="8">
        <f t="shared" si="197"/>
        <v>967</v>
      </c>
      <c r="Q2519" s="8">
        <f t="shared" si="198"/>
        <v>482</v>
      </c>
      <c r="R2519" s="2" t="s">
        <v>26</v>
      </c>
      <c r="S2519" s="9">
        <f t="shared" si="199"/>
        <v>19.34</v>
      </c>
    </row>
    <row r="2520" spans="1:19" x14ac:dyDescent="0.3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str">
        <f>IFERROR(VLOOKUP('Customer Info'!A2512,'Customer Info'!A2512:C3011,2,FALSE),"Not Found")</f>
        <v>Not Found</v>
      </c>
      <c r="H2520" s="6" t="str">
        <f>IFERROR(VLOOKUP('Customer Info'!A2512,'Customer Info'!A2512:C3011,3,FALSE),"Not Found")</f>
        <v>Not Found</v>
      </c>
      <c r="I2520" s="6" t="str">
        <f>IFERROR(VLOOKUP('Customer Info'!A2512,'Customer Info'!A2512:E3011,5,FALSE),"Not Found")</f>
        <v>Not Found</v>
      </c>
      <c r="J2520" s="2">
        <v>1413</v>
      </c>
      <c r="K2520" s="2">
        <v>1334</v>
      </c>
      <c r="L2520" s="2">
        <v>3</v>
      </c>
      <c r="M2520" s="7">
        <f t="shared" si="195"/>
        <v>4002</v>
      </c>
      <c r="N2520" s="7">
        <f t="shared" si="196"/>
        <v>4239</v>
      </c>
      <c r="O2520" s="2">
        <v>57</v>
      </c>
      <c r="P2520" s="8">
        <f t="shared" si="197"/>
        <v>4296</v>
      </c>
      <c r="Q2520" s="8">
        <f t="shared" si="198"/>
        <v>2905</v>
      </c>
      <c r="R2520" s="2" t="s">
        <v>28</v>
      </c>
      <c r="S2520" s="9">
        <f t="shared" si="199"/>
        <v>85.92</v>
      </c>
    </row>
    <row r="2521" spans="1:19" x14ac:dyDescent="0.3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str">
        <f>IFERROR(VLOOKUP('Customer Info'!A2513,'Customer Info'!A2513:C3012,2,FALSE),"Not Found")</f>
        <v>Not Found</v>
      </c>
      <c r="H2521" s="6" t="str">
        <f>IFERROR(VLOOKUP('Customer Info'!A2513,'Customer Info'!A2513:C3012,3,FALSE),"Not Found")</f>
        <v>Not Found</v>
      </c>
      <c r="I2521" s="6" t="str">
        <f>IFERROR(VLOOKUP('Customer Info'!A2513,'Customer Info'!A2513:E3012,5,FALSE),"Not Found")</f>
        <v>Not Found</v>
      </c>
      <c r="J2521" s="2">
        <v>185</v>
      </c>
      <c r="K2521" s="2">
        <v>174</v>
      </c>
      <c r="L2521" s="2">
        <v>2</v>
      </c>
      <c r="M2521" s="7">
        <f t="shared" si="195"/>
        <v>348</v>
      </c>
      <c r="N2521" s="7">
        <f t="shared" si="196"/>
        <v>370</v>
      </c>
      <c r="O2521" s="2">
        <v>30</v>
      </c>
      <c r="P2521" s="8">
        <f t="shared" si="197"/>
        <v>400</v>
      </c>
      <c r="Q2521" s="8">
        <f t="shared" si="198"/>
        <v>196</v>
      </c>
      <c r="R2521" s="2" t="s">
        <v>28</v>
      </c>
      <c r="S2521" s="9">
        <f t="shared" si="199"/>
        <v>8</v>
      </c>
    </row>
    <row r="2522" spans="1:19" x14ac:dyDescent="0.3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str">
        <f>IFERROR(VLOOKUP('Customer Info'!A2514,'Customer Info'!A2514:C3013,2,FALSE),"Not Found")</f>
        <v>Not Found</v>
      </c>
      <c r="H2522" s="6" t="str">
        <f>IFERROR(VLOOKUP('Customer Info'!A2514,'Customer Info'!A2514:C3013,3,FALSE),"Not Found")</f>
        <v>Not Found</v>
      </c>
      <c r="I2522" s="6" t="str">
        <f>IFERROR(VLOOKUP('Customer Info'!A2514,'Customer Info'!A2514:E3013,5,FALSE),"Not Found")</f>
        <v>Not Found</v>
      </c>
      <c r="J2522" s="2">
        <v>1816</v>
      </c>
      <c r="K2522" s="2">
        <v>1700</v>
      </c>
      <c r="L2522" s="2">
        <v>1</v>
      </c>
      <c r="M2522" s="7">
        <f t="shared" si="195"/>
        <v>1700</v>
      </c>
      <c r="N2522" s="7">
        <f t="shared" si="196"/>
        <v>1816</v>
      </c>
      <c r="O2522" s="2">
        <v>28</v>
      </c>
      <c r="P2522" s="8">
        <f t="shared" si="197"/>
        <v>1844</v>
      </c>
      <c r="Q2522" s="8">
        <f t="shared" si="198"/>
        <v>116</v>
      </c>
      <c r="R2522" s="2" t="s">
        <v>28</v>
      </c>
      <c r="S2522" s="9">
        <f t="shared" si="199"/>
        <v>36.880000000000003</v>
      </c>
    </row>
    <row r="2523" spans="1:19" x14ac:dyDescent="0.3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str">
        <f>IFERROR(VLOOKUP('Customer Info'!A2515,'Customer Info'!A2515:C3014,2,FALSE),"Not Found")</f>
        <v>Not Found</v>
      </c>
      <c r="H2523" s="6" t="str">
        <f>IFERROR(VLOOKUP('Customer Info'!A2515,'Customer Info'!A2515:C3014,3,FALSE),"Not Found")</f>
        <v>Not Found</v>
      </c>
      <c r="I2523" s="6" t="str">
        <f>IFERROR(VLOOKUP('Customer Info'!A2515,'Customer Info'!A2515:E3014,5,FALSE),"Not Found")</f>
        <v>Not Found</v>
      </c>
      <c r="J2523" s="2">
        <v>1637</v>
      </c>
      <c r="K2523" s="2">
        <v>1532</v>
      </c>
      <c r="L2523" s="2">
        <v>1</v>
      </c>
      <c r="M2523" s="7">
        <f t="shared" si="195"/>
        <v>1532</v>
      </c>
      <c r="N2523" s="7">
        <f t="shared" si="196"/>
        <v>1637</v>
      </c>
      <c r="O2523" s="2">
        <v>34</v>
      </c>
      <c r="P2523" s="8">
        <f t="shared" si="197"/>
        <v>1671</v>
      </c>
      <c r="Q2523" s="8">
        <f t="shared" si="198"/>
        <v>105</v>
      </c>
      <c r="R2523" s="2" t="s">
        <v>28</v>
      </c>
      <c r="S2523" s="9">
        <f t="shared" si="199"/>
        <v>33.42</v>
      </c>
    </row>
    <row r="2524" spans="1:19" x14ac:dyDescent="0.3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str">
        <f>IFERROR(VLOOKUP('Customer Info'!A2516,'Customer Info'!A2516:C3015,2,FALSE),"Not Found")</f>
        <v>Not Found</v>
      </c>
      <c r="H2524" s="6" t="str">
        <f>IFERROR(VLOOKUP('Customer Info'!A2516,'Customer Info'!A2516:C3015,3,FALSE),"Not Found")</f>
        <v>Not Found</v>
      </c>
      <c r="I2524" s="6" t="str">
        <f>IFERROR(VLOOKUP('Customer Info'!A2516,'Customer Info'!A2516:E3015,5,FALSE),"Not Found")</f>
        <v>Not Found</v>
      </c>
      <c r="J2524" s="2">
        <v>167</v>
      </c>
      <c r="K2524" s="2">
        <v>155</v>
      </c>
      <c r="L2524" s="2">
        <v>1</v>
      </c>
      <c r="M2524" s="7">
        <f t="shared" si="195"/>
        <v>155</v>
      </c>
      <c r="N2524" s="7">
        <f t="shared" si="196"/>
        <v>167</v>
      </c>
      <c r="O2524" s="2">
        <v>30</v>
      </c>
      <c r="P2524" s="8">
        <f t="shared" si="197"/>
        <v>197</v>
      </c>
      <c r="Q2524" s="8">
        <f t="shared" si="198"/>
        <v>12</v>
      </c>
      <c r="R2524" s="2" t="s">
        <v>28</v>
      </c>
      <c r="S2524" s="9">
        <f t="shared" si="199"/>
        <v>3.94</v>
      </c>
    </row>
    <row r="2525" spans="1:19" x14ac:dyDescent="0.3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str">
        <f>IFERROR(VLOOKUP('Customer Info'!A2517,'Customer Info'!A2517:C3016,2,FALSE),"Not Found")</f>
        <v>Not Found</v>
      </c>
      <c r="H2525" s="6" t="str">
        <f>IFERROR(VLOOKUP('Customer Info'!A2517,'Customer Info'!A2517:C3016,3,FALSE),"Not Found")</f>
        <v>Not Found</v>
      </c>
      <c r="I2525" s="6" t="str">
        <f>IFERROR(VLOOKUP('Customer Info'!A2517,'Customer Info'!A2517:E3016,5,FALSE),"Not Found")</f>
        <v>Not Found</v>
      </c>
      <c r="J2525" s="2">
        <v>2981</v>
      </c>
      <c r="K2525" s="2">
        <v>2870</v>
      </c>
      <c r="L2525" s="2">
        <v>3</v>
      </c>
      <c r="M2525" s="7">
        <f t="shared" si="195"/>
        <v>8610</v>
      </c>
      <c r="N2525" s="7">
        <f t="shared" si="196"/>
        <v>8943</v>
      </c>
      <c r="O2525" s="2">
        <v>45</v>
      </c>
      <c r="P2525" s="8">
        <f t="shared" si="197"/>
        <v>8988</v>
      </c>
      <c r="Q2525" s="8">
        <f t="shared" si="198"/>
        <v>6073</v>
      </c>
      <c r="R2525" s="2" t="s">
        <v>28</v>
      </c>
      <c r="S2525" s="9">
        <f t="shared" si="199"/>
        <v>449.40000000000003</v>
      </c>
    </row>
    <row r="2526" spans="1:19" x14ac:dyDescent="0.3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str">
        <f>IFERROR(VLOOKUP('Customer Info'!A2518,'Customer Info'!A2518:C3017,2,FALSE),"Not Found")</f>
        <v>Not Found</v>
      </c>
      <c r="H2526" s="6" t="str">
        <f>IFERROR(VLOOKUP('Customer Info'!A2518,'Customer Info'!A2518:C3017,3,FALSE),"Not Found")</f>
        <v>Not Found</v>
      </c>
      <c r="I2526" s="6" t="str">
        <f>IFERROR(VLOOKUP('Customer Info'!A2518,'Customer Info'!A2518:E3017,5,FALSE),"Not Found")</f>
        <v>Not Found</v>
      </c>
      <c r="J2526" s="2">
        <v>100</v>
      </c>
      <c r="K2526" s="2">
        <v>95</v>
      </c>
      <c r="L2526" s="2">
        <v>6</v>
      </c>
      <c r="M2526" s="7">
        <f t="shared" si="195"/>
        <v>570</v>
      </c>
      <c r="N2526" s="7">
        <f t="shared" si="196"/>
        <v>600</v>
      </c>
      <c r="O2526" s="2">
        <v>10</v>
      </c>
      <c r="P2526" s="8">
        <f t="shared" si="197"/>
        <v>610</v>
      </c>
      <c r="Q2526" s="8">
        <f t="shared" si="198"/>
        <v>505</v>
      </c>
      <c r="R2526" s="2" t="s">
        <v>28</v>
      </c>
      <c r="S2526" s="9">
        <f t="shared" si="199"/>
        <v>12.200000000000001</v>
      </c>
    </row>
    <row r="2527" spans="1:19" x14ac:dyDescent="0.3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str">
        <f>IFERROR(VLOOKUP('Customer Info'!A2519,'Customer Info'!A2519:C3018,2,FALSE),"Not Found")</f>
        <v>Not Found</v>
      </c>
      <c r="H2527" s="6" t="str">
        <f>IFERROR(VLOOKUP('Customer Info'!A2519,'Customer Info'!A2519:C3018,3,FALSE),"Not Found")</f>
        <v>Not Found</v>
      </c>
      <c r="I2527" s="6" t="str">
        <f>IFERROR(VLOOKUP('Customer Info'!A2519,'Customer Info'!A2519:E3018,5,FALSE),"Not Found")</f>
        <v>Not Found</v>
      </c>
      <c r="J2527" s="2">
        <v>7350</v>
      </c>
      <c r="K2527" s="2">
        <v>6743</v>
      </c>
      <c r="L2527" s="2">
        <v>6</v>
      </c>
      <c r="M2527" s="7">
        <f t="shared" si="195"/>
        <v>40458</v>
      </c>
      <c r="N2527" s="7">
        <f t="shared" si="196"/>
        <v>44100</v>
      </c>
      <c r="O2527" s="2">
        <v>23</v>
      </c>
      <c r="P2527" s="8">
        <f t="shared" si="197"/>
        <v>44123</v>
      </c>
      <c r="Q2527" s="8">
        <f t="shared" si="198"/>
        <v>37357</v>
      </c>
      <c r="R2527" s="2" t="s">
        <v>28</v>
      </c>
      <c r="S2527" s="9">
        <f t="shared" si="199"/>
        <v>3088.61</v>
      </c>
    </row>
    <row r="2528" spans="1:19" x14ac:dyDescent="0.3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str">
        <f>IFERROR(VLOOKUP('Customer Info'!A2520,'Customer Info'!A2520:C3019,2,FALSE),"Not Found")</f>
        <v>Not Found</v>
      </c>
      <c r="H2528" s="6" t="str">
        <f>IFERROR(VLOOKUP('Customer Info'!A2520,'Customer Info'!A2520:C3019,3,FALSE),"Not Found")</f>
        <v>Not Found</v>
      </c>
      <c r="I2528" s="6" t="str">
        <f>IFERROR(VLOOKUP('Customer Info'!A2520,'Customer Info'!A2520:E3019,5,FALSE),"Not Found")</f>
        <v>Not Found</v>
      </c>
      <c r="J2528" s="2">
        <v>7065</v>
      </c>
      <c r="K2528" s="2">
        <v>6545</v>
      </c>
      <c r="L2528" s="2">
        <v>4</v>
      </c>
      <c r="M2528" s="7">
        <f t="shared" si="195"/>
        <v>26180</v>
      </c>
      <c r="N2528" s="7">
        <f t="shared" si="196"/>
        <v>28260</v>
      </c>
      <c r="O2528" s="2">
        <v>39</v>
      </c>
      <c r="P2528" s="8">
        <f t="shared" si="197"/>
        <v>28299</v>
      </c>
      <c r="Q2528" s="8">
        <f t="shared" si="198"/>
        <v>21715</v>
      </c>
      <c r="R2528" s="2" t="s">
        <v>28</v>
      </c>
      <c r="S2528" s="9">
        <f t="shared" si="199"/>
        <v>1980.9300000000003</v>
      </c>
    </row>
    <row r="2529" spans="1:19" x14ac:dyDescent="0.3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str">
        <f>IFERROR(VLOOKUP('Customer Info'!A2521,'Customer Info'!A2521:C3020,2,FALSE),"Not Found")</f>
        <v>Not Found</v>
      </c>
      <c r="H2529" s="6" t="str">
        <f>IFERROR(VLOOKUP('Customer Info'!A2521,'Customer Info'!A2521:C3020,3,FALSE),"Not Found")</f>
        <v>Not Found</v>
      </c>
      <c r="I2529" s="6" t="str">
        <f>IFERROR(VLOOKUP('Customer Info'!A2521,'Customer Info'!A2521:E3020,5,FALSE),"Not Found")</f>
        <v>Not Found</v>
      </c>
      <c r="J2529" s="2">
        <v>8878</v>
      </c>
      <c r="K2529" s="2">
        <v>7914</v>
      </c>
      <c r="L2529" s="2">
        <v>3</v>
      </c>
      <c r="M2529" s="7">
        <f t="shared" si="195"/>
        <v>23742</v>
      </c>
      <c r="N2529" s="7">
        <f t="shared" si="196"/>
        <v>26634</v>
      </c>
      <c r="O2529" s="2">
        <v>75</v>
      </c>
      <c r="P2529" s="8">
        <f t="shared" si="197"/>
        <v>26709</v>
      </c>
      <c r="Q2529" s="8">
        <f t="shared" si="198"/>
        <v>18720</v>
      </c>
      <c r="R2529" s="2" t="s">
        <v>50</v>
      </c>
      <c r="S2529" s="9">
        <f t="shared" si="199"/>
        <v>1869.63</v>
      </c>
    </row>
    <row r="2530" spans="1:19" x14ac:dyDescent="0.3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str">
        <f>IFERROR(VLOOKUP('Customer Info'!A2522,'Customer Info'!A2522:C3021,2,FALSE),"Not Found")</f>
        <v>Not Found</v>
      </c>
      <c r="H2530" s="6" t="str">
        <f>IFERROR(VLOOKUP('Customer Info'!A2522,'Customer Info'!A2522:C3021,3,FALSE),"Not Found")</f>
        <v>Not Found</v>
      </c>
      <c r="I2530" s="6" t="str">
        <f>IFERROR(VLOOKUP('Customer Info'!A2522,'Customer Info'!A2522:E3021,5,FALSE),"Not Found")</f>
        <v>Not Found</v>
      </c>
      <c r="J2530" s="2">
        <v>67</v>
      </c>
      <c r="K2530" s="2">
        <v>62</v>
      </c>
      <c r="L2530" s="2">
        <v>3</v>
      </c>
      <c r="M2530" s="7">
        <f t="shared" si="195"/>
        <v>186</v>
      </c>
      <c r="N2530" s="7">
        <f t="shared" si="196"/>
        <v>201</v>
      </c>
      <c r="O2530" s="2">
        <v>10</v>
      </c>
      <c r="P2530" s="8">
        <f t="shared" si="197"/>
        <v>211</v>
      </c>
      <c r="Q2530" s="8">
        <f t="shared" si="198"/>
        <v>139</v>
      </c>
      <c r="R2530" s="2" t="s">
        <v>28</v>
      </c>
      <c r="S2530" s="9">
        <f t="shared" si="199"/>
        <v>4.22</v>
      </c>
    </row>
    <row r="2531" spans="1:19" x14ac:dyDescent="0.3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str">
        <f>IFERROR(VLOOKUP('Customer Info'!A2523,'Customer Info'!A2523:C3022,2,FALSE),"Not Found")</f>
        <v>Not Found</v>
      </c>
      <c r="H2531" s="6" t="str">
        <f>IFERROR(VLOOKUP('Customer Info'!A2523,'Customer Info'!A2523:C3022,3,FALSE),"Not Found")</f>
        <v>Not Found</v>
      </c>
      <c r="I2531" s="6" t="str">
        <f>IFERROR(VLOOKUP('Customer Info'!A2523,'Customer Info'!A2523:E3022,5,FALSE),"Not Found")</f>
        <v>Not Found</v>
      </c>
      <c r="J2531" s="2">
        <v>773</v>
      </c>
      <c r="K2531" s="2">
        <v>708</v>
      </c>
      <c r="L2531" s="2">
        <v>5</v>
      </c>
      <c r="M2531" s="7">
        <f t="shared" si="195"/>
        <v>3540</v>
      </c>
      <c r="N2531" s="7">
        <f t="shared" si="196"/>
        <v>3865</v>
      </c>
      <c r="O2531" s="2">
        <v>99</v>
      </c>
      <c r="P2531" s="8">
        <f t="shared" si="197"/>
        <v>3964</v>
      </c>
      <c r="Q2531" s="8">
        <f t="shared" si="198"/>
        <v>3157</v>
      </c>
      <c r="R2531" s="2" t="s">
        <v>56</v>
      </c>
      <c r="S2531" s="9">
        <f t="shared" si="199"/>
        <v>79.28</v>
      </c>
    </row>
    <row r="2532" spans="1:19" x14ac:dyDescent="0.3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str">
        <f>IFERROR(VLOOKUP('Customer Info'!A2524,'Customer Info'!A2524:C3023,2,FALSE),"Not Found")</f>
        <v>Not Found</v>
      </c>
      <c r="H2532" s="6" t="str">
        <f>IFERROR(VLOOKUP('Customer Info'!A2524,'Customer Info'!A2524:C3023,3,FALSE),"Not Found")</f>
        <v>Not Found</v>
      </c>
      <c r="I2532" s="6" t="str">
        <f>IFERROR(VLOOKUP('Customer Info'!A2524,'Customer Info'!A2524:E3023,5,FALSE),"Not Found")</f>
        <v>Not Found</v>
      </c>
      <c r="J2532" s="2">
        <v>8433</v>
      </c>
      <c r="K2532" s="2">
        <v>7801</v>
      </c>
      <c r="L2532" s="2">
        <v>6</v>
      </c>
      <c r="M2532" s="7">
        <f t="shared" si="195"/>
        <v>46806</v>
      </c>
      <c r="N2532" s="7">
        <f t="shared" si="196"/>
        <v>50598</v>
      </c>
      <c r="O2532" s="2">
        <v>42</v>
      </c>
      <c r="P2532" s="8">
        <f t="shared" si="197"/>
        <v>50640</v>
      </c>
      <c r="Q2532" s="8">
        <f t="shared" si="198"/>
        <v>42797</v>
      </c>
      <c r="R2532" s="2" t="s">
        <v>28</v>
      </c>
      <c r="S2532" s="9">
        <f t="shared" si="199"/>
        <v>4557.5999999999995</v>
      </c>
    </row>
    <row r="2533" spans="1:19" x14ac:dyDescent="0.3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str">
        <f>IFERROR(VLOOKUP('Customer Info'!A2525,'Customer Info'!A2525:C3024,2,FALSE),"Not Found")</f>
        <v>Not Found</v>
      </c>
      <c r="H2533" s="6" t="str">
        <f>IFERROR(VLOOKUP('Customer Info'!A2525,'Customer Info'!A2525:C3024,3,FALSE),"Not Found")</f>
        <v>Not Found</v>
      </c>
      <c r="I2533" s="6" t="str">
        <f>IFERROR(VLOOKUP('Customer Info'!A2525,'Customer Info'!A2525:E3024,5,FALSE),"Not Found")</f>
        <v>Not Found</v>
      </c>
      <c r="J2533" s="2">
        <v>1834</v>
      </c>
      <c r="K2533" s="2">
        <v>1716</v>
      </c>
      <c r="L2533" s="2">
        <v>2</v>
      </c>
      <c r="M2533" s="7">
        <f t="shared" si="195"/>
        <v>3432</v>
      </c>
      <c r="N2533" s="7">
        <f t="shared" si="196"/>
        <v>3668</v>
      </c>
      <c r="O2533" s="2">
        <v>63</v>
      </c>
      <c r="P2533" s="8">
        <f t="shared" si="197"/>
        <v>3731</v>
      </c>
      <c r="Q2533" s="8">
        <f t="shared" si="198"/>
        <v>1952</v>
      </c>
      <c r="R2533" s="2" t="s">
        <v>28</v>
      </c>
      <c r="S2533" s="9">
        <f t="shared" si="199"/>
        <v>74.62</v>
      </c>
    </row>
    <row r="2534" spans="1:19" x14ac:dyDescent="0.3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str">
        <f>IFERROR(VLOOKUP('Customer Info'!A2526,'Customer Info'!A2526:C3025,2,FALSE),"Not Found")</f>
        <v>Not Found</v>
      </c>
      <c r="H2534" s="6" t="str">
        <f>IFERROR(VLOOKUP('Customer Info'!A2526,'Customer Info'!A2526:C3025,3,FALSE),"Not Found")</f>
        <v>Not Found</v>
      </c>
      <c r="I2534" s="6" t="str">
        <f>IFERROR(VLOOKUP('Customer Info'!A2526,'Customer Info'!A2526:E3025,5,FALSE),"Not Found")</f>
        <v>Not Found</v>
      </c>
      <c r="J2534" s="2">
        <v>693</v>
      </c>
      <c r="K2534" s="2">
        <v>667</v>
      </c>
      <c r="L2534" s="2">
        <v>4</v>
      </c>
      <c r="M2534" s="7">
        <f t="shared" si="195"/>
        <v>2668</v>
      </c>
      <c r="N2534" s="7">
        <f t="shared" si="196"/>
        <v>2772</v>
      </c>
      <c r="O2534" s="2">
        <v>64</v>
      </c>
      <c r="P2534" s="8">
        <f t="shared" si="197"/>
        <v>2836</v>
      </c>
      <c r="Q2534" s="8">
        <f t="shared" si="198"/>
        <v>2105</v>
      </c>
      <c r="R2534" s="2" t="s">
        <v>50</v>
      </c>
      <c r="S2534" s="9">
        <f t="shared" si="199"/>
        <v>56.72</v>
      </c>
    </row>
    <row r="2535" spans="1:19" x14ac:dyDescent="0.3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str">
        <f>IFERROR(VLOOKUP('Customer Info'!A2527,'Customer Info'!A2527:C3026,2,FALSE),"Not Found")</f>
        <v>Not Found</v>
      </c>
      <c r="H2535" s="6" t="str">
        <f>IFERROR(VLOOKUP('Customer Info'!A2527,'Customer Info'!A2527:C3026,3,FALSE),"Not Found")</f>
        <v>Not Found</v>
      </c>
      <c r="I2535" s="6" t="str">
        <f>IFERROR(VLOOKUP('Customer Info'!A2527,'Customer Info'!A2527:E3026,5,FALSE),"Not Found")</f>
        <v>Not Found</v>
      </c>
      <c r="J2535" s="2">
        <v>1017</v>
      </c>
      <c r="K2535" s="2">
        <v>950</v>
      </c>
      <c r="L2535" s="2">
        <v>2</v>
      </c>
      <c r="M2535" s="7">
        <f t="shared" si="195"/>
        <v>1900</v>
      </c>
      <c r="N2535" s="7">
        <f t="shared" si="196"/>
        <v>2034</v>
      </c>
      <c r="O2535" s="2">
        <v>92</v>
      </c>
      <c r="P2535" s="8">
        <f t="shared" si="197"/>
        <v>2126</v>
      </c>
      <c r="Q2535" s="8">
        <f t="shared" si="198"/>
        <v>1084</v>
      </c>
      <c r="R2535" s="2" t="s">
        <v>28</v>
      </c>
      <c r="S2535" s="9">
        <f t="shared" si="199"/>
        <v>42.52</v>
      </c>
    </row>
    <row r="2536" spans="1:19" x14ac:dyDescent="0.3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str">
        <f>IFERROR(VLOOKUP('Customer Info'!A2528,'Customer Info'!A2528:C3027,2,FALSE),"Not Found")</f>
        <v>Not Found</v>
      </c>
      <c r="H2536" s="6" t="str">
        <f>IFERROR(VLOOKUP('Customer Info'!A2528,'Customer Info'!A2528:C3027,3,FALSE),"Not Found")</f>
        <v>Not Found</v>
      </c>
      <c r="I2536" s="6" t="str">
        <f>IFERROR(VLOOKUP('Customer Info'!A2528,'Customer Info'!A2528:E3027,5,FALSE),"Not Found")</f>
        <v>Not Found</v>
      </c>
      <c r="J2536" s="2">
        <v>188</v>
      </c>
      <c r="K2536" s="2">
        <v>173</v>
      </c>
      <c r="L2536" s="2">
        <v>3</v>
      </c>
      <c r="M2536" s="7">
        <f t="shared" si="195"/>
        <v>519</v>
      </c>
      <c r="N2536" s="7">
        <f t="shared" si="196"/>
        <v>564</v>
      </c>
      <c r="O2536" s="2">
        <v>30</v>
      </c>
      <c r="P2536" s="8">
        <f t="shared" si="197"/>
        <v>594</v>
      </c>
      <c r="Q2536" s="8">
        <f t="shared" si="198"/>
        <v>391</v>
      </c>
      <c r="R2536" s="2" t="s">
        <v>28</v>
      </c>
      <c r="S2536" s="9">
        <f t="shared" si="199"/>
        <v>11.88</v>
      </c>
    </row>
    <row r="2537" spans="1:19" x14ac:dyDescent="0.3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str">
        <f>IFERROR(VLOOKUP('Customer Info'!A2529,'Customer Info'!A2529:C3028,2,FALSE),"Not Found")</f>
        <v>Not Found</v>
      </c>
      <c r="H2537" s="6" t="str">
        <f>IFERROR(VLOOKUP('Customer Info'!A2529,'Customer Info'!A2529:C3028,3,FALSE),"Not Found")</f>
        <v>Not Found</v>
      </c>
      <c r="I2537" s="6" t="str">
        <f>IFERROR(VLOOKUP('Customer Info'!A2529,'Customer Info'!A2529:E3028,5,FALSE),"Not Found")</f>
        <v>Not Found</v>
      </c>
      <c r="J2537" s="2">
        <v>224</v>
      </c>
      <c r="K2537" s="2">
        <v>210</v>
      </c>
      <c r="L2537" s="2">
        <v>2</v>
      </c>
      <c r="M2537" s="7">
        <f t="shared" si="195"/>
        <v>420</v>
      </c>
      <c r="N2537" s="7">
        <f t="shared" si="196"/>
        <v>448</v>
      </c>
      <c r="O2537" s="2">
        <v>80</v>
      </c>
      <c r="P2537" s="8">
        <f t="shared" si="197"/>
        <v>528</v>
      </c>
      <c r="Q2537" s="8">
        <f t="shared" si="198"/>
        <v>238</v>
      </c>
      <c r="R2537" s="2" t="s">
        <v>28</v>
      </c>
      <c r="S2537" s="9">
        <f t="shared" si="199"/>
        <v>10.56</v>
      </c>
    </row>
    <row r="2538" spans="1:19" x14ac:dyDescent="0.3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str">
        <f>IFERROR(VLOOKUP('Customer Info'!A2530,'Customer Info'!A2530:C3029,2,FALSE),"Not Found")</f>
        <v>Not Found</v>
      </c>
      <c r="H2538" s="6" t="str">
        <f>IFERROR(VLOOKUP('Customer Info'!A2530,'Customer Info'!A2530:C3029,3,FALSE),"Not Found")</f>
        <v>Not Found</v>
      </c>
      <c r="I2538" s="6" t="str">
        <f>IFERROR(VLOOKUP('Customer Info'!A2530,'Customer Info'!A2530:E3029,5,FALSE),"Not Found")</f>
        <v>Not Found</v>
      </c>
      <c r="J2538" s="2">
        <v>392</v>
      </c>
      <c r="K2538" s="2">
        <v>356</v>
      </c>
      <c r="L2538" s="2">
        <v>6</v>
      </c>
      <c r="M2538" s="7">
        <f t="shared" si="195"/>
        <v>2136</v>
      </c>
      <c r="N2538" s="7">
        <f t="shared" si="196"/>
        <v>2352</v>
      </c>
      <c r="O2538" s="2">
        <v>61</v>
      </c>
      <c r="P2538" s="8">
        <f t="shared" si="197"/>
        <v>2413</v>
      </c>
      <c r="Q2538" s="8">
        <f t="shared" si="198"/>
        <v>1996</v>
      </c>
      <c r="R2538" s="2" t="s">
        <v>28</v>
      </c>
      <c r="S2538" s="9">
        <f t="shared" si="199"/>
        <v>48.26</v>
      </c>
    </row>
    <row r="2539" spans="1:19" x14ac:dyDescent="0.3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str">
        <f>IFERROR(VLOOKUP('Customer Info'!A2531,'Customer Info'!A2531:C3030,2,FALSE),"Not Found")</f>
        <v>Not Found</v>
      </c>
      <c r="H2539" s="6" t="str">
        <f>IFERROR(VLOOKUP('Customer Info'!A2531,'Customer Info'!A2531:C3030,3,FALSE),"Not Found")</f>
        <v>Not Found</v>
      </c>
      <c r="I2539" s="6" t="str">
        <f>IFERROR(VLOOKUP('Customer Info'!A2531,'Customer Info'!A2531:E3030,5,FALSE),"Not Found")</f>
        <v>Not Found</v>
      </c>
      <c r="J2539" s="2">
        <v>1447</v>
      </c>
      <c r="K2539" s="2">
        <v>1326</v>
      </c>
      <c r="L2539" s="2">
        <v>3</v>
      </c>
      <c r="M2539" s="7">
        <f t="shared" si="195"/>
        <v>3978</v>
      </c>
      <c r="N2539" s="7">
        <f t="shared" si="196"/>
        <v>4341</v>
      </c>
      <c r="O2539" s="2">
        <v>76</v>
      </c>
      <c r="P2539" s="8">
        <f t="shared" si="197"/>
        <v>4417</v>
      </c>
      <c r="Q2539" s="8">
        <f t="shared" si="198"/>
        <v>3015</v>
      </c>
      <c r="R2539" s="2" t="s">
        <v>50</v>
      </c>
      <c r="S2539" s="9">
        <f t="shared" si="199"/>
        <v>88.34</v>
      </c>
    </row>
    <row r="2540" spans="1:19" x14ac:dyDescent="0.3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str">
        <f>IFERROR(VLOOKUP('Customer Info'!A2532,'Customer Info'!A2532:C3031,2,FALSE),"Not Found")</f>
        <v>Not Found</v>
      </c>
      <c r="H2540" s="6" t="str">
        <f>IFERROR(VLOOKUP('Customer Info'!A2532,'Customer Info'!A2532:C3031,3,FALSE),"Not Found")</f>
        <v>Not Found</v>
      </c>
      <c r="I2540" s="6" t="str">
        <f>IFERROR(VLOOKUP('Customer Info'!A2532,'Customer Info'!A2532:E3031,5,FALSE),"Not Found")</f>
        <v>Not Found</v>
      </c>
      <c r="J2540" s="2">
        <v>2151</v>
      </c>
      <c r="K2540" s="2">
        <v>2009</v>
      </c>
      <c r="L2540" s="2">
        <v>4</v>
      </c>
      <c r="M2540" s="7">
        <f t="shared" si="195"/>
        <v>8036</v>
      </c>
      <c r="N2540" s="7">
        <f t="shared" si="196"/>
        <v>8604</v>
      </c>
      <c r="O2540" s="2">
        <v>56</v>
      </c>
      <c r="P2540" s="8">
        <f t="shared" si="197"/>
        <v>8660</v>
      </c>
      <c r="Q2540" s="8">
        <f t="shared" si="198"/>
        <v>6595</v>
      </c>
      <c r="R2540" s="2" t="s">
        <v>28</v>
      </c>
      <c r="S2540" s="9">
        <f t="shared" si="199"/>
        <v>433</v>
      </c>
    </row>
    <row r="2541" spans="1:19" x14ac:dyDescent="0.3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str">
        <f>IFERROR(VLOOKUP('Customer Info'!A2533,'Customer Info'!A2533:C3032,2,FALSE),"Not Found")</f>
        <v>Not Found</v>
      </c>
      <c r="H2541" s="6" t="str">
        <f>IFERROR(VLOOKUP('Customer Info'!A2533,'Customer Info'!A2533:C3032,3,FALSE),"Not Found")</f>
        <v>Not Found</v>
      </c>
      <c r="I2541" s="6" t="str">
        <f>IFERROR(VLOOKUP('Customer Info'!A2533,'Customer Info'!A2533:E3032,5,FALSE),"Not Found")</f>
        <v>Not Found</v>
      </c>
      <c r="J2541" s="2">
        <v>1668</v>
      </c>
      <c r="K2541" s="2">
        <v>1636</v>
      </c>
      <c r="L2541" s="2">
        <v>6</v>
      </c>
      <c r="M2541" s="7">
        <f t="shared" si="195"/>
        <v>9816</v>
      </c>
      <c r="N2541" s="7">
        <f t="shared" si="196"/>
        <v>10008</v>
      </c>
      <c r="O2541" s="2">
        <v>56</v>
      </c>
      <c r="P2541" s="8">
        <f t="shared" si="197"/>
        <v>10064</v>
      </c>
      <c r="Q2541" s="8">
        <f t="shared" si="198"/>
        <v>8372</v>
      </c>
      <c r="R2541" s="2" t="s">
        <v>28</v>
      </c>
      <c r="S2541" s="9">
        <f t="shared" si="199"/>
        <v>503.20000000000005</v>
      </c>
    </row>
    <row r="2542" spans="1:19" x14ac:dyDescent="0.3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str">
        <f>IFERROR(VLOOKUP('Customer Info'!A2534,'Customer Info'!A2534:C3033,2,FALSE),"Not Found")</f>
        <v>Not Found</v>
      </c>
      <c r="H2542" s="6" t="str">
        <f>IFERROR(VLOOKUP('Customer Info'!A2534,'Customer Info'!A2534:C3033,3,FALSE),"Not Found")</f>
        <v>Not Found</v>
      </c>
      <c r="I2542" s="6" t="str">
        <f>IFERROR(VLOOKUP('Customer Info'!A2534,'Customer Info'!A2534:E3033,5,FALSE),"Not Found")</f>
        <v>Not Found</v>
      </c>
      <c r="J2542" s="2">
        <v>185</v>
      </c>
      <c r="K2542" s="2">
        <v>174</v>
      </c>
      <c r="L2542" s="2">
        <v>2</v>
      </c>
      <c r="M2542" s="7">
        <f t="shared" si="195"/>
        <v>348</v>
      </c>
      <c r="N2542" s="7">
        <f t="shared" si="196"/>
        <v>370</v>
      </c>
      <c r="O2542" s="2">
        <v>30</v>
      </c>
      <c r="P2542" s="8">
        <f t="shared" si="197"/>
        <v>400</v>
      </c>
      <c r="Q2542" s="8">
        <f t="shared" si="198"/>
        <v>196</v>
      </c>
      <c r="R2542" s="2" t="s">
        <v>28</v>
      </c>
      <c r="S2542" s="9">
        <f t="shared" si="199"/>
        <v>8</v>
      </c>
    </row>
    <row r="2543" spans="1:19" x14ac:dyDescent="0.3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str">
        <f>IFERROR(VLOOKUP('Customer Info'!A2535,'Customer Info'!A2535:C3034,2,FALSE),"Not Found")</f>
        <v>Not Found</v>
      </c>
      <c r="H2543" s="6" t="str">
        <f>IFERROR(VLOOKUP('Customer Info'!A2535,'Customer Info'!A2535:C3034,3,FALSE),"Not Found")</f>
        <v>Not Found</v>
      </c>
      <c r="I2543" s="6" t="str">
        <f>IFERROR(VLOOKUP('Customer Info'!A2535,'Customer Info'!A2535:E3034,5,FALSE),"Not Found")</f>
        <v>Not Found</v>
      </c>
      <c r="J2543" s="2">
        <v>1718</v>
      </c>
      <c r="K2543" s="2">
        <v>1545</v>
      </c>
      <c r="L2543" s="2">
        <v>9</v>
      </c>
      <c r="M2543" s="7">
        <f t="shared" si="195"/>
        <v>13905</v>
      </c>
      <c r="N2543" s="7">
        <f t="shared" si="196"/>
        <v>15462</v>
      </c>
      <c r="O2543" s="2">
        <v>78</v>
      </c>
      <c r="P2543" s="8">
        <f t="shared" si="197"/>
        <v>15540</v>
      </c>
      <c r="Q2543" s="8">
        <f t="shared" si="198"/>
        <v>13917</v>
      </c>
      <c r="R2543" s="2" t="s">
        <v>28</v>
      </c>
      <c r="S2543" s="9">
        <f t="shared" si="199"/>
        <v>777</v>
      </c>
    </row>
    <row r="2544" spans="1:19" x14ac:dyDescent="0.3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str">
        <f>IFERROR(VLOOKUP('Customer Info'!A2536,'Customer Info'!A2536:C3035,2,FALSE),"Not Found")</f>
        <v>Not Found</v>
      </c>
      <c r="H2544" s="6" t="str">
        <f>IFERROR(VLOOKUP('Customer Info'!A2536,'Customer Info'!A2536:C3035,3,FALSE),"Not Found")</f>
        <v>Not Found</v>
      </c>
      <c r="I2544" s="6" t="str">
        <f>IFERROR(VLOOKUP('Customer Info'!A2536,'Customer Info'!A2536:E3035,5,FALSE),"Not Found")</f>
        <v>Not Found</v>
      </c>
      <c r="J2544" s="2">
        <v>1997</v>
      </c>
      <c r="K2544" s="2">
        <v>1816</v>
      </c>
      <c r="L2544" s="2">
        <v>3</v>
      </c>
      <c r="M2544" s="7">
        <f t="shared" si="195"/>
        <v>5448</v>
      </c>
      <c r="N2544" s="7">
        <f t="shared" si="196"/>
        <v>5991</v>
      </c>
      <c r="O2544" s="2">
        <v>50</v>
      </c>
      <c r="P2544" s="8">
        <f t="shared" si="197"/>
        <v>6041</v>
      </c>
      <c r="Q2544" s="8">
        <f t="shared" si="198"/>
        <v>4175</v>
      </c>
      <c r="R2544" s="2" t="s">
        <v>28</v>
      </c>
      <c r="S2544" s="9">
        <f t="shared" si="199"/>
        <v>302.05</v>
      </c>
    </row>
    <row r="2545" spans="1:19" x14ac:dyDescent="0.3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str">
        <f>IFERROR(VLOOKUP('Customer Info'!A2537,'Customer Info'!A2537:C3036,2,FALSE),"Not Found")</f>
        <v>Not Found</v>
      </c>
      <c r="H2545" s="6" t="str">
        <f>IFERROR(VLOOKUP('Customer Info'!A2537,'Customer Info'!A2537:C3036,3,FALSE),"Not Found")</f>
        <v>Not Found</v>
      </c>
      <c r="I2545" s="6" t="str">
        <f>IFERROR(VLOOKUP('Customer Info'!A2537,'Customer Info'!A2537:E3036,5,FALSE),"Not Found")</f>
        <v>Not Found</v>
      </c>
      <c r="J2545" s="2">
        <v>3341</v>
      </c>
      <c r="K2545" s="2">
        <v>3152</v>
      </c>
      <c r="L2545" s="2">
        <v>9</v>
      </c>
      <c r="M2545" s="7">
        <f t="shared" si="195"/>
        <v>28368</v>
      </c>
      <c r="N2545" s="7">
        <f t="shared" si="196"/>
        <v>30069</v>
      </c>
      <c r="O2545" s="2">
        <v>85</v>
      </c>
      <c r="P2545" s="8">
        <f t="shared" si="197"/>
        <v>30154</v>
      </c>
      <c r="Q2545" s="8">
        <f t="shared" si="198"/>
        <v>26917</v>
      </c>
      <c r="R2545" s="2" t="s">
        <v>28</v>
      </c>
      <c r="S2545" s="9">
        <f t="shared" si="199"/>
        <v>2110.7800000000002</v>
      </c>
    </row>
    <row r="2546" spans="1:19" x14ac:dyDescent="0.3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str">
        <f>IFERROR(VLOOKUP('Customer Info'!A2538,'Customer Info'!A2538:C3037,2,FALSE),"Not Found")</f>
        <v>Not Found</v>
      </c>
      <c r="H2546" s="6" t="str">
        <f>IFERROR(VLOOKUP('Customer Info'!A2538,'Customer Info'!A2538:C3037,3,FALSE),"Not Found")</f>
        <v>Not Found</v>
      </c>
      <c r="I2546" s="6" t="str">
        <f>IFERROR(VLOOKUP('Customer Info'!A2538,'Customer Info'!A2538:E3037,5,FALSE),"Not Found")</f>
        <v>Not Found</v>
      </c>
      <c r="J2546" s="2">
        <v>92</v>
      </c>
      <c r="K2546" s="2">
        <v>85</v>
      </c>
      <c r="L2546" s="2">
        <v>1</v>
      </c>
      <c r="M2546" s="7">
        <f t="shared" si="195"/>
        <v>85</v>
      </c>
      <c r="N2546" s="7">
        <f t="shared" si="196"/>
        <v>92</v>
      </c>
      <c r="O2546" s="2">
        <v>10</v>
      </c>
      <c r="P2546" s="8">
        <f t="shared" si="197"/>
        <v>102</v>
      </c>
      <c r="Q2546" s="8">
        <f t="shared" si="198"/>
        <v>7</v>
      </c>
      <c r="R2546" s="2" t="s">
        <v>26</v>
      </c>
      <c r="S2546" s="9">
        <f t="shared" si="199"/>
        <v>2.04</v>
      </c>
    </row>
    <row r="2547" spans="1:19" x14ac:dyDescent="0.3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str">
        <f>IFERROR(VLOOKUP('Customer Info'!A2539,'Customer Info'!A2539:C3038,2,FALSE),"Not Found")</f>
        <v>Not Found</v>
      </c>
      <c r="H2547" s="6" t="str">
        <f>IFERROR(VLOOKUP('Customer Info'!A2539,'Customer Info'!A2539:C3038,3,FALSE),"Not Found")</f>
        <v>Not Found</v>
      </c>
      <c r="I2547" s="6" t="str">
        <f>IFERROR(VLOOKUP('Customer Info'!A2539,'Customer Info'!A2539:E3038,5,FALSE),"Not Found")</f>
        <v>Not Found</v>
      </c>
      <c r="J2547" s="2">
        <v>7232</v>
      </c>
      <c r="K2547" s="2">
        <v>6753</v>
      </c>
      <c r="L2547" s="2">
        <v>4</v>
      </c>
      <c r="M2547" s="7">
        <f t="shared" si="195"/>
        <v>27012</v>
      </c>
      <c r="N2547" s="7">
        <f t="shared" si="196"/>
        <v>28928</v>
      </c>
      <c r="O2547" s="2">
        <v>64</v>
      </c>
      <c r="P2547" s="8">
        <f t="shared" si="197"/>
        <v>28992</v>
      </c>
      <c r="Q2547" s="8">
        <f t="shared" si="198"/>
        <v>22175</v>
      </c>
      <c r="R2547" s="2" t="s">
        <v>26</v>
      </c>
      <c r="S2547" s="9">
        <f t="shared" si="199"/>
        <v>2029.4400000000003</v>
      </c>
    </row>
    <row r="2548" spans="1:19" x14ac:dyDescent="0.3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str">
        <f>IFERROR(VLOOKUP('Customer Info'!A2540,'Customer Info'!A2540:C3039,2,FALSE),"Not Found")</f>
        <v>Not Found</v>
      </c>
      <c r="H2548" s="6" t="str">
        <f>IFERROR(VLOOKUP('Customer Info'!A2540,'Customer Info'!A2540:C3039,3,FALSE),"Not Found")</f>
        <v>Not Found</v>
      </c>
      <c r="I2548" s="6" t="str">
        <f>IFERROR(VLOOKUP('Customer Info'!A2540,'Customer Info'!A2540:E3039,5,FALSE),"Not Found")</f>
        <v>Not Found</v>
      </c>
      <c r="J2548" s="2">
        <v>171</v>
      </c>
      <c r="K2548" s="2">
        <v>153</v>
      </c>
      <c r="L2548" s="2">
        <v>5</v>
      </c>
      <c r="M2548" s="7">
        <f t="shared" si="195"/>
        <v>765</v>
      </c>
      <c r="N2548" s="7">
        <f t="shared" si="196"/>
        <v>855</v>
      </c>
      <c r="O2548" s="2">
        <v>30</v>
      </c>
      <c r="P2548" s="8">
        <f t="shared" si="197"/>
        <v>885</v>
      </c>
      <c r="Q2548" s="8">
        <f t="shared" si="198"/>
        <v>702</v>
      </c>
      <c r="R2548" s="2" t="s">
        <v>28</v>
      </c>
      <c r="S2548" s="9">
        <f t="shared" si="199"/>
        <v>17.7</v>
      </c>
    </row>
    <row r="2549" spans="1:19" x14ac:dyDescent="0.3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str">
        <f>IFERROR(VLOOKUP('Customer Info'!A2541,'Customer Info'!A2541:C3040,2,FALSE),"Not Found")</f>
        <v>Not Found</v>
      </c>
      <c r="H2549" s="6" t="str">
        <f>IFERROR(VLOOKUP('Customer Info'!A2541,'Customer Info'!A2541:C3040,3,FALSE),"Not Found")</f>
        <v>Not Found</v>
      </c>
      <c r="I2549" s="6" t="str">
        <f>IFERROR(VLOOKUP('Customer Info'!A2541,'Customer Info'!A2541:E3040,5,FALSE),"Not Found")</f>
        <v>Not Found</v>
      </c>
      <c r="J2549" s="2">
        <v>1808</v>
      </c>
      <c r="K2549" s="2">
        <v>1740</v>
      </c>
      <c r="L2549" s="2">
        <v>3</v>
      </c>
      <c r="M2549" s="7">
        <f t="shared" si="195"/>
        <v>5220</v>
      </c>
      <c r="N2549" s="7">
        <f t="shared" si="196"/>
        <v>5424</v>
      </c>
      <c r="O2549" s="2">
        <v>27</v>
      </c>
      <c r="P2549" s="8">
        <f t="shared" si="197"/>
        <v>5451</v>
      </c>
      <c r="Q2549" s="8">
        <f t="shared" si="198"/>
        <v>3684</v>
      </c>
      <c r="R2549" s="2" t="s">
        <v>28</v>
      </c>
      <c r="S2549" s="9">
        <f t="shared" si="199"/>
        <v>272.55</v>
      </c>
    </row>
    <row r="2550" spans="1:19" x14ac:dyDescent="0.3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str">
        <f>IFERROR(VLOOKUP('Customer Info'!A2542,'Customer Info'!A2542:C3041,2,FALSE),"Not Found")</f>
        <v>Not Found</v>
      </c>
      <c r="H2550" s="6" t="str">
        <f>IFERROR(VLOOKUP('Customer Info'!A2542,'Customer Info'!A2542:C3041,3,FALSE),"Not Found")</f>
        <v>Not Found</v>
      </c>
      <c r="I2550" s="6" t="str">
        <f>IFERROR(VLOOKUP('Customer Info'!A2542,'Customer Info'!A2542:E3041,5,FALSE),"Not Found")</f>
        <v>Not Found</v>
      </c>
      <c r="J2550" s="2">
        <v>2907</v>
      </c>
      <c r="K2550" s="2">
        <v>2667</v>
      </c>
      <c r="L2550" s="2">
        <v>3</v>
      </c>
      <c r="M2550" s="7">
        <f t="shared" si="195"/>
        <v>8001</v>
      </c>
      <c r="N2550" s="7">
        <f t="shared" si="196"/>
        <v>8721</v>
      </c>
      <c r="O2550" s="2">
        <v>28</v>
      </c>
      <c r="P2550" s="8">
        <f t="shared" si="197"/>
        <v>8749</v>
      </c>
      <c r="Q2550" s="8">
        <f t="shared" si="198"/>
        <v>6054</v>
      </c>
      <c r="R2550" s="2" t="s">
        <v>28</v>
      </c>
      <c r="S2550" s="9">
        <f t="shared" si="199"/>
        <v>437.45000000000005</v>
      </c>
    </row>
    <row r="2551" spans="1:19" x14ac:dyDescent="0.3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str">
        <f>IFERROR(VLOOKUP('Customer Info'!A2543,'Customer Info'!A2543:C3042,2,FALSE),"Not Found")</f>
        <v>Not Found</v>
      </c>
      <c r="H2551" s="6" t="str">
        <f>IFERROR(VLOOKUP('Customer Info'!A2543,'Customer Info'!A2543:C3042,3,FALSE),"Not Found")</f>
        <v>Not Found</v>
      </c>
      <c r="I2551" s="6" t="str">
        <f>IFERROR(VLOOKUP('Customer Info'!A2543,'Customer Info'!A2543:E3042,5,FALSE),"Not Found")</f>
        <v>Not Found</v>
      </c>
      <c r="J2551" s="2">
        <v>4577</v>
      </c>
      <c r="K2551" s="2">
        <v>4280</v>
      </c>
      <c r="L2551" s="2">
        <v>4</v>
      </c>
      <c r="M2551" s="7">
        <f t="shared" si="195"/>
        <v>17120</v>
      </c>
      <c r="N2551" s="7">
        <f t="shared" si="196"/>
        <v>18308</v>
      </c>
      <c r="O2551" s="2">
        <v>89</v>
      </c>
      <c r="P2551" s="8">
        <f t="shared" si="197"/>
        <v>18397</v>
      </c>
      <c r="Q2551" s="8">
        <f t="shared" si="198"/>
        <v>14028</v>
      </c>
      <c r="R2551" s="2" t="s">
        <v>50</v>
      </c>
      <c r="S2551" s="9">
        <f t="shared" si="199"/>
        <v>919.85</v>
      </c>
    </row>
    <row r="2552" spans="1:19" x14ac:dyDescent="0.3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str">
        <f>IFERROR(VLOOKUP('Customer Info'!A2544,'Customer Info'!A2544:C3043,2,FALSE),"Not Found")</f>
        <v>Not Found</v>
      </c>
      <c r="H2552" s="6" t="str">
        <f>IFERROR(VLOOKUP('Customer Info'!A2544,'Customer Info'!A2544:C3043,3,FALSE),"Not Found")</f>
        <v>Not Found</v>
      </c>
      <c r="I2552" s="6" t="str">
        <f>IFERROR(VLOOKUP('Customer Info'!A2544,'Customer Info'!A2544:E3043,5,FALSE),"Not Found")</f>
        <v>Not Found</v>
      </c>
      <c r="J2552" s="2">
        <v>6635</v>
      </c>
      <c r="K2552" s="2">
        <v>6321</v>
      </c>
      <c r="L2552" s="2">
        <v>2</v>
      </c>
      <c r="M2552" s="7">
        <f t="shared" si="195"/>
        <v>12642</v>
      </c>
      <c r="N2552" s="7">
        <f t="shared" si="196"/>
        <v>13270</v>
      </c>
      <c r="O2552" s="2">
        <v>21</v>
      </c>
      <c r="P2552" s="8">
        <f t="shared" si="197"/>
        <v>13291</v>
      </c>
      <c r="Q2552" s="8">
        <f t="shared" si="198"/>
        <v>6949</v>
      </c>
      <c r="R2552" s="2" t="s">
        <v>28</v>
      </c>
      <c r="S2552" s="9">
        <f t="shared" si="199"/>
        <v>664.55000000000007</v>
      </c>
    </row>
    <row r="2553" spans="1:19" x14ac:dyDescent="0.3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str">
        <f>IFERROR(VLOOKUP('Customer Info'!A2545,'Customer Info'!A2545:C3044,2,FALSE),"Not Found")</f>
        <v>Not Found</v>
      </c>
      <c r="H2553" s="6" t="str">
        <f>IFERROR(VLOOKUP('Customer Info'!A2545,'Customer Info'!A2545:C3044,3,FALSE),"Not Found")</f>
        <v>Not Found</v>
      </c>
      <c r="I2553" s="6" t="str">
        <f>IFERROR(VLOOKUP('Customer Info'!A2545,'Customer Info'!A2545:E3044,5,FALSE),"Not Found")</f>
        <v>Not Found</v>
      </c>
      <c r="J2553" s="2">
        <v>7315</v>
      </c>
      <c r="K2553" s="2">
        <v>6967</v>
      </c>
      <c r="L2553" s="2">
        <v>1</v>
      </c>
      <c r="M2553" s="7">
        <f t="shared" si="195"/>
        <v>6967</v>
      </c>
      <c r="N2553" s="7">
        <f t="shared" si="196"/>
        <v>7315</v>
      </c>
      <c r="O2553" s="2">
        <v>95</v>
      </c>
      <c r="P2553" s="8">
        <f t="shared" si="197"/>
        <v>7410</v>
      </c>
      <c r="Q2553" s="8">
        <f t="shared" si="198"/>
        <v>348</v>
      </c>
      <c r="R2553" s="2" t="s">
        <v>28</v>
      </c>
      <c r="S2553" s="9">
        <f t="shared" si="199"/>
        <v>370.5</v>
      </c>
    </row>
    <row r="2554" spans="1:19" x14ac:dyDescent="0.3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str">
        <f>IFERROR(VLOOKUP('Customer Info'!A2546,'Customer Info'!A2546:C3045,2,FALSE),"Not Found")</f>
        <v>Not Found</v>
      </c>
      <c r="H2554" s="6" t="str">
        <f>IFERROR(VLOOKUP('Customer Info'!A2546,'Customer Info'!A2546:C3045,3,FALSE),"Not Found")</f>
        <v>Not Found</v>
      </c>
      <c r="I2554" s="6" t="str">
        <f>IFERROR(VLOOKUP('Customer Info'!A2546,'Customer Info'!A2546:E3045,5,FALSE),"Not Found")</f>
        <v>Not Found</v>
      </c>
      <c r="J2554" s="2">
        <v>139</v>
      </c>
      <c r="K2554" s="2">
        <v>130</v>
      </c>
      <c r="L2554" s="2">
        <v>3</v>
      </c>
      <c r="M2554" s="7">
        <f t="shared" si="195"/>
        <v>390</v>
      </c>
      <c r="N2554" s="7">
        <f t="shared" si="196"/>
        <v>417</v>
      </c>
      <c r="O2554" s="2">
        <v>30</v>
      </c>
      <c r="P2554" s="8">
        <f t="shared" si="197"/>
        <v>447</v>
      </c>
      <c r="Q2554" s="8">
        <f t="shared" si="198"/>
        <v>287</v>
      </c>
      <c r="R2554" s="2" t="s">
        <v>28</v>
      </c>
      <c r="S2554" s="9">
        <f t="shared" si="199"/>
        <v>8.94</v>
      </c>
    </row>
    <row r="2555" spans="1:19" x14ac:dyDescent="0.3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str">
        <f>IFERROR(VLOOKUP('Customer Info'!A2547,'Customer Info'!A2547:C3046,2,FALSE),"Not Found")</f>
        <v>Not Found</v>
      </c>
      <c r="H2555" s="6" t="str">
        <f>IFERROR(VLOOKUP('Customer Info'!A2547,'Customer Info'!A2547:C3046,3,FALSE),"Not Found")</f>
        <v>Not Found</v>
      </c>
      <c r="I2555" s="6" t="str">
        <f>IFERROR(VLOOKUP('Customer Info'!A2547,'Customer Info'!A2547:E3046,5,FALSE),"Not Found")</f>
        <v>Not Found</v>
      </c>
      <c r="J2555" s="2">
        <v>1615</v>
      </c>
      <c r="K2555" s="2">
        <v>1525</v>
      </c>
      <c r="L2555" s="2">
        <v>2</v>
      </c>
      <c r="M2555" s="7">
        <f t="shared" si="195"/>
        <v>3050</v>
      </c>
      <c r="N2555" s="7">
        <f t="shared" si="196"/>
        <v>3230</v>
      </c>
      <c r="O2555" s="2">
        <v>98</v>
      </c>
      <c r="P2555" s="8">
        <f t="shared" si="197"/>
        <v>3328</v>
      </c>
      <c r="Q2555" s="8">
        <f t="shared" si="198"/>
        <v>1705</v>
      </c>
      <c r="R2555" s="2" t="s">
        <v>50</v>
      </c>
      <c r="S2555" s="9">
        <f t="shared" si="199"/>
        <v>66.56</v>
      </c>
    </row>
    <row r="2556" spans="1:19" x14ac:dyDescent="0.3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str">
        <f>IFERROR(VLOOKUP('Customer Info'!A2548,'Customer Info'!A2548:C3047,2,FALSE),"Not Found")</f>
        <v>Not Found</v>
      </c>
      <c r="H2556" s="6" t="str">
        <f>IFERROR(VLOOKUP('Customer Info'!A2548,'Customer Info'!A2548:C3047,3,FALSE),"Not Found")</f>
        <v>Not Found</v>
      </c>
      <c r="I2556" s="6" t="str">
        <f>IFERROR(VLOOKUP('Customer Info'!A2548,'Customer Info'!A2548:E3047,5,FALSE),"Not Found")</f>
        <v>Not Found</v>
      </c>
      <c r="J2556" s="2">
        <v>1283</v>
      </c>
      <c r="K2556" s="2">
        <v>1187</v>
      </c>
      <c r="L2556" s="2">
        <v>2</v>
      </c>
      <c r="M2556" s="7">
        <f t="shared" si="195"/>
        <v>2374</v>
      </c>
      <c r="N2556" s="7">
        <f t="shared" si="196"/>
        <v>2566</v>
      </c>
      <c r="O2556" s="2">
        <v>84</v>
      </c>
      <c r="P2556" s="8">
        <f t="shared" si="197"/>
        <v>2650</v>
      </c>
      <c r="Q2556" s="8">
        <f t="shared" si="198"/>
        <v>1379</v>
      </c>
      <c r="R2556" s="2" t="s">
        <v>28</v>
      </c>
      <c r="S2556" s="9">
        <f t="shared" si="199"/>
        <v>53</v>
      </c>
    </row>
    <row r="2557" spans="1:19" x14ac:dyDescent="0.3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str">
        <f>IFERROR(VLOOKUP('Customer Info'!A2549,'Customer Info'!A2549:C3048,2,FALSE),"Not Found")</f>
        <v>Not Found</v>
      </c>
      <c r="H2557" s="6" t="str">
        <f>IFERROR(VLOOKUP('Customer Info'!A2549,'Customer Info'!A2549:C3048,3,FALSE),"Not Found")</f>
        <v>Not Found</v>
      </c>
      <c r="I2557" s="6" t="str">
        <f>IFERROR(VLOOKUP('Customer Info'!A2549,'Customer Info'!A2549:E3048,5,FALSE),"Not Found")</f>
        <v>Not Found</v>
      </c>
      <c r="J2557" s="2">
        <v>1668</v>
      </c>
      <c r="K2557" s="2">
        <v>1636</v>
      </c>
      <c r="L2557" s="2">
        <v>1</v>
      </c>
      <c r="M2557" s="7">
        <f t="shared" si="195"/>
        <v>1636</v>
      </c>
      <c r="N2557" s="7">
        <f t="shared" si="196"/>
        <v>1668</v>
      </c>
      <c r="O2557" s="2">
        <v>38</v>
      </c>
      <c r="P2557" s="8">
        <f t="shared" si="197"/>
        <v>1706</v>
      </c>
      <c r="Q2557" s="8">
        <f t="shared" si="198"/>
        <v>32</v>
      </c>
      <c r="R2557" s="2" t="s">
        <v>50</v>
      </c>
      <c r="S2557" s="9">
        <f t="shared" si="199"/>
        <v>34.119999999999997</v>
      </c>
    </row>
    <row r="2558" spans="1:19" x14ac:dyDescent="0.3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str">
        <f>IFERROR(VLOOKUP('Customer Info'!A2550,'Customer Info'!A2550:C3049,2,FALSE),"Not Found")</f>
        <v>Not Found</v>
      </c>
      <c r="H2558" s="6" t="str">
        <f>IFERROR(VLOOKUP('Customer Info'!A2550,'Customer Info'!A2550:C3049,3,FALSE),"Not Found")</f>
        <v>Not Found</v>
      </c>
      <c r="I2558" s="6" t="str">
        <f>IFERROR(VLOOKUP('Customer Info'!A2550,'Customer Info'!A2550:E3049,5,FALSE),"Not Found")</f>
        <v>Not Found</v>
      </c>
      <c r="J2558" s="2">
        <v>9306</v>
      </c>
      <c r="K2558" s="2">
        <v>8461</v>
      </c>
      <c r="L2558" s="2">
        <v>3</v>
      </c>
      <c r="M2558" s="7">
        <f t="shared" si="195"/>
        <v>25383</v>
      </c>
      <c r="N2558" s="7">
        <f t="shared" si="196"/>
        <v>27918</v>
      </c>
      <c r="O2558" s="2">
        <v>33</v>
      </c>
      <c r="P2558" s="8">
        <f t="shared" si="197"/>
        <v>27951</v>
      </c>
      <c r="Q2558" s="8">
        <f t="shared" si="198"/>
        <v>19457</v>
      </c>
      <c r="R2558" s="2" t="s">
        <v>28</v>
      </c>
      <c r="S2558" s="9">
        <f t="shared" si="199"/>
        <v>1956.5700000000002</v>
      </c>
    </row>
    <row r="2559" spans="1:19" x14ac:dyDescent="0.3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str">
        <f>IFERROR(VLOOKUP('Customer Info'!A2551,'Customer Info'!A2551:C3050,2,FALSE),"Not Found")</f>
        <v>Not Found</v>
      </c>
      <c r="H2559" s="6" t="str">
        <f>IFERROR(VLOOKUP('Customer Info'!A2551,'Customer Info'!A2551:C3050,3,FALSE),"Not Found")</f>
        <v>Not Found</v>
      </c>
      <c r="I2559" s="6" t="str">
        <f>IFERROR(VLOOKUP('Customer Info'!A2551,'Customer Info'!A2551:E3050,5,FALSE),"Not Found")</f>
        <v>Not Found</v>
      </c>
      <c r="J2559" s="2">
        <v>166</v>
      </c>
      <c r="K2559" s="2">
        <v>149</v>
      </c>
      <c r="L2559" s="2">
        <v>2</v>
      </c>
      <c r="M2559" s="7">
        <f t="shared" si="195"/>
        <v>298</v>
      </c>
      <c r="N2559" s="7">
        <f t="shared" si="196"/>
        <v>332</v>
      </c>
      <c r="O2559" s="2">
        <v>30</v>
      </c>
      <c r="P2559" s="8">
        <f t="shared" si="197"/>
        <v>362</v>
      </c>
      <c r="Q2559" s="8">
        <f t="shared" si="198"/>
        <v>183</v>
      </c>
      <c r="R2559" s="2" t="s">
        <v>26</v>
      </c>
      <c r="S2559" s="9">
        <f t="shared" si="199"/>
        <v>7.24</v>
      </c>
    </row>
    <row r="2560" spans="1:19" x14ac:dyDescent="0.3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str">
        <f>IFERROR(VLOOKUP('Customer Info'!A2552,'Customer Info'!A2552:C3051,2,FALSE),"Not Found")</f>
        <v>Not Found</v>
      </c>
      <c r="H2560" s="6" t="str">
        <f>IFERROR(VLOOKUP('Customer Info'!A2552,'Customer Info'!A2552:C3051,3,FALSE),"Not Found")</f>
        <v>Not Found</v>
      </c>
      <c r="I2560" s="6" t="str">
        <f>IFERROR(VLOOKUP('Customer Info'!A2552,'Customer Info'!A2552:E3051,5,FALSE),"Not Found")</f>
        <v>Not Found</v>
      </c>
      <c r="J2560" s="2">
        <v>693</v>
      </c>
      <c r="K2560" s="2">
        <v>667</v>
      </c>
      <c r="L2560" s="2">
        <v>7</v>
      </c>
      <c r="M2560" s="7">
        <f t="shared" si="195"/>
        <v>4669</v>
      </c>
      <c r="N2560" s="7">
        <f t="shared" si="196"/>
        <v>4851</v>
      </c>
      <c r="O2560" s="2">
        <v>33</v>
      </c>
      <c r="P2560" s="8">
        <f t="shared" si="197"/>
        <v>4884</v>
      </c>
      <c r="Q2560" s="8">
        <f t="shared" si="198"/>
        <v>4184</v>
      </c>
      <c r="R2560" s="2" t="s">
        <v>28</v>
      </c>
      <c r="S2560" s="9">
        <f t="shared" si="199"/>
        <v>97.68</v>
      </c>
    </row>
    <row r="2561" spans="1:19" x14ac:dyDescent="0.3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str">
        <f>IFERROR(VLOOKUP('Customer Info'!A2553,'Customer Info'!A2553:C3052,2,FALSE),"Not Found")</f>
        <v>Not Found</v>
      </c>
      <c r="H2561" s="6" t="str">
        <f>IFERROR(VLOOKUP('Customer Info'!A2553,'Customer Info'!A2553:C3052,3,FALSE),"Not Found")</f>
        <v>Not Found</v>
      </c>
      <c r="I2561" s="6" t="str">
        <f>IFERROR(VLOOKUP('Customer Info'!A2553,'Customer Info'!A2553:E3052,5,FALSE),"Not Found")</f>
        <v>Not Found</v>
      </c>
      <c r="J2561" s="2">
        <v>8495</v>
      </c>
      <c r="K2561" s="2">
        <v>7647</v>
      </c>
      <c r="L2561" s="2">
        <v>4</v>
      </c>
      <c r="M2561" s="7">
        <f t="shared" si="195"/>
        <v>30588</v>
      </c>
      <c r="N2561" s="7">
        <f t="shared" si="196"/>
        <v>33980</v>
      </c>
      <c r="O2561" s="2">
        <v>88</v>
      </c>
      <c r="P2561" s="8">
        <f t="shared" si="197"/>
        <v>34068</v>
      </c>
      <c r="Q2561" s="8">
        <f t="shared" si="198"/>
        <v>26333</v>
      </c>
      <c r="R2561" s="2" t="s">
        <v>28</v>
      </c>
      <c r="S2561" s="9">
        <f t="shared" si="199"/>
        <v>2384.7600000000002</v>
      </c>
    </row>
    <row r="2562" spans="1:19" x14ac:dyDescent="0.3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str">
        <f>IFERROR(VLOOKUP('Customer Info'!A2554,'Customer Info'!A2554:C3053,2,FALSE),"Not Found")</f>
        <v>Not Found</v>
      </c>
      <c r="H2562" s="6" t="str">
        <f>IFERROR(VLOOKUP('Customer Info'!A2554,'Customer Info'!A2554:C3053,3,FALSE),"Not Found")</f>
        <v>Not Found</v>
      </c>
      <c r="I2562" s="6" t="str">
        <f>IFERROR(VLOOKUP('Customer Info'!A2554,'Customer Info'!A2554:E3053,5,FALSE),"Not Found")</f>
        <v>Not Found</v>
      </c>
      <c r="J2562" s="2">
        <v>183</v>
      </c>
      <c r="K2562" s="2">
        <v>168</v>
      </c>
      <c r="L2562" s="2">
        <v>1</v>
      </c>
      <c r="M2562" s="7">
        <f t="shared" si="195"/>
        <v>168</v>
      </c>
      <c r="N2562" s="7">
        <f t="shared" si="196"/>
        <v>183</v>
      </c>
      <c r="O2562" s="2">
        <v>30</v>
      </c>
      <c r="P2562" s="8">
        <f t="shared" si="197"/>
        <v>213</v>
      </c>
      <c r="Q2562" s="8">
        <f t="shared" si="198"/>
        <v>15</v>
      </c>
      <c r="R2562" s="2" t="s">
        <v>50</v>
      </c>
      <c r="S2562" s="9">
        <f t="shared" si="199"/>
        <v>4.26</v>
      </c>
    </row>
    <row r="2563" spans="1:19" x14ac:dyDescent="0.3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str">
        <f>IFERROR(VLOOKUP('Customer Info'!A2555,'Customer Info'!A2555:C3054,2,FALSE),"Not Found")</f>
        <v>Not Found</v>
      </c>
      <c r="H2563" s="6" t="str">
        <f>IFERROR(VLOOKUP('Customer Info'!A2555,'Customer Info'!A2555:C3054,3,FALSE),"Not Found")</f>
        <v>Not Found</v>
      </c>
      <c r="I2563" s="6" t="str">
        <f>IFERROR(VLOOKUP('Customer Info'!A2555,'Customer Info'!A2555:E3054,5,FALSE),"Not Found")</f>
        <v>Not Found</v>
      </c>
      <c r="J2563" s="2">
        <v>1169</v>
      </c>
      <c r="K2563" s="2">
        <v>1072</v>
      </c>
      <c r="L2563" s="2">
        <v>1</v>
      </c>
      <c r="M2563" s="7">
        <f t="shared" si="195"/>
        <v>1072</v>
      </c>
      <c r="N2563" s="7">
        <f t="shared" si="196"/>
        <v>1169</v>
      </c>
      <c r="O2563" s="2">
        <v>54</v>
      </c>
      <c r="P2563" s="8">
        <f t="shared" si="197"/>
        <v>1223</v>
      </c>
      <c r="Q2563" s="8">
        <f t="shared" si="198"/>
        <v>97</v>
      </c>
      <c r="R2563" s="2" t="s">
        <v>56</v>
      </c>
      <c r="S2563" s="9">
        <f t="shared" si="199"/>
        <v>24.46</v>
      </c>
    </row>
    <row r="2564" spans="1:19" x14ac:dyDescent="0.3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str">
        <f>IFERROR(VLOOKUP('Customer Info'!A2556,'Customer Info'!A2556:C3055,2,FALSE),"Not Found")</f>
        <v>Not Found</v>
      </c>
      <c r="H2564" s="6" t="str">
        <f>IFERROR(VLOOKUP('Customer Info'!A2556,'Customer Info'!A2556:C3055,3,FALSE),"Not Found")</f>
        <v>Not Found</v>
      </c>
      <c r="I2564" s="6" t="str">
        <f>IFERROR(VLOOKUP('Customer Info'!A2556,'Customer Info'!A2556:E3055,5,FALSE),"Not Found")</f>
        <v>Not Found</v>
      </c>
      <c r="J2564" s="2">
        <v>1911</v>
      </c>
      <c r="K2564" s="2">
        <v>1785</v>
      </c>
      <c r="L2564" s="2">
        <v>1</v>
      </c>
      <c r="M2564" s="7">
        <f t="shared" si="195"/>
        <v>1785</v>
      </c>
      <c r="N2564" s="7">
        <f t="shared" si="196"/>
        <v>1911</v>
      </c>
      <c r="O2564" s="2">
        <v>82</v>
      </c>
      <c r="P2564" s="8">
        <f t="shared" si="197"/>
        <v>1993</v>
      </c>
      <c r="Q2564" s="8">
        <f t="shared" si="198"/>
        <v>126</v>
      </c>
      <c r="R2564" s="2" t="s">
        <v>28</v>
      </c>
      <c r="S2564" s="9">
        <f t="shared" si="199"/>
        <v>39.86</v>
      </c>
    </row>
    <row r="2565" spans="1:19" x14ac:dyDescent="0.3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str">
        <f>IFERROR(VLOOKUP('Customer Info'!A2557,'Customer Info'!A2557:C3056,2,FALSE),"Not Found")</f>
        <v>Not Found</v>
      </c>
      <c r="H2565" s="6" t="str">
        <f>IFERROR(VLOOKUP('Customer Info'!A2557,'Customer Info'!A2557:C3056,3,FALSE),"Not Found")</f>
        <v>Not Found</v>
      </c>
      <c r="I2565" s="6" t="str">
        <f>IFERROR(VLOOKUP('Customer Info'!A2557,'Customer Info'!A2557:E3056,5,FALSE),"Not Found")</f>
        <v>Not Found</v>
      </c>
      <c r="J2565" s="2">
        <v>773</v>
      </c>
      <c r="K2565" s="2">
        <v>708</v>
      </c>
      <c r="L2565" s="2">
        <v>1</v>
      </c>
      <c r="M2565" s="7">
        <f t="shared" si="195"/>
        <v>708</v>
      </c>
      <c r="N2565" s="7">
        <f t="shared" si="196"/>
        <v>773</v>
      </c>
      <c r="O2565" s="2">
        <v>78</v>
      </c>
      <c r="P2565" s="8">
        <f t="shared" si="197"/>
        <v>851</v>
      </c>
      <c r="Q2565" s="8">
        <f t="shared" si="198"/>
        <v>65</v>
      </c>
      <c r="R2565" s="2" t="s">
        <v>28</v>
      </c>
      <c r="S2565" s="9">
        <f t="shared" si="199"/>
        <v>17.02</v>
      </c>
    </row>
    <row r="2566" spans="1:19" x14ac:dyDescent="0.3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str">
        <f>IFERROR(VLOOKUP('Customer Info'!A2558,'Customer Info'!A2558:C3057,2,FALSE),"Not Found")</f>
        <v>Not Found</v>
      </c>
      <c r="H2566" s="6" t="str">
        <f>IFERROR(VLOOKUP('Customer Info'!A2558,'Customer Info'!A2558:C3057,3,FALSE),"Not Found")</f>
        <v>Not Found</v>
      </c>
      <c r="I2566" s="6" t="str">
        <f>IFERROR(VLOOKUP('Customer Info'!A2558,'Customer Info'!A2558:E3057,5,FALSE),"Not Found")</f>
        <v>Not Found</v>
      </c>
      <c r="J2566" s="2">
        <v>531</v>
      </c>
      <c r="K2566" s="2">
        <v>487</v>
      </c>
      <c r="L2566" s="2">
        <v>3</v>
      </c>
      <c r="M2566" s="7">
        <f t="shared" si="195"/>
        <v>1461</v>
      </c>
      <c r="N2566" s="7">
        <f t="shared" si="196"/>
        <v>1593</v>
      </c>
      <c r="O2566" s="2">
        <v>33</v>
      </c>
      <c r="P2566" s="8">
        <f t="shared" si="197"/>
        <v>1626</v>
      </c>
      <c r="Q2566" s="8">
        <f t="shared" si="198"/>
        <v>1106</v>
      </c>
      <c r="R2566" s="2" t="s">
        <v>28</v>
      </c>
      <c r="S2566" s="9">
        <f t="shared" si="199"/>
        <v>32.520000000000003</v>
      </c>
    </row>
    <row r="2567" spans="1:19" x14ac:dyDescent="0.3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str">
        <f>IFERROR(VLOOKUP('Customer Info'!A2559,'Customer Info'!A2559:C3058,2,FALSE),"Not Found")</f>
        <v>Not Found</v>
      </c>
      <c r="H2567" s="6" t="str">
        <f>IFERROR(VLOOKUP('Customer Info'!A2559,'Customer Info'!A2559:C3058,3,FALSE),"Not Found")</f>
        <v>Not Found</v>
      </c>
      <c r="I2567" s="6" t="str">
        <f>IFERROR(VLOOKUP('Customer Info'!A2559,'Customer Info'!A2559:E3058,5,FALSE),"Not Found")</f>
        <v>Not Found</v>
      </c>
      <c r="J2567" s="2">
        <v>4808</v>
      </c>
      <c r="K2567" s="2">
        <v>4453</v>
      </c>
      <c r="L2567" s="2">
        <v>1</v>
      </c>
      <c r="M2567" s="7">
        <f t="shared" si="195"/>
        <v>4453</v>
      </c>
      <c r="N2567" s="7">
        <f t="shared" si="196"/>
        <v>4808</v>
      </c>
      <c r="O2567" s="2">
        <v>34</v>
      </c>
      <c r="P2567" s="8">
        <f t="shared" si="197"/>
        <v>4842</v>
      </c>
      <c r="Q2567" s="8">
        <f t="shared" si="198"/>
        <v>355</v>
      </c>
      <c r="R2567" s="2" t="s">
        <v>50</v>
      </c>
      <c r="S2567" s="9">
        <f t="shared" si="199"/>
        <v>96.84</v>
      </c>
    </row>
    <row r="2568" spans="1:19" x14ac:dyDescent="0.3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str">
        <f>IFERROR(VLOOKUP('Customer Info'!A2560,'Customer Info'!A2560:C3059,2,FALSE),"Not Found")</f>
        <v>Not Found</v>
      </c>
      <c r="H2568" s="6" t="str">
        <f>IFERROR(VLOOKUP('Customer Info'!A2560,'Customer Info'!A2560:C3059,3,FALSE),"Not Found")</f>
        <v>Not Found</v>
      </c>
      <c r="I2568" s="6" t="str">
        <f>IFERROR(VLOOKUP('Customer Info'!A2560,'Customer Info'!A2560:E3059,5,FALSE),"Not Found")</f>
        <v>Not Found</v>
      </c>
      <c r="J2568" s="2">
        <v>6664</v>
      </c>
      <c r="K2568" s="2">
        <v>6473</v>
      </c>
      <c r="L2568" s="2">
        <v>2</v>
      </c>
      <c r="M2568" s="7">
        <f t="shared" si="195"/>
        <v>12946</v>
      </c>
      <c r="N2568" s="7">
        <f t="shared" si="196"/>
        <v>13328</v>
      </c>
      <c r="O2568" s="2">
        <v>41</v>
      </c>
      <c r="P2568" s="8">
        <f t="shared" si="197"/>
        <v>13369</v>
      </c>
      <c r="Q2568" s="8">
        <f t="shared" si="198"/>
        <v>6855</v>
      </c>
      <c r="R2568" s="2" t="s">
        <v>50</v>
      </c>
      <c r="S2568" s="9">
        <f t="shared" si="199"/>
        <v>668.45</v>
      </c>
    </row>
    <row r="2569" spans="1:19" x14ac:dyDescent="0.3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str">
        <f>IFERROR(VLOOKUP('Customer Info'!A2561,'Customer Info'!A2561:C3060,2,FALSE),"Not Found")</f>
        <v>Not Found</v>
      </c>
      <c r="H2569" s="6" t="str">
        <f>IFERROR(VLOOKUP('Customer Info'!A2561,'Customer Info'!A2561:C3060,3,FALSE),"Not Found")</f>
        <v>Not Found</v>
      </c>
      <c r="I2569" s="6" t="str">
        <f>IFERROR(VLOOKUP('Customer Info'!A2561,'Customer Info'!A2561:E3060,5,FALSE),"Not Found")</f>
        <v>Not Found</v>
      </c>
      <c r="J2569" s="2">
        <v>1413</v>
      </c>
      <c r="K2569" s="2">
        <v>1334</v>
      </c>
      <c r="L2569" s="2">
        <v>3</v>
      </c>
      <c r="M2569" s="7">
        <f t="shared" si="195"/>
        <v>4002</v>
      </c>
      <c r="N2569" s="7">
        <f t="shared" si="196"/>
        <v>4239</v>
      </c>
      <c r="O2569" s="2">
        <v>41</v>
      </c>
      <c r="P2569" s="8">
        <f t="shared" si="197"/>
        <v>4280</v>
      </c>
      <c r="Q2569" s="8">
        <f t="shared" si="198"/>
        <v>2905</v>
      </c>
      <c r="R2569" s="2" t="s">
        <v>50</v>
      </c>
      <c r="S2569" s="9">
        <f t="shared" si="199"/>
        <v>85.600000000000009</v>
      </c>
    </row>
    <row r="2570" spans="1:19" x14ac:dyDescent="0.3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str">
        <f>IFERROR(VLOOKUP('Customer Info'!A2562,'Customer Info'!A2562:C3061,2,FALSE),"Not Found")</f>
        <v>Not Found</v>
      </c>
      <c r="H2570" s="6" t="str">
        <f>IFERROR(VLOOKUP('Customer Info'!A2562,'Customer Info'!A2562:C3061,3,FALSE),"Not Found")</f>
        <v>Not Found</v>
      </c>
      <c r="I2570" s="6" t="str">
        <f>IFERROR(VLOOKUP('Customer Info'!A2562,'Customer Info'!A2562:E3061,5,FALSE),"Not Found")</f>
        <v>Not Found</v>
      </c>
      <c r="J2570" s="2">
        <v>6024</v>
      </c>
      <c r="K2570" s="2">
        <v>5424</v>
      </c>
      <c r="L2570" s="2">
        <v>2</v>
      </c>
      <c r="M2570" s="7">
        <f t="shared" si="195"/>
        <v>10848</v>
      </c>
      <c r="N2570" s="7">
        <f t="shared" si="196"/>
        <v>12048</v>
      </c>
      <c r="O2570" s="2">
        <v>79</v>
      </c>
      <c r="P2570" s="8">
        <f t="shared" si="197"/>
        <v>12127</v>
      </c>
      <c r="Q2570" s="8">
        <f t="shared" si="198"/>
        <v>6624</v>
      </c>
      <c r="R2570" s="2" t="s">
        <v>28</v>
      </c>
      <c r="S2570" s="9">
        <f t="shared" si="199"/>
        <v>606.35</v>
      </c>
    </row>
    <row r="2571" spans="1:19" x14ac:dyDescent="0.3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str">
        <f>IFERROR(VLOOKUP('Customer Info'!A2563,'Customer Info'!A2563:C3062,2,FALSE),"Not Found")</f>
        <v>Not Found</v>
      </c>
      <c r="H2571" s="6" t="str">
        <f>IFERROR(VLOOKUP('Customer Info'!A2563,'Customer Info'!A2563:C3062,3,FALSE),"Not Found")</f>
        <v>Not Found</v>
      </c>
      <c r="I2571" s="6" t="str">
        <f>IFERROR(VLOOKUP('Customer Info'!A2563,'Customer Info'!A2563:E3062,5,FALSE),"Not Found")</f>
        <v>Not Found</v>
      </c>
      <c r="J2571" s="2">
        <v>1169</v>
      </c>
      <c r="K2571" s="2">
        <v>1072</v>
      </c>
      <c r="L2571" s="2">
        <v>5</v>
      </c>
      <c r="M2571" s="7">
        <f t="shared" ref="M2571:M2634" si="200">$K2571*$L2571</f>
        <v>5360</v>
      </c>
      <c r="N2571" s="7">
        <f t="shared" ref="N2571:N2634" si="201">$J2571*$L2571</f>
        <v>5845</v>
      </c>
      <c r="O2571" s="2">
        <v>83</v>
      </c>
      <c r="P2571" s="8">
        <f t="shared" ref="P2571:P2634" si="202">$N2571+$O2571</f>
        <v>5928</v>
      </c>
      <c r="Q2571" s="8">
        <f t="shared" ref="Q2571:Q2634" si="203">$N2571-$K2571</f>
        <v>4773</v>
      </c>
      <c r="R2571" s="2" t="s">
        <v>28</v>
      </c>
      <c r="S2571" s="9">
        <f t="shared" ref="S2571:S2634" si="204" xml:space="preserve"> P2571 * VLOOKUP(P2571, $T$2:$U$6, 2, TRUE)</f>
        <v>296.40000000000003</v>
      </c>
    </row>
    <row r="2572" spans="1:19" x14ac:dyDescent="0.3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str">
        <f>IFERROR(VLOOKUP('Customer Info'!A2564,'Customer Info'!A2564:C3063,2,FALSE),"Not Found")</f>
        <v>Not Found</v>
      </c>
      <c r="H2572" s="6" t="str">
        <f>IFERROR(VLOOKUP('Customer Info'!A2564,'Customer Info'!A2564:C3063,3,FALSE),"Not Found")</f>
        <v>Not Found</v>
      </c>
      <c r="I2572" s="6" t="str">
        <f>IFERROR(VLOOKUP('Customer Info'!A2564,'Customer Info'!A2564:E3063,5,FALSE),"Not Found")</f>
        <v>Not Found</v>
      </c>
      <c r="J2572" s="2">
        <v>1717</v>
      </c>
      <c r="K2572" s="2">
        <v>1652</v>
      </c>
      <c r="L2572" s="2">
        <v>1</v>
      </c>
      <c r="M2572" s="7">
        <f t="shared" si="200"/>
        <v>1652</v>
      </c>
      <c r="N2572" s="7">
        <f t="shared" si="201"/>
        <v>1717</v>
      </c>
      <c r="O2572" s="2">
        <v>99</v>
      </c>
      <c r="P2572" s="8">
        <f t="shared" si="202"/>
        <v>1816</v>
      </c>
      <c r="Q2572" s="8">
        <f t="shared" si="203"/>
        <v>65</v>
      </c>
      <c r="R2572" s="2" t="s">
        <v>50</v>
      </c>
      <c r="S2572" s="9">
        <f t="shared" si="204"/>
        <v>36.32</v>
      </c>
    </row>
    <row r="2573" spans="1:19" x14ac:dyDescent="0.3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str">
        <f>IFERROR(VLOOKUP('Customer Info'!A2565,'Customer Info'!A2565:C3064,2,FALSE),"Not Found")</f>
        <v>Not Found</v>
      </c>
      <c r="H2573" s="6" t="str">
        <f>IFERROR(VLOOKUP('Customer Info'!A2565,'Customer Info'!A2565:C3064,3,FALSE),"Not Found")</f>
        <v>Not Found</v>
      </c>
      <c r="I2573" s="6" t="str">
        <f>IFERROR(VLOOKUP('Customer Info'!A2565,'Customer Info'!A2565:E3064,5,FALSE),"Not Found")</f>
        <v>Not Found</v>
      </c>
      <c r="J2573" s="2">
        <v>712</v>
      </c>
      <c r="K2573" s="2">
        <v>640</v>
      </c>
      <c r="L2573" s="2">
        <v>3</v>
      </c>
      <c r="M2573" s="7">
        <f t="shared" si="200"/>
        <v>1920</v>
      </c>
      <c r="N2573" s="7">
        <f t="shared" si="201"/>
        <v>2136</v>
      </c>
      <c r="O2573" s="2">
        <v>96</v>
      </c>
      <c r="P2573" s="8">
        <f t="shared" si="202"/>
        <v>2232</v>
      </c>
      <c r="Q2573" s="8">
        <f t="shared" si="203"/>
        <v>1496</v>
      </c>
      <c r="R2573" s="2" t="s">
        <v>50</v>
      </c>
      <c r="S2573" s="9">
        <f t="shared" si="204"/>
        <v>44.64</v>
      </c>
    </row>
    <row r="2574" spans="1:19" x14ac:dyDescent="0.3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str">
        <f>IFERROR(VLOOKUP('Customer Info'!A2566,'Customer Info'!A2566:C3065,2,FALSE),"Not Found")</f>
        <v>Not Found</v>
      </c>
      <c r="H2574" s="6" t="str">
        <f>IFERROR(VLOOKUP('Customer Info'!A2566,'Customer Info'!A2566:C3065,3,FALSE),"Not Found")</f>
        <v>Not Found</v>
      </c>
      <c r="I2574" s="6" t="str">
        <f>IFERROR(VLOOKUP('Customer Info'!A2566,'Customer Info'!A2566:E3065,5,FALSE),"Not Found")</f>
        <v>Not Found</v>
      </c>
      <c r="J2574" s="2">
        <v>5909</v>
      </c>
      <c r="K2574" s="2">
        <v>5528</v>
      </c>
      <c r="L2574" s="2">
        <v>2</v>
      </c>
      <c r="M2574" s="7">
        <f t="shared" si="200"/>
        <v>11056</v>
      </c>
      <c r="N2574" s="7">
        <f t="shared" si="201"/>
        <v>11818</v>
      </c>
      <c r="O2574" s="2">
        <v>91</v>
      </c>
      <c r="P2574" s="8">
        <f t="shared" si="202"/>
        <v>11909</v>
      </c>
      <c r="Q2574" s="8">
        <f t="shared" si="203"/>
        <v>6290</v>
      </c>
      <c r="R2574" s="2" t="s">
        <v>28</v>
      </c>
      <c r="S2574" s="9">
        <f t="shared" si="204"/>
        <v>595.45000000000005</v>
      </c>
    </row>
    <row r="2575" spans="1:19" x14ac:dyDescent="0.3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str">
        <f>IFERROR(VLOOKUP('Customer Info'!A2567,'Customer Info'!A2567:C3066,2,FALSE),"Not Found")</f>
        <v>Not Found</v>
      </c>
      <c r="H2575" s="6" t="str">
        <f>IFERROR(VLOOKUP('Customer Info'!A2567,'Customer Info'!A2567:C3066,3,FALSE),"Not Found")</f>
        <v>Not Found</v>
      </c>
      <c r="I2575" s="6" t="str">
        <f>IFERROR(VLOOKUP('Customer Info'!A2567,'Customer Info'!A2567:E3066,5,FALSE),"Not Found")</f>
        <v>Not Found</v>
      </c>
      <c r="J2575" s="2">
        <v>2787</v>
      </c>
      <c r="K2575" s="2">
        <v>2681</v>
      </c>
      <c r="L2575" s="2">
        <v>5</v>
      </c>
      <c r="M2575" s="7">
        <f t="shared" si="200"/>
        <v>13405</v>
      </c>
      <c r="N2575" s="7">
        <f t="shared" si="201"/>
        <v>13935</v>
      </c>
      <c r="O2575" s="2">
        <v>40</v>
      </c>
      <c r="P2575" s="8">
        <f t="shared" si="202"/>
        <v>13975</v>
      </c>
      <c r="Q2575" s="8">
        <f t="shared" si="203"/>
        <v>11254</v>
      </c>
      <c r="R2575" s="2" t="s">
        <v>50</v>
      </c>
      <c r="S2575" s="9">
        <f t="shared" si="204"/>
        <v>698.75</v>
      </c>
    </row>
    <row r="2576" spans="1:19" x14ac:dyDescent="0.3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str">
        <f>IFERROR(VLOOKUP('Customer Info'!A2568,'Customer Info'!A2568:C3067,2,FALSE),"Not Found")</f>
        <v>Not Found</v>
      </c>
      <c r="H2576" s="6" t="str">
        <f>IFERROR(VLOOKUP('Customer Info'!A2568,'Customer Info'!A2568:C3067,3,FALSE),"Not Found")</f>
        <v>Not Found</v>
      </c>
      <c r="I2576" s="6" t="str">
        <f>IFERROR(VLOOKUP('Customer Info'!A2568,'Customer Info'!A2568:E3067,5,FALSE),"Not Found")</f>
        <v>Not Found</v>
      </c>
      <c r="J2576" s="2">
        <v>8160</v>
      </c>
      <c r="K2576" s="2">
        <v>7475</v>
      </c>
      <c r="L2576" s="2">
        <v>3</v>
      </c>
      <c r="M2576" s="7">
        <f t="shared" si="200"/>
        <v>22425</v>
      </c>
      <c r="N2576" s="7">
        <f t="shared" si="201"/>
        <v>24480</v>
      </c>
      <c r="O2576" s="2">
        <v>64</v>
      </c>
      <c r="P2576" s="8">
        <f t="shared" si="202"/>
        <v>24544</v>
      </c>
      <c r="Q2576" s="8">
        <f t="shared" si="203"/>
        <v>17005</v>
      </c>
      <c r="R2576" s="2" t="s">
        <v>28</v>
      </c>
      <c r="S2576" s="9">
        <f t="shared" si="204"/>
        <v>1227.2</v>
      </c>
    </row>
    <row r="2577" spans="1:19" x14ac:dyDescent="0.3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str">
        <f>IFERROR(VLOOKUP('Customer Info'!A2569,'Customer Info'!A2569:C3068,2,FALSE),"Not Found")</f>
        <v>Not Found</v>
      </c>
      <c r="H2577" s="6" t="str">
        <f>IFERROR(VLOOKUP('Customer Info'!A2569,'Customer Info'!A2569:C3068,3,FALSE),"Not Found")</f>
        <v>Not Found</v>
      </c>
      <c r="I2577" s="6" t="str">
        <f>IFERROR(VLOOKUP('Customer Info'!A2569,'Customer Info'!A2569:E3068,5,FALSE),"Not Found")</f>
        <v>Not Found</v>
      </c>
      <c r="J2577" s="2">
        <v>511</v>
      </c>
      <c r="K2577" s="2">
        <v>468</v>
      </c>
      <c r="L2577" s="2">
        <v>1</v>
      </c>
      <c r="M2577" s="7">
        <f t="shared" si="200"/>
        <v>468</v>
      </c>
      <c r="N2577" s="7">
        <f t="shared" si="201"/>
        <v>511</v>
      </c>
      <c r="O2577" s="2">
        <v>38</v>
      </c>
      <c r="P2577" s="8">
        <f t="shared" si="202"/>
        <v>549</v>
      </c>
      <c r="Q2577" s="8">
        <f t="shared" si="203"/>
        <v>43</v>
      </c>
      <c r="R2577" s="2" t="s">
        <v>50</v>
      </c>
      <c r="S2577" s="9">
        <f t="shared" si="204"/>
        <v>10.98</v>
      </c>
    </row>
    <row r="2578" spans="1:19" x14ac:dyDescent="0.3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str">
        <f>IFERROR(VLOOKUP('Customer Info'!A2570,'Customer Info'!A2570:C3069,2,FALSE),"Not Found")</f>
        <v>Not Found</v>
      </c>
      <c r="H2578" s="6" t="str">
        <f>IFERROR(VLOOKUP('Customer Info'!A2570,'Customer Info'!A2570:C3069,3,FALSE),"Not Found")</f>
        <v>Not Found</v>
      </c>
      <c r="I2578" s="6" t="str">
        <f>IFERROR(VLOOKUP('Customer Info'!A2570,'Customer Info'!A2570:E3069,5,FALSE),"Not Found")</f>
        <v>Not Found</v>
      </c>
      <c r="J2578" s="2">
        <v>2243</v>
      </c>
      <c r="K2578" s="2">
        <v>2000</v>
      </c>
      <c r="L2578" s="2">
        <v>3</v>
      </c>
      <c r="M2578" s="7">
        <f t="shared" si="200"/>
        <v>6000</v>
      </c>
      <c r="N2578" s="7">
        <f t="shared" si="201"/>
        <v>6729</v>
      </c>
      <c r="O2578" s="2">
        <v>47</v>
      </c>
      <c r="P2578" s="8">
        <f t="shared" si="202"/>
        <v>6776</v>
      </c>
      <c r="Q2578" s="8">
        <f t="shared" si="203"/>
        <v>4729</v>
      </c>
      <c r="R2578" s="2" t="s">
        <v>28</v>
      </c>
      <c r="S2578" s="9">
        <f t="shared" si="204"/>
        <v>338.8</v>
      </c>
    </row>
    <row r="2579" spans="1:19" x14ac:dyDescent="0.3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str">
        <f>IFERROR(VLOOKUP('Customer Info'!A2571,'Customer Info'!A2571:C3070,2,FALSE),"Not Found")</f>
        <v>Not Found</v>
      </c>
      <c r="H2579" s="6" t="str">
        <f>IFERROR(VLOOKUP('Customer Info'!A2571,'Customer Info'!A2571:C3070,3,FALSE),"Not Found")</f>
        <v>Not Found</v>
      </c>
      <c r="I2579" s="6" t="str">
        <f>IFERROR(VLOOKUP('Customer Info'!A2571,'Customer Info'!A2571:E3070,5,FALSE),"Not Found")</f>
        <v>Not Found</v>
      </c>
      <c r="J2579" s="2">
        <v>1859</v>
      </c>
      <c r="K2579" s="2">
        <v>1755</v>
      </c>
      <c r="L2579" s="2">
        <v>1</v>
      </c>
      <c r="M2579" s="7">
        <f t="shared" si="200"/>
        <v>1755</v>
      </c>
      <c r="N2579" s="7">
        <f t="shared" si="201"/>
        <v>1859</v>
      </c>
      <c r="O2579" s="2">
        <v>56</v>
      </c>
      <c r="P2579" s="8">
        <f t="shared" si="202"/>
        <v>1915</v>
      </c>
      <c r="Q2579" s="8">
        <f t="shared" si="203"/>
        <v>104</v>
      </c>
      <c r="R2579" s="2" t="s">
        <v>50</v>
      </c>
      <c r="S2579" s="9">
        <f t="shared" si="204"/>
        <v>38.300000000000004</v>
      </c>
    </row>
    <row r="2580" spans="1:19" x14ac:dyDescent="0.3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str">
        <f>IFERROR(VLOOKUP('Customer Info'!A2572,'Customer Info'!A2572:C3071,2,FALSE),"Not Found")</f>
        <v>Not Found</v>
      </c>
      <c r="H2580" s="6" t="str">
        <f>IFERROR(VLOOKUP('Customer Info'!A2572,'Customer Info'!A2572:C3071,3,FALSE),"Not Found")</f>
        <v>Not Found</v>
      </c>
      <c r="I2580" s="6" t="str">
        <f>IFERROR(VLOOKUP('Customer Info'!A2572,'Customer Info'!A2572:E3071,5,FALSE),"Not Found")</f>
        <v>Not Found</v>
      </c>
      <c r="J2580" s="2">
        <v>1283</v>
      </c>
      <c r="K2580" s="2">
        <v>1187</v>
      </c>
      <c r="L2580" s="2">
        <v>2</v>
      </c>
      <c r="M2580" s="7">
        <f t="shared" si="200"/>
        <v>2374</v>
      </c>
      <c r="N2580" s="7">
        <f t="shared" si="201"/>
        <v>2566</v>
      </c>
      <c r="O2580" s="2">
        <v>82</v>
      </c>
      <c r="P2580" s="8">
        <f t="shared" si="202"/>
        <v>2648</v>
      </c>
      <c r="Q2580" s="8">
        <f t="shared" si="203"/>
        <v>1379</v>
      </c>
      <c r="R2580" s="2" t="s">
        <v>50</v>
      </c>
      <c r="S2580" s="9">
        <f t="shared" si="204"/>
        <v>52.96</v>
      </c>
    </row>
    <row r="2581" spans="1:19" x14ac:dyDescent="0.3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str">
        <f>IFERROR(VLOOKUP('Customer Info'!A2573,'Customer Info'!A2573:C3072,2,FALSE),"Not Found")</f>
        <v>Not Found</v>
      </c>
      <c r="H2581" s="6" t="str">
        <f>IFERROR(VLOOKUP('Customer Info'!A2573,'Customer Info'!A2573:C3072,3,FALSE),"Not Found")</f>
        <v>Not Found</v>
      </c>
      <c r="I2581" s="6" t="str">
        <f>IFERROR(VLOOKUP('Customer Info'!A2573,'Customer Info'!A2573:E3072,5,FALSE),"Not Found")</f>
        <v>Not Found</v>
      </c>
      <c r="J2581" s="2">
        <v>712</v>
      </c>
      <c r="K2581" s="2">
        <v>640</v>
      </c>
      <c r="L2581" s="2">
        <v>1</v>
      </c>
      <c r="M2581" s="7">
        <f t="shared" si="200"/>
        <v>640</v>
      </c>
      <c r="N2581" s="7">
        <f t="shared" si="201"/>
        <v>712</v>
      </c>
      <c r="O2581" s="2">
        <v>86</v>
      </c>
      <c r="P2581" s="8">
        <f t="shared" si="202"/>
        <v>798</v>
      </c>
      <c r="Q2581" s="8">
        <f t="shared" si="203"/>
        <v>72</v>
      </c>
      <c r="R2581" s="2" t="s">
        <v>28</v>
      </c>
      <c r="S2581" s="9">
        <f t="shared" si="204"/>
        <v>15.96</v>
      </c>
    </row>
    <row r="2582" spans="1:19" x14ac:dyDescent="0.3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str">
        <f>IFERROR(VLOOKUP('Customer Info'!A2574,'Customer Info'!A2574:C3073,2,FALSE),"Not Found")</f>
        <v>Not Found</v>
      </c>
      <c r="H2582" s="6" t="str">
        <f>IFERROR(VLOOKUP('Customer Info'!A2574,'Customer Info'!A2574:C3073,3,FALSE),"Not Found")</f>
        <v>Not Found</v>
      </c>
      <c r="I2582" s="6" t="str">
        <f>IFERROR(VLOOKUP('Customer Info'!A2574,'Customer Info'!A2574:E3073,5,FALSE),"Not Found")</f>
        <v>Not Found</v>
      </c>
      <c r="J2582" s="2">
        <v>80</v>
      </c>
      <c r="K2582" s="2">
        <v>75</v>
      </c>
      <c r="L2582" s="2">
        <v>1</v>
      </c>
      <c r="M2582" s="7">
        <f t="shared" si="200"/>
        <v>75</v>
      </c>
      <c r="N2582" s="7">
        <f t="shared" si="201"/>
        <v>80</v>
      </c>
      <c r="O2582" s="2">
        <v>10</v>
      </c>
      <c r="P2582" s="8">
        <f t="shared" si="202"/>
        <v>90</v>
      </c>
      <c r="Q2582" s="8">
        <f t="shared" si="203"/>
        <v>5</v>
      </c>
      <c r="R2582" s="2" t="s">
        <v>28</v>
      </c>
      <c r="S2582" s="9">
        <f t="shared" si="204"/>
        <v>1.8</v>
      </c>
    </row>
    <row r="2583" spans="1:19" x14ac:dyDescent="0.3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str">
        <f>IFERROR(VLOOKUP('Customer Info'!A2575,'Customer Info'!A2575:C3074,2,FALSE),"Not Found")</f>
        <v>Not Found</v>
      </c>
      <c r="H2583" s="6" t="str">
        <f>IFERROR(VLOOKUP('Customer Info'!A2575,'Customer Info'!A2575:C3074,3,FALSE),"Not Found")</f>
        <v>Not Found</v>
      </c>
      <c r="I2583" s="6" t="str">
        <f>IFERROR(VLOOKUP('Customer Info'!A2575,'Customer Info'!A2575:E3074,5,FALSE),"Not Found")</f>
        <v>Not Found</v>
      </c>
      <c r="J2583" s="2">
        <v>139</v>
      </c>
      <c r="K2583" s="2">
        <v>133</v>
      </c>
      <c r="L2583" s="2">
        <v>3</v>
      </c>
      <c r="M2583" s="7">
        <f t="shared" si="200"/>
        <v>399</v>
      </c>
      <c r="N2583" s="7">
        <f t="shared" si="201"/>
        <v>417</v>
      </c>
      <c r="O2583" s="2">
        <v>30</v>
      </c>
      <c r="P2583" s="8">
        <f t="shared" si="202"/>
        <v>447</v>
      </c>
      <c r="Q2583" s="8">
        <f t="shared" si="203"/>
        <v>284</v>
      </c>
      <c r="R2583" s="2" t="s">
        <v>28</v>
      </c>
      <c r="S2583" s="9">
        <f t="shared" si="204"/>
        <v>8.94</v>
      </c>
    </row>
    <row r="2584" spans="1:19" x14ac:dyDescent="0.3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str">
        <f>IFERROR(VLOOKUP('Customer Info'!A2576,'Customer Info'!A2576:C3075,2,FALSE),"Not Found")</f>
        <v>Not Found</v>
      </c>
      <c r="H2584" s="6" t="str">
        <f>IFERROR(VLOOKUP('Customer Info'!A2576,'Customer Info'!A2576:C3075,3,FALSE),"Not Found")</f>
        <v>Not Found</v>
      </c>
      <c r="I2584" s="6" t="str">
        <f>IFERROR(VLOOKUP('Customer Info'!A2576,'Customer Info'!A2576:E3075,5,FALSE),"Not Found")</f>
        <v>Not Found</v>
      </c>
      <c r="J2584" s="2">
        <v>1654</v>
      </c>
      <c r="K2584" s="2">
        <v>1577</v>
      </c>
      <c r="L2584" s="2">
        <v>5</v>
      </c>
      <c r="M2584" s="7">
        <f t="shared" si="200"/>
        <v>7885</v>
      </c>
      <c r="N2584" s="7">
        <f t="shared" si="201"/>
        <v>8270</v>
      </c>
      <c r="O2584" s="2">
        <v>66</v>
      </c>
      <c r="P2584" s="8">
        <f t="shared" si="202"/>
        <v>8336</v>
      </c>
      <c r="Q2584" s="8">
        <f t="shared" si="203"/>
        <v>6693</v>
      </c>
      <c r="R2584" s="2" t="s">
        <v>28</v>
      </c>
      <c r="S2584" s="9">
        <f t="shared" si="204"/>
        <v>416.8</v>
      </c>
    </row>
    <row r="2585" spans="1:19" x14ac:dyDescent="0.3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str">
        <f>IFERROR(VLOOKUP('Customer Info'!A2577,'Customer Info'!A2577:C3076,2,FALSE),"Not Found")</f>
        <v>Not Found</v>
      </c>
      <c r="H2585" s="6" t="str">
        <f>IFERROR(VLOOKUP('Customer Info'!A2577,'Customer Info'!A2577:C3076,3,FALSE),"Not Found")</f>
        <v>Not Found</v>
      </c>
      <c r="I2585" s="6" t="str">
        <f>IFERROR(VLOOKUP('Customer Info'!A2577,'Customer Info'!A2577:E3076,5,FALSE),"Not Found")</f>
        <v>Not Found</v>
      </c>
      <c r="J2585" s="2">
        <v>4784</v>
      </c>
      <c r="K2585" s="2">
        <v>4518</v>
      </c>
      <c r="L2585" s="2">
        <v>4</v>
      </c>
      <c r="M2585" s="7">
        <f t="shared" si="200"/>
        <v>18072</v>
      </c>
      <c r="N2585" s="7">
        <f t="shared" si="201"/>
        <v>19136</v>
      </c>
      <c r="O2585" s="2">
        <v>59</v>
      </c>
      <c r="P2585" s="8">
        <f t="shared" si="202"/>
        <v>19195</v>
      </c>
      <c r="Q2585" s="8">
        <f t="shared" si="203"/>
        <v>14618</v>
      </c>
      <c r="R2585" s="2" t="s">
        <v>28</v>
      </c>
      <c r="S2585" s="9">
        <f t="shared" si="204"/>
        <v>959.75</v>
      </c>
    </row>
    <row r="2586" spans="1:19" x14ac:dyDescent="0.3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str">
        <f>IFERROR(VLOOKUP('Customer Info'!A2578,'Customer Info'!A2578:C3077,2,FALSE),"Not Found")</f>
        <v>Not Found</v>
      </c>
      <c r="H2586" s="6" t="str">
        <f>IFERROR(VLOOKUP('Customer Info'!A2578,'Customer Info'!A2578:C3077,3,FALSE),"Not Found")</f>
        <v>Not Found</v>
      </c>
      <c r="I2586" s="6" t="str">
        <f>IFERROR(VLOOKUP('Customer Info'!A2578,'Customer Info'!A2578:E3077,5,FALSE),"Not Found")</f>
        <v>Not Found</v>
      </c>
      <c r="J2586" s="2">
        <v>8686</v>
      </c>
      <c r="K2586" s="2">
        <v>8035</v>
      </c>
      <c r="L2586" s="2">
        <v>14</v>
      </c>
      <c r="M2586" s="7">
        <f t="shared" si="200"/>
        <v>112490</v>
      </c>
      <c r="N2586" s="7">
        <f t="shared" si="201"/>
        <v>121604</v>
      </c>
      <c r="O2586" s="2">
        <v>65</v>
      </c>
      <c r="P2586" s="8">
        <f t="shared" si="202"/>
        <v>121669</v>
      </c>
      <c r="Q2586" s="8">
        <f t="shared" si="203"/>
        <v>113569</v>
      </c>
      <c r="R2586" s="2" t="s">
        <v>26</v>
      </c>
      <c r="S2586" s="9">
        <f t="shared" si="204"/>
        <v>14600.279999999999</v>
      </c>
    </row>
    <row r="2587" spans="1:19" x14ac:dyDescent="0.3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str">
        <f>IFERROR(VLOOKUP('Customer Info'!A2579,'Customer Info'!A2579:C3078,2,FALSE),"Not Found")</f>
        <v>Not Found</v>
      </c>
      <c r="H2587" s="6" t="str">
        <f>IFERROR(VLOOKUP('Customer Info'!A2579,'Customer Info'!A2579:C3078,3,FALSE),"Not Found")</f>
        <v>Not Found</v>
      </c>
      <c r="I2587" s="6" t="str">
        <f>IFERROR(VLOOKUP('Customer Info'!A2579,'Customer Info'!A2579:E3078,5,FALSE),"Not Found")</f>
        <v>Not Found</v>
      </c>
      <c r="J2587" s="2">
        <v>5051</v>
      </c>
      <c r="K2587" s="2">
        <v>4634</v>
      </c>
      <c r="L2587" s="2">
        <v>1</v>
      </c>
      <c r="M2587" s="7">
        <f t="shared" si="200"/>
        <v>4634</v>
      </c>
      <c r="N2587" s="7">
        <f t="shared" si="201"/>
        <v>5051</v>
      </c>
      <c r="O2587" s="2">
        <v>69</v>
      </c>
      <c r="P2587" s="8">
        <f t="shared" si="202"/>
        <v>5120</v>
      </c>
      <c r="Q2587" s="8">
        <f t="shared" si="203"/>
        <v>417</v>
      </c>
      <c r="R2587" s="2" t="s">
        <v>50</v>
      </c>
      <c r="S2587" s="9">
        <f t="shared" si="204"/>
        <v>256</v>
      </c>
    </row>
    <row r="2588" spans="1:19" x14ac:dyDescent="0.3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str">
        <f>IFERROR(VLOOKUP('Customer Info'!A2580,'Customer Info'!A2580:C3079,2,FALSE),"Not Found")</f>
        <v>Not Found</v>
      </c>
      <c r="H2588" s="6" t="str">
        <f>IFERROR(VLOOKUP('Customer Info'!A2580,'Customer Info'!A2580:C3079,3,FALSE),"Not Found")</f>
        <v>Not Found</v>
      </c>
      <c r="I2588" s="6" t="str">
        <f>IFERROR(VLOOKUP('Customer Info'!A2580,'Customer Info'!A2580:E3079,5,FALSE),"Not Found")</f>
        <v>Not Found</v>
      </c>
      <c r="J2588" s="2">
        <v>914</v>
      </c>
      <c r="K2588" s="2">
        <v>830</v>
      </c>
      <c r="L2588" s="2">
        <v>2</v>
      </c>
      <c r="M2588" s="7">
        <f t="shared" si="200"/>
        <v>1660</v>
      </c>
      <c r="N2588" s="7">
        <f t="shared" si="201"/>
        <v>1828</v>
      </c>
      <c r="O2588" s="2">
        <v>73</v>
      </c>
      <c r="P2588" s="8">
        <f t="shared" si="202"/>
        <v>1901</v>
      </c>
      <c r="Q2588" s="8">
        <f t="shared" si="203"/>
        <v>998</v>
      </c>
      <c r="R2588" s="2" t="s">
        <v>28</v>
      </c>
      <c r="S2588" s="9">
        <f t="shared" si="204"/>
        <v>38.020000000000003</v>
      </c>
    </row>
    <row r="2589" spans="1:19" x14ac:dyDescent="0.3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str">
        <f>IFERROR(VLOOKUP('Customer Info'!A2581,'Customer Info'!A2581:C3080,2,FALSE),"Not Found")</f>
        <v>Not Found</v>
      </c>
      <c r="H2589" s="6" t="str">
        <f>IFERROR(VLOOKUP('Customer Info'!A2581,'Customer Info'!A2581:C3080,3,FALSE),"Not Found")</f>
        <v>Not Found</v>
      </c>
      <c r="I2589" s="6" t="str">
        <f>IFERROR(VLOOKUP('Customer Info'!A2581,'Customer Info'!A2581:E3080,5,FALSE),"Not Found")</f>
        <v>Not Found</v>
      </c>
      <c r="J2589" s="2">
        <v>173</v>
      </c>
      <c r="K2589" s="2">
        <v>155</v>
      </c>
      <c r="L2589" s="2">
        <v>14</v>
      </c>
      <c r="M2589" s="7">
        <f t="shared" si="200"/>
        <v>2170</v>
      </c>
      <c r="N2589" s="7">
        <f t="shared" si="201"/>
        <v>2422</v>
      </c>
      <c r="O2589" s="2">
        <v>30</v>
      </c>
      <c r="P2589" s="8">
        <f t="shared" si="202"/>
        <v>2452</v>
      </c>
      <c r="Q2589" s="8">
        <f t="shared" si="203"/>
        <v>2267</v>
      </c>
      <c r="R2589" s="2" t="s">
        <v>50</v>
      </c>
      <c r="S2589" s="9">
        <f t="shared" si="204"/>
        <v>49.04</v>
      </c>
    </row>
    <row r="2590" spans="1:19" x14ac:dyDescent="0.3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str">
        <f>IFERROR(VLOOKUP('Customer Info'!A2582,'Customer Info'!A2582:C3081,2,FALSE),"Not Found")</f>
        <v>Not Found</v>
      </c>
      <c r="H2590" s="6" t="str">
        <f>IFERROR(VLOOKUP('Customer Info'!A2582,'Customer Info'!A2582:C3081,3,FALSE),"Not Found")</f>
        <v>Not Found</v>
      </c>
      <c r="I2590" s="6" t="str">
        <f>IFERROR(VLOOKUP('Customer Info'!A2582,'Customer Info'!A2582:E3081,5,FALSE),"Not Found")</f>
        <v>Not Found</v>
      </c>
      <c r="J2590" s="2">
        <v>2228</v>
      </c>
      <c r="K2590" s="2">
        <v>2143</v>
      </c>
      <c r="L2590" s="2">
        <v>9</v>
      </c>
      <c r="M2590" s="7">
        <f t="shared" si="200"/>
        <v>19287</v>
      </c>
      <c r="N2590" s="7">
        <f t="shared" si="201"/>
        <v>20052</v>
      </c>
      <c r="O2590" s="2">
        <v>100</v>
      </c>
      <c r="P2590" s="8">
        <f t="shared" si="202"/>
        <v>20152</v>
      </c>
      <c r="Q2590" s="8">
        <f t="shared" si="203"/>
        <v>17909</v>
      </c>
      <c r="R2590" s="2" t="s">
        <v>28</v>
      </c>
      <c r="S2590" s="9">
        <f t="shared" si="204"/>
        <v>1007.6</v>
      </c>
    </row>
    <row r="2591" spans="1:19" x14ac:dyDescent="0.3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str">
        <f>IFERROR(VLOOKUP('Customer Info'!A2583,'Customer Info'!A2583:C3082,2,FALSE),"Not Found")</f>
        <v>Not Found</v>
      </c>
      <c r="H2591" s="6" t="str">
        <f>IFERROR(VLOOKUP('Customer Info'!A2583,'Customer Info'!A2583:C3082,3,FALSE),"Not Found")</f>
        <v>Not Found</v>
      </c>
      <c r="I2591" s="6" t="str">
        <f>IFERROR(VLOOKUP('Customer Info'!A2583,'Customer Info'!A2583:E3082,5,FALSE),"Not Found")</f>
        <v>Not Found</v>
      </c>
      <c r="J2591" s="2">
        <v>1222</v>
      </c>
      <c r="K2591" s="2">
        <v>1187</v>
      </c>
      <c r="L2591" s="2">
        <v>2</v>
      </c>
      <c r="M2591" s="7">
        <f t="shared" si="200"/>
        <v>2374</v>
      </c>
      <c r="N2591" s="7">
        <f t="shared" si="201"/>
        <v>2444</v>
      </c>
      <c r="O2591" s="2">
        <v>61</v>
      </c>
      <c r="P2591" s="8">
        <f t="shared" si="202"/>
        <v>2505</v>
      </c>
      <c r="Q2591" s="8">
        <f t="shared" si="203"/>
        <v>1257</v>
      </c>
      <c r="R2591" s="2" t="s">
        <v>28</v>
      </c>
      <c r="S2591" s="9">
        <f t="shared" si="204"/>
        <v>50.1</v>
      </c>
    </row>
    <row r="2592" spans="1:19" x14ac:dyDescent="0.3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str">
        <f>IFERROR(VLOOKUP('Customer Info'!A2584,'Customer Info'!A2584:C3083,2,FALSE),"Not Found")</f>
        <v>Not Found</v>
      </c>
      <c r="H2592" s="6" t="str">
        <f>IFERROR(VLOOKUP('Customer Info'!A2584,'Customer Info'!A2584:C3083,3,FALSE),"Not Found")</f>
        <v>Not Found</v>
      </c>
      <c r="I2592" s="6" t="str">
        <f>IFERROR(VLOOKUP('Customer Info'!A2584,'Customer Info'!A2584:E3083,5,FALSE),"Not Found")</f>
        <v>Not Found</v>
      </c>
      <c r="J2592" s="2">
        <v>93</v>
      </c>
      <c r="K2592" s="2">
        <v>86</v>
      </c>
      <c r="L2592" s="2">
        <v>4</v>
      </c>
      <c r="M2592" s="7">
        <f t="shared" si="200"/>
        <v>344</v>
      </c>
      <c r="N2592" s="7">
        <f t="shared" si="201"/>
        <v>372</v>
      </c>
      <c r="O2592" s="2">
        <v>10</v>
      </c>
      <c r="P2592" s="8">
        <f t="shared" si="202"/>
        <v>382</v>
      </c>
      <c r="Q2592" s="8">
        <f t="shared" si="203"/>
        <v>286</v>
      </c>
      <c r="R2592" s="2" t="s">
        <v>50</v>
      </c>
      <c r="S2592" s="9">
        <f t="shared" si="204"/>
        <v>7.6400000000000006</v>
      </c>
    </row>
    <row r="2593" spans="1:19" x14ac:dyDescent="0.3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str">
        <f>IFERROR(VLOOKUP('Customer Info'!A2585,'Customer Info'!A2585:C3084,2,FALSE),"Not Found")</f>
        <v>Not Found</v>
      </c>
      <c r="H2593" s="6" t="str">
        <f>IFERROR(VLOOKUP('Customer Info'!A2585,'Customer Info'!A2585:C3084,3,FALSE),"Not Found")</f>
        <v>Not Found</v>
      </c>
      <c r="I2593" s="6" t="str">
        <f>IFERROR(VLOOKUP('Customer Info'!A2585,'Customer Info'!A2585:E3084,5,FALSE),"Not Found")</f>
        <v>Not Found</v>
      </c>
      <c r="J2593" s="2">
        <v>2787</v>
      </c>
      <c r="K2593" s="2">
        <v>2681</v>
      </c>
      <c r="L2593" s="2">
        <v>1</v>
      </c>
      <c r="M2593" s="7">
        <f t="shared" si="200"/>
        <v>2681</v>
      </c>
      <c r="N2593" s="7">
        <f t="shared" si="201"/>
        <v>2787</v>
      </c>
      <c r="O2593" s="2">
        <v>55</v>
      </c>
      <c r="P2593" s="8">
        <f t="shared" si="202"/>
        <v>2842</v>
      </c>
      <c r="Q2593" s="8">
        <f t="shared" si="203"/>
        <v>106</v>
      </c>
      <c r="R2593" s="2" t="s">
        <v>50</v>
      </c>
      <c r="S2593" s="9">
        <f t="shared" si="204"/>
        <v>56.84</v>
      </c>
    </row>
    <row r="2594" spans="1:19" x14ac:dyDescent="0.3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str">
        <f>IFERROR(VLOOKUP('Customer Info'!A2586,'Customer Info'!A2586:C3085,2,FALSE),"Not Found")</f>
        <v>Not Found</v>
      </c>
      <c r="H2594" s="6" t="str">
        <f>IFERROR(VLOOKUP('Customer Info'!A2586,'Customer Info'!A2586:C3085,3,FALSE),"Not Found")</f>
        <v>Not Found</v>
      </c>
      <c r="I2594" s="6" t="str">
        <f>IFERROR(VLOOKUP('Customer Info'!A2586,'Customer Info'!A2586:E3085,5,FALSE),"Not Found")</f>
        <v>Not Found</v>
      </c>
      <c r="J2594" s="2">
        <v>214</v>
      </c>
      <c r="K2594" s="2">
        <v>199</v>
      </c>
      <c r="L2594" s="2">
        <v>8</v>
      </c>
      <c r="M2594" s="7">
        <f t="shared" si="200"/>
        <v>1592</v>
      </c>
      <c r="N2594" s="7">
        <f t="shared" si="201"/>
        <v>1712</v>
      </c>
      <c r="O2594" s="2">
        <v>68</v>
      </c>
      <c r="P2594" s="8">
        <f t="shared" si="202"/>
        <v>1780</v>
      </c>
      <c r="Q2594" s="8">
        <f t="shared" si="203"/>
        <v>1513</v>
      </c>
      <c r="R2594" s="2" t="s">
        <v>28</v>
      </c>
      <c r="S2594" s="9">
        <f t="shared" si="204"/>
        <v>35.6</v>
      </c>
    </row>
    <row r="2595" spans="1:19" x14ac:dyDescent="0.3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str">
        <f>IFERROR(VLOOKUP('Customer Info'!A2587,'Customer Info'!A2587:C3086,2,FALSE),"Not Found")</f>
        <v>Not Found</v>
      </c>
      <c r="H2595" s="6" t="str">
        <f>IFERROR(VLOOKUP('Customer Info'!A2587,'Customer Info'!A2587:C3086,3,FALSE),"Not Found")</f>
        <v>Not Found</v>
      </c>
      <c r="I2595" s="6" t="str">
        <f>IFERROR(VLOOKUP('Customer Info'!A2587,'Customer Info'!A2587:E3086,5,FALSE),"Not Found")</f>
        <v>Not Found</v>
      </c>
      <c r="J2595" s="2">
        <v>1721</v>
      </c>
      <c r="K2595" s="2">
        <v>1640</v>
      </c>
      <c r="L2595" s="2">
        <v>1</v>
      </c>
      <c r="M2595" s="7">
        <f t="shared" si="200"/>
        <v>1640</v>
      </c>
      <c r="N2595" s="7">
        <f t="shared" si="201"/>
        <v>1721</v>
      </c>
      <c r="O2595" s="2">
        <v>79</v>
      </c>
      <c r="P2595" s="8">
        <f t="shared" si="202"/>
        <v>1800</v>
      </c>
      <c r="Q2595" s="8">
        <f t="shared" si="203"/>
        <v>81</v>
      </c>
      <c r="R2595" s="2" t="s">
        <v>28</v>
      </c>
      <c r="S2595" s="9">
        <f t="shared" si="204"/>
        <v>36</v>
      </c>
    </row>
    <row r="2596" spans="1:19" x14ac:dyDescent="0.3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str">
        <f>IFERROR(VLOOKUP('Customer Info'!A2588,'Customer Info'!A2588:C3087,2,FALSE),"Not Found")</f>
        <v>Not Found</v>
      </c>
      <c r="H2596" s="6" t="str">
        <f>IFERROR(VLOOKUP('Customer Info'!A2588,'Customer Info'!A2588:C3087,3,FALSE),"Not Found")</f>
        <v>Not Found</v>
      </c>
      <c r="I2596" s="6" t="str">
        <f>IFERROR(VLOOKUP('Customer Info'!A2588,'Customer Info'!A2588:E3087,5,FALSE),"Not Found")</f>
        <v>Not Found</v>
      </c>
      <c r="J2596" s="2">
        <v>220</v>
      </c>
      <c r="K2596" s="2">
        <v>206</v>
      </c>
      <c r="L2596" s="2">
        <v>1</v>
      </c>
      <c r="M2596" s="7">
        <f t="shared" si="200"/>
        <v>206</v>
      </c>
      <c r="N2596" s="7">
        <f t="shared" si="201"/>
        <v>220</v>
      </c>
      <c r="O2596" s="2">
        <v>21</v>
      </c>
      <c r="P2596" s="8">
        <f t="shared" si="202"/>
        <v>241</v>
      </c>
      <c r="Q2596" s="8">
        <f t="shared" si="203"/>
        <v>14</v>
      </c>
      <c r="R2596" s="2" t="s">
        <v>28</v>
      </c>
      <c r="S2596" s="9">
        <f t="shared" si="204"/>
        <v>4.82</v>
      </c>
    </row>
    <row r="2597" spans="1:19" x14ac:dyDescent="0.3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str">
        <f>IFERROR(VLOOKUP('Customer Info'!A2589,'Customer Info'!A2589:C3088,2,FALSE),"Not Found")</f>
        <v>Not Found</v>
      </c>
      <c r="H2597" s="6" t="str">
        <f>IFERROR(VLOOKUP('Customer Info'!A2589,'Customer Info'!A2589:C3088,3,FALSE),"Not Found")</f>
        <v>Not Found</v>
      </c>
      <c r="I2597" s="6" t="str">
        <f>IFERROR(VLOOKUP('Customer Info'!A2589,'Customer Info'!A2589:E3088,5,FALSE),"Not Found")</f>
        <v>Not Found</v>
      </c>
      <c r="J2597" s="2">
        <v>6598</v>
      </c>
      <c r="K2597" s="2">
        <v>6346</v>
      </c>
      <c r="L2597" s="2">
        <v>1</v>
      </c>
      <c r="M2597" s="7">
        <f t="shared" si="200"/>
        <v>6346</v>
      </c>
      <c r="N2597" s="7">
        <f t="shared" si="201"/>
        <v>6598</v>
      </c>
      <c r="O2597" s="2">
        <v>36</v>
      </c>
      <c r="P2597" s="8">
        <f t="shared" si="202"/>
        <v>6634</v>
      </c>
      <c r="Q2597" s="8">
        <f t="shared" si="203"/>
        <v>252</v>
      </c>
      <c r="R2597" s="2" t="s">
        <v>26</v>
      </c>
      <c r="S2597" s="9">
        <f t="shared" si="204"/>
        <v>331.70000000000005</v>
      </c>
    </row>
    <row r="2598" spans="1:19" x14ac:dyDescent="0.3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str">
        <f>IFERROR(VLOOKUP('Customer Info'!A2590,'Customer Info'!A2590:C3089,2,FALSE),"Not Found")</f>
        <v>Not Found</v>
      </c>
      <c r="H2598" s="6" t="str">
        <f>IFERROR(VLOOKUP('Customer Info'!A2590,'Customer Info'!A2590:C3089,3,FALSE),"Not Found")</f>
        <v>Not Found</v>
      </c>
      <c r="I2598" s="6" t="str">
        <f>IFERROR(VLOOKUP('Customer Info'!A2590,'Customer Info'!A2590:E3089,5,FALSE),"Not Found")</f>
        <v>Not Found</v>
      </c>
      <c r="J2598" s="2">
        <v>2602</v>
      </c>
      <c r="K2598" s="2">
        <v>2363</v>
      </c>
      <c r="L2598" s="2">
        <v>2</v>
      </c>
      <c r="M2598" s="7">
        <f t="shared" si="200"/>
        <v>4726</v>
      </c>
      <c r="N2598" s="7">
        <f t="shared" si="201"/>
        <v>5204</v>
      </c>
      <c r="O2598" s="2">
        <v>55</v>
      </c>
      <c r="P2598" s="8">
        <f t="shared" si="202"/>
        <v>5259</v>
      </c>
      <c r="Q2598" s="8">
        <f t="shared" si="203"/>
        <v>2841</v>
      </c>
      <c r="R2598" s="2" t="s">
        <v>26</v>
      </c>
      <c r="S2598" s="9">
        <f t="shared" si="204"/>
        <v>262.95</v>
      </c>
    </row>
    <row r="2599" spans="1:19" x14ac:dyDescent="0.3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str">
        <f>IFERROR(VLOOKUP('Customer Info'!A2591,'Customer Info'!A2591:C3090,2,FALSE),"Not Found")</f>
        <v>Not Found</v>
      </c>
      <c r="H2599" s="6" t="str">
        <f>IFERROR(VLOOKUP('Customer Info'!A2591,'Customer Info'!A2591:C3090,3,FALSE),"Not Found")</f>
        <v>Not Found</v>
      </c>
      <c r="I2599" s="6" t="str">
        <f>IFERROR(VLOOKUP('Customer Info'!A2591,'Customer Info'!A2591:E3090,5,FALSE),"Not Found")</f>
        <v>Not Found</v>
      </c>
      <c r="J2599" s="2">
        <v>8433</v>
      </c>
      <c r="K2599" s="2">
        <v>7801</v>
      </c>
      <c r="L2599" s="2">
        <v>3</v>
      </c>
      <c r="M2599" s="7">
        <f t="shared" si="200"/>
        <v>23403</v>
      </c>
      <c r="N2599" s="7">
        <f t="shared" si="201"/>
        <v>25299</v>
      </c>
      <c r="O2599" s="2">
        <v>58</v>
      </c>
      <c r="P2599" s="8">
        <f t="shared" si="202"/>
        <v>25357</v>
      </c>
      <c r="Q2599" s="8">
        <f t="shared" si="203"/>
        <v>17498</v>
      </c>
      <c r="R2599" s="2" t="s">
        <v>28</v>
      </c>
      <c r="S2599" s="9">
        <f t="shared" si="204"/>
        <v>1774.9900000000002</v>
      </c>
    </row>
    <row r="2600" spans="1:19" x14ac:dyDescent="0.3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str">
        <f>IFERROR(VLOOKUP('Customer Info'!A2592,'Customer Info'!A2592:C3091,2,FALSE),"Not Found")</f>
        <v>Not Found</v>
      </c>
      <c r="H2600" s="6" t="str">
        <f>IFERROR(VLOOKUP('Customer Info'!A2592,'Customer Info'!A2592:C3091,3,FALSE),"Not Found")</f>
        <v>Not Found</v>
      </c>
      <c r="I2600" s="6" t="str">
        <f>IFERROR(VLOOKUP('Customer Info'!A2592,'Customer Info'!A2592:E3091,5,FALSE),"Not Found")</f>
        <v>Not Found</v>
      </c>
      <c r="J2600" s="2">
        <v>130</v>
      </c>
      <c r="K2600" s="2">
        <v>122</v>
      </c>
      <c r="L2600" s="2">
        <v>3</v>
      </c>
      <c r="M2600" s="7">
        <f t="shared" si="200"/>
        <v>366</v>
      </c>
      <c r="N2600" s="7">
        <f t="shared" si="201"/>
        <v>390</v>
      </c>
      <c r="O2600" s="2">
        <v>30</v>
      </c>
      <c r="P2600" s="8">
        <f t="shared" si="202"/>
        <v>420</v>
      </c>
      <c r="Q2600" s="8">
        <f t="shared" si="203"/>
        <v>268</v>
      </c>
      <c r="R2600" s="2" t="s">
        <v>50</v>
      </c>
      <c r="S2600" s="9">
        <f t="shared" si="204"/>
        <v>8.4</v>
      </c>
    </row>
    <row r="2601" spans="1:19" x14ac:dyDescent="0.3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str">
        <f>IFERROR(VLOOKUP('Customer Info'!A2593,'Customer Info'!A2593:C3092,2,FALSE),"Not Found")</f>
        <v>Not Found</v>
      </c>
      <c r="H2601" s="6" t="str">
        <f>IFERROR(VLOOKUP('Customer Info'!A2593,'Customer Info'!A2593:C3092,3,FALSE),"Not Found")</f>
        <v>Not Found</v>
      </c>
      <c r="I2601" s="6" t="str">
        <f>IFERROR(VLOOKUP('Customer Info'!A2593,'Customer Info'!A2593:E3092,5,FALSE),"Not Found")</f>
        <v>Not Found</v>
      </c>
      <c r="J2601" s="2">
        <v>3091</v>
      </c>
      <c r="K2601" s="2">
        <v>2889</v>
      </c>
      <c r="L2601" s="2">
        <v>7</v>
      </c>
      <c r="M2601" s="7">
        <f t="shared" si="200"/>
        <v>20223</v>
      </c>
      <c r="N2601" s="7">
        <f t="shared" si="201"/>
        <v>21637</v>
      </c>
      <c r="O2601" s="2">
        <v>36</v>
      </c>
      <c r="P2601" s="8">
        <f t="shared" si="202"/>
        <v>21673</v>
      </c>
      <c r="Q2601" s="8">
        <f t="shared" si="203"/>
        <v>18748</v>
      </c>
      <c r="R2601" s="2" t="s">
        <v>50</v>
      </c>
      <c r="S2601" s="9">
        <f t="shared" si="204"/>
        <v>1083.6500000000001</v>
      </c>
    </row>
    <row r="2602" spans="1:19" x14ac:dyDescent="0.3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str">
        <f>IFERROR(VLOOKUP('Customer Info'!A2594,'Customer Info'!A2594:C3093,2,FALSE),"Not Found")</f>
        <v>Not Found</v>
      </c>
      <c r="H2602" s="6" t="str">
        <f>IFERROR(VLOOKUP('Customer Info'!A2594,'Customer Info'!A2594:C3093,3,FALSE),"Not Found")</f>
        <v>Not Found</v>
      </c>
      <c r="I2602" s="6" t="str">
        <f>IFERROR(VLOOKUP('Customer Info'!A2594,'Customer Info'!A2594:E3093,5,FALSE),"Not Found")</f>
        <v>Not Found</v>
      </c>
      <c r="J2602" s="2">
        <v>1574</v>
      </c>
      <c r="K2602" s="2">
        <v>1375</v>
      </c>
      <c r="L2602" s="2">
        <v>6</v>
      </c>
      <c r="M2602" s="7">
        <f t="shared" si="200"/>
        <v>8250</v>
      </c>
      <c r="N2602" s="7">
        <f t="shared" si="201"/>
        <v>9444</v>
      </c>
      <c r="O2602" s="2">
        <v>88</v>
      </c>
      <c r="P2602" s="8">
        <f t="shared" si="202"/>
        <v>9532</v>
      </c>
      <c r="Q2602" s="8">
        <f t="shared" si="203"/>
        <v>8069</v>
      </c>
      <c r="R2602" s="2" t="s">
        <v>50</v>
      </c>
      <c r="S2602" s="9">
        <f t="shared" si="204"/>
        <v>476.6</v>
      </c>
    </row>
    <row r="2603" spans="1:19" x14ac:dyDescent="0.3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str">
        <f>IFERROR(VLOOKUP('Customer Info'!A2595,'Customer Info'!A2595:C3094,2,FALSE),"Not Found")</f>
        <v>Not Found</v>
      </c>
      <c r="H2603" s="6" t="str">
        <f>IFERROR(VLOOKUP('Customer Info'!A2595,'Customer Info'!A2595:C3094,3,FALSE),"Not Found")</f>
        <v>Not Found</v>
      </c>
      <c r="I2603" s="6" t="str">
        <f>IFERROR(VLOOKUP('Customer Info'!A2595,'Customer Info'!A2595:E3094,5,FALSE),"Not Found")</f>
        <v>Not Found</v>
      </c>
      <c r="J2603" s="2">
        <v>3017</v>
      </c>
      <c r="K2603" s="2">
        <v>2825</v>
      </c>
      <c r="L2603" s="2">
        <v>2</v>
      </c>
      <c r="M2603" s="7">
        <f t="shared" si="200"/>
        <v>5650</v>
      </c>
      <c r="N2603" s="7">
        <f t="shared" si="201"/>
        <v>6034</v>
      </c>
      <c r="O2603" s="2">
        <v>62</v>
      </c>
      <c r="P2603" s="8">
        <f t="shared" si="202"/>
        <v>6096</v>
      </c>
      <c r="Q2603" s="8">
        <f t="shared" si="203"/>
        <v>3209</v>
      </c>
      <c r="R2603" s="2" t="s">
        <v>28</v>
      </c>
      <c r="S2603" s="9">
        <f t="shared" si="204"/>
        <v>304.8</v>
      </c>
    </row>
    <row r="2604" spans="1:19" x14ac:dyDescent="0.3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str">
        <f>IFERROR(VLOOKUP('Customer Info'!A2596,'Customer Info'!A2596:C3095,2,FALSE),"Not Found")</f>
        <v>Not Found</v>
      </c>
      <c r="H2604" s="6" t="str">
        <f>IFERROR(VLOOKUP('Customer Info'!A2596,'Customer Info'!A2596:C3095,3,FALSE),"Not Found")</f>
        <v>Not Found</v>
      </c>
      <c r="I2604" s="6" t="str">
        <f>IFERROR(VLOOKUP('Customer Info'!A2596,'Customer Info'!A2596:E3095,5,FALSE),"Not Found")</f>
        <v>Not Found</v>
      </c>
      <c r="J2604" s="2">
        <v>835</v>
      </c>
      <c r="K2604" s="2">
        <v>796</v>
      </c>
      <c r="L2604" s="2">
        <v>8</v>
      </c>
      <c r="M2604" s="7">
        <f t="shared" si="200"/>
        <v>6368</v>
      </c>
      <c r="N2604" s="7">
        <f t="shared" si="201"/>
        <v>6680</v>
      </c>
      <c r="O2604" s="2">
        <v>33</v>
      </c>
      <c r="P2604" s="8">
        <f t="shared" si="202"/>
        <v>6713</v>
      </c>
      <c r="Q2604" s="8">
        <f t="shared" si="203"/>
        <v>5884</v>
      </c>
      <c r="R2604" s="2" t="s">
        <v>28</v>
      </c>
      <c r="S2604" s="9">
        <f t="shared" si="204"/>
        <v>335.65000000000003</v>
      </c>
    </row>
    <row r="2605" spans="1:19" x14ac:dyDescent="0.3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str">
        <f>IFERROR(VLOOKUP('Customer Info'!A2597,'Customer Info'!A2597:C3096,2,FALSE),"Not Found")</f>
        <v>Not Found</v>
      </c>
      <c r="H2605" s="6" t="str">
        <f>IFERROR(VLOOKUP('Customer Info'!A2597,'Customer Info'!A2597:C3096,3,FALSE),"Not Found")</f>
        <v>Not Found</v>
      </c>
      <c r="I2605" s="6" t="str">
        <f>IFERROR(VLOOKUP('Customer Info'!A2597,'Customer Info'!A2597:E3096,5,FALSE),"Not Found")</f>
        <v>Not Found</v>
      </c>
      <c r="J2605" s="2">
        <v>8686</v>
      </c>
      <c r="K2605" s="2">
        <v>8035</v>
      </c>
      <c r="L2605" s="2">
        <v>1</v>
      </c>
      <c r="M2605" s="7">
        <f t="shared" si="200"/>
        <v>8035</v>
      </c>
      <c r="N2605" s="7">
        <f t="shared" si="201"/>
        <v>8686</v>
      </c>
      <c r="O2605" s="2">
        <v>51</v>
      </c>
      <c r="P2605" s="8">
        <f t="shared" si="202"/>
        <v>8737</v>
      </c>
      <c r="Q2605" s="8">
        <f t="shared" si="203"/>
        <v>651</v>
      </c>
      <c r="R2605" s="2" t="s">
        <v>50</v>
      </c>
      <c r="S2605" s="9">
        <f t="shared" si="204"/>
        <v>436.85</v>
      </c>
    </row>
    <row r="2606" spans="1:19" x14ac:dyDescent="0.3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str">
        <f>IFERROR(VLOOKUP('Customer Info'!A2598,'Customer Info'!A2598:C3097,2,FALSE),"Not Found")</f>
        <v>Not Found</v>
      </c>
      <c r="H2606" s="6" t="str">
        <f>IFERROR(VLOOKUP('Customer Info'!A2598,'Customer Info'!A2598:C3097,3,FALSE),"Not Found")</f>
        <v>Not Found</v>
      </c>
      <c r="I2606" s="6" t="str">
        <f>IFERROR(VLOOKUP('Customer Info'!A2598,'Customer Info'!A2598:E3097,5,FALSE),"Not Found")</f>
        <v>Not Found</v>
      </c>
      <c r="J2606" s="2">
        <v>61</v>
      </c>
      <c r="K2606" s="2">
        <v>57</v>
      </c>
      <c r="L2606" s="2">
        <v>4</v>
      </c>
      <c r="M2606" s="7">
        <f t="shared" si="200"/>
        <v>228</v>
      </c>
      <c r="N2606" s="7">
        <f t="shared" si="201"/>
        <v>244</v>
      </c>
      <c r="O2606" s="2">
        <v>10</v>
      </c>
      <c r="P2606" s="8">
        <f t="shared" si="202"/>
        <v>254</v>
      </c>
      <c r="Q2606" s="8">
        <f t="shared" si="203"/>
        <v>187</v>
      </c>
      <c r="R2606" s="2" t="s">
        <v>28</v>
      </c>
      <c r="S2606" s="9">
        <f t="shared" si="204"/>
        <v>5.08</v>
      </c>
    </row>
    <row r="2607" spans="1:19" x14ac:dyDescent="0.3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str">
        <f>IFERROR(VLOOKUP('Customer Info'!A2599,'Customer Info'!A2599:C3098,2,FALSE),"Not Found")</f>
        <v>Not Found</v>
      </c>
      <c r="H2607" s="6" t="str">
        <f>IFERROR(VLOOKUP('Customer Info'!A2599,'Customer Info'!A2599:C3098,3,FALSE),"Not Found")</f>
        <v>Not Found</v>
      </c>
      <c r="I2607" s="6" t="str">
        <f>IFERROR(VLOOKUP('Customer Info'!A2599,'Customer Info'!A2599:E3098,5,FALSE),"Not Found")</f>
        <v>Not Found</v>
      </c>
      <c r="J2607" s="2">
        <v>3184</v>
      </c>
      <c r="K2607" s="2">
        <v>2947</v>
      </c>
      <c r="L2607" s="2">
        <v>2</v>
      </c>
      <c r="M2607" s="7">
        <f t="shared" si="200"/>
        <v>5894</v>
      </c>
      <c r="N2607" s="7">
        <f t="shared" si="201"/>
        <v>6368</v>
      </c>
      <c r="O2607" s="2">
        <v>63</v>
      </c>
      <c r="P2607" s="8">
        <f t="shared" si="202"/>
        <v>6431</v>
      </c>
      <c r="Q2607" s="8">
        <f t="shared" si="203"/>
        <v>3421</v>
      </c>
      <c r="R2607" s="2" t="s">
        <v>50</v>
      </c>
      <c r="S2607" s="9">
        <f t="shared" si="204"/>
        <v>321.55</v>
      </c>
    </row>
    <row r="2608" spans="1:19" x14ac:dyDescent="0.3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str">
        <f>IFERROR(VLOOKUP('Customer Info'!A2600,'Customer Info'!A2600:C3099,2,FALSE),"Not Found")</f>
        <v>Not Found</v>
      </c>
      <c r="H2608" s="6" t="str">
        <f>IFERROR(VLOOKUP('Customer Info'!A2600,'Customer Info'!A2600:C3099,3,FALSE),"Not Found")</f>
        <v>Not Found</v>
      </c>
      <c r="I2608" s="6" t="str">
        <f>IFERROR(VLOOKUP('Customer Info'!A2600,'Customer Info'!A2600:E3099,5,FALSE),"Not Found")</f>
        <v>Not Found</v>
      </c>
      <c r="J2608" s="2">
        <v>7361</v>
      </c>
      <c r="K2608" s="2">
        <v>6887</v>
      </c>
      <c r="L2608" s="2">
        <v>1</v>
      </c>
      <c r="M2608" s="7">
        <f t="shared" si="200"/>
        <v>6887</v>
      </c>
      <c r="N2608" s="7">
        <f t="shared" si="201"/>
        <v>7361</v>
      </c>
      <c r="O2608" s="2">
        <v>38</v>
      </c>
      <c r="P2608" s="8">
        <f t="shared" si="202"/>
        <v>7399</v>
      </c>
      <c r="Q2608" s="8">
        <f t="shared" si="203"/>
        <v>474</v>
      </c>
      <c r="R2608" s="2" t="s">
        <v>28</v>
      </c>
      <c r="S2608" s="9">
        <f t="shared" si="204"/>
        <v>369.95000000000005</v>
      </c>
    </row>
    <row r="2609" spans="1:19" x14ac:dyDescent="0.3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str">
        <f>IFERROR(VLOOKUP('Customer Info'!A2601,'Customer Info'!A2601:C3100,2,FALSE),"Not Found")</f>
        <v>Not Found</v>
      </c>
      <c r="H2609" s="6" t="str">
        <f>IFERROR(VLOOKUP('Customer Info'!A2601,'Customer Info'!A2601:C3100,3,FALSE),"Not Found")</f>
        <v>Not Found</v>
      </c>
      <c r="I2609" s="6" t="str">
        <f>IFERROR(VLOOKUP('Customer Info'!A2601,'Customer Info'!A2601:E3100,5,FALSE),"Not Found")</f>
        <v>Not Found</v>
      </c>
      <c r="J2609" s="2">
        <v>2790</v>
      </c>
      <c r="K2609" s="2">
        <v>2557</v>
      </c>
      <c r="L2609" s="2">
        <v>7</v>
      </c>
      <c r="M2609" s="7">
        <f t="shared" si="200"/>
        <v>17899</v>
      </c>
      <c r="N2609" s="7">
        <f t="shared" si="201"/>
        <v>19530</v>
      </c>
      <c r="O2609" s="2">
        <v>34</v>
      </c>
      <c r="P2609" s="8">
        <f t="shared" si="202"/>
        <v>19564</v>
      </c>
      <c r="Q2609" s="8">
        <f t="shared" si="203"/>
        <v>16973</v>
      </c>
      <c r="R2609" s="2" t="s">
        <v>28</v>
      </c>
      <c r="S2609" s="9">
        <f t="shared" si="204"/>
        <v>978.2</v>
      </c>
    </row>
    <row r="2610" spans="1:19" x14ac:dyDescent="0.3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str">
        <f>IFERROR(VLOOKUP('Customer Info'!A2602,'Customer Info'!A2602:C3101,2,FALSE),"Not Found")</f>
        <v>Not Found</v>
      </c>
      <c r="H2610" s="6" t="str">
        <f>IFERROR(VLOOKUP('Customer Info'!A2602,'Customer Info'!A2602:C3101,3,FALSE),"Not Found")</f>
        <v>Not Found</v>
      </c>
      <c r="I2610" s="6" t="str">
        <f>IFERROR(VLOOKUP('Customer Info'!A2602,'Customer Info'!A2602:E3101,5,FALSE),"Not Found")</f>
        <v>Not Found</v>
      </c>
      <c r="J2610" s="2">
        <v>2540</v>
      </c>
      <c r="K2610" s="2">
        <v>2397</v>
      </c>
      <c r="L2610" s="2">
        <v>3</v>
      </c>
      <c r="M2610" s="7">
        <f t="shared" si="200"/>
        <v>7191</v>
      </c>
      <c r="N2610" s="7">
        <f t="shared" si="201"/>
        <v>7620</v>
      </c>
      <c r="O2610" s="2">
        <v>80</v>
      </c>
      <c r="P2610" s="8">
        <f t="shared" si="202"/>
        <v>7700</v>
      </c>
      <c r="Q2610" s="8">
        <f t="shared" si="203"/>
        <v>5223</v>
      </c>
      <c r="R2610" s="2" t="s">
        <v>28</v>
      </c>
      <c r="S2610" s="9">
        <f t="shared" si="204"/>
        <v>385</v>
      </c>
    </row>
    <row r="2611" spans="1:19" x14ac:dyDescent="0.3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str">
        <f>IFERROR(VLOOKUP('Customer Info'!A2603,'Customer Info'!A2603:C3102,2,FALSE),"Not Found")</f>
        <v>Not Found</v>
      </c>
      <c r="H2611" s="6" t="str">
        <f>IFERROR(VLOOKUP('Customer Info'!A2603,'Customer Info'!A2603:C3102,3,FALSE),"Not Found")</f>
        <v>Not Found</v>
      </c>
      <c r="I2611" s="6" t="str">
        <f>IFERROR(VLOOKUP('Customer Info'!A2603,'Customer Info'!A2603:E3102,5,FALSE),"Not Found")</f>
        <v>Not Found</v>
      </c>
      <c r="J2611" s="2">
        <v>2418</v>
      </c>
      <c r="K2611" s="2">
        <v>2282</v>
      </c>
      <c r="L2611" s="2">
        <v>2</v>
      </c>
      <c r="M2611" s="7">
        <f t="shared" si="200"/>
        <v>4564</v>
      </c>
      <c r="N2611" s="7">
        <f t="shared" si="201"/>
        <v>4836</v>
      </c>
      <c r="O2611" s="2">
        <v>45</v>
      </c>
      <c r="P2611" s="8">
        <f t="shared" si="202"/>
        <v>4881</v>
      </c>
      <c r="Q2611" s="8">
        <f t="shared" si="203"/>
        <v>2554</v>
      </c>
      <c r="R2611" s="2" t="s">
        <v>28</v>
      </c>
      <c r="S2611" s="9">
        <f t="shared" si="204"/>
        <v>97.62</v>
      </c>
    </row>
    <row r="2612" spans="1:19" x14ac:dyDescent="0.3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str">
        <f>IFERROR(VLOOKUP('Customer Info'!A2604,'Customer Info'!A2604:C3103,2,FALSE),"Not Found")</f>
        <v>Not Found</v>
      </c>
      <c r="H2612" s="6" t="str">
        <f>IFERROR(VLOOKUP('Customer Info'!A2604,'Customer Info'!A2604:C3103,3,FALSE),"Not Found")</f>
        <v>Not Found</v>
      </c>
      <c r="I2612" s="6" t="str">
        <f>IFERROR(VLOOKUP('Customer Info'!A2604,'Customer Info'!A2604:E3103,5,FALSE),"Not Found")</f>
        <v>Not Found</v>
      </c>
      <c r="J2612" s="2">
        <v>6611</v>
      </c>
      <c r="K2612" s="2">
        <v>5943</v>
      </c>
      <c r="L2612" s="2">
        <v>3</v>
      </c>
      <c r="M2612" s="7">
        <f t="shared" si="200"/>
        <v>17829</v>
      </c>
      <c r="N2612" s="7">
        <f t="shared" si="201"/>
        <v>19833</v>
      </c>
      <c r="O2612" s="2">
        <v>64</v>
      </c>
      <c r="P2612" s="8">
        <f t="shared" si="202"/>
        <v>19897</v>
      </c>
      <c r="Q2612" s="8">
        <f t="shared" si="203"/>
        <v>13890</v>
      </c>
      <c r="R2612" s="2" t="s">
        <v>28</v>
      </c>
      <c r="S2612" s="9">
        <f t="shared" si="204"/>
        <v>994.85</v>
      </c>
    </row>
    <row r="2613" spans="1:19" x14ac:dyDescent="0.3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str">
        <f>IFERROR(VLOOKUP('Customer Info'!A2605,'Customer Info'!A2605:C3104,2,FALSE),"Not Found")</f>
        <v>Not Found</v>
      </c>
      <c r="H2613" s="6" t="str">
        <f>IFERROR(VLOOKUP('Customer Info'!A2605,'Customer Info'!A2605:C3104,3,FALSE),"Not Found")</f>
        <v>Not Found</v>
      </c>
      <c r="I2613" s="6" t="str">
        <f>IFERROR(VLOOKUP('Customer Info'!A2605,'Customer Info'!A2605:E3104,5,FALSE),"Not Found")</f>
        <v>Not Found</v>
      </c>
      <c r="J2613" s="2">
        <v>148</v>
      </c>
      <c r="K2613" s="2">
        <v>136</v>
      </c>
      <c r="L2613" s="2">
        <v>2</v>
      </c>
      <c r="M2613" s="7">
        <f t="shared" si="200"/>
        <v>272</v>
      </c>
      <c r="N2613" s="7">
        <f t="shared" si="201"/>
        <v>296</v>
      </c>
      <c r="O2613" s="2">
        <v>30</v>
      </c>
      <c r="P2613" s="8">
        <f t="shared" si="202"/>
        <v>326</v>
      </c>
      <c r="Q2613" s="8">
        <f t="shared" si="203"/>
        <v>160</v>
      </c>
      <c r="R2613" s="2" t="s">
        <v>28</v>
      </c>
      <c r="S2613" s="9">
        <f t="shared" si="204"/>
        <v>6.5200000000000005</v>
      </c>
    </row>
    <row r="2614" spans="1:19" x14ac:dyDescent="0.3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str">
        <f>IFERROR(VLOOKUP('Customer Info'!A2606,'Customer Info'!A2606:C3105,2,FALSE),"Not Found")</f>
        <v>Not Found</v>
      </c>
      <c r="H2614" s="6" t="str">
        <f>IFERROR(VLOOKUP('Customer Info'!A2606,'Customer Info'!A2606:C3105,3,FALSE),"Not Found")</f>
        <v>Not Found</v>
      </c>
      <c r="I2614" s="6" t="str">
        <f>IFERROR(VLOOKUP('Customer Info'!A2606,'Customer Info'!A2606:E3105,5,FALSE),"Not Found")</f>
        <v>Not Found</v>
      </c>
      <c r="J2614" s="2">
        <v>1498</v>
      </c>
      <c r="K2614" s="2">
        <v>1335</v>
      </c>
      <c r="L2614" s="2">
        <v>2</v>
      </c>
      <c r="M2614" s="7">
        <f t="shared" si="200"/>
        <v>2670</v>
      </c>
      <c r="N2614" s="7">
        <f t="shared" si="201"/>
        <v>2996</v>
      </c>
      <c r="O2614" s="2">
        <v>96</v>
      </c>
      <c r="P2614" s="8">
        <f t="shared" si="202"/>
        <v>3092</v>
      </c>
      <c r="Q2614" s="8">
        <f t="shared" si="203"/>
        <v>1661</v>
      </c>
      <c r="R2614" s="2" t="s">
        <v>50</v>
      </c>
      <c r="S2614" s="9">
        <f t="shared" si="204"/>
        <v>61.84</v>
      </c>
    </row>
    <row r="2615" spans="1:19" x14ac:dyDescent="0.3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str">
        <f>IFERROR(VLOOKUP('Customer Info'!A2607,'Customer Info'!A2607:C3106,2,FALSE),"Not Found")</f>
        <v>Not Found</v>
      </c>
      <c r="H2615" s="6" t="str">
        <f>IFERROR(VLOOKUP('Customer Info'!A2607,'Customer Info'!A2607:C3106,3,FALSE),"Not Found")</f>
        <v>Not Found</v>
      </c>
      <c r="I2615" s="6" t="str">
        <f>IFERROR(VLOOKUP('Customer Info'!A2607,'Customer Info'!A2607:E3106,5,FALSE),"Not Found")</f>
        <v>Not Found</v>
      </c>
      <c r="J2615" s="2">
        <v>4761</v>
      </c>
      <c r="K2615" s="2">
        <v>4368</v>
      </c>
      <c r="L2615" s="2">
        <v>5</v>
      </c>
      <c r="M2615" s="7">
        <f t="shared" si="200"/>
        <v>21840</v>
      </c>
      <c r="N2615" s="7">
        <f t="shared" si="201"/>
        <v>23805</v>
      </c>
      <c r="O2615" s="2">
        <v>79</v>
      </c>
      <c r="P2615" s="8">
        <f t="shared" si="202"/>
        <v>23884</v>
      </c>
      <c r="Q2615" s="8">
        <f t="shared" si="203"/>
        <v>19437</v>
      </c>
      <c r="R2615" s="2" t="s">
        <v>50</v>
      </c>
      <c r="S2615" s="9">
        <f t="shared" si="204"/>
        <v>1194.2</v>
      </c>
    </row>
    <row r="2616" spans="1:19" x14ac:dyDescent="0.3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str">
        <f>IFERROR(VLOOKUP('Customer Info'!A2608,'Customer Info'!A2608:C3107,2,FALSE),"Not Found")</f>
        <v>Not Found</v>
      </c>
      <c r="H2616" s="6" t="str">
        <f>IFERROR(VLOOKUP('Customer Info'!A2608,'Customer Info'!A2608:C3107,3,FALSE),"Not Found")</f>
        <v>Not Found</v>
      </c>
      <c r="I2616" s="6" t="str">
        <f>IFERROR(VLOOKUP('Customer Info'!A2608,'Customer Info'!A2608:E3107,5,FALSE),"Not Found")</f>
        <v>Not Found</v>
      </c>
      <c r="J2616" s="2">
        <v>3224</v>
      </c>
      <c r="K2616" s="2">
        <v>2984</v>
      </c>
      <c r="L2616" s="2">
        <v>2</v>
      </c>
      <c r="M2616" s="7">
        <f t="shared" si="200"/>
        <v>5968</v>
      </c>
      <c r="N2616" s="7">
        <f t="shared" si="201"/>
        <v>6448</v>
      </c>
      <c r="O2616" s="2">
        <v>29</v>
      </c>
      <c r="P2616" s="8">
        <f t="shared" si="202"/>
        <v>6477</v>
      </c>
      <c r="Q2616" s="8">
        <f t="shared" si="203"/>
        <v>3464</v>
      </c>
      <c r="R2616" s="2" t="s">
        <v>26</v>
      </c>
      <c r="S2616" s="9">
        <f t="shared" si="204"/>
        <v>323.85000000000002</v>
      </c>
    </row>
    <row r="2617" spans="1:19" x14ac:dyDescent="0.3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str">
        <f>IFERROR(VLOOKUP('Customer Info'!A2609,'Customer Info'!A2609:C3108,2,FALSE),"Not Found")</f>
        <v>Not Found</v>
      </c>
      <c r="H2617" s="6" t="str">
        <f>IFERROR(VLOOKUP('Customer Info'!A2609,'Customer Info'!A2609:C3108,3,FALSE),"Not Found")</f>
        <v>Not Found</v>
      </c>
      <c r="I2617" s="6" t="str">
        <f>IFERROR(VLOOKUP('Customer Info'!A2609,'Customer Info'!A2609:E3108,5,FALSE),"Not Found")</f>
        <v>Not Found</v>
      </c>
      <c r="J2617" s="2">
        <v>1048</v>
      </c>
      <c r="K2617" s="2">
        <v>979</v>
      </c>
      <c r="L2617" s="2">
        <v>4</v>
      </c>
      <c r="M2617" s="7">
        <f t="shared" si="200"/>
        <v>3916</v>
      </c>
      <c r="N2617" s="7">
        <f t="shared" si="201"/>
        <v>4192</v>
      </c>
      <c r="O2617" s="2">
        <v>31</v>
      </c>
      <c r="P2617" s="8">
        <f t="shared" si="202"/>
        <v>4223</v>
      </c>
      <c r="Q2617" s="8">
        <f t="shared" si="203"/>
        <v>3213</v>
      </c>
      <c r="R2617" s="2" t="s">
        <v>28</v>
      </c>
      <c r="S2617" s="9">
        <f t="shared" si="204"/>
        <v>84.460000000000008</v>
      </c>
    </row>
    <row r="2618" spans="1:19" x14ac:dyDescent="0.3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str">
        <f>IFERROR(VLOOKUP('Customer Info'!A2610,'Customer Info'!A2610:C3109,2,FALSE),"Not Found")</f>
        <v>Not Found</v>
      </c>
      <c r="H2618" s="6" t="str">
        <f>IFERROR(VLOOKUP('Customer Info'!A2610,'Customer Info'!A2610:C3109,3,FALSE),"Not Found")</f>
        <v>Not Found</v>
      </c>
      <c r="I2618" s="6" t="str">
        <f>IFERROR(VLOOKUP('Customer Info'!A2610,'Customer Info'!A2610:E3109,5,FALSE),"Not Found")</f>
        <v>Not Found</v>
      </c>
      <c r="J2618" s="2">
        <v>8199</v>
      </c>
      <c r="K2618" s="2">
        <v>7523</v>
      </c>
      <c r="L2618" s="2">
        <v>4</v>
      </c>
      <c r="M2618" s="7">
        <f t="shared" si="200"/>
        <v>30092</v>
      </c>
      <c r="N2618" s="7">
        <f t="shared" si="201"/>
        <v>32796</v>
      </c>
      <c r="O2618" s="2">
        <v>23</v>
      </c>
      <c r="P2618" s="8">
        <f t="shared" si="202"/>
        <v>32819</v>
      </c>
      <c r="Q2618" s="8">
        <f t="shared" si="203"/>
        <v>25273</v>
      </c>
      <c r="R2618" s="2" t="s">
        <v>28</v>
      </c>
      <c r="S2618" s="9">
        <f t="shared" si="204"/>
        <v>2297.3300000000004</v>
      </c>
    </row>
    <row r="2619" spans="1:19" x14ac:dyDescent="0.3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str">
        <f>IFERROR(VLOOKUP('Customer Info'!A2611,'Customer Info'!A2611:C3110,2,FALSE),"Not Found")</f>
        <v>Not Found</v>
      </c>
      <c r="H2619" s="6" t="str">
        <f>IFERROR(VLOOKUP('Customer Info'!A2611,'Customer Info'!A2611:C3110,3,FALSE),"Not Found")</f>
        <v>Not Found</v>
      </c>
      <c r="I2619" s="6" t="str">
        <f>IFERROR(VLOOKUP('Customer Info'!A2611,'Customer Info'!A2611:E3110,5,FALSE),"Not Found")</f>
        <v>Not Found</v>
      </c>
      <c r="J2619" s="2">
        <v>4808</v>
      </c>
      <c r="K2619" s="2">
        <v>4453</v>
      </c>
      <c r="L2619" s="2">
        <v>11</v>
      </c>
      <c r="M2619" s="7">
        <f t="shared" si="200"/>
        <v>48983</v>
      </c>
      <c r="N2619" s="7">
        <f t="shared" si="201"/>
        <v>52888</v>
      </c>
      <c r="O2619" s="2">
        <v>61</v>
      </c>
      <c r="P2619" s="8">
        <f t="shared" si="202"/>
        <v>52949</v>
      </c>
      <c r="Q2619" s="8">
        <f t="shared" si="203"/>
        <v>48435</v>
      </c>
      <c r="R2619" s="2" t="s">
        <v>28</v>
      </c>
      <c r="S2619" s="9">
        <f t="shared" si="204"/>
        <v>4765.41</v>
      </c>
    </row>
    <row r="2620" spans="1:19" x14ac:dyDescent="0.3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str">
        <f>IFERROR(VLOOKUP('Customer Info'!A2612,'Customer Info'!A2612:C3111,2,FALSE),"Not Found")</f>
        <v>Not Found</v>
      </c>
      <c r="H2620" s="6" t="str">
        <f>IFERROR(VLOOKUP('Customer Info'!A2612,'Customer Info'!A2612:C3111,3,FALSE),"Not Found")</f>
        <v>Not Found</v>
      </c>
      <c r="I2620" s="6" t="str">
        <f>IFERROR(VLOOKUP('Customer Info'!A2612,'Customer Info'!A2612:E3111,5,FALSE),"Not Found")</f>
        <v>Not Found</v>
      </c>
      <c r="J2620" s="2">
        <v>5882</v>
      </c>
      <c r="K2620" s="2">
        <v>5713</v>
      </c>
      <c r="L2620" s="2">
        <v>2</v>
      </c>
      <c r="M2620" s="7">
        <f t="shared" si="200"/>
        <v>11426</v>
      </c>
      <c r="N2620" s="7">
        <f t="shared" si="201"/>
        <v>11764</v>
      </c>
      <c r="O2620" s="2">
        <v>93</v>
      </c>
      <c r="P2620" s="8">
        <f t="shared" si="202"/>
        <v>11857</v>
      </c>
      <c r="Q2620" s="8">
        <f t="shared" si="203"/>
        <v>6051</v>
      </c>
      <c r="R2620" s="2" t="s">
        <v>28</v>
      </c>
      <c r="S2620" s="9">
        <f t="shared" si="204"/>
        <v>592.85</v>
      </c>
    </row>
    <row r="2621" spans="1:19" x14ac:dyDescent="0.3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str">
        <f>IFERROR(VLOOKUP('Customer Info'!A2613,'Customer Info'!A2613:C3112,2,FALSE),"Not Found")</f>
        <v>Not Found</v>
      </c>
      <c r="H2621" s="6" t="str">
        <f>IFERROR(VLOOKUP('Customer Info'!A2613,'Customer Info'!A2613:C3112,3,FALSE),"Not Found")</f>
        <v>Not Found</v>
      </c>
      <c r="I2621" s="6" t="str">
        <f>IFERROR(VLOOKUP('Customer Info'!A2613,'Customer Info'!A2613:E3112,5,FALSE),"Not Found")</f>
        <v>Not Found</v>
      </c>
      <c r="J2621" s="2">
        <v>877</v>
      </c>
      <c r="K2621" s="2">
        <v>788</v>
      </c>
      <c r="L2621" s="2">
        <v>2</v>
      </c>
      <c r="M2621" s="7">
        <f t="shared" si="200"/>
        <v>1576</v>
      </c>
      <c r="N2621" s="7">
        <f t="shared" si="201"/>
        <v>1754</v>
      </c>
      <c r="O2621" s="2">
        <v>62</v>
      </c>
      <c r="P2621" s="8">
        <f t="shared" si="202"/>
        <v>1816</v>
      </c>
      <c r="Q2621" s="8">
        <f t="shared" si="203"/>
        <v>966</v>
      </c>
      <c r="R2621" s="2" t="s">
        <v>28</v>
      </c>
      <c r="S2621" s="9">
        <f t="shared" si="204"/>
        <v>36.32</v>
      </c>
    </row>
    <row r="2622" spans="1:19" x14ac:dyDescent="0.3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str">
        <f>IFERROR(VLOOKUP('Customer Info'!A2614,'Customer Info'!A2614:C3113,2,FALSE),"Not Found")</f>
        <v>Not Found</v>
      </c>
      <c r="H2622" s="6" t="str">
        <f>IFERROR(VLOOKUP('Customer Info'!A2614,'Customer Info'!A2614:C3113,3,FALSE),"Not Found")</f>
        <v>Not Found</v>
      </c>
      <c r="I2622" s="6" t="str">
        <f>IFERROR(VLOOKUP('Customer Info'!A2614,'Customer Info'!A2614:E3113,5,FALSE),"Not Found")</f>
        <v>Not Found</v>
      </c>
      <c r="J2622" s="2">
        <v>7315</v>
      </c>
      <c r="K2622" s="2">
        <v>6967</v>
      </c>
      <c r="L2622" s="2">
        <v>1</v>
      </c>
      <c r="M2622" s="7">
        <f t="shared" si="200"/>
        <v>6967</v>
      </c>
      <c r="N2622" s="7">
        <f t="shared" si="201"/>
        <v>7315</v>
      </c>
      <c r="O2622" s="2">
        <v>39</v>
      </c>
      <c r="P2622" s="8">
        <f t="shared" si="202"/>
        <v>7354</v>
      </c>
      <c r="Q2622" s="8">
        <f t="shared" si="203"/>
        <v>348</v>
      </c>
      <c r="R2622" s="2" t="s">
        <v>56</v>
      </c>
      <c r="S2622" s="9">
        <f t="shared" si="204"/>
        <v>367.70000000000005</v>
      </c>
    </row>
    <row r="2623" spans="1:19" x14ac:dyDescent="0.3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str">
        <f>IFERROR(VLOOKUP('Customer Info'!A2615,'Customer Info'!A2615:C3114,2,FALSE),"Not Found")</f>
        <v>Not Found</v>
      </c>
      <c r="H2623" s="6" t="str">
        <f>IFERROR(VLOOKUP('Customer Info'!A2615,'Customer Info'!A2615:C3114,3,FALSE),"Not Found")</f>
        <v>Not Found</v>
      </c>
      <c r="I2623" s="6" t="str">
        <f>IFERROR(VLOOKUP('Customer Info'!A2615,'Customer Info'!A2615:E3114,5,FALSE),"Not Found")</f>
        <v>Not Found</v>
      </c>
      <c r="J2623" s="2">
        <v>63</v>
      </c>
      <c r="K2623" s="2">
        <v>58</v>
      </c>
      <c r="L2623" s="2">
        <v>3</v>
      </c>
      <c r="M2623" s="7">
        <f t="shared" si="200"/>
        <v>174</v>
      </c>
      <c r="N2623" s="7">
        <f t="shared" si="201"/>
        <v>189</v>
      </c>
      <c r="O2623" s="2">
        <v>10</v>
      </c>
      <c r="P2623" s="8">
        <f t="shared" si="202"/>
        <v>199</v>
      </c>
      <c r="Q2623" s="8">
        <f t="shared" si="203"/>
        <v>131</v>
      </c>
      <c r="R2623" s="2" t="s">
        <v>28</v>
      </c>
      <c r="S2623" s="9">
        <f t="shared" si="204"/>
        <v>3.98</v>
      </c>
    </row>
    <row r="2624" spans="1:19" x14ac:dyDescent="0.3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str">
        <f>IFERROR(VLOOKUP('Customer Info'!A2616,'Customer Info'!A2616:C3115,2,FALSE),"Not Found")</f>
        <v>Not Found</v>
      </c>
      <c r="H2624" s="6" t="str">
        <f>IFERROR(VLOOKUP('Customer Info'!A2616,'Customer Info'!A2616:C3115,3,FALSE),"Not Found")</f>
        <v>Not Found</v>
      </c>
      <c r="I2624" s="6" t="str">
        <f>IFERROR(VLOOKUP('Customer Info'!A2616,'Customer Info'!A2616:E3115,5,FALSE),"Not Found")</f>
        <v>Not Found</v>
      </c>
      <c r="J2624" s="2">
        <v>191</v>
      </c>
      <c r="K2624" s="2">
        <v>170</v>
      </c>
      <c r="L2624" s="2">
        <v>3</v>
      </c>
      <c r="M2624" s="7">
        <f t="shared" si="200"/>
        <v>510</v>
      </c>
      <c r="N2624" s="7">
        <f t="shared" si="201"/>
        <v>573</v>
      </c>
      <c r="O2624" s="2">
        <v>30</v>
      </c>
      <c r="P2624" s="8">
        <f t="shared" si="202"/>
        <v>603</v>
      </c>
      <c r="Q2624" s="8">
        <f t="shared" si="203"/>
        <v>403</v>
      </c>
      <c r="R2624" s="2" t="s">
        <v>28</v>
      </c>
      <c r="S2624" s="9">
        <f t="shared" si="204"/>
        <v>12.06</v>
      </c>
    </row>
    <row r="2625" spans="1:19" x14ac:dyDescent="0.3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str">
        <f>IFERROR(VLOOKUP('Customer Info'!A2617,'Customer Info'!A2617:C3116,2,FALSE),"Not Found")</f>
        <v>Not Found</v>
      </c>
      <c r="H2625" s="6" t="str">
        <f>IFERROR(VLOOKUP('Customer Info'!A2617,'Customer Info'!A2617:C3116,3,FALSE),"Not Found")</f>
        <v>Not Found</v>
      </c>
      <c r="I2625" s="6" t="str">
        <f>IFERROR(VLOOKUP('Customer Info'!A2617,'Customer Info'!A2617:E3116,5,FALSE),"Not Found")</f>
        <v>Not Found</v>
      </c>
      <c r="J2625" s="2">
        <v>2540</v>
      </c>
      <c r="K2625" s="2">
        <v>2397</v>
      </c>
      <c r="L2625" s="2">
        <v>2</v>
      </c>
      <c r="M2625" s="7">
        <f t="shared" si="200"/>
        <v>4794</v>
      </c>
      <c r="N2625" s="7">
        <f t="shared" si="201"/>
        <v>5080</v>
      </c>
      <c r="O2625" s="2">
        <v>73</v>
      </c>
      <c r="P2625" s="8">
        <f t="shared" si="202"/>
        <v>5153</v>
      </c>
      <c r="Q2625" s="8">
        <f t="shared" si="203"/>
        <v>2683</v>
      </c>
      <c r="R2625" s="2" t="s">
        <v>28</v>
      </c>
      <c r="S2625" s="9">
        <f t="shared" si="204"/>
        <v>257.65000000000003</v>
      </c>
    </row>
    <row r="2626" spans="1:19" x14ac:dyDescent="0.3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str">
        <f>IFERROR(VLOOKUP('Customer Info'!A2618,'Customer Info'!A2618:C3117,2,FALSE),"Not Found")</f>
        <v>Not Found</v>
      </c>
      <c r="H2626" s="6" t="str">
        <f>IFERROR(VLOOKUP('Customer Info'!A2618,'Customer Info'!A2618:C3117,3,FALSE),"Not Found")</f>
        <v>Not Found</v>
      </c>
      <c r="I2626" s="6" t="str">
        <f>IFERROR(VLOOKUP('Customer Info'!A2618,'Customer Info'!A2618:E3117,5,FALSE),"Not Found")</f>
        <v>Not Found</v>
      </c>
      <c r="J2626" s="2">
        <v>142</v>
      </c>
      <c r="K2626" s="2">
        <v>129</v>
      </c>
      <c r="L2626" s="2">
        <v>2</v>
      </c>
      <c r="M2626" s="7">
        <f t="shared" si="200"/>
        <v>258</v>
      </c>
      <c r="N2626" s="7">
        <f t="shared" si="201"/>
        <v>284</v>
      </c>
      <c r="O2626" s="2">
        <v>30</v>
      </c>
      <c r="P2626" s="8">
        <f t="shared" si="202"/>
        <v>314</v>
      </c>
      <c r="Q2626" s="8">
        <f t="shared" si="203"/>
        <v>155</v>
      </c>
      <c r="R2626" s="2" t="s">
        <v>28</v>
      </c>
      <c r="S2626" s="9">
        <f t="shared" si="204"/>
        <v>6.28</v>
      </c>
    </row>
    <row r="2627" spans="1:19" x14ac:dyDescent="0.3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str">
        <f>IFERROR(VLOOKUP('Customer Info'!A2619,'Customer Info'!A2619:C3118,2,FALSE),"Not Found")</f>
        <v>Not Found</v>
      </c>
      <c r="H2627" s="6" t="str">
        <f>IFERROR(VLOOKUP('Customer Info'!A2619,'Customer Info'!A2619:C3118,3,FALSE),"Not Found")</f>
        <v>Not Found</v>
      </c>
      <c r="I2627" s="6" t="str">
        <f>IFERROR(VLOOKUP('Customer Info'!A2619,'Customer Info'!A2619:E3118,5,FALSE),"Not Found")</f>
        <v>Not Found</v>
      </c>
      <c r="J2627" s="2">
        <v>8199</v>
      </c>
      <c r="K2627" s="2">
        <v>7523</v>
      </c>
      <c r="L2627" s="2">
        <v>5</v>
      </c>
      <c r="M2627" s="7">
        <f t="shared" si="200"/>
        <v>37615</v>
      </c>
      <c r="N2627" s="7">
        <f t="shared" si="201"/>
        <v>40995</v>
      </c>
      <c r="O2627" s="2">
        <v>50</v>
      </c>
      <c r="P2627" s="8">
        <f t="shared" si="202"/>
        <v>41045</v>
      </c>
      <c r="Q2627" s="8">
        <f t="shared" si="203"/>
        <v>33472</v>
      </c>
      <c r="R2627" s="2" t="s">
        <v>28</v>
      </c>
      <c r="S2627" s="9">
        <f t="shared" si="204"/>
        <v>2873.15</v>
      </c>
    </row>
    <row r="2628" spans="1:19" x14ac:dyDescent="0.3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str">
        <f>IFERROR(VLOOKUP('Customer Info'!A2620,'Customer Info'!A2620:C3119,2,FALSE),"Not Found")</f>
        <v>Not Found</v>
      </c>
      <c r="H2628" s="6" t="str">
        <f>IFERROR(VLOOKUP('Customer Info'!A2620,'Customer Info'!A2620:C3119,3,FALSE),"Not Found")</f>
        <v>Not Found</v>
      </c>
      <c r="I2628" s="6" t="str">
        <f>IFERROR(VLOOKUP('Customer Info'!A2620,'Customer Info'!A2620:E3119,5,FALSE),"Not Found")</f>
        <v>Not Found</v>
      </c>
      <c r="J2628" s="2">
        <v>35350</v>
      </c>
      <c r="K2628" s="2">
        <v>33037</v>
      </c>
      <c r="L2628" s="2">
        <v>3</v>
      </c>
      <c r="M2628" s="7">
        <f t="shared" si="200"/>
        <v>99111</v>
      </c>
      <c r="N2628" s="7">
        <f t="shared" si="201"/>
        <v>106050</v>
      </c>
      <c r="O2628" s="2">
        <v>71</v>
      </c>
      <c r="P2628" s="8">
        <f t="shared" si="202"/>
        <v>106121</v>
      </c>
      <c r="Q2628" s="8">
        <f t="shared" si="203"/>
        <v>73013</v>
      </c>
      <c r="R2628" s="2" t="s">
        <v>50</v>
      </c>
      <c r="S2628" s="9">
        <f t="shared" si="204"/>
        <v>12734.52</v>
      </c>
    </row>
    <row r="2629" spans="1:19" x14ac:dyDescent="0.3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str">
        <f>IFERROR(VLOOKUP('Customer Info'!A2621,'Customer Info'!A2621:C3120,2,FALSE),"Not Found")</f>
        <v>Not Found</v>
      </c>
      <c r="H2629" s="6" t="str">
        <f>IFERROR(VLOOKUP('Customer Info'!A2621,'Customer Info'!A2621:C3120,3,FALSE),"Not Found")</f>
        <v>Not Found</v>
      </c>
      <c r="I2629" s="6" t="str">
        <f>IFERROR(VLOOKUP('Customer Info'!A2621,'Customer Info'!A2621:E3120,5,FALSE),"Not Found")</f>
        <v>Not Found</v>
      </c>
      <c r="J2629" s="2">
        <v>2843</v>
      </c>
      <c r="K2629" s="2">
        <v>2735</v>
      </c>
      <c r="L2629" s="2">
        <v>2</v>
      </c>
      <c r="M2629" s="7">
        <f t="shared" si="200"/>
        <v>5470</v>
      </c>
      <c r="N2629" s="7">
        <f t="shared" si="201"/>
        <v>5686</v>
      </c>
      <c r="O2629" s="2">
        <v>75</v>
      </c>
      <c r="P2629" s="8">
        <f t="shared" si="202"/>
        <v>5761</v>
      </c>
      <c r="Q2629" s="8">
        <f t="shared" si="203"/>
        <v>2951</v>
      </c>
      <c r="R2629" s="2" t="s">
        <v>50</v>
      </c>
      <c r="S2629" s="9">
        <f t="shared" si="204"/>
        <v>288.05</v>
      </c>
    </row>
    <row r="2630" spans="1:19" x14ac:dyDescent="0.3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str">
        <f>IFERROR(VLOOKUP('Customer Info'!A2622,'Customer Info'!A2622:C3121,2,FALSE),"Not Found")</f>
        <v>Not Found</v>
      </c>
      <c r="H2630" s="6" t="str">
        <f>IFERROR(VLOOKUP('Customer Info'!A2622,'Customer Info'!A2622:C3121,3,FALSE),"Not Found")</f>
        <v>Not Found</v>
      </c>
      <c r="I2630" s="6" t="str">
        <f>IFERROR(VLOOKUP('Customer Info'!A2622,'Customer Info'!A2622:E3121,5,FALSE),"Not Found")</f>
        <v>Not Found</v>
      </c>
      <c r="J2630" s="2">
        <v>1358</v>
      </c>
      <c r="K2630" s="2">
        <v>1270</v>
      </c>
      <c r="L2630" s="2">
        <v>8</v>
      </c>
      <c r="M2630" s="7">
        <f t="shared" si="200"/>
        <v>10160</v>
      </c>
      <c r="N2630" s="7">
        <f t="shared" si="201"/>
        <v>10864</v>
      </c>
      <c r="O2630" s="2">
        <v>35</v>
      </c>
      <c r="P2630" s="8">
        <f t="shared" si="202"/>
        <v>10899</v>
      </c>
      <c r="Q2630" s="8">
        <f t="shared" si="203"/>
        <v>9594</v>
      </c>
      <c r="R2630" s="2" t="s">
        <v>28</v>
      </c>
      <c r="S2630" s="9">
        <f t="shared" si="204"/>
        <v>544.95000000000005</v>
      </c>
    </row>
    <row r="2631" spans="1:19" x14ac:dyDescent="0.3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str">
        <f>IFERROR(VLOOKUP('Customer Info'!A2623,'Customer Info'!A2623:C3122,2,FALSE),"Not Found")</f>
        <v>Not Found</v>
      </c>
      <c r="H2631" s="6" t="str">
        <f>IFERROR(VLOOKUP('Customer Info'!A2623,'Customer Info'!A2623:C3122,3,FALSE),"Not Found")</f>
        <v>Not Found</v>
      </c>
      <c r="I2631" s="6" t="str">
        <f>IFERROR(VLOOKUP('Customer Info'!A2623,'Customer Info'!A2623:E3122,5,FALSE),"Not Found")</f>
        <v>Not Found</v>
      </c>
      <c r="J2631" s="2">
        <v>101</v>
      </c>
      <c r="K2631" s="2">
        <v>98</v>
      </c>
      <c r="L2631" s="2">
        <v>2</v>
      </c>
      <c r="M2631" s="7">
        <f t="shared" si="200"/>
        <v>196</v>
      </c>
      <c r="N2631" s="7">
        <f t="shared" si="201"/>
        <v>202</v>
      </c>
      <c r="O2631" s="2">
        <v>10</v>
      </c>
      <c r="P2631" s="8">
        <f t="shared" si="202"/>
        <v>212</v>
      </c>
      <c r="Q2631" s="8">
        <f t="shared" si="203"/>
        <v>104</v>
      </c>
      <c r="R2631" s="2" t="s">
        <v>50</v>
      </c>
      <c r="S2631" s="9">
        <f t="shared" si="204"/>
        <v>4.24</v>
      </c>
    </row>
    <row r="2632" spans="1:19" x14ac:dyDescent="0.3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str">
        <f>IFERROR(VLOOKUP('Customer Info'!A2624,'Customer Info'!A2624:C3123,2,FALSE),"Not Found")</f>
        <v>Not Found</v>
      </c>
      <c r="H2632" s="6" t="str">
        <f>IFERROR(VLOOKUP('Customer Info'!A2624,'Customer Info'!A2624:C3123,3,FALSE),"Not Found")</f>
        <v>Not Found</v>
      </c>
      <c r="I2632" s="6" t="str">
        <f>IFERROR(VLOOKUP('Customer Info'!A2624,'Customer Info'!A2624:E3123,5,FALSE),"Not Found")</f>
        <v>Not Found</v>
      </c>
      <c r="J2632" s="2">
        <v>1859</v>
      </c>
      <c r="K2632" s="2">
        <v>1755</v>
      </c>
      <c r="L2632" s="2">
        <v>3</v>
      </c>
      <c r="M2632" s="7">
        <f t="shared" si="200"/>
        <v>5265</v>
      </c>
      <c r="N2632" s="7">
        <f t="shared" si="201"/>
        <v>5577</v>
      </c>
      <c r="O2632" s="2">
        <v>51</v>
      </c>
      <c r="P2632" s="8">
        <f t="shared" si="202"/>
        <v>5628</v>
      </c>
      <c r="Q2632" s="8">
        <f t="shared" si="203"/>
        <v>3822</v>
      </c>
      <c r="R2632" s="2" t="s">
        <v>50</v>
      </c>
      <c r="S2632" s="9">
        <f t="shared" si="204"/>
        <v>281.40000000000003</v>
      </c>
    </row>
    <row r="2633" spans="1:19" x14ac:dyDescent="0.3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str">
        <f>IFERROR(VLOOKUP('Customer Info'!A2625,'Customer Info'!A2625:C3124,2,FALSE),"Not Found")</f>
        <v>Not Found</v>
      </c>
      <c r="H2633" s="6" t="str">
        <f>IFERROR(VLOOKUP('Customer Info'!A2625,'Customer Info'!A2625:C3124,3,FALSE),"Not Found")</f>
        <v>Not Found</v>
      </c>
      <c r="I2633" s="6" t="str">
        <f>IFERROR(VLOOKUP('Customer Info'!A2625,'Customer Info'!A2625:E3124,5,FALSE),"Not Found")</f>
        <v>Not Found</v>
      </c>
      <c r="J2633" s="2">
        <v>877</v>
      </c>
      <c r="K2633" s="2">
        <v>788</v>
      </c>
      <c r="L2633" s="2">
        <v>4</v>
      </c>
      <c r="M2633" s="7">
        <f t="shared" si="200"/>
        <v>3152</v>
      </c>
      <c r="N2633" s="7">
        <f t="shared" si="201"/>
        <v>3508</v>
      </c>
      <c r="O2633" s="2">
        <v>46</v>
      </c>
      <c r="P2633" s="8">
        <f t="shared" si="202"/>
        <v>3554</v>
      </c>
      <c r="Q2633" s="8">
        <f t="shared" si="203"/>
        <v>2720</v>
      </c>
      <c r="R2633" s="2" t="s">
        <v>28</v>
      </c>
      <c r="S2633" s="9">
        <f t="shared" si="204"/>
        <v>71.08</v>
      </c>
    </row>
    <row r="2634" spans="1:19" x14ac:dyDescent="0.3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str">
        <f>IFERROR(VLOOKUP('Customer Info'!A2626,'Customer Info'!A2626:C3125,2,FALSE),"Not Found")</f>
        <v>Not Found</v>
      </c>
      <c r="H2634" s="6" t="str">
        <f>IFERROR(VLOOKUP('Customer Info'!A2626,'Customer Info'!A2626:C3125,3,FALSE),"Not Found")</f>
        <v>Not Found</v>
      </c>
      <c r="I2634" s="6" t="str">
        <f>IFERROR(VLOOKUP('Customer Info'!A2626,'Customer Info'!A2626:E3125,5,FALSE),"Not Found")</f>
        <v>Not Found</v>
      </c>
      <c r="J2634" s="2">
        <v>82</v>
      </c>
      <c r="K2634" s="2">
        <v>79</v>
      </c>
      <c r="L2634" s="2">
        <v>4</v>
      </c>
      <c r="M2634" s="7">
        <f t="shared" si="200"/>
        <v>316</v>
      </c>
      <c r="N2634" s="7">
        <f t="shared" si="201"/>
        <v>328</v>
      </c>
      <c r="O2634" s="2">
        <v>10</v>
      </c>
      <c r="P2634" s="8">
        <f t="shared" si="202"/>
        <v>338</v>
      </c>
      <c r="Q2634" s="8">
        <f t="shared" si="203"/>
        <v>249</v>
      </c>
      <c r="R2634" s="2" t="s">
        <v>50</v>
      </c>
      <c r="S2634" s="9">
        <f t="shared" si="204"/>
        <v>6.76</v>
      </c>
    </row>
    <row r="2635" spans="1:19" x14ac:dyDescent="0.3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str">
        <f>IFERROR(VLOOKUP('Customer Info'!A2627,'Customer Info'!A2627:C3126,2,FALSE),"Not Found")</f>
        <v>Not Found</v>
      </c>
      <c r="H2635" s="6" t="str">
        <f>IFERROR(VLOOKUP('Customer Info'!A2627,'Customer Info'!A2627:C3126,3,FALSE),"Not Found")</f>
        <v>Not Found</v>
      </c>
      <c r="I2635" s="6" t="str">
        <f>IFERROR(VLOOKUP('Customer Info'!A2627,'Customer Info'!A2627:E3126,5,FALSE),"Not Found")</f>
        <v>Not Found</v>
      </c>
      <c r="J2635" s="2">
        <v>1637</v>
      </c>
      <c r="K2635" s="2">
        <v>1591</v>
      </c>
      <c r="L2635" s="2">
        <v>1</v>
      </c>
      <c r="M2635" s="7">
        <f t="shared" ref="M2635:M2698" si="205">$K2635*$L2635</f>
        <v>1591</v>
      </c>
      <c r="N2635" s="7">
        <f t="shared" ref="N2635:N2698" si="206">$J2635*$L2635</f>
        <v>1637</v>
      </c>
      <c r="O2635" s="2">
        <v>85</v>
      </c>
      <c r="P2635" s="8">
        <f t="shared" ref="P2635:P2698" si="207">$N2635+$O2635</f>
        <v>1722</v>
      </c>
      <c r="Q2635" s="8">
        <f t="shared" ref="Q2635:Q2698" si="208">$N2635-$K2635</f>
        <v>46</v>
      </c>
      <c r="R2635" s="2" t="s">
        <v>50</v>
      </c>
      <c r="S2635" s="9">
        <f t="shared" ref="S2635:S2698" si="209" xml:space="preserve"> P2635 * VLOOKUP(P2635, $T$2:$U$6, 2, TRUE)</f>
        <v>34.44</v>
      </c>
    </row>
    <row r="2636" spans="1:19" x14ac:dyDescent="0.3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str">
        <f>IFERROR(VLOOKUP('Customer Info'!A2628,'Customer Info'!A2628:C3127,2,FALSE),"Not Found")</f>
        <v>Not Found</v>
      </c>
      <c r="H2636" s="6" t="str">
        <f>IFERROR(VLOOKUP('Customer Info'!A2628,'Customer Info'!A2628:C3127,3,FALSE),"Not Found")</f>
        <v>Not Found</v>
      </c>
      <c r="I2636" s="6" t="str">
        <f>IFERROR(VLOOKUP('Customer Info'!A2628,'Customer Info'!A2628:E3127,5,FALSE),"Not Found")</f>
        <v>Not Found</v>
      </c>
      <c r="J2636" s="2">
        <v>7534</v>
      </c>
      <c r="K2636" s="2">
        <v>7106</v>
      </c>
      <c r="L2636" s="2">
        <v>2</v>
      </c>
      <c r="M2636" s="7">
        <f t="shared" si="205"/>
        <v>14212</v>
      </c>
      <c r="N2636" s="7">
        <f t="shared" si="206"/>
        <v>15068</v>
      </c>
      <c r="O2636" s="2">
        <v>77</v>
      </c>
      <c r="P2636" s="8">
        <f t="shared" si="207"/>
        <v>15145</v>
      </c>
      <c r="Q2636" s="8">
        <f t="shared" si="208"/>
        <v>7962</v>
      </c>
      <c r="R2636" s="2" t="s">
        <v>28</v>
      </c>
      <c r="S2636" s="9">
        <f t="shared" si="209"/>
        <v>757.25</v>
      </c>
    </row>
    <row r="2637" spans="1:19" x14ac:dyDescent="0.3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str">
        <f>IFERROR(VLOOKUP('Customer Info'!A2629,'Customer Info'!A2629:C3128,2,FALSE),"Not Found")</f>
        <v>Not Found</v>
      </c>
      <c r="H2637" s="6" t="str">
        <f>IFERROR(VLOOKUP('Customer Info'!A2629,'Customer Info'!A2629:C3128,3,FALSE),"Not Found")</f>
        <v>Not Found</v>
      </c>
      <c r="I2637" s="6" t="str">
        <f>IFERROR(VLOOKUP('Customer Info'!A2629,'Customer Info'!A2629:E3128,5,FALSE),"Not Found")</f>
        <v>Not Found</v>
      </c>
      <c r="J2637" s="2">
        <v>2843</v>
      </c>
      <c r="K2637" s="2">
        <v>2735</v>
      </c>
      <c r="L2637" s="2">
        <v>3</v>
      </c>
      <c r="M2637" s="7">
        <f t="shared" si="205"/>
        <v>8205</v>
      </c>
      <c r="N2637" s="7">
        <f t="shared" si="206"/>
        <v>8529</v>
      </c>
      <c r="O2637" s="2">
        <v>23</v>
      </c>
      <c r="P2637" s="8">
        <f t="shared" si="207"/>
        <v>8552</v>
      </c>
      <c r="Q2637" s="8">
        <f t="shared" si="208"/>
        <v>5794</v>
      </c>
      <c r="R2637" s="2" t="s">
        <v>28</v>
      </c>
      <c r="S2637" s="9">
        <f t="shared" si="209"/>
        <v>427.6</v>
      </c>
    </row>
    <row r="2638" spans="1:19" x14ac:dyDescent="0.3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str">
        <f>IFERROR(VLOOKUP('Customer Info'!A2630,'Customer Info'!A2630:C3129,2,FALSE),"Not Found")</f>
        <v>Not Found</v>
      </c>
      <c r="H2638" s="6" t="str">
        <f>IFERROR(VLOOKUP('Customer Info'!A2630,'Customer Info'!A2630:C3129,3,FALSE),"Not Found")</f>
        <v>Not Found</v>
      </c>
      <c r="I2638" s="6" t="str">
        <f>IFERROR(VLOOKUP('Customer Info'!A2630,'Customer Info'!A2630:E3129,5,FALSE),"Not Found")</f>
        <v>Not Found</v>
      </c>
      <c r="J2638" s="2">
        <v>206</v>
      </c>
      <c r="K2638" s="2">
        <v>189</v>
      </c>
      <c r="L2638" s="2">
        <v>4</v>
      </c>
      <c r="M2638" s="7">
        <f t="shared" si="205"/>
        <v>756</v>
      </c>
      <c r="N2638" s="7">
        <f t="shared" si="206"/>
        <v>824</v>
      </c>
      <c r="O2638" s="2">
        <v>30</v>
      </c>
      <c r="P2638" s="8">
        <f t="shared" si="207"/>
        <v>854</v>
      </c>
      <c r="Q2638" s="8">
        <f t="shared" si="208"/>
        <v>635</v>
      </c>
      <c r="R2638" s="2" t="s">
        <v>28</v>
      </c>
      <c r="S2638" s="9">
        <f t="shared" si="209"/>
        <v>17.080000000000002</v>
      </c>
    </row>
    <row r="2639" spans="1:19" x14ac:dyDescent="0.3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str">
        <f>IFERROR(VLOOKUP('Customer Info'!A2631,'Customer Info'!A2631:C3130,2,FALSE),"Not Found")</f>
        <v>Not Found</v>
      </c>
      <c r="H2639" s="6" t="str">
        <f>IFERROR(VLOOKUP('Customer Info'!A2631,'Customer Info'!A2631:C3130,3,FALSE),"Not Found")</f>
        <v>Not Found</v>
      </c>
      <c r="I2639" s="6" t="str">
        <f>IFERROR(VLOOKUP('Customer Info'!A2631,'Customer Info'!A2631:E3130,5,FALSE),"Not Found")</f>
        <v>Not Found</v>
      </c>
      <c r="J2639" s="2">
        <v>3341</v>
      </c>
      <c r="K2639" s="2">
        <v>3152</v>
      </c>
      <c r="L2639" s="2">
        <v>2</v>
      </c>
      <c r="M2639" s="7">
        <f t="shared" si="205"/>
        <v>6304</v>
      </c>
      <c r="N2639" s="7">
        <f t="shared" si="206"/>
        <v>6682</v>
      </c>
      <c r="O2639" s="2">
        <v>84</v>
      </c>
      <c r="P2639" s="8">
        <f t="shared" si="207"/>
        <v>6766</v>
      </c>
      <c r="Q2639" s="8">
        <f t="shared" si="208"/>
        <v>3530</v>
      </c>
      <c r="R2639" s="2" t="s">
        <v>50</v>
      </c>
      <c r="S2639" s="9">
        <f t="shared" si="209"/>
        <v>338.3</v>
      </c>
    </row>
    <row r="2640" spans="1:19" x14ac:dyDescent="0.3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str">
        <f>IFERROR(VLOOKUP('Customer Info'!A2632,'Customer Info'!A2632:C3131,2,FALSE),"Not Found")</f>
        <v>Not Found</v>
      </c>
      <c r="H2640" s="6" t="str">
        <f>IFERROR(VLOOKUP('Customer Info'!A2632,'Customer Info'!A2632:C3131,3,FALSE),"Not Found")</f>
        <v>Not Found</v>
      </c>
      <c r="I2640" s="6" t="str">
        <f>IFERROR(VLOOKUP('Customer Info'!A2632,'Customer Info'!A2632:E3131,5,FALSE),"Not Found")</f>
        <v>Not Found</v>
      </c>
      <c r="J2640" s="2">
        <v>954</v>
      </c>
      <c r="K2640" s="2">
        <v>901</v>
      </c>
      <c r="L2640" s="2">
        <v>2</v>
      </c>
      <c r="M2640" s="7">
        <f t="shared" si="205"/>
        <v>1802</v>
      </c>
      <c r="N2640" s="7">
        <f t="shared" si="206"/>
        <v>1908</v>
      </c>
      <c r="O2640" s="2">
        <v>26</v>
      </c>
      <c r="P2640" s="8">
        <f t="shared" si="207"/>
        <v>1934</v>
      </c>
      <c r="Q2640" s="8">
        <f t="shared" si="208"/>
        <v>1007</v>
      </c>
      <c r="R2640" s="2" t="s">
        <v>50</v>
      </c>
      <c r="S2640" s="9">
        <f t="shared" si="209"/>
        <v>38.68</v>
      </c>
    </row>
    <row r="2641" spans="1:19" x14ac:dyDescent="0.3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str">
        <f>IFERROR(VLOOKUP('Customer Info'!A2633,'Customer Info'!A2633:C3132,2,FALSE),"Not Found")</f>
        <v>Not Found</v>
      </c>
      <c r="H2641" s="6" t="str">
        <f>IFERROR(VLOOKUP('Customer Info'!A2633,'Customer Info'!A2633:C3132,3,FALSE),"Not Found")</f>
        <v>Not Found</v>
      </c>
      <c r="I2641" s="6" t="str">
        <f>IFERROR(VLOOKUP('Customer Info'!A2633,'Customer Info'!A2633:E3132,5,FALSE),"Not Found")</f>
        <v>Not Found</v>
      </c>
      <c r="J2641" s="2">
        <v>139</v>
      </c>
      <c r="K2641" s="2">
        <v>130</v>
      </c>
      <c r="L2641" s="2">
        <v>2</v>
      </c>
      <c r="M2641" s="7">
        <f t="shared" si="205"/>
        <v>260</v>
      </c>
      <c r="N2641" s="7">
        <f t="shared" si="206"/>
        <v>278</v>
      </c>
      <c r="O2641" s="2">
        <v>30</v>
      </c>
      <c r="P2641" s="8">
        <f t="shared" si="207"/>
        <v>308</v>
      </c>
      <c r="Q2641" s="8">
        <f t="shared" si="208"/>
        <v>148</v>
      </c>
      <c r="R2641" s="2" t="s">
        <v>28</v>
      </c>
      <c r="S2641" s="9">
        <f t="shared" si="209"/>
        <v>6.16</v>
      </c>
    </row>
    <row r="2642" spans="1:19" x14ac:dyDescent="0.3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str">
        <f>IFERROR(VLOOKUP('Customer Info'!A2634,'Customer Info'!A2634:C3133,2,FALSE),"Not Found")</f>
        <v>Not Found</v>
      </c>
      <c r="H2642" s="6" t="str">
        <f>IFERROR(VLOOKUP('Customer Info'!A2634,'Customer Info'!A2634:C3133,3,FALSE),"Not Found")</f>
        <v>Not Found</v>
      </c>
      <c r="I2642" s="6" t="str">
        <f>IFERROR(VLOOKUP('Customer Info'!A2634,'Customer Info'!A2634:E3133,5,FALSE),"Not Found")</f>
        <v>Not Found</v>
      </c>
      <c r="J2642" s="2">
        <v>6768</v>
      </c>
      <c r="K2642" s="2">
        <v>6512</v>
      </c>
      <c r="L2642" s="2">
        <v>1</v>
      </c>
      <c r="M2642" s="7">
        <f t="shared" si="205"/>
        <v>6512</v>
      </c>
      <c r="N2642" s="7">
        <f t="shared" si="206"/>
        <v>6768</v>
      </c>
      <c r="O2642" s="2">
        <v>42</v>
      </c>
      <c r="P2642" s="8">
        <f t="shared" si="207"/>
        <v>6810</v>
      </c>
      <c r="Q2642" s="8">
        <f t="shared" si="208"/>
        <v>256</v>
      </c>
      <c r="R2642" s="2" t="s">
        <v>28</v>
      </c>
      <c r="S2642" s="9">
        <f t="shared" si="209"/>
        <v>340.5</v>
      </c>
    </row>
    <row r="2643" spans="1:19" x14ac:dyDescent="0.3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str">
        <f>IFERROR(VLOOKUP('Customer Info'!A2635,'Customer Info'!A2635:C3134,2,FALSE),"Not Found")</f>
        <v>Not Found</v>
      </c>
      <c r="H2643" s="6" t="str">
        <f>IFERROR(VLOOKUP('Customer Info'!A2635,'Customer Info'!A2635:C3134,3,FALSE),"Not Found")</f>
        <v>Not Found</v>
      </c>
      <c r="I2643" s="6" t="str">
        <f>IFERROR(VLOOKUP('Customer Info'!A2635,'Customer Info'!A2635:E3134,5,FALSE),"Not Found")</f>
        <v>Not Found</v>
      </c>
      <c r="J2643" s="2">
        <v>7658</v>
      </c>
      <c r="K2643" s="2">
        <v>7026</v>
      </c>
      <c r="L2643" s="2">
        <v>6</v>
      </c>
      <c r="M2643" s="7">
        <f t="shared" si="205"/>
        <v>42156</v>
      </c>
      <c r="N2643" s="7">
        <f t="shared" si="206"/>
        <v>45948</v>
      </c>
      <c r="O2643" s="2">
        <v>73</v>
      </c>
      <c r="P2643" s="8">
        <f t="shared" si="207"/>
        <v>46021</v>
      </c>
      <c r="Q2643" s="8">
        <f t="shared" si="208"/>
        <v>38922</v>
      </c>
      <c r="R2643" s="2" t="s">
        <v>28</v>
      </c>
      <c r="S2643" s="9">
        <f t="shared" si="209"/>
        <v>3221.4700000000003</v>
      </c>
    </row>
    <row r="2644" spans="1:19" x14ac:dyDescent="0.3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str">
        <f>IFERROR(VLOOKUP('Customer Info'!A2636,'Customer Info'!A2636:C3135,2,FALSE),"Not Found")</f>
        <v>Not Found</v>
      </c>
      <c r="H2644" s="6" t="str">
        <f>IFERROR(VLOOKUP('Customer Info'!A2636,'Customer Info'!A2636:C3135,3,FALSE),"Not Found")</f>
        <v>Not Found</v>
      </c>
      <c r="I2644" s="6" t="str">
        <f>IFERROR(VLOOKUP('Customer Info'!A2636,'Customer Info'!A2636:E3135,5,FALSE),"Not Found")</f>
        <v>Not Found</v>
      </c>
      <c r="J2644" s="2">
        <v>125</v>
      </c>
      <c r="K2644" s="2">
        <v>113</v>
      </c>
      <c r="L2644" s="2">
        <v>2</v>
      </c>
      <c r="M2644" s="7">
        <f t="shared" si="205"/>
        <v>226</v>
      </c>
      <c r="N2644" s="7">
        <f t="shared" si="206"/>
        <v>250</v>
      </c>
      <c r="O2644" s="2">
        <v>30</v>
      </c>
      <c r="P2644" s="8">
        <f t="shared" si="207"/>
        <v>280</v>
      </c>
      <c r="Q2644" s="8">
        <f t="shared" si="208"/>
        <v>137</v>
      </c>
      <c r="R2644" s="2" t="s">
        <v>28</v>
      </c>
      <c r="S2644" s="9">
        <f t="shared" si="209"/>
        <v>5.6000000000000005</v>
      </c>
    </row>
    <row r="2645" spans="1:19" x14ac:dyDescent="0.3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str">
        <f>IFERROR(VLOOKUP('Customer Info'!A2637,'Customer Info'!A2637:C3136,2,FALSE),"Not Found")</f>
        <v>Not Found</v>
      </c>
      <c r="H2645" s="6" t="str">
        <f>IFERROR(VLOOKUP('Customer Info'!A2637,'Customer Info'!A2637:C3136,3,FALSE),"Not Found")</f>
        <v>Not Found</v>
      </c>
      <c r="I2645" s="6" t="str">
        <f>IFERROR(VLOOKUP('Customer Info'!A2637,'Customer Info'!A2637:E3136,5,FALSE),"Not Found")</f>
        <v>Not Found</v>
      </c>
      <c r="J2645" s="2">
        <v>1615</v>
      </c>
      <c r="K2645" s="2">
        <v>1525</v>
      </c>
      <c r="L2645" s="2">
        <v>7</v>
      </c>
      <c r="M2645" s="7">
        <f t="shared" si="205"/>
        <v>10675</v>
      </c>
      <c r="N2645" s="7">
        <f t="shared" si="206"/>
        <v>11305</v>
      </c>
      <c r="O2645" s="2">
        <v>80</v>
      </c>
      <c r="P2645" s="8">
        <f t="shared" si="207"/>
        <v>11385</v>
      </c>
      <c r="Q2645" s="8">
        <f t="shared" si="208"/>
        <v>9780</v>
      </c>
      <c r="R2645" s="2" t="s">
        <v>26</v>
      </c>
      <c r="S2645" s="9">
        <f t="shared" si="209"/>
        <v>569.25</v>
      </c>
    </row>
    <row r="2646" spans="1:19" x14ac:dyDescent="0.3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str">
        <f>IFERROR(VLOOKUP('Customer Info'!A2638,'Customer Info'!A2638:C3137,2,FALSE),"Not Found")</f>
        <v>Not Found</v>
      </c>
      <c r="H2646" s="6" t="str">
        <f>IFERROR(VLOOKUP('Customer Info'!A2638,'Customer Info'!A2638:C3137,3,FALSE),"Not Found")</f>
        <v>Not Found</v>
      </c>
      <c r="I2646" s="6" t="str">
        <f>IFERROR(VLOOKUP('Customer Info'!A2638,'Customer Info'!A2638:E3137,5,FALSE),"Not Found")</f>
        <v>Not Found</v>
      </c>
      <c r="J2646" s="2">
        <v>1619</v>
      </c>
      <c r="K2646" s="2">
        <v>1442</v>
      </c>
      <c r="L2646" s="2">
        <v>4</v>
      </c>
      <c r="M2646" s="7">
        <f t="shared" si="205"/>
        <v>5768</v>
      </c>
      <c r="N2646" s="7">
        <f t="shared" si="206"/>
        <v>6476</v>
      </c>
      <c r="O2646" s="2">
        <v>40</v>
      </c>
      <c r="P2646" s="8">
        <f t="shared" si="207"/>
        <v>6516</v>
      </c>
      <c r="Q2646" s="8">
        <f t="shared" si="208"/>
        <v>5034</v>
      </c>
      <c r="R2646" s="2" t="s">
        <v>28</v>
      </c>
      <c r="S2646" s="9">
        <f t="shared" si="209"/>
        <v>325.8</v>
      </c>
    </row>
    <row r="2647" spans="1:19" x14ac:dyDescent="0.3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str">
        <f>IFERROR(VLOOKUP('Customer Info'!A2639,'Customer Info'!A2639:C3138,2,FALSE),"Not Found")</f>
        <v>Not Found</v>
      </c>
      <c r="H2647" s="6" t="str">
        <f>IFERROR(VLOOKUP('Customer Info'!A2639,'Customer Info'!A2639:C3138,3,FALSE),"Not Found")</f>
        <v>Not Found</v>
      </c>
      <c r="I2647" s="6" t="str">
        <f>IFERROR(VLOOKUP('Customer Info'!A2639,'Customer Info'!A2639:E3138,5,FALSE),"Not Found")</f>
        <v>Not Found</v>
      </c>
      <c r="J2647" s="2">
        <v>135</v>
      </c>
      <c r="K2647" s="2">
        <v>126</v>
      </c>
      <c r="L2647" s="2">
        <v>2</v>
      </c>
      <c r="M2647" s="7">
        <f t="shared" si="205"/>
        <v>252</v>
      </c>
      <c r="N2647" s="7">
        <f t="shared" si="206"/>
        <v>270</v>
      </c>
      <c r="O2647" s="2">
        <v>30</v>
      </c>
      <c r="P2647" s="8">
        <f t="shared" si="207"/>
        <v>300</v>
      </c>
      <c r="Q2647" s="8">
        <f t="shared" si="208"/>
        <v>144</v>
      </c>
      <c r="R2647" s="2" t="s">
        <v>50</v>
      </c>
      <c r="S2647" s="9">
        <f t="shared" si="209"/>
        <v>6</v>
      </c>
    </row>
    <row r="2648" spans="1:19" x14ac:dyDescent="0.3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str">
        <f>IFERROR(VLOOKUP('Customer Info'!A2640,'Customer Info'!A2640:C3139,2,FALSE),"Not Found")</f>
        <v>Not Found</v>
      </c>
      <c r="H2648" s="6" t="str">
        <f>IFERROR(VLOOKUP('Customer Info'!A2640,'Customer Info'!A2640:C3139,3,FALSE),"Not Found")</f>
        <v>Not Found</v>
      </c>
      <c r="I2648" s="6" t="str">
        <f>IFERROR(VLOOKUP('Customer Info'!A2640,'Customer Info'!A2640:E3139,5,FALSE),"Not Found")</f>
        <v>Not Found</v>
      </c>
      <c r="J2648" s="2">
        <v>2088</v>
      </c>
      <c r="K2648" s="2">
        <v>1970</v>
      </c>
      <c r="L2648" s="2">
        <v>2</v>
      </c>
      <c r="M2648" s="7">
        <f t="shared" si="205"/>
        <v>3940</v>
      </c>
      <c r="N2648" s="7">
        <f t="shared" si="206"/>
        <v>4176</v>
      </c>
      <c r="O2648" s="2">
        <v>72</v>
      </c>
      <c r="P2648" s="8">
        <f t="shared" si="207"/>
        <v>4248</v>
      </c>
      <c r="Q2648" s="8">
        <f t="shared" si="208"/>
        <v>2206</v>
      </c>
      <c r="R2648" s="2" t="s">
        <v>28</v>
      </c>
      <c r="S2648" s="9">
        <f t="shared" si="209"/>
        <v>84.960000000000008</v>
      </c>
    </row>
    <row r="2649" spans="1:19" x14ac:dyDescent="0.3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str">
        <f>IFERROR(VLOOKUP('Customer Info'!A2641,'Customer Info'!A2641:C3140,2,FALSE),"Not Found")</f>
        <v>Not Found</v>
      </c>
      <c r="H2649" s="6" t="str">
        <f>IFERROR(VLOOKUP('Customer Info'!A2641,'Customer Info'!A2641:C3140,3,FALSE),"Not Found")</f>
        <v>Not Found</v>
      </c>
      <c r="I2649" s="6" t="str">
        <f>IFERROR(VLOOKUP('Customer Info'!A2641,'Customer Info'!A2641:E3140,5,FALSE),"Not Found")</f>
        <v>Not Found</v>
      </c>
      <c r="J2649" s="2">
        <v>531</v>
      </c>
      <c r="K2649" s="2">
        <v>487</v>
      </c>
      <c r="L2649" s="2">
        <v>6</v>
      </c>
      <c r="M2649" s="7">
        <f t="shared" si="205"/>
        <v>2922</v>
      </c>
      <c r="N2649" s="7">
        <f t="shared" si="206"/>
        <v>3186</v>
      </c>
      <c r="O2649" s="2">
        <v>42</v>
      </c>
      <c r="P2649" s="8">
        <f t="shared" si="207"/>
        <v>3228</v>
      </c>
      <c r="Q2649" s="8">
        <f t="shared" si="208"/>
        <v>2699</v>
      </c>
      <c r="R2649" s="2" t="s">
        <v>50</v>
      </c>
      <c r="S2649" s="9">
        <f t="shared" si="209"/>
        <v>64.56</v>
      </c>
    </row>
    <row r="2650" spans="1:19" x14ac:dyDescent="0.3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str">
        <f>IFERROR(VLOOKUP('Customer Info'!A2642,'Customer Info'!A2642:C3141,2,FALSE),"Not Found")</f>
        <v>Not Found</v>
      </c>
      <c r="H2650" s="6" t="str">
        <f>IFERROR(VLOOKUP('Customer Info'!A2642,'Customer Info'!A2642:C3141,3,FALSE),"Not Found")</f>
        <v>Not Found</v>
      </c>
      <c r="I2650" s="6" t="str">
        <f>IFERROR(VLOOKUP('Customer Info'!A2642,'Customer Info'!A2642:E3141,5,FALSE),"Not Found")</f>
        <v>Not Found</v>
      </c>
      <c r="J2650" s="2">
        <v>4714</v>
      </c>
      <c r="K2650" s="2">
        <v>4323</v>
      </c>
      <c r="L2650" s="2">
        <v>2</v>
      </c>
      <c r="M2650" s="7">
        <f t="shared" si="205"/>
        <v>8646</v>
      </c>
      <c r="N2650" s="7">
        <f t="shared" si="206"/>
        <v>9428</v>
      </c>
      <c r="O2650" s="2">
        <v>85</v>
      </c>
      <c r="P2650" s="8">
        <f t="shared" si="207"/>
        <v>9513</v>
      </c>
      <c r="Q2650" s="8">
        <f t="shared" si="208"/>
        <v>5105</v>
      </c>
      <c r="R2650" s="2" t="s">
        <v>28</v>
      </c>
      <c r="S2650" s="9">
        <f t="shared" si="209"/>
        <v>475.65000000000003</v>
      </c>
    </row>
    <row r="2651" spans="1:19" x14ac:dyDescent="0.3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str">
        <f>IFERROR(VLOOKUP('Customer Info'!A2643,'Customer Info'!A2643:C3142,2,FALSE),"Not Found")</f>
        <v>Not Found</v>
      </c>
      <c r="H2651" s="6" t="str">
        <f>IFERROR(VLOOKUP('Customer Info'!A2643,'Customer Info'!A2643:C3142,3,FALSE),"Not Found")</f>
        <v>Not Found</v>
      </c>
      <c r="I2651" s="6" t="str">
        <f>IFERROR(VLOOKUP('Customer Info'!A2643,'Customer Info'!A2643:E3142,5,FALSE),"Not Found")</f>
        <v>Not Found</v>
      </c>
      <c r="J2651" s="2">
        <v>6635</v>
      </c>
      <c r="K2651" s="2">
        <v>6321</v>
      </c>
      <c r="L2651" s="2">
        <v>2</v>
      </c>
      <c r="M2651" s="7">
        <f t="shared" si="205"/>
        <v>12642</v>
      </c>
      <c r="N2651" s="7">
        <f t="shared" si="206"/>
        <v>13270</v>
      </c>
      <c r="O2651" s="2">
        <v>67</v>
      </c>
      <c r="P2651" s="8">
        <f t="shared" si="207"/>
        <v>13337</v>
      </c>
      <c r="Q2651" s="8">
        <f t="shared" si="208"/>
        <v>6949</v>
      </c>
      <c r="R2651" s="2" t="s">
        <v>50</v>
      </c>
      <c r="S2651" s="9">
        <f t="shared" si="209"/>
        <v>666.85</v>
      </c>
    </row>
    <row r="2652" spans="1:19" x14ac:dyDescent="0.3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str">
        <f>IFERROR(VLOOKUP('Customer Info'!A2644,'Customer Info'!A2644:C3143,2,FALSE),"Not Found")</f>
        <v>Not Found</v>
      </c>
      <c r="H2652" s="6" t="str">
        <f>IFERROR(VLOOKUP('Customer Info'!A2644,'Customer Info'!A2644:C3143,3,FALSE),"Not Found")</f>
        <v>Not Found</v>
      </c>
      <c r="I2652" s="6" t="str">
        <f>IFERROR(VLOOKUP('Customer Info'!A2644,'Customer Info'!A2644:E3143,5,FALSE),"Not Found")</f>
        <v>Not Found</v>
      </c>
      <c r="J2652" s="2">
        <v>2526</v>
      </c>
      <c r="K2652" s="2">
        <v>2408</v>
      </c>
      <c r="L2652" s="2">
        <v>1</v>
      </c>
      <c r="M2652" s="7">
        <f t="shared" si="205"/>
        <v>2408</v>
      </c>
      <c r="N2652" s="7">
        <f t="shared" si="206"/>
        <v>2526</v>
      </c>
      <c r="O2652" s="2">
        <v>42</v>
      </c>
      <c r="P2652" s="8">
        <f t="shared" si="207"/>
        <v>2568</v>
      </c>
      <c r="Q2652" s="8">
        <f t="shared" si="208"/>
        <v>118</v>
      </c>
      <c r="R2652" s="2" t="s">
        <v>28</v>
      </c>
      <c r="S2652" s="9">
        <f t="shared" si="209"/>
        <v>51.36</v>
      </c>
    </row>
    <row r="2653" spans="1:19" x14ac:dyDescent="0.3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str">
        <f>IFERROR(VLOOKUP('Customer Info'!A2645,'Customer Info'!A2645:C3144,2,FALSE),"Not Found")</f>
        <v>Not Found</v>
      </c>
      <c r="H2653" s="6" t="str">
        <f>IFERROR(VLOOKUP('Customer Info'!A2645,'Customer Info'!A2645:C3144,3,FALSE),"Not Found")</f>
        <v>Not Found</v>
      </c>
      <c r="I2653" s="6" t="str">
        <f>IFERROR(VLOOKUP('Customer Info'!A2645,'Customer Info'!A2645:E3144,5,FALSE),"Not Found")</f>
        <v>Not Found</v>
      </c>
      <c r="J2653" s="2">
        <v>7508</v>
      </c>
      <c r="K2653" s="2">
        <v>6956</v>
      </c>
      <c r="L2653" s="2">
        <v>1</v>
      </c>
      <c r="M2653" s="7">
        <f t="shared" si="205"/>
        <v>6956</v>
      </c>
      <c r="N2653" s="7">
        <f t="shared" si="206"/>
        <v>7508</v>
      </c>
      <c r="O2653" s="2">
        <v>26</v>
      </c>
      <c r="P2653" s="8">
        <f t="shared" si="207"/>
        <v>7534</v>
      </c>
      <c r="Q2653" s="8">
        <f t="shared" si="208"/>
        <v>552</v>
      </c>
      <c r="R2653" s="2" t="s">
        <v>28</v>
      </c>
      <c r="S2653" s="9">
        <f t="shared" si="209"/>
        <v>376.70000000000005</v>
      </c>
    </row>
    <row r="2654" spans="1:19" x14ac:dyDescent="0.3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str">
        <f>IFERROR(VLOOKUP('Customer Info'!A2646,'Customer Info'!A2646:C3145,2,FALSE),"Not Found")</f>
        <v>Not Found</v>
      </c>
      <c r="H2654" s="6" t="str">
        <f>IFERROR(VLOOKUP('Customer Info'!A2646,'Customer Info'!A2646:C3145,3,FALSE),"Not Found")</f>
        <v>Not Found</v>
      </c>
      <c r="I2654" s="6" t="str">
        <f>IFERROR(VLOOKUP('Customer Info'!A2646,'Customer Info'!A2646:E3145,5,FALSE),"Not Found")</f>
        <v>Not Found</v>
      </c>
      <c r="J2654" s="2">
        <v>1453</v>
      </c>
      <c r="K2654" s="2">
        <v>1411</v>
      </c>
      <c r="L2654" s="2">
        <v>6</v>
      </c>
      <c r="M2654" s="7">
        <f t="shared" si="205"/>
        <v>8466</v>
      </c>
      <c r="N2654" s="7">
        <f t="shared" si="206"/>
        <v>8718</v>
      </c>
      <c r="O2654" s="2">
        <v>80</v>
      </c>
      <c r="P2654" s="8">
        <f t="shared" si="207"/>
        <v>8798</v>
      </c>
      <c r="Q2654" s="8">
        <f t="shared" si="208"/>
        <v>7307</v>
      </c>
      <c r="R2654" s="2" t="s">
        <v>50</v>
      </c>
      <c r="S2654" s="9">
        <f t="shared" si="209"/>
        <v>439.90000000000003</v>
      </c>
    </row>
    <row r="2655" spans="1:19" x14ac:dyDescent="0.3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str">
        <f>IFERROR(VLOOKUP('Customer Info'!A2647,'Customer Info'!A2647:C3146,2,FALSE),"Not Found")</f>
        <v>Not Found</v>
      </c>
      <c r="H2655" s="6" t="str">
        <f>IFERROR(VLOOKUP('Customer Info'!A2647,'Customer Info'!A2647:C3146,3,FALSE),"Not Found")</f>
        <v>Not Found</v>
      </c>
      <c r="I2655" s="6" t="str">
        <f>IFERROR(VLOOKUP('Customer Info'!A2647,'Customer Info'!A2647:E3146,5,FALSE),"Not Found")</f>
        <v>Not Found</v>
      </c>
      <c r="J2655" s="2">
        <v>4704</v>
      </c>
      <c r="K2655" s="2">
        <v>4361</v>
      </c>
      <c r="L2655" s="2">
        <v>5</v>
      </c>
      <c r="M2655" s="7">
        <f t="shared" si="205"/>
        <v>21805</v>
      </c>
      <c r="N2655" s="7">
        <f t="shared" si="206"/>
        <v>23520</v>
      </c>
      <c r="O2655" s="2">
        <v>28</v>
      </c>
      <c r="P2655" s="8">
        <f t="shared" si="207"/>
        <v>23548</v>
      </c>
      <c r="Q2655" s="8">
        <f t="shared" si="208"/>
        <v>19159</v>
      </c>
      <c r="R2655" s="2" t="s">
        <v>28</v>
      </c>
      <c r="S2655" s="9">
        <f t="shared" si="209"/>
        <v>1177.4000000000001</v>
      </c>
    </row>
    <row r="2656" spans="1:19" x14ac:dyDescent="0.3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str">
        <f>IFERROR(VLOOKUP('Customer Info'!A2648,'Customer Info'!A2648:C3147,2,FALSE),"Not Found")</f>
        <v>Not Found</v>
      </c>
      <c r="H2656" s="6" t="str">
        <f>IFERROR(VLOOKUP('Customer Info'!A2648,'Customer Info'!A2648:C3147,3,FALSE),"Not Found")</f>
        <v>Not Found</v>
      </c>
      <c r="I2656" s="6" t="str">
        <f>IFERROR(VLOOKUP('Customer Info'!A2648,'Customer Info'!A2648:E3147,5,FALSE),"Not Found")</f>
        <v>Not Found</v>
      </c>
      <c r="J2656" s="2">
        <v>465</v>
      </c>
      <c r="K2656" s="2">
        <v>439</v>
      </c>
      <c r="L2656" s="2">
        <v>7</v>
      </c>
      <c r="M2656" s="7">
        <f t="shared" si="205"/>
        <v>3073</v>
      </c>
      <c r="N2656" s="7">
        <f t="shared" si="206"/>
        <v>3255</v>
      </c>
      <c r="O2656" s="2">
        <v>47</v>
      </c>
      <c r="P2656" s="8">
        <f t="shared" si="207"/>
        <v>3302</v>
      </c>
      <c r="Q2656" s="8">
        <f t="shared" si="208"/>
        <v>2816</v>
      </c>
      <c r="R2656" s="2" t="s">
        <v>28</v>
      </c>
      <c r="S2656" s="9">
        <f t="shared" si="209"/>
        <v>66.040000000000006</v>
      </c>
    </row>
    <row r="2657" spans="1:19" x14ac:dyDescent="0.3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str">
        <f>IFERROR(VLOOKUP('Customer Info'!A2649,'Customer Info'!A2649:C3148,2,FALSE),"Not Found")</f>
        <v>Not Found</v>
      </c>
      <c r="H2657" s="6" t="str">
        <f>IFERROR(VLOOKUP('Customer Info'!A2649,'Customer Info'!A2649:C3148,3,FALSE),"Not Found")</f>
        <v>Not Found</v>
      </c>
      <c r="I2657" s="6" t="str">
        <f>IFERROR(VLOOKUP('Customer Info'!A2649,'Customer Info'!A2649:E3148,5,FALSE),"Not Found")</f>
        <v>Not Found</v>
      </c>
      <c r="J2657" s="2">
        <v>6585</v>
      </c>
      <c r="K2657" s="2">
        <v>6105</v>
      </c>
      <c r="L2657" s="2">
        <v>7</v>
      </c>
      <c r="M2657" s="7">
        <f t="shared" si="205"/>
        <v>42735</v>
      </c>
      <c r="N2657" s="7">
        <f t="shared" si="206"/>
        <v>46095</v>
      </c>
      <c r="O2657" s="2">
        <v>42</v>
      </c>
      <c r="P2657" s="8">
        <f t="shared" si="207"/>
        <v>46137</v>
      </c>
      <c r="Q2657" s="8">
        <f t="shared" si="208"/>
        <v>39990</v>
      </c>
      <c r="R2657" s="2" t="s">
        <v>28</v>
      </c>
      <c r="S2657" s="9">
        <f t="shared" si="209"/>
        <v>3229.59</v>
      </c>
    </row>
    <row r="2658" spans="1:19" x14ac:dyDescent="0.3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str">
        <f>IFERROR(VLOOKUP('Customer Info'!A2650,'Customer Info'!A2650:C3149,2,FALSE),"Not Found")</f>
        <v>Not Found</v>
      </c>
      <c r="H2658" s="6" t="str">
        <f>IFERROR(VLOOKUP('Customer Info'!A2650,'Customer Info'!A2650:C3149,3,FALSE),"Not Found")</f>
        <v>Not Found</v>
      </c>
      <c r="I2658" s="6" t="str">
        <f>IFERROR(VLOOKUP('Customer Info'!A2650,'Customer Info'!A2650:E3149,5,FALSE),"Not Found")</f>
        <v>Not Found</v>
      </c>
      <c r="J2658" s="2">
        <v>8665</v>
      </c>
      <c r="K2658" s="2">
        <v>7723</v>
      </c>
      <c r="L2658" s="2">
        <v>1</v>
      </c>
      <c r="M2658" s="7">
        <f t="shared" si="205"/>
        <v>7723</v>
      </c>
      <c r="N2658" s="7">
        <f t="shared" si="206"/>
        <v>8665</v>
      </c>
      <c r="O2658" s="2">
        <v>49</v>
      </c>
      <c r="P2658" s="8">
        <f t="shared" si="207"/>
        <v>8714</v>
      </c>
      <c r="Q2658" s="8">
        <f t="shared" si="208"/>
        <v>942</v>
      </c>
      <c r="R2658" s="2" t="s">
        <v>28</v>
      </c>
      <c r="S2658" s="9">
        <f t="shared" si="209"/>
        <v>435.70000000000005</v>
      </c>
    </row>
    <row r="2659" spans="1:19" x14ac:dyDescent="0.3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str">
        <f>IFERROR(VLOOKUP('Customer Info'!A2651,'Customer Info'!A2651:C3150,2,FALSE),"Not Found")</f>
        <v>Not Found</v>
      </c>
      <c r="H2659" s="6" t="str">
        <f>IFERROR(VLOOKUP('Customer Info'!A2651,'Customer Info'!A2651:C3150,3,FALSE),"Not Found")</f>
        <v>Not Found</v>
      </c>
      <c r="I2659" s="6" t="str">
        <f>IFERROR(VLOOKUP('Customer Info'!A2651,'Customer Info'!A2651:E3150,5,FALSE),"Not Found")</f>
        <v>Not Found</v>
      </c>
      <c r="J2659" s="2">
        <v>7922</v>
      </c>
      <c r="K2659" s="2">
        <v>7328</v>
      </c>
      <c r="L2659" s="2">
        <v>7</v>
      </c>
      <c r="M2659" s="7">
        <f t="shared" si="205"/>
        <v>51296</v>
      </c>
      <c r="N2659" s="7">
        <f t="shared" si="206"/>
        <v>55454</v>
      </c>
      <c r="O2659" s="2">
        <v>76</v>
      </c>
      <c r="P2659" s="8">
        <f t="shared" si="207"/>
        <v>55530</v>
      </c>
      <c r="Q2659" s="8">
        <f t="shared" si="208"/>
        <v>48126</v>
      </c>
      <c r="R2659" s="2" t="s">
        <v>28</v>
      </c>
      <c r="S2659" s="9">
        <f t="shared" si="209"/>
        <v>4997.7</v>
      </c>
    </row>
    <row r="2660" spans="1:19" x14ac:dyDescent="0.3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str">
        <f>IFERROR(VLOOKUP('Customer Info'!A2652,'Customer Info'!A2652:C3151,2,FALSE),"Not Found")</f>
        <v>Not Found</v>
      </c>
      <c r="H2660" s="6" t="str">
        <f>IFERROR(VLOOKUP('Customer Info'!A2652,'Customer Info'!A2652:C3151,3,FALSE),"Not Found")</f>
        <v>Not Found</v>
      </c>
      <c r="I2660" s="6" t="str">
        <f>IFERROR(VLOOKUP('Customer Info'!A2652,'Customer Info'!A2652:E3151,5,FALSE),"Not Found")</f>
        <v>Not Found</v>
      </c>
      <c r="J2660" s="2">
        <v>130</v>
      </c>
      <c r="K2660" s="2">
        <v>122</v>
      </c>
      <c r="L2660" s="2">
        <v>1</v>
      </c>
      <c r="M2660" s="7">
        <f t="shared" si="205"/>
        <v>122</v>
      </c>
      <c r="N2660" s="7">
        <f t="shared" si="206"/>
        <v>130</v>
      </c>
      <c r="O2660" s="2">
        <v>30</v>
      </c>
      <c r="P2660" s="8">
        <f t="shared" si="207"/>
        <v>160</v>
      </c>
      <c r="Q2660" s="8">
        <f t="shared" si="208"/>
        <v>8</v>
      </c>
      <c r="R2660" s="2" t="s">
        <v>50</v>
      </c>
      <c r="S2660" s="9">
        <f t="shared" si="209"/>
        <v>3.2</v>
      </c>
    </row>
    <row r="2661" spans="1:19" x14ac:dyDescent="0.3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str">
        <f>IFERROR(VLOOKUP('Customer Info'!A2653,'Customer Info'!A2653:C3152,2,FALSE),"Not Found")</f>
        <v>Not Found</v>
      </c>
      <c r="H2661" s="6" t="str">
        <f>IFERROR(VLOOKUP('Customer Info'!A2653,'Customer Info'!A2653:C3152,3,FALSE),"Not Found")</f>
        <v>Not Found</v>
      </c>
      <c r="I2661" s="6" t="str">
        <f>IFERROR(VLOOKUP('Customer Info'!A2653,'Customer Info'!A2653:E3152,5,FALSE),"Not Found")</f>
        <v>Not Found</v>
      </c>
      <c r="J2661" s="2">
        <v>851</v>
      </c>
      <c r="K2661" s="2">
        <v>773</v>
      </c>
      <c r="L2661" s="2">
        <v>12</v>
      </c>
      <c r="M2661" s="7">
        <f t="shared" si="205"/>
        <v>9276</v>
      </c>
      <c r="N2661" s="7">
        <f t="shared" si="206"/>
        <v>10212</v>
      </c>
      <c r="O2661" s="2">
        <v>86</v>
      </c>
      <c r="P2661" s="8">
        <f t="shared" si="207"/>
        <v>10298</v>
      </c>
      <c r="Q2661" s="8">
        <f t="shared" si="208"/>
        <v>9439</v>
      </c>
      <c r="R2661" s="2" t="s">
        <v>28</v>
      </c>
      <c r="S2661" s="9">
        <f t="shared" si="209"/>
        <v>514.9</v>
      </c>
    </row>
    <row r="2662" spans="1:19" x14ac:dyDescent="0.3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str">
        <f>IFERROR(VLOOKUP('Customer Info'!A2654,'Customer Info'!A2654:C3153,2,FALSE),"Not Found")</f>
        <v>Not Found</v>
      </c>
      <c r="H2662" s="6" t="str">
        <f>IFERROR(VLOOKUP('Customer Info'!A2654,'Customer Info'!A2654:C3153,3,FALSE),"Not Found")</f>
        <v>Not Found</v>
      </c>
      <c r="I2662" s="6" t="str">
        <f>IFERROR(VLOOKUP('Customer Info'!A2654,'Customer Info'!A2654:E3153,5,FALSE),"Not Found")</f>
        <v>Not Found</v>
      </c>
      <c r="J2662" s="2">
        <v>973</v>
      </c>
      <c r="K2662" s="2">
        <v>910</v>
      </c>
      <c r="L2662" s="2">
        <v>4</v>
      </c>
      <c r="M2662" s="7">
        <f t="shared" si="205"/>
        <v>3640</v>
      </c>
      <c r="N2662" s="7">
        <f t="shared" si="206"/>
        <v>3892</v>
      </c>
      <c r="O2662" s="2">
        <v>74</v>
      </c>
      <c r="P2662" s="8">
        <f t="shared" si="207"/>
        <v>3966</v>
      </c>
      <c r="Q2662" s="8">
        <f t="shared" si="208"/>
        <v>2982</v>
      </c>
      <c r="R2662" s="2" t="s">
        <v>28</v>
      </c>
      <c r="S2662" s="9">
        <f t="shared" si="209"/>
        <v>79.320000000000007</v>
      </c>
    </row>
    <row r="2663" spans="1:19" x14ac:dyDescent="0.3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str">
        <f>IFERROR(VLOOKUP('Customer Info'!A2655,'Customer Info'!A2655:C3154,2,FALSE),"Not Found")</f>
        <v>Not Found</v>
      </c>
      <c r="H2663" s="6" t="str">
        <f>IFERROR(VLOOKUP('Customer Info'!A2655,'Customer Info'!A2655:C3154,3,FALSE),"Not Found")</f>
        <v>Not Found</v>
      </c>
      <c r="I2663" s="6" t="str">
        <f>IFERROR(VLOOKUP('Customer Info'!A2655,'Customer Info'!A2655:E3154,5,FALSE),"Not Found")</f>
        <v>Not Found</v>
      </c>
      <c r="J2663" s="2">
        <v>7327</v>
      </c>
      <c r="K2663" s="2">
        <v>6658</v>
      </c>
      <c r="L2663" s="2">
        <v>6</v>
      </c>
      <c r="M2663" s="7">
        <f t="shared" si="205"/>
        <v>39948</v>
      </c>
      <c r="N2663" s="7">
        <f t="shared" si="206"/>
        <v>43962</v>
      </c>
      <c r="O2663" s="2">
        <v>51</v>
      </c>
      <c r="P2663" s="8">
        <f t="shared" si="207"/>
        <v>44013</v>
      </c>
      <c r="Q2663" s="8">
        <f t="shared" si="208"/>
        <v>37304</v>
      </c>
      <c r="R2663" s="2" t="s">
        <v>50</v>
      </c>
      <c r="S2663" s="9">
        <f t="shared" si="209"/>
        <v>3080.9100000000003</v>
      </c>
    </row>
    <row r="2664" spans="1:19" x14ac:dyDescent="0.3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str">
        <f>IFERROR(VLOOKUP('Customer Info'!A2656,'Customer Info'!A2656:C3155,2,FALSE),"Not Found")</f>
        <v>Not Found</v>
      </c>
      <c r="H2664" s="6" t="str">
        <f>IFERROR(VLOOKUP('Customer Info'!A2656,'Customer Info'!A2656:C3155,3,FALSE),"Not Found")</f>
        <v>Not Found</v>
      </c>
      <c r="I2664" s="6" t="str">
        <f>IFERROR(VLOOKUP('Customer Info'!A2656,'Customer Info'!A2656:E3155,5,FALSE),"Not Found")</f>
        <v>Not Found</v>
      </c>
      <c r="J2664" s="2">
        <v>139</v>
      </c>
      <c r="K2664" s="2">
        <v>130</v>
      </c>
      <c r="L2664" s="2">
        <v>2</v>
      </c>
      <c r="M2664" s="7">
        <f t="shared" si="205"/>
        <v>260</v>
      </c>
      <c r="N2664" s="7">
        <f t="shared" si="206"/>
        <v>278</v>
      </c>
      <c r="O2664" s="2">
        <v>30</v>
      </c>
      <c r="P2664" s="8">
        <f t="shared" si="207"/>
        <v>308</v>
      </c>
      <c r="Q2664" s="8">
        <f t="shared" si="208"/>
        <v>148</v>
      </c>
      <c r="R2664" s="2" t="s">
        <v>28</v>
      </c>
      <c r="S2664" s="9">
        <f t="shared" si="209"/>
        <v>6.16</v>
      </c>
    </row>
    <row r="2665" spans="1:19" x14ac:dyDescent="0.3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str">
        <f>IFERROR(VLOOKUP('Customer Info'!A2657,'Customer Info'!A2657:C3156,2,FALSE),"Not Found")</f>
        <v>Not Found</v>
      </c>
      <c r="H2665" s="6" t="str">
        <f>IFERROR(VLOOKUP('Customer Info'!A2657,'Customer Info'!A2657:C3156,3,FALSE),"Not Found")</f>
        <v>Not Found</v>
      </c>
      <c r="I2665" s="6" t="str">
        <f>IFERROR(VLOOKUP('Customer Info'!A2657,'Customer Info'!A2657:E3156,5,FALSE),"Not Found")</f>
        <v>Not Found</v>
      </c>
      <c r="J2665" s="2">
        <v>123</v>
      </c>
      <c r="K2665" s="2">
        <v>115</v>
      </c>
      <c r="L2665" s="2">
        <v>1</v>
      </c>
      <c r="M2665" s="7">
        <f t="shared" si="205"/>
        <v>115</v>
      </c>
      <c r="N2665" s="7">
        <f t="shared" si="206"/>
        <v>123</v>
      </c>
      <c r="O2665" s="2">
        <v>30</v>
      </c>
      <c r="P2665" s="8">
        <f t="shared" si="207"/>
        <v>153</v>
      </c>
      <c r="Q2665" s="8">
        <f t="shared" si="208"/>
        <v>8</v>
      </c>
      <c r="R2665" s="2" t="s">
        <v>28</v>
      </c>
      <c r="S2665" s="9">
        <f t="shared" si="209"/>
        <v>3.06</v>
      </c>
    </row>
    <row r="2666" spans="1:19" x14ac:dyDescent="0.3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str">
        <f>IFERROR(VLOOKUP('Customer Info'!A2658,'Customer Info'!A2658:C3157,2,FALSE),"Not Found")</f>
        <v>Not Found</v>
      </c>
      <c r="H2666" s="6" t="str">
        <f>IFERROR(VLOOKUP('Customer Info'!A2658,'Customer Info'!A2658:C3157,3,FALSE),"Not Found")</f>
        <v>Not Found</v>
      </c>
      <c r="I2666" s="6" t="str">
        <f>IFERROR(VLOOKUP('Customer Info'!A2658,'Customer Info'!A2658:E3157,5,FALSE),"Not Found")</f>
        <v>Not Found</v>
      </c>
      <c r="J2666" s="2">
        <v>887</v>
      </c>
      <c r="K2666" s="2">
        <v>814</v>
      </c>
      <c r="L2666" s="2">
        <v>5</v>
      </c>
      <c r="M2666" s="7">
        <f t="shared" si="205"/>
        <v>4070</v>
      </c>
      <c r="N2666" s="7">
        <f t="shared" si="206"/>
        <v>4435</v>
      </c>
      <c r="O2666" s="2">
        <v>57</v>
      </c>
      <c r="P2666" s="8">
        <f t="shared" si="207"/>
        <v>4492</v>
      </c>
      <c r="Q2666" s="8">
        <f t="shared" si="208"/>
        <v>3621</v>
      </c>
      <c r="R2666" s="2" t="s">
        <v>28</v>
      </c>
      <c r="S2666" s="9">
        <f t="shared" si="209"/>
        <v>89.84</v>
      </c>
    </row>
    <row r="2667" spans="1:19" x14ac:dyDescent="0.3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str">
        <f>IFERROR(VLOOKUP('Customer Info'!A2659,'Customer Info'!A2659:C3158,2,FALSE),"Not Found")</f>
        <v>Not Found</v>
      </c>
      <c r="H2667" s="6" t="str">
        <f>IFERROR(VLOOKUP('Customer Info'!A2659,'Customer Info'!A2659:C3158,3,FALSE),"Not Found")</f>
        <v>Not Found</v>
      </c>
      <c r="I2667" s="6" t="str">
        <f>IFERROR(VLOOKUP('Customer Info'!A2659,'Customer Info'!A2659:E3158,5,FALSE),"Not Found")</f>
        <v>Not Found</v>
      </c>
      <c r="J2667" s="2">
        <v>82</v>
      </c>
      <c r="K2667" s="2">
        <v>79</v>
      </c>
      <c r="L2667" s="2">
        <v>7</v>
      </c>
      <c r="M2667" s="7">
        <f t="shared" si="205"/>
        <v>553</v>
      </c>
      <c r="N2667" s="7">
        <f t="shared" si="206"/>
        <v>574</v>
      </c>
      <c r="O2667" s="2">
        <v>10</v>
      </c>
      <c r="P2667" s="8">
        <f t="shared" si="207"/>
        <v>584</v>
      </c>
      <c r="Q2667" s="8">
        <f t="shared" si="208"/>
        <v>495</v>
      </c>
      <c r="R2667" s="2" t="s">
        <v>28</v>
      </c>
      <c r="S2667" s="9">
        <f t="shared" si="209"/>
        <v>11.68</v>
      </c>
    </row>
    <row r="2668" spans="1:19" x14ac:dyDescent="0.3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str">
        <f>IFERROR(VLOOKUP('Customer Info'!A2660,'Customer Info'!A2660:C3159,2,FALSE),"Not Found")</f>
        <v>Not Found</v>
      </c>
      <c r="H2668" s="6" t="str">
        <f>IFERROR(VLOOKUP('Customer Info'!A2660,'Customer Info'!A2660:C3159,3,FALSE),"Not Found")</f>
        <v>Not Found</v>
      </c>
      <c r="I2668" s="6" t="str">
        <f>IFERROR(VLOOKUP('Customer Info'!A2660,'Customer Info'!A2660:E3159,5,FALSE),"Not Found")</f>
        <v>Not Found</v>
      </c>
      <c r="J2668" s="2">
        <v>658</v>
      </c>
      <c r="K2668" s="2">
        <v>615</v>
      </c>
      <c r="L2668" s="2">
        <v>4</v>
      </c>
      <c r="M2668" s="7">
        <f t="shared" si="205"/>
        <v>2460</v>
      </c>
      <c r="N2668" s="7">
        <f t="shared" si="206"/>
        <v>2632</v>
      </c>
      <c r="O2668" s="2">
        <v>97</v>
      </c>
      <c r="P2668" s="8">
        <f t="shared" si="207"/>
        <v>2729</v>
      </c>
      <c r="Q2668" s="8">
        <f t="shared" si="208"/>
        <v>2017</v>
      </c>
      <c r="R2668" s="2" t="s">
        <v>28</v>
      </c>
      <c r="S2668" s="9">
        <f t="shared" si="209"/>
        <v>54.58</v>
      </c>
    </row>
    <row r="2669" spans="1:19" x14ac:dyDescent="0.3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str">
        <f>IFERROR(VLOOKUP('Customer Info'!A2661,'Customer Info'!A2661:C3160,2,FALSE),"Not Found")</f>
        <v>Not Found</v>
      </c>
      <c r="H2669" s="6" t="str">
        <f>IFERROR(VLOOKUP('Customer Info'!A2661,'Customer Info'!A2661:C3160,3,FALSE),"Not Found")</f>
        <v>Not Found</v>
      </c>
      <c r="I2669" s="6" t="str">
        <f>IFERROR(VLOOKUP('Customer Info'!A2661,'Customer Info'!A2661:E3160,5,FALSE),"Not Found")</f>
        <v>Not Found</v>
      </c>
      <c r="J2669" s="2">
        <v>60</v>
      </c>
      <c r="K2669" s="2">
        <v>57</v>
      </c>
      <c r="L2669" s="2">
        <v>7</v>
      </c>
      <c r="M2669" s="7">
        <f t="shared" si="205"/>
        <v>399</v>
      </c>
      <c r="N2669" s="7">
        <f t="shared" si="206"/>
        <v>420</v>
      </c>
      <c r="O2669" s="2">
        <v>10</v>
      </c>
      <c r="P2669" s="8">
        <f t="shared" si="207"/>
        <v>430</v>
      </c>
      <c r="Q2669" s="8">
        <f t="shared" si="208"/>
        <v>363</v>
      </c>
      <c r="R2669" s="2" t="s">
        <v>26</v>
      </c>
      <c r="S2669" s="9">
        <f t="shared" si="209"/>
        <v>8.6</v>
      </c>
    </row>
    <row r="2670" spans="1:19" x14ac:dyDescent="0.3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str">
        <f>IFERROR(VLOOKUP('Customer Info'!A2662,'Customer Info'!A2662:C3161,2,FALSE),"Not Found")</f>
        <v>Not Found</v>
      </c>
      <c r="H2670" s="6" t="str">
        <f>IFERROR(VLOOKUP('Customer Info'!A2662,'Customer Info'!A2662:C3161,3,FALSE),"Not Found")</f>
        <v>Not Found</v>
      </c>
      <c r="I2670" s="6" t="str">
        <f>IFERROR(VLOOKUP('Customer Info'!A2662,'Customer Info'!A2662:E3161,5,FALSE),"Not Found")</f>
        <v>Not Found</v>
      </c>
      <c r="J2670" s="2">
        <v>8187</v>
      </c>
      <c r="K2670" s="2">
        <v>7799</v>
      </c>
      <c r="L2670" s="2">
        <v>1</v>
      </c>
      <c r="M2670" s="7">
        <f t="shared" si="205"/>
        <v>7799</v>
      </c>
      <c r="N2670" s="7">
        <f t="shared" si="206"/>
        <v>8187</v>
      </c>
      <c r="O2670" s="2">
        <v>21</v>
      </c>
      <c r="P2670" s="8">
        <f t="shared" si="207"/>
        <v>8208</v>
      </c>
      <c r="Q2670" s="8">
        <f t="shared" si="208"/>
        <v>388</v>
      </c>
      <c r="R2670" s="2" t="s">
        <v>28</v>
      </c>
      <c r="S2670" s="9">
        <f t="shared" si="209"/>
        <v>410.40000000000003</v>
      </c>
    </row>
    <row r="2671" spans="1:19" x14ac:dyDescent="0.3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str">
        <f>IFERROR(VLOOKUP('Customer Info'!A2663,'Customer Info'!A2663:C3162,2,FALSE),"Not Found")</f>
        <v>Not Found</v>
      </c>
      <c r="H2671" s="6" t="str">
        <f>IFERROR(VLOOKUP('Customer Info'!A2663,'Customer Info'!A2663:C3162,3,FALSE),"Not Found")</f>
        <v>Not Found</v>
      </c>
      <c r="I2671" s="6" t="str">
        <f>IFERROR(VLOOKUP('Customer Info'!A2663,'Customer Info'!A2663:E3162,5,FALSE),"Not Found")</f>
        <v>Not Found</v>
      </c>
      <c r="J2671" s="2">
        <v>695</v>
      </c>
      <c r="K2671" s="2">
        <v>661</v>
      </c>
      <c r="L2671" s="2">
        <v>8</v>
      </c>
      <c r="M2671" s="7">
        <f t="shared" si="205"/>
        <v>5288</v>
      </c>
      <c r="N2671" s="7">
        <f t="shared" si="206"/>
        <v>5560</v>
      </c>
      <c r="O2671" s="2">
        <v>86</v>
      </c>
      <c r="P2671" s="8">
        <f t="shared" si="207"/>
        <v>5646</v>
      </c>
      <c r="Q2671" s="8">
        <f t="shared" si="208"/>
        <v>4899</v>
      </c>
      <c r="R2671" s="2" t="s">
        <v>28</v>
      </c>
      <c r="S2671" s="9">
        <f t="shared" si="209"/>
        <v>282.3</v>
      </c>
    </row>
    <row r="2672" spans="1:19" x14ac:dyDescent="0.3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str">
        <f>IFERROR(VLOOKUP('Customer Info'!A2664,'Customer Info'!A2664:C3163,2,FALSE),"Not Found")</f>
        <v>Not Found</v>
      </c>
      <c r="H2672" s="6" t="str">
        <f>IFERROR(VLOOKUP('Customer Info'!A2664,'Customer Info'!A2664:C3163,3,FALSE),"Not Found")</f>
        <v>Not Found</v>
      </c>
      <c r="I2672" s="6" t="str">
        <f>IFERROR(VLOOKUP('Customer Info'!A2664,'Customer Info'!A2664:E3163,5,FALSE),"Not Found")</f>
        <v>Not Found</v>
      </c>
      <c r="J2672" s="2">
        <v>1364</v>
      </c>
      <c r="K2672" s="2">
        <v>1274</v>
      </c>
      <c r="L2672" s="2">
        <v>3</v>
      </c>
      <c r="M2672" s="7">
        <f t="shared" si="205"/>
        <v>3822</v>
      </c>
      <c r="N2672" s="7">
        <f t="shared" si="206"/>
        <v>4092</v>
      </c>
      <c r="O2672" s="2">
        <v>45</v>
      </c>
      <c r="P2672" s="8">
        <f t="shared" si="207"/>
        <v>4137</v>
      </c>
      <c r="Q2672" s="8">
        <f t="shared" si="208"/>
        <v>2818</v>
      </c>
      <c r="R2672" s="2" t="s">
        <v>56</v>
      </c>
      <c r="S2672" s="9">
        <f t="shared" si="209"/>
        <v>82.74</v>
      </c>
    </row>
    <row r="2673" spans="1:19" x14ac:dyDescent="0.3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str">
        <f>IFERROR(VLOOKUP('Customer Info'!A2665,'Customer Info'!A2665:C3164,2,FALSE),"Not Found")</f>
        <v>Not Found</v>
      </c>
      <c r="H2673" s="6" t="str">
        <f>IFERROR(VLOOKUP('Customer Info'!A2665,'Customer Info'!A2665:C3164,3,FALSE),"Not Found")</f>
        <v>Not Found</v>
      </c>
      <c r="I2673" s="6" t="str">
        <f>IFERROR(VLOOKUP('Customer Info'!A2665,'Customer Info'!A2665:E3164,5,FALSE),"Not Found")</f>
        <v>Not Found</v>
      </c>
      <c r="J2673" s="2">
        <v>5836</v>
      </c>
      <c r="K2673" s="2">
        <v>5457</v>
      </c>
      <c r="L2673" s="2">
        <v>2</v>
      </c>
      <c r="M2673" s="7">
        <f t="shared" si="205"/>
        <v>10914</v>
      </c>
      <c r="N2673" s="7">
        <f t="shared" si="206"/>
        <v>11672</v>
      </c>
      <c r="O2673" s="2">
        <v>94</v>
      </c>
      <c r="P2673" s="8">
        <f t="shared" si="207"/>
        <v>11766</v>
      </c>
      <c r="Q2673" s="8">
        <f t="shared" si="208"/>
        <v>6215</v>
      </c>
      <c r="R2673" s="2" t="s">
        <v>50</v>
      </c>
      <c r="S2673" s="9">
        <f t="shared" si="209"/>
        <v>588.30000000000007</v>
      </c>
    </row>
    <row r="2674" spans="1:19" x14ac:dyDescent="0.3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str">
        <f>IFERROR(VLOOKUP('Customer Info'!A2666,'Customer Info'!A2666:C3165,2,FALSE),"Not Found")</f>
        <v>Not Found</v>
      </c>
      <c r="H2674" s="6" t="str">
        <f>IFERROR(VLOOKUP('Customer Info'!A2666,'Customer Info'!A2666:C3165,3,FALSE),"Not Found")</f>
        <v>Not Found</v>
      </c>
      <c r="I2674" s="6" t="str">
        <f>IFERROR(VLOOKUP('Customer Info'!A2666,'Customer Info'!A2666:E3165,5,FALSE),"Not Found")</f>
        <v>Not Found</v>
      </c>
      <c r="J2674" s="2">
        <v>1441</v>
      </c>
      <c r="K2674" s="2">
        <v>1360</v>
      </c>
      <c r="L2674" s="2">
        <v>7</v>
      </c>
      <c r="M2674" s="7">
        <f t="shared" si="205"/>
        <v>9520</v>
      </c>
      <c r="N2674" s="7">
        <f t="shared" si="206"/>
        <v>10087</v>
      </c>
      <c r="O2674" s="2">
        <v>93</v>
      </c>
      <c r="P2674" s="8">
        <f t="shared" si="207"/>
        <v>10180</v>
      </c>
      <c r="Q2674" s="8">
        <f t="shared" si="208"/>
        <v>8727</v>
      </c>
      <c r="R2674" s="2" t="s">
        <v>28</v>
      </c>
      <c r="S2674" s="9">
        <f t="shared" si="209"/>
        <v>509</v>
      </c>
    </row>
    <row r="2675" spans="1:19" x14ac:dyDescent="0.3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str">
        <f>IFERROR(VLOOKUP('Customer Info'!A2667,'Customer Info'!A2667:C3166,2,FALSE),"Not Found")</f>
        <v>Not Found</v>
      </c>
      <c r="H2675" s="6" t="str">
        <f>IFERROR(VLOOKUP('Customer Info'!A2667,'Customer Info'!A2667:C3166,3,FALSE),"Not Found")</f>
        <v>Not Found</v>
      </c>
      <c r="I2675" s="6" t="str">
        <f>IFERROR(VLOOKUP('Customer Info'!A2667,'Customer Info'!A2667:E3166,5,FALSE),"Not Found")</f>
        <v>Not Found</v>
      </c>
      <c r="J2675" s="2">
        <v>25658</v>
      </c>
      <c r="K2675" s="2">
        <v>24466</v>
      </c>
      <c r="L2675" s="2">
        <v>2</v>
      </c>
      <c r="M2675" s="7">
        <f t="shared" si="205"/>
        <v>48932</v>
      </c>
      <c r="N2675" s="7">
        <f t="shared" si="206"/>
        <v>51316</v>
      </c>
      <c r="O2675" s="2">
        <v>33</v>
      </c>
      <c r="P2675" s="8">
        <f t="shared" si="207"/>
        <v>51349</v>
      </c>
      <c r="Q2675" s="8">
        <f t="shared" si="208"/>
        <v>26850</v>
      </c>
      <c r="R2675" s="2" t="s">
        <v>50</v>
      </c>
      <c r="S2675" s="9">
        <f t="shared" si="209"/>
        <v>4621.41</v>
      </c>
    </row>
    <row r="2676" spans="1:19" x14ac:dyDescent="0.3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str">
        <f>IFERROR(VLOOKUP('Customer Info'!A2668,'Customer Info'!A2668:C3167,2,FALSE),"Not Found")</f>
        <v>Not Found</v>
      </c>
      <c r="H2676" s="6" t="str">
        <f>IFERROR(VLOOKUP('Customer Info'!A2668,'Customer Info'!A2668:C3167,3,FALSE),"Not Found")</f>
        <v>Not Found</v>
      </c>
      <c r="I2676" s="6" t="str">
        <f>IFERROR(VLOOKUP('Customer Info'!A2668,'Customer Info'!A2668:E3167,5,FALSE),"Not Found")</f>
        <v>Not Found</v>
      </c>
      <c r="J2676" s="2">
        <v>511</v>
      </c>
      <c r="K2676" s="2">
        <v>468</v>
      </c>
      <c r="L2676" s="2">
        <v>2</v>
      </c>
      <c r="M2676" s="7">
        <f t="shared" si="205"/>
        <v>936</v>
      </c>
      <c r="N2676" s="7">
        <f t="shared" si="206"/>
        <v>1022</v>
      </c>
      <c r="O2676" s="2">
        <v>79</v>
      </c>
      <c r="P2676" s="8">
        <f t="shared" si="207"/>
        <v>1101</v>
      </c>
      <c r="Q2676" s="8">
        <f t="shared" si="208"/>
        <v>554</v>
      </c>
      <c r="R2676" s="2" t="s">
        <v>28</v>
      </c>
      <c r="S2676" s="9">
        <f t="shared" si="209"/>
        <v>22.02</v>
      </c>
    </row>
    <row r="2677" spans="1:19" x14ac:dyDescent="0.3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str">
        <f>IFERROR(VLOOKUP('Customer Info'!A2669,'Customer Info'!A2669:C3168,2,FALSE),"Not Found")</f>
        <v>Not Found</v>
      </c>
      <c r="H2677" s="6" t="str">
        <f>IFERROR(VLOOKUP('Customer Info'!A2669,'Customer Info'!A2669:C3168,3,FALSE),"Not Found")</f>
        <v>Not Found</v>
      </c>
      <c r="I2677" s="6" t="str">
        <f>IFERROR(VLOOKUP('Customer Info'!A2669,'Customer Info'!A2669:E3168,5,FALSE),"Not Found")</f>
        <v>Not Found</v>
      </c>
      <c r="J2677" s="2">
        <v>5882</v>
      </c>
      <c r="K2677" s="2">
        <v>5713</v>
      </c>
      <c r="L2677" s="2">
        <v>1</v>
      </c>
      <c r="M2677" s="7">
        <f t="shared" si="205"/>
        <v>5713</v>
      </c>
      <c r="N2677" s="7">
        <f t="shared" si="206"/>
        <v>5882</v>
      </c>
      <c r="O2677" s="2">
        <v>51</v>
      </c>
      <c r="P2677" s="8">
        <f t="shared" si="207"/>
        <v>5933</v>
      </c>
      <c r="Q2677" s="8">
        <f t="shared" si="208"/>
        <v>169</v>
      </c>
      <c r="R2677" s="2" t="s">
        <v>26</v>
      </c>
      <c r="S2677" s="9">
        <f t="shared" si="209"/>
        <v>296.65000000000003</v>
      </c>
    </row>
    <row r="2678" spans="1:19" x14ac:dyDescent="0.3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str">
        <f>IFERROR(VLOOKUP('Customer Info'!A2670,'Customer Info'!A2670:C3169,2,FALSE),"Not Found")</f>
        <v>Not Found</v>
      </c>
      <c r="H2678" s="6" t="str">
        <f>IFERROR(VLOOKUP('Customer Info'!A2670,'Customer Info'!A2670:C3169,3,FALSE),"Not Found")</f>
        <v>Not Found</v>
      </c>
      <c r="I2678" s="6" t="str">
        <f>IFERROR(VLOOKUP('Customer Info'!A2670,'Customer Info'!A2670:E3169,5,FALSE),"Not Found")</f>
        <v>Not Found</v>
      </c>
      <c r="J2678" s="2">
        <v>1916</v>
      </c>
      <c r="K2678" s="2">
        <v>1844</v>
      </c>
      <c r="L2678" s="2">
        <v>2</v>
      </c>
      <c r="M2678" s="7">
        <f t="shared" si="205"/>
        <v>3688</v>
      </c>
      <c r="N2678" s="7">
        <f t="shared" si="206"/>
        <v>3832</v>
      </c>
      <c r="O2678" s="2">
        <v>100</v>
      </c>
      <c r="P2678" s="8">
        <f t="shared" si="207"/>
        <v>3932</v>
      </c>
      <c r="Q2678" s="8">
        <f t="shared" si="208"/>
        <v>1988</v>
      </c>
      <c r="R2678" s="2" t="s">
        <v>50</v>
      </c>
      <c r="S2678" s="9">
        <f t="shared" si="209"/>
        <v>78.64</v>
      </c>
    </row>
    <row r="2679" spans="1:19" x14ac:dyDescent="0.3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str">
        <f>IFERROR(VLOOKUP('Customer Info'!A2671,'Customer Info'!A2671:C3170,2,FALSE),"Not Found")</f>
        <v>Not Found</v>
      </c>
      <c r="H2679" s="6" t="str">
        <f>IFERROR(VLOOKUP('Customer Info'!A2671,'Customer Info'!A2671:C3170,3,FALSE),"Not Found")</f>
        <v>Not Found</v>
      </c>
      <c r="I2679" s="6" t="str">
        <f>IFERROR(VLOOKUP('Customer Info'!A2671,'Customer Info'!A2671:E3170,5,FALSE),"Not Found")</f>
        <v>Not Found</v>
      </c>
      <c r="J2679" s="2">
        <v>2921</v>
      </c>
      <c r="K2679" s="2">
        <v>2809</v>
      </c>
      <c r="L2679" s="2">
        <v>2</v>
      </c>
      <c r="M2679" s="7">
        <f t="shared" si="205"/>
        <v>5618</v>
      </c>
      <c r="N2679" s="7">
        <f t="shared" si="206"/>
        <v>5842</v>
      </c>
      <c r="O2679" s="2">
        <v>60</v>
      </c>
      <c r="P2679" s="8">
        <f t="shared" si="207"/>
        <v>5902</v>
      </c>
      <c r="Q2679" s="8">
        <f t="shared" si="208"/>
        <v>3033</v>
      </c>
      <c r="R2679" s="2" t="s">
        <v>50</v>
      </c>
      <c r="S2679" s="9">
        <f t="shared" si="209"/>
        <v>295.10000000000002</v>
      </c>
    </row>
    <row r="2680" spans="1:19" x14ac:dyDescent="0.3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str">
        <f>IFERROR(VLOOKUP('Customer Info'!A2672,'Customer Info'!A2672:C3171,2,FALSE),"Not Found")</f>
        <v>Not Found</v>
      </c>
      <c r="H2680" s="6" t="str">
        <f>IFERROR(VLOOKUP('Customer Info'!A2672,'Customer Info'!A2672:C3171,3,FALSE),"Not Found")</f>
        <v>Not Found</v>
      </c>
      <c r="I2680" s="6" t="str">
        <f>IFERROR(VLOOKUP('Customer Info'!A2672,'Customer Info'!A2672:E3171,5,FALSE),"Not Found")</f>
        <v>Not Found</v>
      </c>
      <c r="J2680" s="2">
        <v>125</v>
      </c>
      <c r="K2680" s="2">
        <v>113</v>
      </c>
      <c r="L2680" s="2">
        <v>7</v>
      </c>
      <c r="M2680" s="7">
        <f t="shared" si="205"/>
        <v>791</v>
      </c>
      <c r="N2680" s="7">
        <f t="shared" si="206"/>
        <v>875</v>
      </c>
      <c r="O2680" s="2">
        <v>30</v>
      </c>
      <c r="P2680" s="8">
        <f t="shared" si="207"/>
        <v>905</v>
      </c>
      <c r="Q2680" s="8">
        <f t="shared" si="208"/>
        <v>762</v>
      </c>
      <c r="R2680" s="2" t="s">
        <v>28</v>
      </c>
      <c r="S2680" s="9">
        <f t="shared" si="209"/>
        <v>18.100000000000001</v>
      </c>
    </row>
    <row r="2681" spans="1:19" x14ac:dyDescent="0.3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str">
        <f>IFERROR(VLOOKUP('Customer Info'!A2673,'Customer Info'!A2673:C3172,2,FALSE),"Not Found")</f>
        <v>Not Found</v>
      </c>
      <c r="H2681" s="6" t="str">
        <f>IFERROR(VLOOKUP('Customer Info'!A2673,'Customer Info'!A2673:C3172,3,FALSE),"Not Found")</f>
        <v>Not Found</v>
      </c>
      <c r="I2681" s="6" t="str">
        <f>IFERROR(VLOOKUP('Customer Info'!A2673,'Customer Info'!A2673:E3172,5,FALSE),"Not Found")</f>
        <v>Not Found</v>
      </c>
      <c r="J2681" s="2">
        <v>1601</v>
      </c>
      <c r="K2681" s="2">
        <v>1510</v>
      </c>
      <c r="L2681" s="2">
        <v>5</v>
      </c>
      <c r="M2681" s="7">
        <f t="shared" si="205"/>
        <v>7550</v>
      </c>
      <c r="N2681" s="7">
        <f t="shared" si="206"/>
        <v>8005</v>
      </c>
      <c r="O2681" s="2">
        <v>78</v>
      </c>
      <c r="P2681" s="8">
        <f t="shared" si="207"/>
        <v>8083</v>
      </c>
      <c r="Q2681" s="8">
        <f t="shared" si="208"/>
        <v>6495</v>
      </c>
      <c r="R2681" s="2" t="s">
        <v>28</v>
      </c>
      <c r="S2681" s="9">
        <f t="shared" si="209"/>
        <v>404.15000000000003</v>
      </c>
    </row>
    <row r="2682" spans="1:19" x14ac:dyDescent="0.3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str">
        <f>IFERROR(VLOOKUP('Customer Info'!A2674,'Customer Info'!A2674:C3173,2,FALSE),"Not Found")</f>
        <v>Not Found</v>
      </c>
      <c r="H2682" s="6" t="str">
        <f>IFERROR(VLOOKUP('Customer Info'!A2674,'Customer Info'!A2674:C3173,3,FALSE),"Not Found")</f>
        <v>Not Found</v>
      </c>
      <c r="I2682" s="6" t="str">
        <f>IFERROR(VLOOKUP('Customer Info'!A2674,'Customer Info'!A2674:E3173,5,FALSE),"Not Found")</f>
        <v>Not Found</v>
      </c>
      <c r="J2682" s="2">
        <v>8026</v>
      </c>
      <c r="K2682" s="2">
        <v>7572</v>
      </c>
      <c r="L2682" s="2">
        <v>4</v>
      </c>
      <c r="M2682" s="7">
        <f t="shared" si="205"/>
        <v>30288</v>
      </c>
      <c r="N2682" s="7">
        <f t="shared" si="206"/>
        <v>32104</v>
      </c>
      <c r="O2682" s="2">
        <v>58</v>
      </c>
      <c r="P2682" s="8">
        <f t="shared" si="207"/>
        <v>32162</v>
      </c>
      <c r="Q2682" s="8">
        <f t="shared" si="208"/>
        <v>24532</v>
      </c>
      <c r="R2682" s="2" t="s">
        <v>28</v>
      </c>
      <c r="S2682" s="9">
        <f t="shared" si="209"/>
        <v>2251.34</v>
      </c>
    </row>
    <row r="2683" spans="1:19" x14ac:dyDescent="0.3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str">
        <f>IFERROR(VLOOKUP('Customer Info'!A2675,'Customer Info'!A2675:C3174,2,FALSE),"Not Found")</f>
        <v>Not Found</v>
      </c>
      <c r="H2683" s="6" t="str">
        <f>IFERROR(VLOOKUP('Customer Info'!A2675,'Customer Info'!A2675:C3174,3,FALSE),"Not Found")</f>
        <v>Not Found</v>
      </c>
      <c r="I2683" s="6" t="str">
        <f>IFERROR(VLOOKUP('Customer Info'!A2675,'Customer Info'!A2675:E3174,5,FALSE),"Not Found")</f>
        <v>Not Found</v>
      </c>
      <c r="J2683" s="2">
        <v>8738</v>
      </c>
      <c r="K2683" s="2">
        <v>8162</v>
      </c>
      <c r="L2683" s="2">
        <v>2</v>
      </c>
      <c r="M2683" s="7">
        <f t="shared" si="205"/>
        <v>16324</v>
      </c>
      <c r="N2683" s="7">
        <f t="shared" si="206"/>
        <v>17476</v>
      </c>
      <c r="O2683" s="2">
        <v>43</v>
      </c>
      <c r="P2683" s="8">
        <f t="shared" si="207"/>
        <v>17519</v>
      </c>
      <c r="Q2683" s="8">
        <f t="shared" si="208"/>
        <v>9314</v>
      </c>
      <c r="R2683" s="2" t="s">
        <v>28</v>
      </c>
      <c r="S2683" s="9">
        <f t="shared" si="209"/>
        <v>875.95</v>
      </c>
    </row>
    <row r="2684" spans="1:19" x14ac:dyDescent="0.3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str">
        <f>IFERROR(VLOOKUP('Customer Info'!A2676,'Customer Info'!A2676:C3175,2,FALSE),"Not Found")</f>
        <v>Not Found</v>
      </c>
      <c r="H2684" s="6" t="str">
        <f>IFERROR(VLOOKUP('Customer Info'!A2676,'Customer Info'!A2676:C3175,3,FALSE),"Not Found")</f>
        <v>Not Found</v>
      </c>
      <c r="I2684" s="6" t="str">
        <f>IFERROR(VLOOKUP('Customer Info'!A2676,'Customer Info'!A2676:E3175,5,FALSE),"Not Found")</f>
        <v>Not Found</v>
      </c>
      <c r="J2684" s="2">
        <v>139</v>
      </c>
      <c r="K2684" s="2">
        <v>133</v>
      </c>
      <c r="L2684" s="2">
        <v>3</v>
      </c>
      <c r="M2684" s="7">
        <f t="shared" si="205"/>
        <v>399</v>
      </c>
      <c r="N2684" s="7">
        <f t="shared" si="206"/>
        <v>417</v>
      </c>
      <c r="O2684" s="2">
        <v>30</v>
      </c>
      <c r="P2684" s="8">
        <f t="shared" si="207"/>
        <v>447</v>
      </c>
      <c r="Q2684" s="8">
        <f t="shared" si="208"/>
        <v>284</v>
      </c>
      <c r="R2684" s="2" t="s">
        <v>28</v>
      </c>
      <c r="S2684" s="9">
        <f t="shared" si="209"/>
        <v>8.94</v>
      </c>
    </row>
    <row r="2685" spans="1:19" x14ac:dyDescent="0.3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str">
        <f>IFERROR(VLOOKUP('Customer Info'!A2677,'Customer Info'!A2677:C3176,2,FALSE),"Not Found")</f>
        <v>Not Found</v>
      </c>
      <c r="H2685" s="6" t="str">
        <f>IFERROR(VLOOKUP('Customer Info'!A2677,'Customer Info'!A2677:C3176,3,FALSE),"Not Found")</f>
        <v>Not Found</v>
      </c>
      <c r="I2685" s="6" t="str">
        <f>IFERROR(VLOOKUP('Customer Info'!A2677,'Customer Info'!A2677:E3176,5,FALSE),"Not Found")</f>
        <v>Not Found</v>
      </c>
      <c r="J2685" s="2">
        <v>6024</v>
      </c>
      <c r="K2685" s="2">
        <v>5424</v>
      </c>
      <c r="L2685" s="2">
        <v>3</v>
      </c>
      <c r="M2685" s="7">
        <f t="shared" si="205"/>
        <v>16272</v>
      </c>
      <c r="N2685" s="7">
        <f t="shared" si="206"/>
        <v>18072</v>
      </c>
      <c r="O2685" s="2">
        <v>100</v>
      </c>
      <c r="P2685" s="8">
        <f t="shared" si="207"/>
        <v>18172</v>
      </c>
      <c r="Q2685" s="8">
        <f t="shared" si="208"/>
        <v>12648</v>
      </c>
      <c r="R2685" s="2" t="s">
        <v>28</v>
      </c>
      <c r="S2685" s="9">
        <f t="shared" si="209"/>
        <v>908.6</v>
      </c>
    </row>
    <row r="2686" spans="1:19" x14ac:dyDescent="0.3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str">
        <f>IFERROR(VLOOKUP('Customer Info'!A2678,'Customer Info'!A2678:C3177,2,FALSE),"Not Found")</f>
        <v>Not Found</v>
      </c>
      <c r="H2686" s="6" t="str">
        <f>IFERROR(VLOOKUP('Customer Info'!A2678,'Customer Info'!A2678:C3177,3,FALSE),"Not Found")</f>
        <v>Not Found</v>
      </c>
      <c r="I2686" s="6" t="str">
        <f>IFERROR(VLOOKUP('Customer Info'!A2678,'Customer Info'!A2678:E3177,5,FALSE),"Not Found")</f>
        <v>Not Found</v>
      </c>
      <c r="J2686" s="2">
        <v>6337</v>
      </c>
      <c r="K2686" s="2">
        <v>6215</v>
      </c>
      <c r="L2686" s="2">
        <v>3</v>
      </c>
      <c r="M2686" s="7">
        <f t="shared" si="205"/>
        <v>18645</v>
      </c>
      <c r="N2686" s="7">
        <f t="shared" si="206"/>
        <v>19011</v>
      </c>
      <c r="O2686" s="2">
        <v>64</v>
      </c>
      <c r="P2686" s="8">
        <f t="shared" si="207"/>
        <v>19075</v>
      </c>
      <c r="Q2686" s="8">
        <f t="shared" si="208"/>
        <v>12796</v>
      </c>
      <c r="R2686" s="2" t="s">
        <v>56</v>
      </c>
      <c r="S2686" s="9">
        <f t="shared" si="209"/>
        <v>953.75</v>
      </c>
    </row>
    <row r="2687" spans="1:19" x14ac:dyDescent="0.3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str">
        <f>IFERROR(VLOOKUP('Customer Info'!A2679,'Customer Info'!A2679:C3178,2,FALSE),"Not Found")</f>
        <v>Not Found</v>
      </c>
      <c r="H2687" s="6" t="str">
        <f>IFERROR(VLOOKUP('Customer Info'!A2679,'Customer Info'!A2679:C3178,3,FALSE),"Not Found")</f>
        <v>Not Found</v>
      </c>
      <c r="I2687" s="6" t="str">
        <f>IFERROR(VLOOKUP('Customer Info'!A2679,'Customer Info'!A2679:E3178,5,FALSE),"Not Found")</f>
        <v>Not Found</v>
      </c>
      <c r="J2687" s="2">
        <v>8187</v>
      </c>
      <c r="K2687" s="2">
        <v>7799</v>
      </c>
      <c r="L2687" s="2">
        <v>2</v>
      </c>
      <c r="M2687" s="7">
        <f t="shared" si="205"/>
        <v>15598</v>
      </c>
      <c r="N2687" s="7">
        <f t="shared" si="206"/>
        <v>16374</v>
      </c>
      <c r="O2687" s="2">
        <v>95</v>
      </c>
      <c r="P2687" s="8">
        <f t="shared" si="207"/>
        <v>16469</v>
      </c>
      <c r="Q2687" s="8">
        <f t="shared" si="208"/>
        <v>8575</v>
      </c>
      <c r="R2687" s="2" t="s">
        <v>50</v>
      </c>
      <c r="S2687" s="9">
        <f t="shared" si="209"/>
        <v>823.45</v>
      </c>
    </row>
    <row r="2688" spans="1:19" x14ac:dyDescent="0.3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str">
        <f>IFERROR(VLOOKUP('Customer Info'!A2680,'Customer Info'!A2680:C3179,2,FALSE),"Not Found")</f>
        <v>Not Found</v>
      </c>
      <c r="H2688" s="6" t="str">
        <f>IFERROR(VLOOKUP('Customer Info'!A2680,'Customer Info'!A2680:C3179,3,FALSE),"Not Found")</f>
        <v>Not Found</v>
      </c>
      <c r="I2688" s="6" t="str">
        <f>IFERROR(VLOOKUP('Customer Info'!A2680,'Customer Info'!A2680:E3179,5,FALSE),"Not Found")</f>
        <v>Not Found</v>
      </c>
      <c r="J2688" s="2">
        <v>886</v>
      </c>
      <c r="K2688" s="2">
        <v>796</v>
      </c>
      <c r="L2688" s="2">
        <v>2</v>
      </c>
      <c r="M2688" s="7">
        <f t="shared" si="205"/>
        <v>1592</v>
      </c>
      <c r="N2688" s="7">
        <f t="shared" si="206"/>
        <v>1772</v>
      </c>
      <c r="O2688" s="2">
        <v>52</v>
      </c>
      <c r="P2688" s="8">
        <f t="shared" si="207"/>
        <v>1824</v>
      </c>
      <c r="Q2688" s="8">
        <f t="shared" si="208"/>
        <v>976</v>
      </c>
      <c r="R2688" s="2" t="s">
        <v>56</v>
      </c>
      <c r="S2688" s="9">
        <f t="shared" si="209"/>
        <v>36.480000000000004</v>
      </c>
    </row>
    <row r="2689" spans="1:19" x14ac:dyDescent="0.3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str">
        <f>IFERROR(VLOOKUP('Customer Info'!A2681,'Customer Info'!A2681:C3180,2,FALSE),"Not Found")</f>
        <v>Not Found</v>
      </c>
      <c r="H2689" s="6" t="str">
        <f>IFERROR(VLOOKUP('Customer Info'!A2681,'Customer Info'!A2681:C3180,3,FALSE),"Not Found")</f>
        <v>Not Found</v>
      </c>
      <c r="I2689" s="6" t="str">
        <f>IFERROR(VLOOKUP('Customer Info'!A2681,'Customer Info'!A2681:E3180,5,FALSE),"Not Found")</f>
        <v>Not Found</v>
      </c>
      <c r="J2689" s="2">
        <v>2273</v>
      </c>
      <c r="K2689" s="2">
        <v>2229</v>
      </c>
      <c r="L2689" s="2">
        <v>3</v>
      </c>
      <c r="M2689" s="7">
        <f t="shared" si="205"/>
        <v>6687</v>
      </c>
      <c r="N2689" s="7">
        <f t="shared" si="206"/>
        <v>6819</v>
      </c>
      <c r="O2689" s="2">
        <v>41</v>
      </c>
      <c r="P2689" s="8">
        <f t="shared" si="207"/>
        <v>6860</v>
      </c>
      <c r="Q2689" s="8">
        <f t="shared" si="208"/>
        <v>4590</v>
      </c>
      <c r="R2689" s="2" t="s">
        <v>50</v>
      </c>
      <c r="S2689" s="9">
        <f t="shared" si="209"/>
        <v>343</v>
      </c>
    </row>
    <row r="2690" spans="1:19" x14ac:dyDescent="0.3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str">
        <f>IFERROR(VLOOKUP('Customer Info'!A2682,'Customer Info'!A2682:C3181,2,FALSE),"Not Found")</f>
        <v>Not Found</v>
      </c>
      <c r="H2690" s="6" t="str">
        <f>IFERROR(VLOOKUP('Customer Info'!A2682,'Customer Info'!A2682:C3181,3,FALSE),"Not Found")</f>
        <v>Not Found</v>
      </c>
      <c r="I2690" s="6" t="str">
        <f>IFERROR(VLOOKUP('Customer Info'!A2682,'Customer Info'!A2682:E3181,5,FALSE),"Not Found")</f>
        <v>Not Found</v>
      </c>
      <c r="J2690" s="2">
        <v>1205</v>
      </c>
      <c r="K2690" s="2">
        <v>1159</v>
      </c>
      <c r="L2690" s="2">
        <v>2</v>
      </c>
      <c r="M2690" s="7">
        <f t="shared" si="205"/>
        <v>2318</v>
      </c>
      <c r="N2690" s="7">
        <f t="shared" si="206"/>
        <v>2410</v>
      </c>
      <c r="O2690" s="2">
        <v>71</v>
      </c>
      <c r="P2690" s="8">
        <f t="shared" si="207"/>
        <v>2481</v>
      </c>
      <c r="Q2690" s="8">
        <f t="shared" si="208"/>
        <v>1251</v>
      </c>
      <c r="R2690" s="2" t="s">
        <v>26</v>
      </c>
      <c r="S2690" s="9">
        <f t="shared" si="209"/>
        <v>49.620000000000005</v>
      </c>
    </row>
    <row r="2691" spans="1:19" x14ac:dyDescent="0.3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str">
        <f>IFERROR(VLOOKUP('Customer Info'!A2683,'Customer Info'!A2683:C3182,2,FALSE),"Not Found")</f>
        <v>Not Found</v>
      </c>
      <c r="H2691" s="6" t="str">
        <f>IFERROR(VLOOKUP('Customer Info'!A2683,'Customer Info'!A2683:C3182,3,FALSE),"Not Found")</f>
        <v>Not Found</v>
      </c>
      <c r="I2691" s="6" t="str">
        <f>IFERROR(VLOOKUP('Customer Info'!A2683,'Customer Info'!A2683:E3182,5,FALSE),"Not Found")</f>
        <v>Not Found</v>
      </c>
      <c r="J2691" s="2">
        <v>139</v>
      </c>
      <c r="K2691" s="2">
        <v>133</v>
      </c>
      <c r="L2691" s="2">
        <v>3</v>
      </c>
      <c r="M2691" s="7">
        <f t="shared" si="205"/>
        <v>399</v>
      </c>
      <c r="N2691" s="7">
        <f t="shared" si="206"/>
        <v>417</v>
      </c>
      <c r="O2691" s="2">
        <v>30</v>
      </c>
      <c r="P2691" s="8">
        <f t="shared" si="207"/>
        <v>447</v>
      </c>
      <c r="Q2691" s="8">
        <f t="shared" si="208"/>
        <v>284</v>
      </c>
      <c r="R2691" s="2" t="s">
        <v>28</v>
      </c>
      <c r="S2691" s="9">
        <f t="shared" si="209"/>
        <v>8.94</v>
      </c>
    </row>
    <row r="2692" spans="1:19" x14ac:dyDescent="0.3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str">
        <f>IFERROR(VLOOKUP('Customer Info'!A2684,'Customer Info'!A2684:C3183,2,FALSE),"Not Found")</f>
        <v>Not Found</v>
      </c>
      <c r="H2692" s="6" t="str">
        <f>IFERROR(VLOOKUP('Customer Info'!A2684,'Customer Info'!A2684:C3183,3,FALSE),"Not Found")</f>
        <v>Not Found</v>
      </c>
      <c r="I2692" s="6" t="str">
        <f>IFERROR(VLOOKUP('Customer Info'!A2684,'Customer Info'!A2684:E3183,5,FALSE),"Not Found")</f>
        <v>Not Found</v>
      </c>
      <c r="J2692" s="2">
        <v>3354</v>
      </c>
      <c r="K2692" s="2">
        <v>3102</v>
      </c>
      <c r="L2692" s="2">
        <v>6</v>
      </c>
      <c r="M2692" s="7">
        <f t="shared" si="205"/>
        <v>18612</v>
      </c>
      <c r="N2692" s="7">
        <f t="shared" si="206"/>
        <v>20124</v>
      </c>
      <c r="O2692" s="2">
        <v>41</v>
      </c>
      <c r="P2692" s="8">
        <f t="shared" si="207"/>
        <v>20165</v>
      </c>
      <c r="Q2692" s="8">
        <f t="shared" si="208"/>
        <v>17022</v>
      </c>
      <c r="R2692" s="2" t="s">
        <v>28</v>
      </c>
      <c r="S2692" s="9">
        <f t="shared" si="209"/>
        <v>1008.25</v>
      </c>
    </row>
    <row r="2693" spans="1:19" x14ac:dyDescent="0.3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str">
        <f>IFERROR(VLOOKUP('Customer Info'!A2685,'Customer Info'!A2685:C3184,2,FALSE),"Not Found")</f>
        <v>Not Found</v>
      </c>
      <c r="H2693" s="6" t="str">
        <f>IFERROR(VLOOKUP('Customer Info'!A2685,'Customer Info'!A2685:C3184,3,FALSE),"Not Found")</f>
        <v>Not Found</v>
      </c>
      <c r="I2693" s="6" t="str">
        <f>IFERROR(VLOOKUP('Customer Info'!A2685,'Customer Info'!A2685:E3184,5,FALSE),"Not Found")</f>
        <v>Not Found</v>
      </c>
      <c r="J2693" s="2">
        <v>3192</v>
      </c>
      <c r="K2693" s="2">
        <v>3011</v>
      </c>
      <c r="L2693" s="2">
        <v>4</v>
      </c>
      <c r="M2693" s="7">
        <f t="shared" si="205"/>
        <v>12044</v>
      </c>
      <c r="N2693" s="7">
        <f t="shared" si="206"/>
        <v>12768</v>
      </c>
      <c r="O2693" s="2">
        <v>48</v>
      </c>
      <c r="P2693" s="8">
        <f t="shared" si="207"/>
        <v>12816</v>
      </c>
      <c r="Q2693" s="8">
        <f t="shared" si="208"/>
        <v>9757</v>
      </c>
      <c r="R2693" s="2" t="s">
        <v>50</v>
      </c>
      <c r="S2693" s="9">
        <f t="shared" si="209"/>
        <v>640.80000000000007</v>
      </c>
    </row>
    <row r="2694" spans="1:19" x14ac:dyDescent="0.3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str">
        <f>IFERROR(VLOOKUP('Customer Info'!A2686,'Customer Info'!A2686:C3185,2,FALSE),"Not Found")</f>
        <v>Not Found</v>
      </c>
      <c r="H2694" s="6" t="str">
        <f>IFERROR(VLOOKUP('Customer Info'!A2686,'Customer Info'!A2686:C3185,3,FALSE),"Not Found")</f>
        <v>Not Found</v>
      </c>
      <c r="I2694" s="6" t="str">
        <f>IFERROR(VLOOKUP('Customer Info'!A2686,'Customer Info'!A2686:E3185,5,FALSE),"Not Found")</f>
        <v>Not Found</v>
      </c>
      <c r="J2694" s="2">
        <v>1845</v>
      </c>
      <c r="K2694" s="2">
        <v>1742</v>
      </c>
      <c r="L2694" s="2">
        <v>1</v>
      </c>
      <c r="M2694" s="7">
        <f t="shared" si="205"/>
        <v>1742</v>
      </c>
      <c r="N2694" s="7">
        <f t="shared" si="206"/>
        <v>1845</v>
      </c>
      <c r="O2694" s="2">
        <v>82</v>
      </c>
      <c r="P2694" s="8">
        <f t="shared" si="207"/>
        <v>1927</v>
      </c>
      <c r="Q2694" s="8">
        <f t="shared" si="208"/>
        <v>103</v>
      </c>
      <c r="R2694" s="2" t="s">
        <v>50</v>
      </c>
      <c r="S2694" s="9">
        <f t="shared" si="209"/>
        <v>38.54</v>
      </c>
    </row>
    <row r="2695" spans="1:19" x14ac:dyDescent="0.3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str">
        <f>IFERROR(VLOOKUP('Customer Info'!A2687,'Customer Info'!A2687:C3186,2,FALSE),"Not Found")</f>
        <v>Not Found</v>
      </c>
      <c r="H2695" s="6" t="str">
        <f>IFERROR(VLOOKUP('Customer Info'!A2687,'Customer Info'!A2687:C3186,3,FALSE),"Not Found")</f>
        <v>Not Found</v>
      </c>
      <c r="I2695" s="6" t="str">
        <f>IFERROR(VLOOKUP('Customer Info'!A2687,'Customer Info'!A2687:E3186,5,FALSE),"Not Found")</f>
        <v>Not Found</v>
      </c>
      <c r="J2695" s="2">
        <v>185</v>
      </c>
      <c r="K2695" s="2">
        <v>171</v>
      </c>
      <c r="L2695" s="2">
        <v>3</v>
      </c>
      <c r="M2695" s="7">
        <f t="shared" si="205"/>
        <v>513</v>
      </c>
      <c r="N2695" s="7">
        <f t="shared" si="206"/>
        <v>555</v>
      </c>
      <c r="O2695" s="2">
        <v>30</v>
      </c>
      <c r="P2695" s="8">
        <f t="shared" si="207"/>
        <v>585</v>
      </c>
      <c r="Q2695" s="8">
        <f t="shared" si="208"/>
        <v>384</v>
      </c>
      <c r="R2695" s="2" t="s">
        <v>50</v>
      </c>
      <c r="S2695" s="9">
        <f t="shared" si="209"/>
        <v>11.700000000000001</v>
      </c>
    </row>
    <row r="2696" spans="1:19" x14ac:dyDescent="0.3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str">
        <f>IFERROR(VLOOKUP('Customer Info'!A2688,'Customer Info'!A2688:C3187,2,FALSE),"Not Found")</f>
        <v>Not Found</v>
      </c>
      <c r="H2696" s="6" t="str">
        <f>IFERROR(VLOOKUP('Customer Info'!A2688,'Customer Info'!A2688:C3187,3,FALSE),"Not Found")</f>
        <v>Not Found</v>
      </c>
      <c r="I2696" s="6" t="str">
        <f>IFERROR(VLOOKUP('Customer Info'!A2688,'Customer Info'!A2688:E3187,5,FALSE),"Not Found")</f>
        <v>Not Found</v>
      </c>
      <c r="J2696" s="2">
        <v>932</v>
      </c>
      <c r="K2696" s="2">
        <v>838</v>
      </c>
      <c r="L2696" s="2">
        <v>1</v>
      </c>
      <c r="M2696" s="7">
        <f t="shared" si="205"/>
        <v>838</v>
      </c>
      <c r="N2696" s="7">
        <f t="shared" si="206"/>
        <v>932</v>
      </c>
      <c r="O2696" s="2">
        <v>65</v>
      </c>
      <c r="P2696" s="8">
        <f t="shared" si="207"/>
        <v>997</v>
      </c>
      <c r="Q2696" s="8">
        <f t="shared" si="208"/>
        <v>94</v>
      </c>
      <c r="R2696" s="2" t="s">
        <v>28</v>
      </c>
      <c r="S2696" s="9">
        <f t="shared" si="209"/>
        <v>19.940000000000001</v>
      </c>
    </row>
    <row r="2697" spans="1:19" x14ac:dyDescent="0.3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str">
        <f>IFERROR(VLOOKUP('Customer Info'!A2689,'Customer Info'!A2689:C3188,2,FALSE),"Not Found")</f>
        <v>Not Found</v>
      </c>
      <c r="H2697" s="6" t="str">
        <f>IFERROR(VLOOKUP('Customer Info'!A2689,'Customer Info'!A2689:C3188,3,FALSE),"Not Found")</f>
        <v>Not Found</v>
      </c>
      <c r="I2697" s="6" t="str">
        <f>IFERROR(VLOOKUP('Customer Info'!A2689,'Customer Info'!A2689:E3188,5,FALSE),"Not Found")</f>
        <v>Not Found</v>
      </c>
      <c r="J2697" s="2">
        <v>138</v>
      </c>
      <c r="K2697" s="2">
        <v>128</v>
      </c>
      <c r="L2697" s="2">
        <v>7</v>
      </c>
      <c r="M2697" s="7">
        <f t="shared" si="205"/>
        <v>896</v>
      </c>
      <c r="N2697" s="7">
        <f t="shared" si="206"/>
        <v>966</v>
      </c>
      <c r="O2697" s="2">
        <v>30</v>
      </c>
      <c r="P2697" s="8">
        <f t="shared" si="207"/>
        <v>996</v>
      </c>
      <c r="Q2697" s="8">
        <f t="shared" si="208"/>
        <v>838</v>
      </c>
      <c r="R2697" s="2" t="s">
        <v>28</v>
      </c>
      <c r="S2697" s="9">
        <f t="shared" si="209"/>
        <v>19.920000000000002</v>
      </c>
    </row>
    <row r="2698" spans="1:19" x14ac:dyDescent="0.3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str">
        <f>IFERROR(VLOOKUP('Customer Info'!A2690,'Customer Info'!A2690:C3189,2,FALSE),"Not Found")</f>
        <v>Not Found</v>
      </c>
      <c r="H2698" s="6" t="str">
        <f>IFERROR(VLOOKUP('Customer Info'!A2690,'Customer Info'!A2690:C3189,3,FALSE),"Not Found")</f>
        <v>Not Found</v>
      </c>
      <c r="I2698" s="6" t="str">
        <f>IFERROR(VLOOKUP('Customer Info'!A2690,'Customer Info'!A2690:E3189,5,FALSE),"Not Found")</f>
        <v>Not Found</v>
      </c>
      <c r="J2698" s="2">
        <v>139</v>
      </c>
      <c r="K2698" s="2">
        <v>133</v>
      </c>
      <c r="L2698" s="2">
        <v>3</v>
      </c>
      <c r="M2698" s="7">
        <f t="shared" si="205"/>
        <v>399</v>
      </c>
      <c r="N2698" s="7">
        <f t="shared" si="206"/>
        <v>417</v>
      </c>
      <c r="O2698" s="2">
        <v>30</v>
      </c>
      <c r="P2698" s="8">
        <f t="shared" si="207"/>
        <v>447</v>
      </c>
      <c r="Q2698" s="8">
        <f t="shared" si="208"/>
        <v>284</v>
      </c>
      <c r="R2698" s="2" t="s">
        <v>28</v>
      </c>
      <c r="S2698" s="9">
        <f t="shared" si="209"/>
        <v>8.94</v>
      </c>
    </row>
    <row r="2699" spans="1:19" x14ac:dyDescent="0.3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str">
        <f>IFERROR(VLOOKUP('Customer Info'!A2691,'Customer Info'!A2691:C3190,2,FALSE),"Not Found")</f>
        <v>Not Found</v>
      </c>
      <c r="H2699" s="6" t="str">
        <f>IFERROR(VLOOKUP('Customer Info'!A2691,'Customer Info'!A2691:C3190,3,FALSE),"Not Found")</f>
        <v>Not Found</v>
      </c>
      <c r="I2699" s="6" t="str">
        <f>IFERROR(VLOOKUP('Customer Info'!A2691,'Customer Info'!A2691:E3190,5,FALSE),"Not Found")</f>
        <v>Not Found</v>
      </c>
      <c r="J2699" s="2">
        <v>208</v>
      </c>
      <c r="K2699" s="2">
        <v>187</v>
      </c>
      <c r="L2699" s="2">
        <v>3</v>
      </c>
      <c r="M2699" s="7">
        <f t="shared" ref="M2699:M2762" si="210">$K2699*$L2699</f>
        <v>561</v>
      </c>
      <c r="N2699" s="7">
        <f t="shared" ref="N2699:N2762" si="211">$J2699*$L2699</f>
        <v>624</v>
      </c>
      <c r="O2699" s="2">
        <v>80</v>
      </c>
      <c r="P2699" s="8">
        <f t="shared" ref="P2699:P2762" si="212">$N2699+$O2699</f>
        <v>704</v>
      </c>
      <c r="Q2699" s="8">
        <f t="shared" ref="Q2699:Q2762" si="213">$N2699-$K2699</f>
        <v>437</v>
      </c>
      <c r="R2699" s="2" t="s">
        <v>50</v>
      </c>
      <c r="S2699" s="9">
        <f t="shared" ref="S2699:S2762" si="214" xml:space="preserve"> P2699 * VLOOKUP(P2699, $T$2:$U$6, 2, TRUE)</f>
        <v>14.08</v>
      </c>
    </row>
    <row r="2700" spans="1:19" x14ac:dyDescent="0.3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str">
        <f>IFERROR(VLOOKUP('Customer Info'!A2692,'Customer Info'!A2692:C3191,2,FALSE),"Not Found")</f>
        <v>Not Found</v>
      </c>
      <c r="H2700" s="6" t="str">
        <f>IFERROR(VLOOKUP('Customer Info'!A2692,'Customer Info'!A2692:C3191,3,FALSE),"Not Found")</f>
        <v>Not Found</v>
      </c>
      <c r="I2700" s="6" t="str">
        <f>IFERROR(VLOOKUP('Customer Info'!A2692,'Customer Info'!A2692:E3191,5,FALSE),"Not Found")</f>
        <v>Not Found</v>
      </c>
      <c r="J2700" s="2">
        <v>206</v>
      </c>
      <c r="K2700" s="2">
        <v>189</v>
      </c>
      <c r="L2700" s="2">
        <v>6</v>
      </c>
      <c r="M2700" s="7">
        <f t="shared" si="210"/>
        <v>1134</v>
      </c>
      <c r="N2700" s="7">
        <f t="shared" si="211"/>
        <v>1236</v>
      </c>
      <c r="O2700" s="2">
        <v>30</v>
      </c>
      <c r="P2700" s="8">
        <f t="shared" si="212"/>
        <v>1266</v>
      </c>
      <c r="Q2700" s="8">
        <f t="shared" si="213"/>
        <v>1047</v>
      </c>
      <c r="R2700" s="2" t="s">
        <v>28</v>
      </c>
      <c r="S2700" s="9">
        <f t="shared" si="214"/>
        <v>25.32</v>
      </c>
    </row>
    <row r="2701" spans="1:19" x14ac:dyDescent="0.3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str">
        <f>IFERROR(VLOOKUP('Customer Info'!A2693,'Customer Info'!A2693:C3192,2,FALSE),"Not Found")</f>
        <v>Not Found</v>
      </c>
      <c r="H2701" s="6" t="str">
        <f>IFERROR(VLOOKUP('Customer Info'!A2693,'Customer Info'!A2693:C3192,3,FALSE),"Not Found")</f>
        <v>Not Found</v>
      </c>
      <c r="I2701" s="6" t="str">
        <f>IFERROR(VLOOKUP('Customer Info'!A2693,'Customer Info'!A2693:E3192,5,FALSE),"Not Found")</f>
        <v>Not Found</v>
      </c>
      <c r="J2701" s="2">
        <v>8199</v>
      </c>
      <c r="K2701" s="2">
        <v>7523</v>
      </c>
      <c r="L2701" s="2">
        <v>3</v>
      </c>
      <c r="M2701" s="7">
        <f t="shared" si="210"/>
        <v>22569</v>
      </c>
      <c r="N2701" s="7">
        <f t="shared" si="211"/>
        <v>24597</v>
      </c>
      <c r="O2701" s="2">
        <v>37</v>
      </c>
      <c r="P2701" s="8">
        <f t="shared" si="212"/>
        <v>24634</v>
      </c>
      <c r="Q2701" s="8">
        <f t="shared" si="213"/>
        <v>17074</v>
      </c>
      <c r="R2701" s="2" t="s">
        <v>28</v>
      </c>
      <c r="S2701" s="9">
        <f t="shared" si="214"/>
        <v>1231.7</v>
      </c>
    </row>
    <row r="2702" spans="1:19" x14ac:dyDescent="0.3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str">
        <f>IFERROR(VLOOKUP('Customer Info'!A2694,'Customer Info'!A2694:C3193,2,FALSE),"Not Found")</f>
        <v>Not Found</v>
      </c>
      <c r="H2702" s="6" t="str">
        <f>IFERROR(VLOOKUP('Customer Info'!A2694,'Customer Info'!A2694:C3193,3,FALSE),"Not Found")</f>
        <v>Not Found</v>
      </c>
      <c r="I2702" s="6" t="str">
        <f>IFERROR(VLOOKUP('Customer Info'!A2694,'Customer Info'!A2694:E3193,5,FALSE),"Not Found")</f>
        <v>Not Found</v>
      </c>
      <c r="J2702" s="2">
        <v>681</v>
      </c>
      <c r="K2702" s="2">
        <v>642</v>
      </c>
      <c r="L2702" s="2">
        <v>2</v>
      </c>
      <c r="M2702" s="7">
        <f t="shared" si="210"/>
        <v>1284</v>
      </c>
      <c r="N2702" s="7">
        <f t="shared" si="211"/>
        <v>1362</v>
      </c>
      <c r="O2702" s="2">
        <v>57</v>
      </c>
      <c r="P2702" s="8">
        <f t="shared" si="212"/>
        <v>1419</v>
      </c>
      <c r="Q2702" s="8">
        <f t="shared" si="213"/>
        <v>720</v>
      </c>
      <c r="R2702" s="2" t="s">
        <v>50</v>
      </c>
      <c r="S2702" s="9">
        <f t="shared" si="214"/>
        <v>28.38</v>
      </c>
    </row>
    <row r="2703" spans="1:19" x14ac:dyDescent="0.3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str">
        <f>IFERROR(VLOOKUP('Customer Info'!A2695,'Customer Info'!A2695:C3194,2,FALSE),"Not Found")</f>
        <v>Not Found</v>
      </c>
      <c r="H2703" s="6" t="str">
        <f>IFERROR(VLOOKUP('Customer Info'!A2695,'Customer Info'!A2695:C3194,3,FALSE),"Not Found")</f>
        <v>Not Found</v>
      </c>
      <c r="I2703" s="6" t="str">
        <f>IFERROR(VLOOKUP('Customer Info'!A2695,'Customer Info'!A2695:E3194,5,FALSE),"Not Found")</f>
        <v>Not Found</v>
      </c>
      <c r="J2703" s="2">
        <v>4904</v>
      </c>
      <c r="K2703" s="2">
        <v>4499</v>
      </c>
      <c r="L2703" s="2">
        <v>5</v>
      </c>
      <c r="M2703" s="7">
        <f t="shared" si="210"/>
        <v>22495</v>
      </c>
      <c r="N2703" s="7">
        <f t="shared" si="211"/>
        <v>24520</v>
      </c>
      <c r="O2703" s="2">
        <v>28</v>
      </c>
      <c r="P2703" s="8">
        <f t="shared" si="212"/>
        <v>24548</v>
      </c>
      <c r="Q2703" s="8">
        <f t="shared" si="213"/>
        <v>20021</v>
      </c>
      <c r="R2703" s="2" t="s">
        <v>28</v>
      </c>
      <c r="S2703" s="9">
        <f t="shared" si="214"/>
        <v>1227.4000000000001</v>
      </c>
    </row>
    <row r="2704" spans="1:19" x14ac:dyDescent="0.3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str">
        <f>IFERROR(VLOOKUP('Customer Info'!A2696,'Customer Info'!A2696:C3195,2,FALSE),"Not Found")</f>
        <v>Not Found</v>
      </c>
      <c r="H2704" s="6" t="str">
        <f>IFERROR(VLOOKUP('Customer Info'!A2696,'Customer Info'!A2696:C3195,3,FALSE),"Not Found")</f>
        <v>Not Found</v>
      </c>
      <c r="I2704" s="6" t="str">
        <f>IFERROR(VLOOKUP('Customer Info'!A2696,'Customer Info'!A2696:E3195,5,FALSE),"Not Found")</f>
        <v>Not Found</v>
      </c>
      <c r="J2704" s="2">
        <v>6481</v>
      </c>
      <c r="K2704" s="2">
        <v>5884</v>
      </c>
      <c r="L2704" s="2">
        <v>9</v>
      </c>
      <c r="M2704" s="7">
        <f t="shared" si="210"/>
        <v>52956</v>
      </c>
      <c r="N2704" s="7">
        <f t="shared" si="211"/>
        <v>58329</v>
      </c>
      <c r="O2704" s="2">
        <v>98</v>
      </c>
      <c r="P2704" s="8">
        <f t="shared" si="212"/>
        <v>58427</v>
      </c>
      <c r="Q2704" s="8">
        <f t="shared" si="213"/>
        <v>52445</v>
      </c>
      <c r="R2704" s="2" t="s">
        <v>50</v>
      </c>
      <c r="S2704" s="9">
        <f t="shared" si="214"/>
        <v>5258.4299999999994</v>
      </c>
    </row>
    <row r="2705" spans="1:19" x14ac:dyDescent="0.3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str">
        <f>IFERROR(VLOOKUP('Customer Info'!A2697,'Customer Info'!A2697:C3196,2,FALSE),"Not Found")</f>
        <v>Not Found</v>
      </c>
      <c r="H2705" s="6" t="str">
        <f>IFERROR(VLOOKUP('Customer Info'!A2697,'Customer Info'!A2697:C3196,3,FALSE),"Not Found")</f>
        <v>Not Found</v>
      </c>
      <c r="I2705" s="6" t="str">
        <f>IFERROR(VLOOKUP('Customer Info'!A2697,'Customer Info'!A2697:E3196,5,FALSE),"Not Found")</f>
        <v>Not Found</v>
      </c>
      <c r="J2705" s="2">
        <v>978</v>
      </c>
      <c r="K2705" s="2">
        <v>922</v>
      </c>
      <c r="L2705" s="2">
        <v>2</v>
      </c>
      <c r="M2705" s="7">
        <f t="shared" si="210"/>
        <v>1844</v>
      </c>
      <c r="N2705" s="7">
        <f t="shared" si="211"/>
        <v>1956</v>
      </c>
      <c r="O2705" s="2">
        <v>94</v>
      </c>
      <c r="P2705" s="8">
        <f t="shared" si="212"/>
        <v>2050</v>
      </c>
      <c r="Q2705" s="8">
        <f t="shared" si="213"/>
        <v>1034</v>
      </c>
      <c r="R2705" s="2" t="s">
        <v>28</v>
      </c>
      <c r="S2705" s="9">
        <f t="shared" si="214"/>
        <v>41</v>
      </c>
    </row>
    <row r="2706" spans="1:19" x14ac:dyDescent="0.3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str">
        <f>IFERROR(VLOOKUP('Customer Info'!A2698,'Customer Info'!A2698:C3197,2,FALSE),"Not Found")</f>
        <v>Not Found</v>
      </c>
      <c r="H2706" s="6" t="str">
        <f>IFERROR(VLOOKUP('Customer Info'!A2698,'Customer Info'!A2698:C3197,3,FALSE),"Not Found")</f>
        <v>Not Found</v>
      </c>
      <c r="I2706" s="6" t="str">
        <f>IFERROR(VLOOKUP('Customer Info'!A2698,'Customer Info'!A2698:E3197,5,FALSE),"Not Found")</f>
        <v>Not Found</v>
      </c>
      <c r="J2706" s="2">
        <v>1587</v>
      </c>
      <c r="K2706" s="2">
        <v>1428</v>
      </c>
      <c r="L2706" s="2">
        <v>7</v>
      </c>
      <c r="M2706" s="7">
        <f t="shared" si="210"/>
        <v>9996</v>
      </c>
      <c r="N2706" s="7">
        <f t="shared" si="211"/>
        <v>11109</v>
      </c>
      <c r="O2706" s="2">
        <v>27</v>
      </c>
      <c r="P2706" s="8">
        <f t="shared" si="212"/>
        <v>11136</v>
      </c>
      <c r="Q2706" s="8">
        <f t="shared" si="213"/>
        <v>9681</v>
      </c>
      <c r="R2706" s="2" t="s">
        <v>28</v>
      </c>
      <c r="S2706" s="9">
        <f t="shared" si="214"/>
        <v>556.80000000000007</v>
      </c>
    </row>
    <row r="2707" spans="1:19" x14ac:dyDescent="0.3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str">
        <f>IFERROR(VLOOKUP('Customer Info'!A2699,'Customer Info'!A2699:C3198,2,FALSE),"Not Found")</f>
        <v>Not Found</v>
      </c>
      <c r="H2707" s="6" t="str">
        <f>IFERROR(VLOOKUP('Customer Info'!A2699,'Customer Info'!A2699:C3198,3,FALSE),"Not Found")</f>
        <v>Not Found</v>
      </c>
      <c r="I2707" s="6" t="str">
        <f>IFERROR(VLOOKUP('Customer Info'!A2699,'Customer Info'!A2699:E3198,5,FALSE),"Not Found")</f>
        <v>Not Found</v>
      </c>
      <c r="J2707" s="2">
        <v>165</v>
      </c>
      <c r="K2707" s="2">
        <v>149</v>
      </c>
      <c r="L2707" s="2">
        <v>5</v>
      </c>
      <c r="M2707" s="7">
        <f t="shared" si="210"/>
        <v>745</v>
      </c>
      <c r="N2707" s="7">
        <f t="shared" si="211"/>
        <v>825</v>
      </c>
      <c r="O2707" s="2">
        <v>30</v>
      </c>
      <c r="P2707" s="8">
        <f t="shared" si="212"/>
        <v>855</v>
      </c>
      <c r="Q2707" s="8">
        <f t="shared" si="213"/>
        <v>676</v>
      </c>
      <c r="R2707" s="2" t="s">
        <v>28</v>
      </c>
      <c r="S2707" s="9">
        <f t="shared" si="214"/>
        <v>17.100000000000001</v>
      </c>
    </row>
    <row r="2708" spans="1:19" x14ac:dyDescent="0.3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str">
        <f>IFERROR(VLOOKUP('Customer Info'!A2700,'Customer Info'!A2700:C3199,2,FALSE),"Not Found")</f>
        <v>Not Found</v>
      </c>
      <c r="H2708" s="6" t="str">
        <f>IFERROR(VLOOKUP('Customer Info'!A2700,'Customer Info'!A2700:C3199,3,FALSE),"Not Found")</f>
        <v>Not Found</v>
      </c>
      <c r="I2708" s="6" t="str">
        <f>IFERROR(VLOOKUP('Customer Info'!A2700,'Customer Info'!A2700:E3199,5,FALSE),"Not Found")</f>
        <v>Not Found</v>
      </c>
      <c r="J2708" s="2">
        <v>92</v>
      </c>
      <c r="K2708" s="2">
        <v>85</v>
      </c>
      <c r="L2708" s="2">
        <v>1</v>
      </c>
      <c r="M2708" s="7">
        <f t="shared" si="210"/>
        <v>85</v>
      </c>
      <c r="N2708" s="7">
        <f t="shared" si="211"/>
        <v>92</v>
      </c>
      <c r="O2708" s="2">
        <v>10</v>
      </c>
      <c r="P2708" s="8">
        <f t="shared" si="212"/>
        <v>102</v>
      </c>
      <c r="Q2708" s="8">
        <f t="shared" si="213"/>
        <v>7</v>
      </c>
      <c r="R2708" s="2" t="s">
        <v>28</v>
      </c>
      <c r="S2708" s="9">
        <f t="shared" si="214"/>
        <v>2.04</v>
      </c>
    </row>
    <row r="2709" spans="1:19" x14ac:dyDescent="0.3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str">
        <f>IFERROR(VLOOKUP('Customer Info'!A2701,'Customer Info'!A2701:C3200,2,FALSE),"Not Found")</f>
        <v>Not Found</v>
      </c>
      <c r="H2709" s="6" t="str">
        <f>IFERROR(VLOOKUP('Customer Info'!A2701,'Customer Info'!A2701:C3200,3,FALSE),"Not Found")</f>
        <v>Not Found</v>
      </c>
      <c r="I2709" s="6" t="str">
        <f>IFERROR(VLOOKUP('Customer Info'!A2701,'Customer Info'!A2701:E3200,5,FALSE),"Not Found")</f>
        <v>Not Found</v>
      </c>
      <c r="J2709" s="2">
        <v>1169</v>
      </c>
      <c r="K2709" s="2">
        <v>1103</v>
      </c>
      <c r="L2709" s="2">
        <v>1</v>
      </c>
      <c r="M2709" s="7">
        <f t="shared" si="210"/>
        <v>1103</v>
      </c>
      <c r="N2709" s="7">
        <f t="shared" si="211"/>
        <v>1169</v>
      </c>
      <c r="O2709" s="2">
        <v>34</v>
      </c>
      <c r="P2709" s="8">
        <f t="shared" si="212"/>
        <v>1203</v>
      </c>
      <c r="Q2709" s="8">
        <f t="shared" si="213"/>
        <v>66</v>
      </c>
      <c r="R2709" s="2" t="s">
        <v>28</v>
      </c>
      <c r="S2709" s="9">
        <f t="shared" si="214"/>
        <v>24.060000000000002</v>
      </c>
    </row>
    <row r="2710" spans="1:19" x14ac:dyDescent="0.3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str">
        <f>IFERROR(VLOOKUP('Customer Info'!A2702,'Customer Info'!A2702:C3201,2,FALSE),"Not Found")</f>
        <v>Not Found</v>
      </c>
      <c r="H2710" s="6" t="str">
        <f>IFERROR(VLOOKUP('Customer Info'!A2702,'Customer Info'!A2702:C3201,3,FALSE),"Not Found")</f>
        <v>Not Found</v>
      </c>
      <c r="I2710" s="6" t="str">
        <f>IFERROR(VLOOKUP('Customer Info'!A2702,'Customer Info'!A2702:E3201,5,FALSE),"Not Found")</f>
        <v>Not Found</v>
      </c>
      <c r="J2710" s="2">
        <v>2243</v>
      </c>
      <c r="K2710" s="2">
        <v>2000</v>
      </c>
      <c r="L2710" s="2">
        <v>3</v>
      </c>
      <c r="M2710" s="7">
        <f t="shared" si="210"/>
        <v>6000</v>
      </c>
      <c r="N2710" s="7">
        <f t="shared" si="211"/>
        <v>6729</v>
      </c>
      <c r="O2710" s="2">
        <v>85</v>
      </c>
      <c r="P2710" s="8">
        <f t="shared" si="212"/>
        <v>6814</v>
      </c>
      <c r="Q2710" s="8">
        <f t="shared" si="213"/>
        <v>4729</v>
      </c>
      <c r="R2710" s="2" t="s">
        <v>28</v>
      </c>
      <c r="S2710" s="9">
        <f t="shared" si="214"/>
        <v>340.70000000000005</v>
      </c>
    </row>
    <row r="2711" spans="1:19" x14ac:dyDescent="0.3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str">
        <f>IFERROR(VLOOKUP('Customer Info'!A2703,'Customer Info'!A2703:C3202,2,FALSE),"Not Found")</f>
        <v>Not Found</v>
      </c>
      <c r="H2711" s="6" t="str">
        <f>IFERROR(VLOOKUP('Customer Info'!A2703,'Customer Info'!A2703:C3202,3,FALSE),"Not Found")</f>
        <v>Not Found</v>
      </c>
      <c r="I2711" s="6" t="str">
        <f>IFERROR(VLOOKUP('Customer Info'!A2703,'Customer Info'!A2703:E3202,5,FALSE),"Not Found")</f>
        <v>Not Found</v>
      </c>
      <c r="J2711" s="2">
        <v>139</v>
      </c>
      <c r="K2711" s="2">
        <v>133</v>
      </c>
      <c r="L2711" s="2">
        <v>3</v>
      </c>
      <c r="M2711" s="7">
        <f t="shared" si="210"/>
        <v>399</v>
      </c>
      <c r="N2711" s="7">
        <f t="shared" si="211"/>
        <v>417</v>
      </c>
      <c r="O2711" s="2">
        <v>30</v>
      </c>
      <c r="P2711" s="8">
        <f t="shared" si="212"/>
        <v>447</v>
      </c>
      <c r="Q2711" s="8">
        <f t="shared" si="213"/>
        <v>284</v>
      </c>
      <c r="R2711" s="2" t="s">
        <v>28</v>
      </c>
      <c r="S2711" s="9">
        <f t="shared" si="214"/>
        <v>8.94</v>
      </c>
    </row>
    <row r="2712" spans="1:19" x14ac:dyDescent="0.3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str">
        <f>IFERROR(VLOOKUP('Customer Info'!A2704,'Customer Info'!A2704:C3203,2,FALSE),"Not Found")</f>
        <v>Not Found</v>
      </c>
      <c r="H2712" s="6" t="str">
        <f>IFERROR(VLOOKUP('Customer Info'!A2704,'Customer Info'!A2704:C3203,3,FALSE),"Not Found")</f>
        <v>Not Found</v>
      </c>
      <c r="I2712" s="6" t="str">
        <f>IFERROR(VLOOKUP('Customer Info'!A2704,'Customer Info'!A2704:E3203,5,FALSE),"Not Found")</f>
        <v>Not Found</v>
      </c>
      <c r="J2712" s="2">
        <v>7922</v>
      </c>
      <c r="K2712" s="2">
        <v>7328</v>
      </c>
      <c r="L2712" s="2">
        <v>2</v>
      </c>
      <c r="M2712" s="7">
        <f t="shared" si="210"/>
        <v>14656</v>
      </c>
      <c r="N2712" s="7">
        <f t="shared" si="211"/>
        <v>15844</v>
      </c>
      <c r="O2712" s="2">
        <v>83</v>
      </c>
      <c r="P2712" s="8">
        <f t="shared" si="212"/>
        <v>15927</v>
      </c>
      <c r="Q2712" s="8">
        <f t="shared" si="213"/>
        <v>8516</v>
      </c>
      <c r="R2712" s="2" t="s">
        <v>28</v>
      </c>
      <c r="S2712" s="9">
        <f t="shared" si="214"/>
        <v>796.35</v>
      </c>
    </row>
    <row r="2713" spans="1:19" x14ac:dyDescent="0.3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str">
        <f>IFERROR(VLOOKUP('Customer Info'!A2705,'Customer Info'!A2705:C3204,2,FALSE),"Not Found")</f>
        <v>Not Found</v>
      </c>
      <c r="H2713" s="6" t="str">
        <f>IFERROR(VLOOKUP('Customer Info'!A2705,'Customer Info'!A2705:C3204,3,FALSE),"Not Found")</f>
        <v>Not Found</v>
      </c>
      <c r="I2713" s="6" t="str">
        <f>IFERROR(VLOOKUP('Customer Info'!A2705,'Customer Info'!A2705:E3204,5,FALSE),"Not Found")</f>
        <v>Not Found</v>
      </c>
      <c r="J2713" s="2">
        <v>4704</v>
      </c>
      <c r="K2713" s="2">
        <v>4361</v>
      </c>
      <c r="L2713" s="2">
        <v>1</v>
      </c>
      <c r="M2713" s="7">
        <f t="shared" si="210"/>
        <v>4361</v>
      </c>
      <c r="N2713" s="7">
        <f t="shared" si="211"/>
        <v>4704</v>
      </c>
      <c r="O2713" s="2">
        <v>91</v>
      </c>
      <c r="P2713" s="8">
        <f t="shared" si="212"/>
        <v>4795</v>
      </c>
      <c r="Q2713" s="8">
        <f t="shared" si="213"/>
        <v>343</v>
      </c>
      <c r="R2713" s="2" t="s">
        <v>28</v>
      </c>
      <c r="S2713" s="9">
        <f t="shared" si="214"/>
        <v>95.9</v>
      </c>
    </row>
    <row r="2714" spans="1:19" x14ac:dyDescent="0.3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str">
        <f>IFERROR(VLOOKUP('Customer Info'!A2706,'Customer Info'!A2706:C3205,2,FALSE),"Not Found")</f>
        <v>Not Found</v>
      </c>
      <c r="H2714" s="6" t="str">
        <f>IFERROR(VLOOKUP('Customer Info'!A2706,'Customer Info'!A2706:C3205,3,FALSE),"Not Found")</f>
        <v>Not Found</v>
      </c>
      <c r="I2714" s="6" t="str">
        <f>IFERROR(VLOOKUP('Customer Info'!A2706,'Customer Info'!A2706:E3205,5,FALSE),"Not Found")</f>
        <v>Not Found</v>
      </c>
      <c r="J2714" s="2">
        <v>119</v>
      </c>
      <c r="K2714" s="2">
        <v>112</v>
      </c>
      <c r="L2714" s="2">
        <v>2</v>
      </c>
      <c r="M2714" s="7">
        <f t="shared" si="210"/>
        <v>224</v>
      </c>
      <c r="N2714" s="7">
        <f t="shared" si="211"/>
        <v>238</v>
      </c>
      <c r="O2714" s="2">
        <v>30</v>
      </c>
      <c r="P2714" s="8">
        <f t="shared" si="212"/>
        <v>268</v>
      </c>
      <c r="Q2714" s="8">
        <f t="shared" si="213"/>
        <v>126</v>
      </c>
      <c r="R2714" s="2" t="s">
        <v>28</v>
      </c>
      <c r="S2714" s="9">
        <f t="shared" si="214"/>
        <v>5.36</v>
      </c>
    </row>
    <row r="2715" spans="1:19" x14ac:dyDescent="0.3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str">
        <f>IFERROR(VLOOKUP('Customer Info'!A2707,'Customer Info'!A2707:C3206,2,FALSE),"Not Found")</f>
        <v>Not Found</v>
      </c>
      <c r="H2715" s="6" t="str">
        <f>IFERROR(VLOOKUP('Customer Info'!A2707,'Customer Info'!A2707:C3206,3,FALSE),"Not Found")</f>
        <v>Not Found</v>
      </c>
      <c r="I2715" s="6" t="str">
        <f>IFERROR(VLOOKUP('Customer Info'!A2707,'Customer Info'!A2707:E3206,5,FALSE),"Not Found")</f>
        <v>Not Found</v>
      </c>
      <c r="J2715" s="2">
        <v>6717</v>
      </c>
      <c r="K2715" s="2">
        <v>6288</v>
      </c>
      <c r="L2715" s="2">
        <v>6</v>
      </c>
      <c r="M2715" s="7">
        <f t="shared" si="210"/>
        <v>37728</v>
      </c>
      <c r="N2715" s="7">
        <f t="shared" si="211"/>
        <v>40302</v>
      </c>
      <c r="O2715" s="2">
        <v>20</v>
      </c>
      <c r="P2715" s="8">
        <f t="shared" si="212"/>
        <v>40322</v>
      </c>
      <c r="Q2715" s="8">
        <f t="shared" si="213"/>
        <v>34014</v>
      </c>
      <c r="R2715" s="2" t="s">
        <v>28</v>
      </c>
      <c r="S2715" s="9">
        <f t="shared" si="214"/>
        <v>2822.5400000000004</v>
      </c>
    </row>
    <row r="2716" spans="1:19" x14ac:dyDescent="0.3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str">
        <f>IFERROR(VLOOKUP('Customer Info'!A2708,'Customer Info'!A2708:C3207,2,FALSE),"Not Found")</f>
        <v>Not Found</v>
      </c>
      <c r="H2716" s="6" t="str">
        <f>IFERROR(VLOOKUP('Customer Info'!A2708,'Customer Info'!A2708:C3207,3,FALSE),"Not Found")</f>
        <v>Not Found</v>
      </c>
      <c r="I2716" s="6" t="str">
        <f>IFERROR(VLOOKUP('Customer Info'!A2708,'Customer Info'!A2708:E3207,5,FALSE),"Not Found")</f>
        <v>Not Found</v>
      </c>
      <c r="J2716" s="2">
        <v>2042</v>
      </c>
      <c r="K2716" s="2">
        <v>1965</v>
      </c>
      <c r="L2716" s="2">
        <v>1</v>
      </c>
      <c r="M2716" s="7">
        <f t="shared" si="210"/>
        <v>1965</v>
      </c>
      <c r="N2716" s="7">
        <f t="shared" si="211"/>
        <v>2042</v>
      </c>
      <c r="O2716" s="2">
        <v>49</v>
      </c>
      <c r="P2716" s="8">
        <f t="shared" si="212"/>
        <v>2091</v>
      </c>
      <c r="Q2716" s="8">
        <f t="shared" si="213"/>
        <v>77</v>
      </c>
      <c r="R2716" s="2" t="s">
        <v>28</v>
      </c>
      <c r="S2716" s="9">
        <f t="shared" si="214"/>
        <v>41.82</v>
      </c>
    </row>
    <row r="2717" spans="1:19" x14ac:dyDescent="0.3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str">
        <f>IFERROR(VLOOKUP('Customer Info'!A2709,'Customer Info'!A2709:C3208,2,FALSE),"Not Found")</f>
        <v>Not Found</v>
      </c>
      <c r="H2717" s="6" t="str">
        <f>IFERROR(VLOOKUP('Customer Info'!A2709,'Customer Info'!A2709:C3208,3,FALSE),"Not Found")</f>
        <v>Not Found</v>
      </c>
      <c r="I2717" s="6" t="str">
        <f>IFERROR(VLOOKUP('Customer Info'!A2709,'Customer Info'!A2709:E3208,5,FALSE),"Not Found")</f>
        <v>Not Found</v>
      </c>
      <c r="J2717" s="2">
        <v>1983</v>
      </c>
      <c r="K2717" s="2">
        <v>1908</v>
      </c>
      <c r="L2717" s="2">
        <v>1</v>
      </c>
      <c r="M2717" s="7">
        <f t="shared" si="210"/>
        <v>1908</v>
      </c>
      <c r="N2717" s="7">
        <f t="shared" si="211"/>
        <v>1983</v>
      </c>
      <c r="O2717" s="2">
        <v>29</v>
      </c>
      <c r="P2717" s="8">
        <f t="shared" si="212"/>
        <v>2012</v>
      </c>
      <c r="Q2717" s="8">
        <f t="shared" si="213"/>
        <v>75</v>
      </c>
      <c r="R2717" s="2" t="s">
        <v>50</v>
      </c>
      <c r="S2717" s="9">
        <f t="shared" si="214"/>
        <v>40.24</v>
      </c>
    </row>
    <row r="2718" spans="1:19" x14ac:dyDescent="0.3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str">
        <f>IFERROR(VLOOKUP('Customer Info'!A2710,'Customer Info'!A2710:C3209,2,FALSE),"Not Found")</f>
        <v>Not Found</v>
      </c>
      <c r="H2718" s="6" t="str">
        <f>IFERROR(VLOOKUP('Customer Info'!A2710,'Customer Info'!A2710:C3209,3,FALSE),"Not Found")</f>
        <v>Not Found</v>
      </c>
      <c r="I2718" s="6" t="str">
        <f>IFERROR(VLOOKUP('Customer Info'!A2710,'Customer Info'!A2710:E3209,5,FALSE),"Not Found")</f>
        <v>Not Found</v>
      </c>
      <c r="J2718" s="2">
        <v>6520</v>
      </c>
      <c r="K2718" s="2">
        <v>5985</v>
      </c>
      <c r="L2718" s="2">
        <v>4</v>
      </c>
      <c r="M2718" s="7">
        <f t="shared" si="210"/>
        <v>23940</v>
      </c>
      <c r="N2718" s="7">
        <f t="shared" si="211"/>
        <v>26080</v>
      </c>
      <c r="O2718" s="2">
        <v>43</v>
      </c>
      <c r="P2718" s="8">
        <f t="shared" si="212"/>
        <v>26123</v>
      </c>
      <c r="Q2718" s="8">
        <f t="shared" si="213"/>
        <v>20095</v>
      </c>
      <c r="R2718" s="2" t="s">
        <v>28</v>
      </c>
      <c r="S2718" s="9">
        <f t="shared" si="214"/>
        <v>1828.6100000000001</v>
      </c>
    </row>
    <row r="2719" spans="1:19" x14ac:dyDescent="0.3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str">
        <f>IFERROR(VLOOKUP('Customer Info'!A2711,'Customer Info'!A2711:C3210,2,FALSE),"Not Found")</f>
        <v>Not Found</v>
      </c>
      <c r="H2719" s="6" t="str">
        <f>IFERROR(VLOOKUP('Customer Info'!A2711,'Customer Info'!A2711:C3210,3,FALSE),"Not Found")</f>
        <v>Not Found</v>
      </c>
      <c r="I2719" s="6" t="str">
        <f>IFERROR(VLOOKUP('Customer Info'!A2711,'Customer Info'!A2711:E3210,5,FALSE),"Not Found")</f>
        <v>Not Found</v>
      </c>
      <c r="J2719" s="2">
        <v>1081</v>
      </c>
      <c r="K2719" s="2">
        <v>983</v>
      </c>
      <c r="L2719" s="2">
        <v>2</v>
      </c>
      <c r="M2719" s="7">
        <f t="shared" si="210"/>
        <v>1966</v>
      </c>
      <c r="N2719" s="7">
        <f t="shared" si="211"/>
        <v>2162</v>
      </c>
      <c r="O2719" s="2">
        <v>71</v>
      </c>
      <c r="P2719" s="8">
        <f t="shared" si="212"/>
        <v>2233</v>
      </c>
      <c r="Q2719" s="8">
        <f t="shared" si="213"/>
        <v>1179</v>
      </c>
      <c r="R2719" s="2" t="s">
        <v>50</v>
      </c>
      <c r="S2719" s="9">
        <f t="shared" si="214"/>
        <v>44.660000000000004</v>
      </c>
    </row>
    <row r="2720" spans="1:19" x14ac:dyDescent="0.3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str">
        <f>IFERROR(VLOOKUP('Customer Info'!A2712,'Customer Info'!A2712:C3211,2,FALSE),"Not Found")</f>
        <v>Not Found</v>
      </c>
      <c r="H2720" s="6" t="str">
        <f>IFERROR(VLOOKUP('Customer Info'!A2712,'Customer Info'!A2712:C3211,3,FALSE),"Not Found")</f>
        <v>Not Found</v>
      </c>
      <c r="I2720" s="6" t="str">
        <f>IFERROR(VLOOKUP('Customer Info'!A2712,'Customer Info'!A2712:E3211,5,FALSE),"Not Found")</f>
        <v>Not Found</v>
      </c>
      <c r="J2720" s="2">
        <v>1798</v>
      </c>
      <c r="K2720" s="2">
        <v>1666</v>
      </c>
      <c r="L2720" s="2">
        <v>2</v>
      </c>
      <c r="M2720" s="7">
        <f t="shared" si="210"/>
        <v>3332</v>
      </c>
      <c r="N2720" s="7">
        <f t="shared" si="211"/>
        <v>3596</v>
      </c>
      <c r="O2720" s="2">
        <v>36</v>
      </c>
      <c r="P2720" s="8">
        <f t="shared" si="212"/>
        <v>3632</v>
      </c>
      <c r="Q2720" s="8">
        <f t="shared" si="213"/>
        <v>1930</v>
      </c>
      <c r="R2720" s="2" t="s">
        <v>50</v>
      </c>
      <c r="S2720" s="9">
        <f t="shared" si="214"/>
        <v>72.64</v>
      </c>
    </row>
    <row r="2721" spans="1:19" x14ac:dyDescent="0.3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str">
        <f>IFERROR(VLOOKUP('Customer Info'!A2713,'Customer Info'!A2713:C3212,2,FALSE),"Not Found")</f>
        <v>Not Found</v>
      </c>
      <c r="H2721" s="6" t="str">
        <f>IFERROR(VLOOKUP('Customer Info'!A2713,'Customer Info'!A2713:C3212,3,FALSE),"Not Found")</f>
        <v>Not Found</v>
      </c>
      <c r="I2721" s="6" t="str">
        <f>IFERROR(VLOOKUP('Customer Info'!A2713,'Customer Info'!A2713:E3212,5,FALSE),"Not Found")</f>
        <v>Not Found</v>
      </c>
      <c r="J2721" s="2">
        <v>877</v>
      </c>
      <c r="K2721" s="2">
        <v>788</v>
      </c>
      <c r="L2721" s="2">
        <v>3</v>
      </c>
      <c r="M2721" s="7">
        <f t="shared" si="210"/>
        <v>2364</v>
      </c>
      <c r="N2721" s="7">
        <f t="shared" si="211"/>
        <v>2631</v>
      </c>
      <c r="O2721" s="2">
        <v>47</v>
      </c>
      <c r="P2721" s="8">
        <f t="shared" si="212"/>
        <v>2678</v>
      </c>
      <c r="Q2721" s="8">
        <f t="shared" si="213"/>
        <v>1843</v>
      </c>
      <c r="R2721" s="2" t="s">
        <v>28</v>
      </c>
      <c r="S2721" s="9">
        <f t="shared" si="214"/>
        <v>53.56</v>
      </c>
    </row>
    <row r="2722" spans="1:19" x14ac:dyDescent="0.3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str">
        <f>IFERROR(VLOOKUP('Customer Info'!A2714,'Customer Info'!A2714:C3213,2,FALSE),"Not Found")</f>
        <v>Not Found</v>
      </c>
      <c r="H2722" s="6" t="str">
        <f>IFERROR(VLOOKUP('Customer Info'!A2714,'Customer Info'!A2714:C3213,3,FALSE),"Not Found")</f>
        <v>Not Found</v>
      </c>
      <c r="I2722" s="6" t="str">
        <f>IFERROR(VLOOKUP('Customer Info'!A2714,'Customer Info'!A2714:E3213,5,FALSE),"Not Found")</f>
        <v>Not Found</v>
      </c>
      <c r="J2722" s="2">
        <v>526</v>
      </c>
      <c r="K2722" s="2">
        <v>487</v>
      </c>
      <c r="L2722" s="2">
        <v>2</v>
      </c>
      <c r="M2722" s="7">
        <f t="shared" si="210"/>
        <v>974</v>
      </c>
      <c r="N2722" s="7">
        <f t="shared" si="211"/>
        <v>1052</v>
      </c>
      <c r="O2722" s="2">
        <v>49</v>
      </c>
      <c r="P2722" s="8">
        <f t="shared" si="212"/>
        <v>1101</v>
      </c>
      <c r="Q2722" s="8">
        <f t="shared" si="213"/>
        <v>565</v>
      </c>
      <c r="R2722" s="2" t="s">
        <v>26</v>
      </c>
      <c r="S2722" s="9">
        <f t="shared" si="214"/>
        <v>22.02</v>
      </c>
    </row>
    <row r="2723" spans="1:19" x14ac:dyDescent="0.3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str">
        <f>IFERROR(VLOOKUP('Customer Info'!A2715,'Customer Info'!A2715:C3214,2,FALSE),"Not Found")</f>
        <v>Not Found</v>
      </c>
      <c r="H2723" s="6" t="str">
        <f>IFERROR(VLOOKUP('Customer Info'!A2715,'Customer Info'!A2715:C3214,3,FALSE),"Not Found")</f>
        <v>Not Found</v>
      </c>
      <c r="I2723" s="6" t="str">
        <f>IFERROR(VLOOKUP('Customer Info'!A2715,'Customer Info'!A2715:E3214,5,FALSE),"Not Found")</f>
        <v>Not Found</v>
      </c>
      <c r="J2723" s="2">
        <v>210</v>
      </c>
      <c r="K2723" s="2">
        <v>191</v>
      </c>
      <c r="L2723" s="2">
        <v>1</v>
      </c>
      <c r="M2723" s="7">
        <f t="shared" si="210"/>
        <v>191</v>
      </c>
      <c r="N2723" s="7">
        <f t="shared" si="211"/>
        <v>210</v>
      </c>
      <c r="O2723" s="2">
        <v>76</v>
      </c>
      <c r="P2723" s="8">
        <f t="shared" si="212"/>
        <v>286</v>
      </c>
      <c r="Q2723" s="8">
        <f t="shared" si="213"/>
        <v>19</v>
      </c>
      <c r="R2723" s="2" t="s">
        <v>28</v>
      </c>
      <c r="S2723" s="9">
        <f t="shared" si="214"/>
        <v>5.72</v>
      </c>
    </row>
    <row r="2724" spans="1:19" x14ac:dyDescent="0.3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str">
        <f>IFERROR(VLOOKUP('Customer Info'!A2716,'Customer Info'!A2716:C3215,2,FALSE),"Not Found")</f>
        <v>Not Found</v>
      </c>
      <c r="H2724" s="6" t="str">
        <f>IFERROR(VLOOKUP('Customer Info'!A2716,'Customer Info'!A2716:C3215,3,FALSE),"Not Found")</f>
        <v>Not Found</v>
      </c>
      <c r="I2724" s="6" t="str">
        <f>IFERROR(VLOOKUP('Customer Info'!A2716,'Customer Info'!A2716:E3215,5,FALSE),"Not Found")</f>
        <v>Not Found</v>
      </c>
      <c r="J2724" s="2">
        <v>1058</v>
      </c>
      <c r="K2724" s="2">
        <v>989</v>
      </c>
      <c r="L2724" s="2">
        <v>2</v>
      </c>
      <c r="M2724" s="7">
        <f t="shared" si="210"/>
        <v>1978</v>
      </c>
      <c r="N2724" s="7">
        <f t="shared" si="211"/>
        <v>2116</v>
      </c>
      <c r="O2724" s="2">
        <v>26</v>
      </c>
      <c r="P2724" s="8">
        <f t="shared" si="212"/>
        <v>2142</v>
      </c>
      <c r="Q2724" s="8">
        <f t="shared" si="213"/>
        <v>1127</v>
      </c>
      <c r="R2724" s="2" t="s">
        <v>50</v>
      </c>
      <c r="S2724" s="9">
        <f t="shared" si="214"/>
        <v>42.84</v>
      </c>
    </row>
    <row r="2725" spans="1:19" x14ac:dyDescent="0.3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str">
        <f>IFERROR(VLOOKUP('Customer Info'!A2717,'Customer Info'!A2717:C3216,2,FALSE),"Not Found")</f>
        <v>Not Found</v>
      </c>
      <c r="H2725" s="6" t="str">
        <f>IFERROR(VLOOKUP('Customer Info'!A2717,'Customer Info'!A2717:C3216,3,FALSE),"Not Found")</f>
        <v>Not Found</v>
      </c>
      <c r="I2725" s="6" t="str">
        <f>IFERROR(VLOOKUP('Customer Info'!A2717,'Customer Info'!A2717:E3216,5,FALSE),"Not Found")</f>
        <v>Not Found</v>
      </c>
      <c r="J2725" s="2">
        <v>2342</v>
      </c>
      <c r="K2725" s="2">
        <v>2210</v>
      </c>
      <c r="L2725" s="2">
        <v>1</v>
      </c>
      <c r="M2725" s="7">
        <f t="shared" si="210"/>
        <v>2210</v>
      </c>
      <c r="N2725" s="7">
        <f t="shared" si="211"/>
        <v>2342</v>
      </c>
      <c r="O2725" s="2">
        <v>83</v>
      </c>
      <c r="P2725" s="8">
        <f t="shared" si="212"/>
        <v>2425</v>
      </c>
      <c r="Q2725" s="8">
        <f t="shared" si="213"/>
        <v>132</v>
      </c>
      <c r="R2725" s="2" t="s">
        <v>28</v>
      </c>
      <c r="S2725" s="9">
        <f t="shared" si="214"/>
        <v>48.5</v>
      </c>
    </row>
    <row r="2726" spans="1:19" x14ac:dyDescent="0.3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str">
        <f>IFERROR(VLOOKUP('Customer Info'!A2718,'Customer Info'!A2718:C3217,2,FALSE),"Not Found")</f>
        <v>Not Found</v>
      </c>
      <c r="H2726" s="6" t="str">
        <f>IFERROR(VLOOKUP('Customer Info'!A2718,'Customer Info'!A2718:C3217,3,FALSE),"Not Found")</f>
        <v>Not Found</v>
      </c>
      <c r="I2726" s="6" t="str">
        <f>IFERROR(VLOOKUP('Customer Info'!A2718,'Customer Info'!A2718:E3217,5,FALSE),"Not Found")</f>
        <v>Not Found</v>
      </c>
      <c r="J2726" s="2">
        <v>139</v>
      </c>
      <c r="K2726" s="2">
        <v>133</v>
      </c>
      <c r="L2726" s="2">
        <v>3</v>
      </c>
      <c r="M2726" s="7">
        <f t="shared" si="210"/>
        <v>399</v>
      </c>
      <c r="N2726" s="7">
        <f t="shared" si="211"/>
        <v>417</v>
      </c>
      <c r="O2726" s="2">
        <v>30</v>
      </c>
      <c r="P2726" s="8">
        <f t="shared" si="212"/>
        <v>447</v>
      </c>
      <c r="Q2726" s="8">
        <f t="shared" si="213"/>
        <v>284</v>
      </c>
      <c r="R2726" s="2" t="s">
        <v>28</v>
      </c>
      <c r="S2726" s="9">
        <f t="shared" si="214"/>
        <v>8.94</v>
      </c>
    </row>
    <row r="2727" spans="1:19" x14ac:dyDescent="0.3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str">
        <f>IFERROR(VLOOKUP('Customer Info'!A2719,'Customer Info'!A2719:C3218,2,FALSE),"Not Found")</f>
        <v>Not Found</v>
      </c>
      <c r="H2727" s="6" t="str">
        <f>IFERROR(VLOOKUP('Customer Info'!A2719,'Customer Info'!A2719:C3218,3,FALSE),"Not Found")</f>
        <v>Not Found</v>
      </c>
      <c r="I2727" s="6" t="str">
        <f>IFERROR(VLOOKUP('Customer Info'!A2719,'Customer Info'!A2719:E3218,5,FALSE),"Not Found")</f>
        <v>Not Found</v>
      </c>
      <c r="J2727" s="2">
        <v>100</v>
      </c>
      <c r="K2727" s="2">
        <v>95</v>
      </c>
      <c r="L2727" s="2">
        <v>3</v>
      </c>
      <c r="M2727" s="7">
        <f t="shared" si="210"/>
        <v>285</v>
      </c>
      <c r="N2727" s="7">
        <f t="shared" si="211"/>
        <v>300</v>
      </c>
      <c r="O2727" s="2">
        <v>10</v>
      </c>
      <c r="P2727" s="8">
        <f t="shared" si="212"/>
        <v>310</v>
      </c>
      <c r="Q2727" s="8">
        <f t="shared" si="213"/>
        <v>205</v>
      </c>
      <c r="R2727" s="2" t="s">
        <v>28</v>
      </c>
      <c r="S2727" s="9">
        <f t="shared" si="214"/>
        <v>6.2</v>
      </c>
    </row>
    <row r="2728" spans="1:19" x14ac:dyDescent="0.3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str">
        <f>IFERROR(VLOOKUP('Customer Info'!A2720,'Customer Info'!A2720:C3219,2,FALSE),"Not Found")</f>
        <v>Not Found</v>
      </c>
      <c r="H2728" s="6" t="str">
        <f>IFERROR(VLOOKUP('Customer Info'!A2720,'Customer Info'!A2720:C3219,3,FALSE),"Not Found")</f>
        <v>Not Found</v>
      </c>
      <c r="I2728" s="6" t="str">
        <f>IFERROR(VLOOKUP('Customer Info'!A2720,'Customer Info'!A2720:E3219,5,FALSE),"Not Found")</f>
        <v>Not Found</v>
      </c>
      <c r="J2728" s="2">
        <v>1721</v>
      </c>
      <c r="K2728" s="2">
        <v>1640</v>
      </c>
      <c r="L2728" s="2">
        <v>3</v>
      </c>
      <c r="M2728" s="7">
        <f t="shared" si="210"/>
        <v>4920</v>
      </c>
      <c r="N2728" s="7">
        <f t="shared" si="211"/>
        <v>5163</v>
      </c>
      <c r="O2728" s="2">
        <v>32</v>
      </c>
      <c r="P2728" s="8">
        <f t="shared" si="212"/>
        <v>5195</v>
      </c>
      <c r="Q2728" s="8">
        <f t="shared" si="213"/>
        <v>3523</v>
      </c>
      <c r="R2728" s="2" t="s">
        <v>50</v>
      </c>
      <c r="S2728" s="9">
        <f t="shared" si="214"/>
        <v>259.75</v>
      </c>
    </row>
    <row r="2729" spans="1:19" x14ac:dyDescent="0.3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str">
        <f>IFERROR(VLOOKUP('Customer Info'!A2721,'Customer Info'!A2721:C3220,2,FALSE),"Not Found")</f>
        <v>Not Found</v>
      </c>
      <c r="H2729" s="6" t="str">
        <f>IFERROR(VLOOKUP('Customer Info'!A2721,'Customer Info'!A2721:C3220,3,FALSE),"Not Found")</f>
        <v>Not Found</v>
      </c>
      <c r="I2729" s="6" t="str">
        <f>IFERROR(VLOOKUP('Customer Info'!A2721,'Customer Info'!A2721:E3220,5,FALSE),"Not Found")</f>
        <v>Not Found</v>
      </c>
      <c r="J2729" s="2">
        <v>695</v>
      </c>
      <c r="K2729" s="2">
        <v>661</v>
      </c>
      <c r="L2729" s="2">
        <v>3</v>
      </c>
      <c r="M2729" s="7">
        <f t="shared" si="210"/>
        <v>1983</v>
      </c>
      <c r="N2729" s="7">
        <f t="shared" si="211"/>
        <v>2085</v>
      </c>
      <c r="O2729" s="2">
        <v>58</v>
      </c>
      <c r="P2729" s="8">
        <f t="shared" si="212"/>
        <v>2143</v>
      </c>
      <c r="Q2729" s="8">
        <f t="shared" si="213"/>
        <v>1424</v>
      </c>
      <c r="R2729" s="2" t="s">
        <v>28</v>
      </c>
      <c r="S2729" s="9">
        <f t="shared" si="214"/>
        <v>42.86</v>
      </c>
    </row>
    <row r="2730" spans="1:19" x14ac:dyDescent="0.3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str">
        <f>IFERROR(VLOOKUP('Customer Info'!A2722,'Customer Info'!A2722:C3221,2,FALSE),"Not Found")</f>
        <v>Not Found</v>
      </c>
      <c r="H2730" s="6" t="str">
        <f>IFERROR(VLOOKUP('Customer Info'!A2722,'Customer Info'!A2722:C3221,3,FALSE),"Not Found")</f>
        <v>Not Found</v>
      </c>
      <c r="I2730" s="6" t="str">
        <f>IFERROR(VLOOKUP('Customer Info'!A2722,'Customer Info'!A2722:E3221,5,FALSE),"Not Found")</f>
        <v>Not Found</v>
      </c>
      <c r="J2730" s="2">
        <v>173</v>
      </c>
      <c r="K2730" s="2">
        <v>155</v>
      </c>
      <c r="L2730" s="2">
        <v>1</v>
      </c>
      <c r="M2730" s="7">
        <f t="shared" si="210"/>
        <v>155</v>
      </c>
      <c r="N2730" s="7">
        <f t="shared" si="211"/>
        <v>173</v>
      </c>
      <c r="O2730" s="2">
        <v>30</v>
      </c>
      <c r="P2730" s="8">
        <f t="shared" si="212"/>
        <v>203</v>
      </c>
      <c r="Q2730" s="8">
        <f t="shared" si="213"/>
        <v>18</v>
      </c>
      <c r="R2730" s="2" t="s">
        <v>28</v>
      </c>
      <c r="S2730" s="9">
        <f t="shared" si="214"/>
        <v>4.0600000000000005</v>
      </c>
    </row>
    <row r="2731" spans="1:19" x14ac:dyDescent="0.3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str">
        <f>IFERROR(VLOOKUP('Customer Info'!A2723,'Customer Info'!A2723:C3222,2,FALSE),"Not Found")</f>
        <v>Not Found</v>
      </c>
      <c r="H2731" s="6" t="str">
        <f>IFERROR(VLOOKUP('Customer Info'!A2723,'Customer Info'!A2723:C3222,3,FALSE),"Not Found")</f>
        <v>Not Found</v>
      </c>
      <c r="I2731" s="6" t="str">
        <f>IFERROR(VLOOKUP('Customer Info'!A2723,'Customer Info'!A2723:E3222,5,FALSE),"Not Found")</f>
        <v>Not Found</v>
      </c>
      <c r="J2731" s="2">
        <v>1717</v>
      </c>
      <c r="K2731" s="2">
        <v>1652</v>
      </c>
      <c r="L2731" s="2">
        <v>3</v>
      </c>
      <c r="M2731" s="7">
        <f t="shared" si="210"/>
        <v>4956</v>
      </c>
      <c r="N2731" s="7">
        <f t="shared" si="211"/>
        <v>5151</v>
      </c>
      <c r="O2731" s="2">
        <v>87</v>
      </c>
      <c r="P2731" s="8">
        <f t="shared" si="212"/>
        <v>5238</v>
      </c>
      <c r="Q2731" s="8">
        <f t="shared" si="213"/>
        <v>3499</v>
      </c>
      <c r="R2731" s="2" t="s">
        <v>28</v>
      </c>
      <c r="S2731" s="9">
        <f t="shared" si="214"/>
        <v>261.90000000000003</v>
      </c>
    </row>
    <row r="2732" spans="1:19" x14ac:dyDescent="0.3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str">
        <f>IFERROR(VLOOKUP('Customer Info'!A2724,'Customer Info'!A2724:C3223,2,FALSE),"Not Found")</f>
        <v>Not Found</v>
      </c>
      <c r="H2732" s="6" t="str">
        <f>IFERROR(VLOOKUP('Customer Info'!A2724,'Customer Info'!A2724:C3223,3,FALSE),"Not Found")</f>
        <v>Not Found</v>
      </c>
      <c r="I2732" s="6" t="str">
        <f>IFERROR(VLOOKUP('Customer Info'!A2724,'Customer Info'!A2724:E3223,5,FALSE),"Not Found")</f>
        <v>Not Found</v>
      </c>
      <c r="J2732" s="2">
        <v>626</v>
      </c>
      <c r="K2732" s="2">
        <v>559</v>
      </c>
      <c r="L2732" s="2">
        <v>5</v>
      </c>
      <c r="M2732" s="7">
        <f t="shared" si="210"/>
        <v>2795</v>
      </c>
      <c r="N2732" s="7">
        <f t="shared" si="211"/>
        <v>3130</v>
      </c>
      <c r="O2732" s="2">
        <v>21</v>
      </c>
      <c r="P2732" s="8">
        <f t="shared" si="212"/>
        <v>3151</v>
      </c>
      <c r="Q2732" s="8">
        <f t="shared" si="213"/>
        <v>2571</v>
      </c>
      <c r="R2732" s="2" t="s">
        <v>50</v>
      </c>
      <c r="S2732" s="9">
        <f t="shared" si="214"/>
        <v>63.02</v>
      </c>
    </row>
    <row r="2733" spans="1:19" x14ac:dyDescent="0.3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str">
        <f>IFERROR(VLOOKUP('Customer Info'!A2725,'Customer Info'!A2725:C3224,2,FALSE),"Not Found")</f>
        <v>Not Found</v>
      </c>
      <c r="H2733" s="6" t="str">
        <f>IFERROR(VLOOKUP('Customer Info'!A2725,'Customer Info'!A2725:C3224,3,FALSE),"Not Found")</f>
        <v>Not Found</v>
      </c>
      <c r="I2733" s="6" t="str">
        <f>IFERROR(VLOOKUP('Customer Info'!A2725,'Customer Info'!A2725:E3224,5,FALSE),"Not Found")</f>
        <v>Not Found</v>
      </c>
      <c r="J2733" s="2">
        <v>139</v>
      </c>
      <c r="K2733" s="2">
        <v>133</v>
      </c>
      <c r="L2733" s="2">
        <v>3</v>
      </c>
      <c r="M2733" s="7">
        <f t="shared" si="210"/>
        <v>399</v>
      </c>
      <c r="N2733" s="7">
        <f t="shared" si="211"/>
        <v>417</v>
      </c>
      <c r="O2733" s="2">
        <v>30</v>
      </c>
      <c r="P2733" s="8">
        <f t="shared" si="212"/>
        <v>447</v>
      </c>
      <c r="Q2733" s="8">
        <f t="shared" si="213"/>
        <v>284</v>
      </c>
      <c r="R2733" s="2" t="s">
        <v>28</v>
      </c>
      <c r="S2733" s="9">
        <f t="shared" si="214"/>
        <v>8.94</v>
      </c>
    </row>
    <row r="2734" spans="1:19" x14ac:dyDescent="0.3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str">
        <f>IFERROR(VLOOKUP('Customer Info'!A2726,'Customer Info'!A2726:C3225,2,FALSE),"Not Found")</f>
        <v>Not Found</v>
      </c>
      <c r="H2734" s="6" t="str">
        <f>IFERROR(VLOOKUP('Customer Info'!A2726,'Customer Info'!A2726:C3225,3,FALSE),"Not Found")</f>
        <v>Not Found</v>
      </c>
      <c r="I2734" s="6" t="str">
        <f>IFERROR(VLOOKUP('Customer Info'!A2726,'Customer Info'!A2726:E3225,5,FALSE),"Not Found")</f>
        <v>Not Found</v>
      </c>
      <c r="J2734" s="2">
        <v>968</v>
      </c>
      <c r="K2734" s="2">
        <v>913</v>
      </c>
      <c r="L2734" s="2">
        <v>4</v>
      </c>
      <c r="M2734" s="7">
        <f t="shared" si="210"/>
        <v>3652</v>
      </c>
      <c r="N2734" s="7">
        <f t="shared" si="211"/>
        <v>3872</v>
      </c>
      <c r="O2734" s="2">
        <v>48</v>
      </c>
      <c r="P2734" s="8">
        <f t="shared" si="212"/>
        <v>3920</v>
      </c>
      <c r="Q2734" s="8">
        <f t="shared" si="213"/>
        <v>2959</v>
      </c>
      <c r="R2734" s="2" t="s">
        <v>28</v>
      </c>
      <c r="S2734" s="9">
        <f t="shared" si="214"/>
        <v>78.400000000000006</v>
      </c>
    </row>
    <row r="2735" spans="1:19" x14ac:dyDescent="0.3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str">
        <f>IFERROR(VLOOKUP('Customer Info'!A2727,'Customer Info'!A2727:C3226,2,FALSE),"Not Found")</f>
        <v>Not Found</v>
      </c>
      <c r="H2735" s="6" t="str">
        <f>IFERROR(VLOOKUP('Customer Info'!A2727,'Customer Info'!A2727:C3226,3,FALSE),"Not Found")</f>
        <v>Not Found</v>
      </c>
      <c r="I2735" s="6" t="str">
        <f>IFERROR(VLOOKUP('Customer Info'!A2727,'Customer Info'!A2727:E3226,5,FALSE),"Not Found")</f>
        <v>Not Found</v>
      </c>
      <c r="J2735" s="2">
        <v>811</v>
      </c>
      <c r="K2735" s="2">
        <v>780</v>
      </c>
      <c r="L2735" s="2">
        <v>2</v>
      </c>
      <c r="M2735" s="7">
        <f t="shared" si="210"/>
        <v>1560</v>
      </c>
      <c r="N2735" s="7">
        <f t="shared" si="211"/>
        <v>1622</v>
      </c>
      <c r="O2735" s="2">
        <v>54</v>
      </c>
      <c r="P2735" s="8">
        <f t="shared" si="212"/>
        <v>1676</v>
      </c>
      <c r="Q2735" s="8">
        <f t="shared" si="213"/>
        <v>842</v>
      </c>
      <c r="R2735" s="2" t="s">
        <v>50</v>
      </c>
      <c r="S2735" s="9">
        <f t="shared" si="214"/>
        <v>33.520000000000003</v>
      </c>
    </row>
    <row r="2736" spans="1:19" x14ac:dyDescent="0.3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str">
        <f>IFERROR(VLOOKUP('Customer Info'!A2728,'Customer Info'!A2728:C3227,2,FALSE),"Not Found")</f>
        <v>Not Found</v>
      </c>
      <c r="H2736" s="6" t="str">
        <f>IFERROR(VLOOKUP('Customer Info'!A2728,'Customer Info'!A2728:C3227,3,FALSE),"Not Found")</f>
        <v>Not Found</v>
      </c>
      <c r="I2736" s="6" t="str">
        <f>IFERROR(VLOOKUP('Customer Info'!A2728,'Customer Info'!A2728:E3227,5,FALSE),"Not Found")</f>
        <v>Not Found</v>
      </c>
      <c r="J2736" s="2">
        <v>68</v>
      </c>
      <c r="K2736" s="2">
        <v>63</v>
      </c>
      <c r="L2736" s="2">
        <v>6</v>
      </c>
      <c r="M2736" s="7">
        <f t="shared" si="210"/>
        <v>378</v>
      </c>
      <c r="N2736" s="7">
        <f t="shared" si="211"/>
        <v>408</v>
      </c>
      <c r="O2736" s="2">
        <v>10</v>
      </c>
      <c r="P2736" s="8">
        <f t="shared" si="212"/>
        <v>418</v>
      </c>
      <c r="Q2736" s="8">
        <f t="shared" si="213"/>
        <v>345</v>
      </c>
      <c r="R2736" s="2" t="s">
        <v>28</v>
      </c>
      <c r="S2736" s="9">
        <f t="shared" si="214"/>
        <v>8.36</v>
      </c>
    </row>
    <row r="2737" spans="1:19" x14ac:dyDescent="0.3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str">
        <f>IFERROR(VLOOKUP('Customer Info'!A2729,'Customer Info'!A2729:C3228,2,FALSE),"Not Found")</f>
        <v>Not Found</v>
      </c>
      <c r="H2737" s="6" t="str">
        <f>IFERROR(VLOOKUP('Customer Info'!A2729,'Customer Info'!A2729:C3228,3,FALSE),"Not Found")</f>
        <v>Not Found</v>
      </c>
      <c r="I2737" s="6" t="str">
        <f>IFERROR(VLOOKUP('Customer Info'!A2729,'Customer Info'!A2729:E3228,5,FALSE),"Not Found")</f>
        <v>Not Found</v>
      </c>
      <c r="J2737" s="2">
        <v>169</v>
      </c>
      <c r="K2737" s="2">
        <v>154</v>
      </c>
      <c r="L2737" s="2">
        <v>9</v>
      </c>
      <c r="M2737" s="7">
        <f t="shared" si="210"/>
        <v>1386</v>
      </c>
      <c r="N2737" s="7">
        <f t="shared" si="211"/>
        <v>1521</v>
      </c>
      <c r="O2737" s="2">
        <v>30</v>
      </c>
      <c r="P2737" s="8">
        <f t="shared" si="212"/>
        <v>1551</v>
      </c>
      <c r="Q2737" s="8">
        <f t="shared" si="213"/>
        <v>1367</v>
      </c>
      <c r="R2737" s="2" t="s">
        <v>28</v>
      </c>
      <c r="S2737" s="9">
        <f t="shared" si="214"/>
        <v>31.02</v>
      </c>
    </row>
    <row r="2738" spans="1:19" x14ac:dyDescent="0.3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str">
        <f>IFERROR(VLOOKUP('Customer Info'!A2730,'Customer Info'!A2730:C3229,2,FALSE),"Not Found")</f>
        <v>Not Found</v>
      </c>
      <c r="H2738" s="6" t="str">
        <f>IFERROR(VLOOKUP('Customer Info'!A2730,'Customer Info'!A2730:C3229,3,FALSE),"Not Found")</f>
        <v>Not Found</v>
      </c>
      <c r="I2738" s="6" t="str">
        <f>IFERROR(VLOOKUP('Customer Info'!A2730,'Customer Info'!A2730:E3229,5,FALSE),"Not Found")</f>
        <v>Not Found</v>
      </c>
      <c r="J2738" s="2">
        <v>3184</v>
      </c>
      <c r="K2738" s="2">
        <v>2947</v>
      </c>
      <c r="L2738" s="2">
        <v>5</v>
      </c>
      <c r="M2738" s="7">
        <f t="shared" si="210"/>
        <v>14735</v>
      </c>
      <c r="N2738" s="7">
        <f t="shared" si="211"/>
        <v>15920</v>
      </c>
      <c r="O2738" s="2">
        <v>26</v>
      </c>
      <c r="P2738" s="8">
        <f t="shared" si="212"/>
        <v>15946</v>
      </c>
      <c r="Q2738" s="8">
        <f t="shared" si="213"/>
        <v>12973</v>
      </c>
      <c r="R2738" s="2" t="s">
        <v>50</v>
      </c>
      <c r="S2738" s="9">
        <f t="shared" si="214"/>
        <v>797.30000000000007</v>
      </c>
    </row>
    <row r="2739" spans="1:19" x14ac:dyDescent="0.3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str">
        <f>IFERROR(VLOOKUP('Customer Info'!A2731,'Customer Info'!A2731:C3230,2,FALSE),"Not Found")</f>
        <v>Not Found</v>
      </c>
      <c r="H2739" s="6" t="str">
        <f>IFERROR(VLOOKUP('Customer Info'!A2731,'Customer Info'!A2731:C3230,3,FALSE),"Not Found")</f>
        <v>Not Found</v>
      </c>
      <c r="I2739" s="6" t="str">
        <f>IFERROR(VLOOKUP('Customer Info'!A2731,'Customer Info'!A2731:E3230,5,FALSE),"Not Found")</f>
        <v>Not Found</v>
      </c>
      <c r="J2739" s="2">
        <v>1968</v>
      </c>
      <c r="K2739" s="2">
        <v>1821</v>
      </c>
      <c r="L2739" s="2">
        <v>3</v>
      </c>
      <c r="M2739" s="7">
        <f t="shared" si="210"/>
        <v>5463</v>
      </c>
      <c r="N2739" s="7">
        <f t="shared" si="211"/>
        <v>5904</v>
      </c>
      <c r="O2739" s="2">
        <v>39</v>
      </c>
      <c r="P2739" s="8">
        <f t="shared" si="212"/>
        <v>5943</v>
      </c>
      <c r="Q2739" s="8">
        <f t="shared" si="213"/>
        <v>4083</v>
      </c>
      <c r="R2739" s="2" t="s">
        <v>26</v>
      </c>
      <c r="S2739" s="9">
        <f t="shared" si="214"/>
        <v>297.15000000000003</v>
      </c>
    </row>
    <row r="2740" spans="1:19" x14ac:dyDescent="0.3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str">
        <f>IFERROR(VLOOKUP('Customer Info'!A2732,'Customer Info'!A2732:C3231,2,FALSE),"Not Found")</f>
        <v>Not Found</v>
      </c>
      <c r="H2740" s="6" t="str">
        <f>IFERROR(VLOOKUP('Customer Info'!A2732,'Customer Info'!A2732:C3231,3,FALSE),"Not Found")</f>
        <v>Not Found</v>
      </c>
      <c r="I2740" s="6" t="str">
        <f>IFERROR(VLOOKUP('Customer Info'!A2732,'Customer Info'!A2732:E3231,5,FALSE),"Not Found")</f>
        <v>Not Found</v>
      </c>
      <c r="J2740" s="2">
        <v>1686</v>
      </c>
      <c r="K2740" s="2">
        <v>1591</v>
      </c>
      <c r="L2740" s="2">
        <v>3</v>
      </c>
      <c r="M2740" s="7">
        <f t="shared" si="210"/>
        <v>4773</v>
      </c>
      <c r="N2740" s="7">
        <f t="shared" si="211"/>
        <v>5058</v>
      </c>
      <c r="O2740" s="2">
        <v>75</v>
      </c>
      <c r="P2740" s="8">
        <f t="shared" si="212"/>
        <v>5133</v>
      </c>
      <c r="Q2740" s="8">
        <f t="shared" si="213"/>
        <v>3467</v>
      </c>
      <c r="R2740" s="2" t="s">
        <v>50</v>
      </c>
      <c r="S2740" s="9">
        <f t="shared" si="214"/>
        <v>256.65000000000003</v>
      </c>
    </row>
    <row r="2741" spans="1:19" x14ac:dyDescent="0.3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str">
        <f>IFERROR(VLOOKUP('Customer Info'!A2733,'Customer Info'!A2733:C3232,2,FALSE),"Not Found")</f>
        <v>Not Found</v>
      </c>
      <c r="H2741" s="6" t="str">
        <f>IFERROR(VLOOKUP('Customer Info'!A2733,'Customer Info'!A2733:C3232,3,FALSE),"Not Found")</f>
        <v>Not Found</v>
      </c>
      <c r="I2741" s="6" t="str">
        <f>IFERROR(VLOOKUP('Customer Info'!A2733,'Customer Info'!A2733:E3232,5,FALSE),"Not Found")</f>
        <v>Not Found</v>
      </c>
      <c r="J2741" s="2">
        <v>1556</v>
      </c>
      <c r="K2741" s="2">
        <v>1414</v>
      </c>
      <c r="L2741" s="2">
        <v>1</v>
      </c>
      <c r="M2741" s="7">
        <f t="shared" si="210"/>
        <v>1414</v>
      </c>
      <c r="N2741" s="7">
        <f t="shared" si="211"/>
        <v>1556</v>
      </c>
      <c r="O2741" s="2">
        <v>32</v>
      </c>
      <c r="P2741" s="8">
        <f t="shared" si="212"/>
        <v>1588</v>
      </c>
      <c r="Q2741" s="8">
        <f t="shared" si="213"/>
        <v>142</v>
      </c>
      <c r="R2741" s="2" t="s">
        <v>50</v>
      </c>
      <c r="S2741" s="9">
        <f t="shared" si="214"/>
        <v>31.76</v>
      </c>
    </row>
    <row r="2742" spans="1:19" x14ac:dyDescent="0.3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str">
        <f>IFERROR(VLOOKUP('Customer Info'!A2734,'Customer Info'!A2734:C3233,2,FALSE),"Not Found")</f>
        <v>Not Found</v>
      </c>
      <c r="H2742" s="6" t="str">
        <f>IFERROR(VLOOKUP('Customer Info'!A2734,'Customer Info'!A2734:C3233,3,FALSE),"Not Found")</f>
        <v>Not Found</v>
      </c>
      <c r="I2742" s="6" t="str">
        <f>IFERROR(VLOOKUP('Customer Info'!A2734,'Customer Info'!A2734:E3233,5,FALSE),"Not Found")</f>
        <v>Not Found</v>
      </c>
      <c r="J2742" s="2">
        <v>177</v>
      </c>
      <c r="K2742" s="2">
        <v>169</v>
      </c>
      <c r="L2742" s="2">
        <v>2</v>
      </c>
      <c r="M2742" s="7">
        <f t="shared" si="210"/>
        <v>338</v>
      </c>
      <c r="N2742" s="7">
        <f t="shared" si="211"/>
        <v>354</v>
      </c>
      <c r="O2742" s="2">
        <v>30</v>
      </c>
      <c r="P2742" s="8">
        <f t="shared" si="212"/>
        <v>384</v>
      </c>
      <c r="Q2742" s="8">
        <f t="shared" si="213"/>
        <v>185</v>
      </c>
      <c r="R2742" s="2" t="s">
        <v>56</v>
      </c>
      <c r="S2742" s="9">
        <f t="shared" si="214"/>
        <v>7.68</v>
      </c>
    </row>
    <row r="2743" spans="1:19" x14ac:dyDescent="0.3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str">
        <f>IFERROR(VLOOKUP('Customer Info'!A2735,'Customer Info'!A2735:C3234,2,FALSE),"Not Found")</f>
        <v>Not Found</v>
      </c>
      <c r="H2743" s="6" t="str">
        <f>IFERROR(VLOOKUP('Customer Info'!A2735,'Customer Info'!A2735:C3234,3,FALSE),"Not Found")</f>
        <v>Not Found</v>
      </c>
      <c r="I2743" s="6" t="str">
        <f>IFERROR(VLOOKUP('Customer Info'!A2735,'Customer Info'!A2735:E3234,5,FALSE),"Not Found")</f>
        <v>Not Found</v>
      </c>
      <c r="J2743" s="2">
        <v>7474</v>
      </c>
      <c r="K2743" s="2">
        <v>6858</v>
      </c>
      <c r="L2743" s="2">
        <v>4</v>
      </c>
      <c r="M2743" s="7">
        <f t="shared" si="210"/>
        <v>27432</v>
      </c>
      <c r="N2743" s="7">
        <f t="shared" si="211"/>
        <v>29896</v>
      </c>
      <c r="O2743" s="2">
        <v>65</v>
      </c>
      <c r="P2743" s="8">
        <f t="shared" si="212"/>
        <v>29961</v>
      </c>
      <c r="Q2743" s="8">
        <f t="shared" si="213"/>
        <v>23038</v>
      </c>
      <c r="R2743" s="2" t="s">
        <v>28</v>
      </c>
      <c r="S2743" s="9">
        <f t="shared" si="214"/>
        <v>2097.27</v>
      </c>
    </row>
    <row r="2744" spans="1:19" x14ac:dyDescent="0.3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str">
        <f>IFERROR(VLOOKUP('Customer Info'!A2736,'Customer Info'!A2736:C3235,2,FALSE),"Not Found")</f>
        <v>Not Found</v>
      </c>
      <c r="H2744" s="6" t="str">
        <f>IFERROR(VLOOKUP('Customer Info'!A2736,'Customer Info'!A2736:C3235,3,FALSE),"Not Found")</f>
        <v>Not Found</v>
      </c>
      <c r="I2744" s="6" t="str">
        <f>IFERROR(VLOOKUP('Customer Info'!A2736,'Customer Info'!A2736:E3235,5,FALSE),"Not Found")</f>
        <v>Not Found</v>
      </c>
      <c r="J2744" s="2">
        <v>1246</v>
      </c>
      <c r="K2744" s="2">
        <v>1164</v>
      </c>
      <c r="L2744" s="2">
        <v>1</v>
      </c>
      <c r="M2744" s="7">
        <f t="shared" si="210"/>
        <v>1164</v>
      </c>
      <c r="N2744" s="7">
        <f t="shared" si="211"/>
        <v>1246</v>
      </c>
      <c r="O2744" s="2">
        <v>79</v>
      </c>
      <c r="P2744" s="8">
        <f t="shared" si="212"/>
        <v>1325</v>
      </c>
      <c r="Q2744" s="8">
        <f t="shared" si="213"/>
        <v>82</v>
      </c>
      <c r="R2744" s="2" t="s">
        <v>28</v>
      </c>
      <c r="S2744" s="9">
        <f t="shared" si="214"/>
        <v>26.5</v>
      </c>
    </row>
    <row r="2745" spans="1:19" x14ac:dyDescent="0.3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str">
        <f>IFERROR(VLOOKUP('Customer Info'!A2737,'Customer Info'!A2737:C3236,2,FALSE),"Not Found")</f>
        <v>Not Found</v>
      </c>
      <c r="H2745" s="6" t="str">
        <f>IFERROR(VLOOKUP('Customer Info'!A2737,'Customer Info'!A2737:C3236,3,FALSE),"Not Found")</f>
        <v>Not Found</v>
      </c>
      <c r="I2745" s="6" t="str">
        <f>IFERROR(VLOOKUP('Customer Info'!A2737,'Customer Info'!A2737:E3236,5,FALSE),"Not Found")</f>
        <v>Not Found</v>
      </c>
      <c r="J2745" s="2">
        <v>1585</v>
      </c>
      <c r="K2745" s="2">
        <v>1495</v>
      </c>
      <c r="L2745" s="2">
        <v>3</v>
      </c>
      <c r="M2745" s="7">
        <f t="shared" si="210"/>
        <v>4485</v>
      </c>
      <c r="N2745" s="7">
        <f t="shared" si="211"/>
        <v>4755</v>
      </c>
      <c r="O2745" s="2">
        <v>23</v>
      </c>
      <c r="P2745" s="8">
        <f t="shared" si="212"/>
        <v>4778</v>
      </c>
      <c r="Q2745" s="8">
        <f t="shared" si="213"/>
        <v>3260</v>
      </c>
      <c r="R2745" s="2" t="s">
        <v>50</v>
      </c>
      <c r="S2745" s="9">
        <f t="shared" si="214"/>
        <v>95.56</v>
      </c>
    </row>
    <row r="2746" spans="1:19" x14ac:dyDescent="0.3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str">
        <f>IFERROR(VLOOKUP('Customer Info'!A2738,'Customer Info'!A2738:C3237,2,FALSE),"Not Found")</f>
        <v>Not Found</v>
      </c>
      <c r="H2746" s="6" t="str">
        <f>IFERROR(VLOOKUP('Customer Info'!A2738,'Customer Info'!A2738:C3237,3,FALSE),"Not Found")</f>
        <v>Not Found</v>
      </c>
      <c r="I2746" s="6" t="str">
        <f>IFERROR(VLOOKUP('Customer Info'!A2738,'Customer Info'!A2738:E3237,5,FALSE),"Not Found")</f>
        <v>Not Found</v>
      </c>
      <c r="J2746" s="2">
        <v>2442</v>
      </c>
      <c r="K2746" s="2">
        <v>2304</v>
      </c>
      <c r="L2746" s="2">
        <v>2</v>
      </c>
      <c r="M2746" s="7">
        <f t="shared" si="210"/>
        <v>4608</v>
      </c>
      <c r="N2746" s="7">
        <f t="shared" si="211"/>
        <v>4884</v>
      </c>
      <c r="O2746" s="2">
        <v>34</v>
      </c>
      <c r="P2746" s="8">
        <f t="shared" si="212"/>
        <v>4918</v>
      </c>
      <c r="Q2746" s="8">
        <f t="shared" si="213"/>
        <v>2580</v>
      </c>
      <c r="R2746" s="2" t="s">
        <v>28</v>
      </c>
      <c r="S2746" s="9">
        <f t="shared" si="214"/>
        <v>98.36</v>
      </c>
    </row>
    <row r="2747" spans="1:19" x14ac:dyDescent="0.3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str">
        <f>IFERROR(VLOOKUP('Customer Info'!A2739,'Customer Info'!A2739:C3238,2,FALSE),"Not Found")</f>
        <v>Not Found</v>
      </c>
      <c r="H2747" s="6" t="str">
        <f>IFERROR(VLOOKUP('Customer Info'!A2739,'Customer Info'!A2739:C3238,3,FALSE),"Not Found")</f>
        <v>Not Found</v>
      </c>
      <c r="I2747" s="6" t="str">
        <f>IFERROR(VLOOKUP('Customer Info'!A2739,'Customer Info'!A2739:E3238,5,FALSE),"Not Found")</f>
        <v>Not Found</v>
      </c>
      <c r="J2747" s="2">
        <v>8619</v>
      </c>
      <c r="K2747" s="2">
        <v>7759</v>
      </c>
      <c r="L2747" s="2">
        <v>3</v>
      </c>
      <c r="M2747" s="7">
        <f t="shared" si="210"/>
        <v>23277</v>
      </c>
      <c r="N2747" s="7">
        <f t="shared" si="211"/>
        <v>25857</v>
      </c>
      <c r="O2747" s="2">
        <v>86</v>
      </c>
      <c r="P2747" s="8">
        <f t="shared" si="212"/>
        <v>25943</v>
      </c>
      <c r="Q2747" s="8">
        <f t="shared" si="213"/>
        <v>18098</v>
      </c>
      <c r="R2747" s="2" t="s">
        <v>26</v>
      </c>
      <c r="S2747" s="9">
        <f t="shared" si="214"/>
        <v>1816.0100000000002</v>
      </c>
    </row>
    <row r="2748" spans="1:19" x14ac:dyDescent="0.3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str">
        <f>IFERROR(VLOOKUP('Customer Info'!A2740,'Customer Info'!A2740:C3239,2,FALSE),"Not Found")</f>
        <v>Not Found</v>
      </c>
      <c r="H2748" s="6" t="str">
        <f>IFERROR(VLOOKUP('Customer Info'!A2740,'Customer Info'!A2740:C3239,3,FALSE),"Not Found")</f>
        <v>Not Found</v>
      </c>
      <c r="I2748" s="6" t="str">
        <f>IFERROR(VLOOKUP('Customer Info'!A2740,'Customer Info'!A2740:E3239,5,FALSE),"Not Found")</f>
        <v>Not Found</v>
      </c>
      <c r="J2748" s="2">
        <v>4904</v>
      </c>
      <c r="K2748" s="2">
        <v>4499</v>
      </c>
      <c r="L2748" s="2">
        <v>4</v>
      </c>
      <c r="M2748" s="7">
        <f t="shared" si="210"/>
        <v>17996</v>
      </c>
      <c r="N2748" s="7">
        <f t="shared" si="211"/>
        <v>19616</v>
      </c>
      <c r="O2748" s="2">
        <v>98</v>
      </c>
      <c r="P2748" s="8">
        <f t="shared" si="212"/>
        <v>19714</v>
      </c>
      <c r="Q2748" s="8">
        <f t="shared" si="213"/>
        <v>15117</v>
      </c>
      <c r="R2748" s="2" t="s">
        <v>28</v>
      </c>
      <c r="S2748" s="9">
        <f t="shared" si="214"/>
        <v>985.7</v>
      </c>
    </row>
    <row r="2749" spans="1:19" x14ac:dyDescent="0.3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str">
        <f>IFERROR(VLOOKUP('Customer Info'!A2741,'Customer Info'!A2741:C3240,2,FALSE),"Not Found")</f>
        <v>Not Found</v>
      </c>
      <c r="H2749" s="6" t="str">
        <f>IFERROR(VLOOKUP('Customer Info'!A2741,'Customer Info'!A2741:C3240,3,FALSE),"Not Found")</f>
        <v>Not Found</v>
      </c>
      <c r="I2749" s="6" t="str">
        <f>IFERROR(VLOOKUP('Customer Info'!A2741,'Customer Info'!A2741:E3240,5,FALSE),"Not Found")</f>
        <v>Not Found</v>
      </c>
      <c r="J2749" s="2">
        <v>29378</v>
      </c>
      <c r="K2749" s="2">
        <v>26912</v>
      </c>
      <c r="L2749" s="2">
        <v>2</v>
      </c>
      <c r="M2749" s="7">
        <f t="shared" si="210"/>
        <v>53824</v>
      </c>
      <c r="N2749" s="7">
        <f t="shared" si="211"/>
        <v>58756</v>
      </c>
      <c r="O2749" s="2">
        <v>66</v>
      </c>
      <c r="P2749" s="8">
        <f t="shared" si="212"/>
        <v>58822</v>
      </c>
      <c r="Q2749" s="8">
        <f t="shared" si="213"/>
        <v>31844</v>
      </c>
      <c r="R2749" s="2" t="s">
        <v>28</v>
      </c>
      <c r="S2749" s="9">
        <f t="shared" si="214"/>
        <v>5293.98</v>
      </c>
    </row>
    <row r="2750" spans="1:19" x14ac:dyDescent="0.3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str">
        <f>IFERROR(VLOOKUP('Customer Info'!A2742,'Customer Info'!A2742:C3241,2,FALSE),"Not Found")</f>
        <v>Not Found</v>
      </c>
      <c r="H2750" s="6" t="str">
        <f>IFERROR(VLOOKUP('Customer Info'!A2742,'Customer Info'!A2742:C3241,3,FALSE),"Not Found")</f>
        <v>Not Found</v>
      </c>
      <c r="I2750" s="6" t="str">
        <f>IFERROR(VLOOKUP('Customer Info'!A2742,'Customer Info'!A2742:E3241,5,FALSE),"Not Found")</f>
        <v>Not Found</v>
      </c>
      <c r="J2750" s="2">
        <v>6337</v>
      </c>
      <c r="K2750" s="2">
        <v>6215</v>
      </c>
      <c r="L2750" s="2">
        <v>8</v>
      </c>
      <c r="M2750" s="7">
        <f t="shared" si="210"/>
        <v>49720</v>
      </c>
      <c r="N2750" s="7">
        <f t="shared" si="211"/>
        <v>50696</v>
      </c>
      <c r="O2750" s="2">
        <v>99</v>
      </c>
      <c r="P2750" s="8">
        <f t="shared" si="212"/>
        <v>50795</v>
      </c>
      <c r="Q2750" s="8">
        <f t="shared" si="213"/>
        <v>44481</v>
      </c>
      <c r="R2750" s="2" t="s">
        <v>28</v>
      </c>
      <c r="S2750" s="9">
        <f t="shared" si="214"/>
        <v>4571.55</v>
      </c>
    </row>
    <row r="2751" spans="1:19" x14ac:dyDescent="0.3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str">
        <f>IFERROR(VLOOKUP('Customer Info'!A2743,'Customer Info'!A2743:C3242,2,FALSE),"Not Found")</f>
        <v>Not Found</v>
      </c>
      <c r="H2751" s="6" t="str">
        <f>IFERROR(VLOOKUP('Customer Info'!A2743,'Customer Info'!A2743:C3242,3,FALSE),"Not Found")</f>
        <v>Not Found</v>
      </c>
      <c r="I2751" s="6" t="str">
        <f>IFERROR(VLOOKUP('Customer Info'!A2743,'Customer Info'!A2743:E3242,5,FALSE),"Not Found")</f>
        <v>Not Found</v>
      </c>
      <c r="J2751" s="2">
        <v>923</v>
      </c>
      <c r="K2751" s="2">
        <v>879</v>
      </c>
      <c r="L2751" s="2">
        <v>7</v>
      </c>
      <c r="M2751" s="7">
        <f t="shared" si="210"/>
        <v>6153</v>
      </c>
      <c r="N2751" s="7">
        <f t="shared" si="211"/>
        <v>6461</v>
      </c>
      <c r="O2751" s="2">
        <v>65</v>
      </c>
      <c r="P2751" s="8">
        <f t="shared" si="212"/>
        <v>6526</v>
      </c>
      <c r="Q2751" s="8">
        <f t="shared" si="213"/>
        <v>5582</v>
      </c>
      <c r="R2751" s="2" t="s">
        <v>28</v>
      </c>
      <c r="S2751" s="9">
        <f t="shared" si="214"/>
        <v>326.3</v>
      </c>
    </row>
    <row r="2752" spans="1:19" x14ac:dyDescent="0.3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str">
        <f>IFERROR(VLOOKUP('Customer Info'!A2744,'Customer Info'!A2744:C3243,2,FALSE),"Not Found")</f>
        <v>Not Found</v>
      </c>
      <c r="H2752" s="6" t="str">
        <f>IFERROR(VLOOKUP('Customer Info'!A2744,'Customer Info'!A2744:C3243,3,FALSE),"Not Found")</f>
        <v>Not Found</v>
      </c>
      <c r="I2752" s="6" t="str">
        <f>IFERROR(VLOOKUP('Customer Info'!A2744,'Customer Info'!A2744:E3243,5,FALSE),"Not Found")</f>
        <v>Not Found</v>
      </c>
      <c r="J2752" s="2">
        <v>2083</v>
      </c>
      <c r="K2752" s="2">
        <v>2004</v>
      </c>
      <c r="L2752" s="2">
        <v>1</v>
      </c>
      <c r="M2752" s="7">
        <f t="shared" si="210"/>
        <v>2004</v>
      </c>
      <c r="N2752" s="7">
        <f t="shared" si="211"/>
        <v>2083</v>
      </c>
      <c r="O2752" s="2">
        <v>74</v>
      </c>
      <c r="P2752" s="8">
        <f t="shared" si="212"/>
        <v>2157</v>
      </c>
      <c r="Q2752" s="8">
        <f t="shared" si="213"/>
        <v>79</v>
      </c>
      <c r="R2752" s="2" t="s">
        <v>50</v>
      </c>
      <c r="S2752" s="9">
        <f t="shared" si="214"/>
        <v>43.14</v>
      </c>
    </row>
    <row r="2753" spans="1:19" x14ac:dyDescent="0.3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str">
        <f>IFERROR(VLOOKUP('Customer Info'!A2745,'Customer Info'!A2745:C3244,2,FALSE),"Not Found")</f>
        <v>Not Found</v>
      </c>
      <c r="H2753" s="6" t="str">
        <f>IFERROR(VLOOKUP('Customer Info'!A2745,'Customer Info'!A2745:C3244,3,FALSE),"Not Found")</f>
        <v>Not Found</v>
      </c>
      <c r="I2753" s="6" t="str">
        <f>IFERROR(VLOOKUP('Customer Info'!A2745,'Customer Info'!A2745:E3244,5,FALSE),"Not Found")</f>
        <v>Not Found</v>
      </c>
      <c r="J2753" s="2">
        <v>60</v>
      </c>
      <c r="K2753" s="2">
        <v>55</v>
      </c>
      <c r="L2753" s="2">
        <v>2</v>
      </c>
      <c r="M2753" s="7">
        <f t="shared" si="210"/>
        <v>110</v>
      </c>
      <c r="N2753" s="7">
        <f t="shared" si="211"/>
        <v>120</v>
      </c>
      <c r="O2753" s="2">
        <v>10</v>
      </c>
      <c r="P2753" s="8">
        <f t="shared" si="212"/>
        <v>130</v>
      </c>
      <c r="Q2753" s="8">
        <f t="shared" si="213"/>
        <v>65</v>
      </c>
      <c r="R2753" s="2" t="s">
        <v>28</v>
      </c>
      <c r="S2753" s="9">
        <f t="shared" si="214"/>
        <v>2.6</v>
      </c>
    </row>
    <row r="2754" spans="1:19" x14ac:dyDescent="0.3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str">
        <f>IFERROR(VLOOKUP('Customer Info'!A2746,'Customer Info'!A2746:C3245,2,FALSE),"Not Found")</f>
        <v>Not Found</v>
      </c>
      <c r="H2754" s="6" t="str">
        <f>IFERROR(VLOOKUP('Customer Info'!A2746,'Customer Info'!A2746:C3245,3,FALSE),"Not Found")</f>
        <v>Not Found</v>
      </c>
      <c r="I2754" s="6" t="str">
        <f>IFERROR(VLOOKUP('Customer Info'!A2746,'Customer Info'!A2746:E3245,5,FALSE),"Not Found")</f>
        <v>Not Found</v>
      </c>
      <c r="J2754" s="2">
        <v>4761</v>
      </c>
      <c r="K2754" s="2">
        <v>4368</v>
      </c>
      <c r="L2754" s="2">
        <v>5</v>
      </c>
      <c r="M2754" s="7">
        <f t="shared" si="210"/>
        <v>21840</v>
      </c>
      <c r="N2754" s="7">
        <f t="shared" si="211"/>
        <v>23805</v>
      </c>
      <c r="O2754" s="2">
        <v>63</v>
      </c>
      <c r="P2754" s="8">
        <f t="shared" si="212"/>
        <v>23868</v>
      </c>
      <c r="Q2754" s="8">
        <f t="shared" si="213"/>
        <v>19437</v>
      </c>
      <c r="R2754" s="2" t="s">
        <v>28</v>
      </c>
      <c r="S2754" s="9">
        <f t="shared" si="214"/>
        <v>1193.4000000000001</v>
      </c>
    </row>
    <row r="2755" spans="1:19" x14ac:dyDescent="0.3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str">
        <f>IFERROR(VLOOKUP('Customer Info'!A2747,'Customer Info'!A2747:C3246,2,FALSE),"Not Found")</f>
        <v>Not Found</v>
      </c>
      <c r="H2755" s="6" t="str">
        <f>IFERROR(VLOOKUP('Customer Info'!A2747,'Customer Info'!A2747:C3246,3,FALSE),"Not Found")</f>
        <v>Not Found</v>
      </c>
      <c r="I2755" s="6" t="str">
        <f>IFERROR(VLOOKUP('Customer Info'!A2747,'Customer Info'!A2747:E3246,5,FALSE),"Not Found")</f>
        <v>Not Found</v>
      </c>
      <c r="J2755" s="2">
        <v>456</v>
      </c>
      <c r="K2755" s="2">
        <v>430</v>
      </c>
      <c r="L2755" s="2">
        <v>3</v>
      </c>
      <c r="M2755" s="7">
        <f t="shared" si="210"/>
        <v>1290</v>
      </c>
      <c r="N2755" s="7">
        <f t="shared" si="211"/>
        <v>1368</v>
      </c>
      <c r="O2755" s="2">
        <v>59</v>
      </c>
      <c r="P2755" s="8">
        <f t="shared" si="212"/>
        <v>1427</v>
      </c>
      <c r="Q2755" s="8">
        <f t="shared" si="213"/>
        <v>938</v>
      </c>
      <c r="R2755" s="2" t="s">
        <v>26</v>
      </c>
      <c r="S2755" s="9">
        <f t="shared" si="214"/>
        <v>28.54</v>
      </c>
    </row>
    <row r="2756" spans="1:19" x14ac:dyDescent="0.3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str">
        <f>IFERROR(VLOOKUP('Customer Info'!A2748,'Customer Info'!A2748:C3247,2,FALSE),"Not Found")</f>
        <v>Not Found</v>
      </c>
      <c r="H2756" s="6" t="str">
        <f>IFERROR(VLOOKUP('Customer Info'!A2748,'Customer Info'!A2748:C3247,3,FALSE),"Not Found")</f>
        <v>Not Found</v>
      </c>
      <c r="I2756" s="6" t="str">
        <f>IFERROR(VLOOKUP('Customer Info'!A2748,'Customer Info'!A2748:E3247,5,FALSE),"Not Found")</f>
        <v>Not Found</v>
      </c>
      <c r="J2756" s="2">
        <v>1718</v>
      </c>
      <c r="K2756" s="2">
        <v>1545</v>
      </c>
      <c r="L2756" s="2">
        <v>1</v>
      </c>
      <c r="M2756" s="7">
        <f t="shared" si="210"/>
        <v>1545</v>
      </c>
      <c r="N2756" s="7">
        <f t="shared" si="211"/>
        <v>1718</v>
      </c>
      <c r="O2756" s="2">
        <v>89</v>
      </c>
      <c r="P2756" s="8">
        <f t="shared" si="212"/>
        <v>1807</v>
      </c>
      <c r="Q2756" s="8">
        <f t="shared" si="213"/>
        <v>173</v>
      </c>
      <c r="R2756" s="2" t="s">
        <v>50</v>
      </c>
      <c r="S2756" s="9">
        <f t="shared" si="214"/>
        <v>36.14</v>
      </c>
    </row>
    <row r="2757" spans="1:19" x14ac:dyDescent="0.3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str">
        <f>IFERROR(VLOOKUP('Customer Info'!A2749,'Customer Info'!A2749:C3248,2,FALSE),"Not Found")</f>
        <v>Not Found</v>
      </c>
      <c r="H2757" s="6" t="str">
        <f>IFERROR(VLOOKUP('Customer Info'!A2749,'Customer Info'!A2749:C3248,3,FALSE),"Not Found")</f>
        <v>Not Found</v>
      </c>
      <c r="I2757" s="6" t="str">
        <f>IFERROR(VLOOKUP('Customer Info'!A2749,'Customer Info'!A2749:E3248,5,FALSE),"Not Found")</f>
        <v>Not Found</v>
      </c>
      <c r="J2757" s="2">
        <v>81</v>
      </c>
      <c r="K2757" s="2">
        <v>77</v>
      </c>
      <c r="L2757" s="2">
        <v>11</v>
      </c>
      <c r="M2757" s="7">
        <f t="shared" si="210"/>
        <v>847</v>
      </c>
      <c r="N2757" s="7">
        <f t="shared" si="211"/>
        <v>891</v>
      </c>
      <c r="O2757" s="2">
        <v>10</v>
      </c>
      <c r="P2757" s="8">
        <f t="shared" si="212"/>
        <v>901</v>
      </c>
      <c r="Q2757" s="8">
        <f t="shared" si="213"/>
        <v>814</v>
      </c>
      <c r="R2757" s="2" t="s">
        <v>28</v>
      </c>
      <c r="S2757" s="9">
        <f t="shared" si="214"/>
        <v>18.02</v>
      </c>
    </row>
    <row r="2758" spans="1:19" x14ac:dyDescent="0.3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str">
        <f>IFERROR(VLOOKUP('Customer Info'!A2750,'Customer Info'!A2750:C3249,2,FALSE),"Not Found")</f>
        <v>Not Found</v>
      </c>
      <c r="H2758" s="6" t="str">
        <f>IFERROR(VLOOKUP('Customer Info'!A2750,'Customer Info'!A2750:C3249,3,FALSE),"Not Found")</f>
        <v>Not Found</v>
      </c>
      <c r="I2758" s="6" t="str">
        <f>IFERROR(VLOOKUP('Customer Info'!A2750,'Customer Info'!A2750:E3249,5,FALSE),"Not Found")</f>
        <v>Not Found</v>
      </c>
      <c r="J2758" s="2">
        <v>1968</v>
      </c>
      <c r="K2758" s="2">
        <v>1821</v>
      </c>
      <c r="L2758" s="2">
        <v>4</v>
      </c>
      <c r="M2758" s="7">
        <f t="shared" si="210"/>
        <v>7284</v>
      </c>
      <c r="N2758" s="7">
        <f t="shared" si="211"/>
        <v>7872</v>
      </c>
      <c r="O2758" s="2">
        <v>73</v>
      </c>
      <c r="P2758" s="8">
        <f t="shared" si="212"/>
        <v>7945</v>
      </c>
      <c r="Q2758" s="8">
        <f t="shared" si="213"/>
        <v>6051</v>
      </c>
      <c r="R2758" s="2" t="s">
        <v>28</v>
      </c>
      <c r="S2758" s="9">
        <f t="shared" si="214"/>
        <v>397.25</v>
      </c>
    </row>
    <row r="2759" spans="1:19" x14ac:dyDescent="0.3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str">
        <f>IFERROR(VLOOKUP('Customer Info'!A2751,'Customer Info'!A2751:C3250,2,FALSE),"Not Found")</f>
        <v>Not Found</v>
      </c>
      <c r="H2759" s="6" t="str">
        <f>IFERROR(VLOOKUP('Customer Info'!A2751,'Customer Info'!A2751:C3250,3,FALSE),"Not Found")</f>
        <v>Not Found</v>
      </c>
      <c r="I2759" s="6" t="str">
        <f>IFERROR(VLOOKUP('Customer Info'!A2751,'Customer Info'!A2751:E3250,5,FALSE),"Not Found")</f>
        <v>Not Found</v>
      </c>
      <c r="J2759" s="2">
        <v>6400</v>
      </c>
      <c r="K2759" s="2">
        <v>6401</v>
      </c>
      <c r="L2759" s="2">
        <v>4</v>
      </c>
      <c r="M2759" s="7">
        <f t="shared" si="210"/>
        <v>25604</v>
      </c>
      <c r="N2759" s="7">
        <f t="shared" si="211"/>
        <v>25600</v>
      </c>
      <c r="O2759" s="2">
        <v>79</v>
      </c>
      <c r="P2759" s="8">
        <f t="shared" si="212"/>
        <v>25679</v>
      </c>
      <c r="Q2759" s="8">
        <f t="shared" si="213"/>
        <v>19199</v>
      </c>
      <c r="R2759" s="2" t="s">
        <v>50</v>
      </c>
      <c r="S2759" s="9">
        <f t="shared" si="214"/>
        <v>1797.5300000000002</v>
      </c>
    </row>
    <row r="2760" spans="1:19" x14ac:dyDescent="0.3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str">
        <f>IFERROR(VLOOKUP('Customer Info'!A2752,'Customer Info'!A2752:C3251,2,FALSE),"Not Found")</f>
        <v>Not Found</v>
      </c>
      <c r="H2760" s="6" t="str">
        <f>IFERROR(VLOOKUP('Customer Info'!A2752,'Customer Info'!A2752:C3251,3,FALSE),"Not Found")</f>
        <v>Not Found</v>
      </c>
      <c r="I2760" s="6" t="str">
        <f>IFERROR(VLOOKUP('Customer Info'!A2752,'Customer Info'!A2752:E3251,5,FALSE),"Not Found")</f>
        <v>Not Found</v>
      </c>
      <c r="J2760" s="2">
        <v>175</v>
      </c>
      <c r="K2760" s="2">
        <v>158</v>
      </c>
      <c r="L2760" s="2">
        <v>2</v>
      </c>
      <c r="M2760" s="7">
        <f t="shared" si="210"/>
        <v>316</v>
      </c>
      <c r="N2760" s="7">
        <f t="shared" si="211"/>
        <v>350</v>
      </c>
      <c r="O2760" s="2">
        <v>30</v>
      </c>
      <c r="P2760" s="8">
        <f t="shared" si="212"/>
        <v>380</v>
      </c>
      <c r="Q2760" s="8">
        <f t="shared" si="213"/>
        <v>192</v>
      </c>
      <c r="R2760" s="2" t="s">
        <v>50</v>
      </c>
      <c r="S2760" s="9">
        <f t="shared" si="214"/>
        <v>7.6000000000000005</v>
      </c>
    </row>
    <row r="2761" spans="1:19" x14ac:dyDescent="0.3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str">
        <f>IFERROR(VLOOKUP('Customer Info'!A2753,'Customer Info'!A2753:C3252,2,FALSE),"Not Found")</f>
        <v>Not Found</v>
      </c>
      <c r="H2761" s="6" t="str">
        <f>IFERROR(VLOOKUP('Customer Info'!A2753,'Customer Info'!A2753:C3252,3,FALSE),"Not Found")</f>
        <v>Not Found</v>
      </c>
      <c r="I2761" s="6" t="str">
        <f>IFERROR(VLOOKUP('Customer Info'!A2753,'Customer Info'!A2753:E3252,5,FALSE),"Not Found")</f>
        <v>Not Found</v>
      </c>
      <c r="J2761" s="2">
        <v>148</v>
      </c>
      <c r="K2761" s="2">
        <v>136</v>
      </c>
      <c r="L2761" s="2">
        <v>7</v>
      </c>
      <c r="M2761" s="7">
        <f t="shared" si="210"/>
        <v>952</v>
      </c>
      <c r="N2761" s="7">
        <f t="shared" si="211"/>
        <v>1036</v>
      </c>
      <c r="O2761" s="2">
        <v>30</v>
      </c>
      <c r="P2761" s="8">
        <f t="shared" si="212"/>
        <v>1066</v>
      </c>
      <c r="Q2761" s="8">
        <f t="shared" si="213"/>
        <v>900</v>
      </c>
      <c r="R2761" s="2" t="s">
        <v>28</v>
      </c>
      <c r="S2761" s="9">
        <f t="shared" si="214"/>
        <v>21.32</v>
      </c>
    </row>
    <row r="2762" spans="1:19" x14ac:dyDescent="0.3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str">
        <f>IFERROR(VLOOKUP('Customer Info'!A2754,'Customer Info'!A2754:C3253,2,FALSE),"Not Found")</f>
        <v>Not Found</v>
      </c>
      <c r="H2762" s="6" t="str">
        <f>IFERROR(VLOOKUP('Customer Info'!A2754,'Customer Info'!A2754:C3253,3,FALSE),"Not Found")</f>
        <v>Not Found</v>
      </c>
      <c r="I2762" s="6" t="str">
        <f>IFERROR(VLOOKUP('Customer Info'!A2754,'Customer Info'!A2754:E3253,5,FALSE),"Not Found")</f>
        <v>Not Found</v>
      </c>
      <c r="J2762" s="2">
        <v>202</v>
      </c>
      <c r="K2762" s="2">
        <v>187</v>
      </c>
      <c r="L2762" s="2">
        <v>1</v>
      </c>
      <c r="M2762" s="7">
        <f t="shared" si="210"/>
        <v>187</v>
      </c>
      <c r="N2762" s="7">
        <f t="shared" si="211"/>
        <v>202</v>
      </c>
      <c r="O2762" s="2">
        <v>30</v>
      </c>
      <c r="P2762" s="8">
        <f t="shared" si="212"/>
        <v>232</v>
      </c>
      <c r="Q2762" s="8">
        <f t="shared" si="213"/>
        <v>15</v>
      </c>
      <c r="R2762" s="2" t="s">
        <v>28</v>
      </c>
      <c r="S2762" s="9">
        <f t="shared" si="214"/>
        <v>4.6399999999999997</v>
      </c>
    </row>
    <row r="2763" spans="1:19" x14ac:dyDescent="0.3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str">
        <f>IFERROR(VLOOKUP('Customer Info'!A2755,'Customer Info'!A2755:C3254,2,FALSE),"Not Found")</f>
        <v>Not Found</v>
      </c>
      <c r="H2763" s="6" t="str">
        <f>IFERROR(VLOOKUP('Customer Info'!A2755,'Customer Info'!A2755:C3254,3,FALSE),"Not Found")</f>
        <v>Not Found</v>
      </c>
      <c r="I2763" s="6" t="str">
        <f>IFERROR(VLOOKUP('Customer Info'!A2755,'Customer Info'!A2755:E3254,5,FALSE),"Not Found")</f>
        <v>Not Found</v>
      </c>
      <c r="J2763" s="2">
        <v>171</v>
      </c>
      <c r="K2763" s="2">
        <v>153</v>
      </c>
      <c r="L2763" s="2">
        <v>9</v>
      </c>
      <c r="M2763" s="7">
        <f t="shared" ref="M2763:M2826" si="215">$K2763*$L2763</f>
        <v>1377</v>
      </c>
      <c r="N2763" s="7">
        <f t="shared" ref="N2763:N2826" si="216">$J2763*$L2763</f>
        <v>1539</v>
      </c>
      <c r="O2763" s="2">
        <v>30</v>
      </c>
      <c r="P2763" s="8">
        <f t="shared" ref="P2763:P2826" si="217">$N2763+$O2763</f>
        <v>1569</v>
      </c>
      <c r="Q2763" s="8">
        <f t="shared" ref="Q2763:Q2826" si="218">$N2763-$K2763</f>
        <v>1386</v>
      </c>
      <c r="R2763" s="2" t="s">
        <v>28</v>
      </c>
      <c r="S2763" s="9">
        <f t="shared" ref="S2763:S2826" si="219" xml:space="preserve"> P2763 * VLOOKUP(P2763, $T$2:$U$6, 2, TRUE)</f>
        <v>31.38</v>
      </c>
    </row>
    <row r="2764" spans="1:19" x14ac:dyDescent="0.3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str">
        <f>IFERROR(VLOOKUP('Customer Info'!A2756,'Customer Info'!A2756:C3255,2,FALSE),"Not Found")</f>
        <v>Not Found</v>
      </c>
      <c r="H2764" s="6" t="str">
        <f>IFERROR(VLOOKUP('Customer Info'!A2756,'Customer Info'!A2756:C3255,3,FALSE),"Not Found")</f>
        <v>Not Found</v>
      </c>
      <c r="I2764" s="6" t="str">
        <f>IFERROR(VLOOKUP('Customer Info'!A2756,'Customer Info'!A2756:E3255,5,FALSE),"Not Found")</f>
        <v>Not Found</v>
      </c>
      <c r="J2764" s="2">
        <v>7212</v>
      </c>
      <c r="K2764" s="2">
        <v>6737</v>
      </c>
      <c r="L2764" s="2">
        <v>3</v>
      </c>
      <c r="M2764" s="7">
        <f t="shared" si="215"/>
        <v>20211</v>
      </c>
      <c r="N2764" s="7">
        <f t="shared" si="216"/>
        <v>21636</v>
      </c>
      <c r="O2764" s="2">
        <v>21</v>
      </c>
      <c r="P2764" s="8">
        <f t="shared" si="217"/>
        <v>21657</v>
      </c>
      <c r="Q2764" s="8">
        <f t="shared" si="218"/>
        <v>14899</v>
      </c>
      <c r="R2764" s="2" t="s">
        <v>28</v>
      </c>
      <c r="S2764" s="9">
        <f t="shared" si="219"/>
        <v>1082.8500000000001</v>
      </c>
    </row>
    <row r="2765" spans="1:19" x14ac:dyDescent="0.3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str">
        <f>IFERROR(VLOOKUP('Customer Info'!A2757,'Customer Info'!A2757:C3256,2,FALSE),"Not Found")</f>
        <v>Not Found</v>
      </c>
      <c r="H2765" s="6" t="str">
        <f>IFERROR(VLOOKUP('Customer Info'!A2757,'Customer Info'!A2757:C3256,3,FALSE),"Not Found")</f>
        <v>Not Found</v>
      </c>
      <c r="I2765" s="6" t="str">
        <f>IFERROR(VLOOKUP('Customer Info'!A2757,'Customer Info'!A2757:E3256,5,FALSE),"Not Found")</f>
        <v>Not Found</v>
      </c>
      <c r="J2765" s="2">
        <v>811</v>
      </c>
      <c r="K2765" s="2">
        <v>780</v>
      </c>
      <c r="L2765" s="2">
        <v>2</v>
      </c>
      <c r="M2765" s="7">
        <f t="shared" si="215"/>
        <v>1560</v>
      </c>
      <c r="N2765" s="7">
        <f t="shared" si="216"/>
        <v>1622</v>
      </c>
      <c r="O2765" s="2">
        <v>99</v>
      </c>
      <c r="P2765" s="8">
        <f t="shared" si="217"/>
        <v>1721</v>
      </c>
      <c r="Q2765" s="8">
        <f t="shared" si="218"/>
        <v>842</v>
      </c>
      <c r="R2765" s="2" t="s">
        <v>28</v>
      </c>
      <c r="S2765" s="9">
        <f t="shared" si="219"/>
        <v>34.42</v>
      </c>
    </row>
    <row r="2766" spans="1:19" x14ac:dyDescent="0.3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str">
        <f>IFERROR(VLOOKUP('Customer Info'!A2758,'Customer Info'!A2758:C3257,2,FALSE),"Not Found")</f>
        <v>Not Found</v>
      </c>
      <c r="H2766" s="6" t="str">
        <f>IFERROR(VLOOKUP('Customer Info'!A2758,'Customer Info'!A2758:C3257,3,FALSE),"Not Found")</f>
        <v>Not Found</v>
      </c>
      <c r="I2766" s="6" t="str">
        <f>IFERROR(VLOOKUP('Customer Info'!A2758,'Customer Info'!A2758:E3257,5,FALSE),"Not Found")</f>
        <v>Not Found</v>
      </c>
      <c r="J2766" s="2">
        <v>36778</v>
      </c>
      <c r="K2766" s="2">
        <v>34709</v>
      </c>
      <c r="L2766" s="2">
        <v>13</v>
      </c>
      <c r="M2766" s="7">
        <f t="shared" si="215"/>
        <v>451217</v>
      </c>
      <c r="N2766" s="7">
        <f t="shared" si="216"/>
        <v>478114</v>
      </c>
      <c r="O2766" s="2">
        <v>66</v>
      </c>
      <c r="P2766" s="8">
        <f t="shared" si="217"/>
        <v>478180</v>
      </c>
      <c r="Q2766" s="8">
        <f t="shared" si="218"/>
        <v>443405</v>
      </c>
      <c r="R2766" s="2" t="s">
        <v>50</v>
      </c>
      <c r="S2766" s="9">
        <f t="shared" si="219"/>
        <v>57381.599999999999</v>
      </c>
    </row>
    <row r="2767" spans="1:19" x14ac:dyDescent="0.3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str">
        <f>IFERROR(VLOOKUP('Customer Info'!A2759,'Customer Info'!A2759:C3258,2,FALSE),"Not Found")</f>
        <v>Not Found</v>
      </c>
      <c r="H2767" s="6" t="str">
        <f>IFERROR(VLOOKUP('Customer Info'!A2759,'Customer Info'!A2759:C3258,3,FALSE),"Not Found")</f>
        <v>Not Found</v>
      </c>
      <c r="I2767" s="6" t="str">
        <f>IFERROR(VLOOKUP('Customer Info'!A2759,'Customer Info'!A2759:E3258,5,FALSE),"Not Found")</f>
        <v>Not Found</v>
      </c>
      <c r="J2767" s="2">
        <v>7922</v>
      </c>
      <c r="K2767" s="2">
        <v>7328</v>
      </c>
      <c r="L2767" s="2">
        <v>2</v>
      </c>
      <c r="M2767" s="7">
        <f t="shared" si="215"/>
        <v>14656</v>
      </c>
      <c r="N2767" s="7">
        <f t="shared" si="216"/>
        <v>15844</v>
      </c>
      <c r="O2767" s="2">
        <v>39</v>
      </c>
      <c r="P2767" s="8">
        <f t="shared" si="217"/>
        <v>15883</v>
      </c>
      <c r="Q2767" s="8">
        <f t="shared" si="218"/>
        <v>8516</v>
      </c>
      <c r="R2767" s="2" t="s">
        <v>28</v>
      </c>
      <c r="S2767" s="9">
        <f t="shared" si="219"/>
        <v>794.15000000000009</v>
      </c>
    </row>
    <row r="2768" spans="1:19" x14ac:dyDescent="0.3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str">
        <f>IFERROR(VLOOKUP('Customer Info'!A2760,'Customer Info'!A2760:C3259,2,FALSE),"Not Found")</f>
        <v>Not Found</v>
      </c>
      <c r="H2768" s="6" t="str">
        <f>IFERROR(VLOOKUP('Customer Info'!A2760,'Customer Info'!A2760:C3259,3,FALSE),"Not Found")</f>
        <v>Not Found</v>
      </c>
      <c r="I2768" s="6" t="str">
        <f>IFERROR(VLOOKUP('Customer Info'!A2760,'Customer Info'!A2760:E3259,5,FALSE),"Not Found")</f>
        <v>Not Found</v>
      </c>
      <c r="J2768" s="2">
        <v>7021</v>
      </c>
      <c r="K2768" s="2">
        <v>6686</v>
      </c>
      <c r="L2768" s="2">
        <v>4</v>
      </c>
      <c r="M2768" s="7">
        <f t="shared" si="215"/>
        <v>26744</v>
      </c>
      <c r="N2768" s="7">
        <f t="shared" si="216"/>
        <v>28084</v>
      </c>
      <c r="O2768" s="2">
        <v>27</v>
      </c>
      <c r="P2768" s="8">
        <f t="shared" si="217"/>
        <v>28111</v>
      </c>
      <c r="Q2768" s="8">
        <f t="shared" si="218"/>
        <v>21398</v>
      </c>
      <c r="R2768" s="2" t="s">
        <v>28</v>
      </c>
      <c r="S2768" s="9">
        <f t="shared" si="219"/>
        <v>1967.7700000000002</v>
      </c>
    </row>
    <row r="2769" spans="1:19" x14ac:dyDescent="0.3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str">
        <f>IFERROR(VLOOKUP('Customer Info'!A2761,'Customer Info'!A2761:C3260,2,FALSE),"Not Found")</f>
        <v>Not Found</v>
      </c>
      <c r="H2769" s="6" t="str">
        <f>IFERROR(VLOOKUP('Customer Info'!A2761,'Customer Info'!A2761:C3260,3,FALSE),"Not Found")</f>
        <v>Not Found</v>
      </c>
      <c r="I2769" s="6" t="str">
        <f>IFERROR(VLOOKUP('Customer Info'!A2761,'Customer Info'!A2761:E3260,5,FALSE),"Not Found")</f>
        <v>Not Found</v>
      </c>
      <c r="J2769" s="2">
        <v>2787</v>
      </c>
      <c r="K2769" s="2">
        <v>2681</v>
      </c>
      <c r="L2769" s="2">
        <v>6</v>
      </c>
      <c r="M2769" s="7">
        <f t="shared" si="215"/>
        <v>16086</v>
      </c>
      <c r="N2769" s="7">
        <f t="shared" si="216"/>
        <v>16722</v>
      </c>
      <c r="O2769" s="2">
        <v>60</v>
      </c>
      <c r="P2769" s="8">
        <f t="shared" si="217"/>
        <v>16782</v>
      </c>
      <c r="Q2769" s="8">
        <f t="shared" si="218"/>
        <v>14041</v>
      </c>
      <c r="R2769" s="2" t="s">
        <v>56</v>
      </c>
      <c r="S2769" s="9">
        <f t="shared" si="219"/>
        <v>839.1</v>
      </c>
    </row>
    <row r="2770" spans="1:19" x14ac:dyDescent="0.3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str">
        <f>IFERROR(VLOOKUP('Customer Info'!A2762,'Customer Info'!A2762:C3261,2,FALSE),"Not Found")</f>
        <v>Not Found</v>
      </c>
      <c r="H2770" s="6" t="str">
        <f>IFERROR(VLOOKUP('Customer Info'!A2762,'Customer Info'!A2762:C3261,3,FALSE),"Not Found")</f>
        <v>Not Found</v>
      </c>
      <c r="I2770" s="6" t="str">
        <f>IFERROR(VLOOKUP('Customer Info'!A2762,'Customer Info'!A2762:E3261,5,FALSE),"Not Found")</f>
        <v>Not Found</v>
      </c>
      <c r="J2770" s="2">
        <v>136</v>
      </c>
      <c r="K2770" s="2">
        <v>130</v>
      </c>
      <c r="L2770" s="2">
        <v>1</v>
      </c>
      <c r="M2770" s="7">
        <f t="shared" si="215"/>
        <v>130</v>
      </c>
      <c r="N2770" s="7">
        <f t="shared" si="216"/>
        <v>136</v>
      </c>
      <c r="O2770" s="2">
        <v>30</v>
      </c>
      <c r="P2770" s="8">
        <f t="shared" si="217"/>
        <v>166</v>
      </c>
      <c r="Q2770" s="8">
        <f t="shared" si="218"/>
        <v>6</v>
      </c>
      <c r="R2770" s="2" t="s">
        <v>28</v>
      </c>
      <c r="S2770" s="9">
        <f t="shared" si="219"/>
        <v>3.3200000000000003</v>
      </c>
    </row>
    <row r="2771" spans="1:19" x14ac:dyDescent="0.3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str">
        <f>IFERROR(VLOOKUP('Customer Info'!A2763,'Customer Info'!A2763:C3262,2,FALSE),"Not Found")</f>
        <v>Not Found</v>
      </c>
      <c r="H2771" s="6" t="str">
        <f>IFERROR(VLOOKUP('Customer Info'!A2763,'Customer Info'!A2763:C3262,3,FALSE),"Not Found")</f>
        <v>Not Found</v>
      </c>
      <c r="I2771" s="6" t="str">
        <f>IFERROR(VLOOKUP('Customer Info'!A2763,'Customer Info'!A2763:E3262,5,FALSE),"Not Found")</f>
        <v>Not Found</v>
      </c>
      <c r="J2771" s="2">
        <v>6717</v>
      </c>
      <c r="K2771" s="2">
        <v>6288</v>
      </c>
      <c r="L2771" s="2">
        <v>3</v>
      </c>
      <c r="M2771" s="7">
        <f t="shared" si="215"/>
        <v>18864</v>
      </c>
      <c r="N2771" s="7">
        <f t="shared" si="216"/>
        <v>20151</v>
      </c>
      <c r="O2771" s="2">
        <v>29</v>
      </c>
      <c r="P2771" s="8">
        <f t="shared" si="217"/>
        <v>20180</v>
      </c>
      <c r="Q2771" s="8">
        <f t="shared" si="218"/>
        <v>13863</v>
      </c>
      <c r="R2771" s="2" t="s">
        <v>28</v>
      </c>
      <c r="S2771" s="9">
        <f t="shared" si="219"/>
        <v>1009</v>
      </c>
    </row>
    <row r="2772" spans="1:19" x14ac:dyDescent="0.3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str">
        <f>IFERROR(VLOOKUP('Customer Info'!A2764,'Customer Info'!A2764:C3263,2,FALSE),"Not Found")</f>
        <v>Not Found</v>
      </c>
      <c r="H2772" s="6" t="str">
        <f>IFERROR(VLOOKUP('Customer Info'!A2764,'Customer Info'!A2764:C3263,3,FALSE),"Not Found")</f>
        <v>Not Found</v>
      </c>
      <c r="I2772" s="6" t="str">
        <f>IFERROR(VLOOKUP('Customer Info'!A2764,'Customer Info'!A2764:E3263,5,FALSE),"Not Found")</f>
        <v>Not Found</v>
      </c>
      <c r="J2772" s="2">
        <v>1601</v>
      </c>
      <c r="K2772" s="2">
        <v>1510</v>
      </c>
      <c r="L2772" s="2">
        <v>4</v>
      </c>
      <c r="M2772" s="7">
        <f t="shared" si="215"/>
        <v>6040</v>
      </c>
      <c r="N2772" s="7">
        <f t="shared" si="216"/>
        <v>6404</v>
      </c>
      <c r="O2772" s="2">
        <v>67</v>
      </c>
      <c r="P2772" s="8">
        <f t="shared" si="217"/>
        <v>6471</v>
      </c>
      <c r="Q2772" s="8">
        <f t="shared" si="218"/>
        <v>4894</v>
      </c>
      <c r="R2772" s="2" t="s">
        <v>28</v>
      </c>
      <c r="S2772" s="9">
        <f t="shared" si="219"/>
        <v>323.55</v>
      </c>
    </row>
    <row r="2773" spans="1:19" x14ac:dyDescent="0.3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str">
        <f>IFERROR(VLOOKUP('Customer Info'!A2765,'Customer Info'!A2765:C3264,2,FALSE),"Not Found")</f>
        <v>Not Found</v>
      </c>
      <c r="H2773" s="6" t="str">
        <f>IFERROR(VLOOKUP('Customer Info'!A2765,'Customer Info'!A2765:C3264,3,FALSE),"Not Found")</f>
        <v>Not Found</v>
      </c>
      <c r="I2773" s="6" t="str">
        <f>IFERROR(VLOOKUP('Customer Info'!A2765,'Customer Info'!A2765:E3264,5,FALSE),"Not Found")</f>
        <v>Not Found</v>
      </c>
      <c r="J2773" s="2">
        <v>101</v>
      </c>
      <c r="K2773" s="2">
        <v>98</v>
      </c>
      <c r="L2773" s="2">
        <v>6</v>
      </c>
      <c r="M2773" s="7">
        <f t="shared" si="215"/>
        <v>588</v>
      </c>
      <c r="N2773" s="7">
        <f t="shared" si="216"/>
        <v>606</v>
      </c>
      <c r="O2773" s="2">
        <v>10</v>
      </c>
      <c r="P2773" s="8">
        <f t="shared" si="217"/>
        <v>616</v>
      </c>
      <c r="Q2773" s="8">
        <f t="shared" si="218"/>
        <v>508</v>
      </c>
      <c r="R2773" s="2" t="s">
        <v>28</v>
      </c>
      <c r="S2773" s="9">
        <f t="shared" si="219"/>
        <v>12.32</v>
      </c>
    </row>
    <row r="2774" spans="1:19" x14ac:dyDescent="0.3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str">
        <f>IFERROR(VLOOKUP('Customer Info'!A2766,'Customer Info'!A2766:C3265,2,FALSE),"Not Found")</f>
        <v>Not Found</v>
      </c>
      <c r="H2774" s="6" t="str">
        <f>IFERROR(VLOOKUP('Customer Info'!A2766,'Customer Info'!A2766:C3265,3,FALSE),"Not Found")</f>
        <v>Not Found</v>
      </c>
      <c r="I2774" s="6" t="str">
        <f>IFERROR(VLOOKUP('Customer Info'!A2766,'Customer Info'!A2766:E3265,5,FALSE),"Not Found")</f>
        <v>Not Found</v>
      </c>
      <c r="J2774" s="2">
        <v>170</v>
      </c>
      <c r="K2774" s="2">
        <v>160</v>
      </c>
      <c r="L2774" s="2">
        <v>8</v>
      </c>
      <c r="M2774" s="7">
        <f t="shared" si="215"/>
        <v>1280</v>
      </c>
      <c r="N2774" s="7">
        <f t="shared" si="216"/>
        <v>1360</v>
      </c>
      <c r="O2774" s="2">
        <v>30</v>
      </c>
      <c r="P2774" s="8">
        <f t="shared" si="217"/>
        <v>1390</v>
      </c>
      <c r="Q2774" s="8">
        <f t="shared" si="218"/>
        <v>1200</v>
      </c>
      <c r="R2774" s="2" t="s">
        <v>28</v>
      </c>
      <c r="S2774" s="9">
        <f t="shared" si="219"/>
        <v>27.8</v>
      </c>
    </row>
    <row r="2775" spans="1:19" x14ac:dyDescent="0.3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str">
        <f>IFERROR(VLOOKUP('Customer Info'!A2767,'Customer Info'!A2767:C3266,2,FALSE),"Not Found")</f>
        <v>Not Found</v>
      </c>
      <c r="H2775" s="6" t="str">
        <f>IFERROR(VLOOKUP('Customer Info'!A2767,'Customer Info'!A2767:C3266,3,FALSE),"Not Found")</f>
        <v>Not Found</v>
      </c>
      <c r="I2775" s="6" t="str">
        <f>IFERROR(VLOOKUP('Customer Info'!A2767,'Customer Info'!A2767:E3266,5,FALSE),"Not Found")</f>
        <v>Not Found</v>
      </c>
      <c r="J2775" s="2">
        <v>8738</v>
      </c>
      <c r="K2775" s="2">
        <v>8162</v>
      </c>
      <c r="L2775" s="2">
        <v>2</v>
      </c>
      <c r="M2775" s="7">
        <f t="shared" si="215"/>
        <v>16324</v>
      </c>
      <c r="N2775" s="7">
        <f t="shared" si="216"/>
        <v>17476</v>
      </c>
      <c r="O2775" s="2">
        <v>64</v>
      </c>
      <c r="P2775" s="8">
        <f t="shared" si="217"/>
        <v>17540</v>
      </c>
      <c r="Q2775" s="8">
        <f t="shared" si="218"/>
        <v>9314</v>
      </c>
      <c r="R2775" s="2" t="s">
        <v>28</v>
      </c>
      <c r="S2775" s="9">
        <f t="shared" si="219"/>
        <v>877</v>
      </c>
    </row>
    <row r="2776" spans="1:19" x14ac:dyDescent="0.3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str">
        <f>IFERROR(VLOOKUP('Customer Info'!A2768,'Customer Info'!A2768:C3267,2,FALSE),"Not Found")</f>
        <v>Not Found</v>
      </c>
      <c r="H2776" s="6" t="str">
        <f>IFERROR(VLOOKUP('Customer Info'!A2768,'Customer Info'!A2768:C3267,3,FALSE),"Not Found")</f>
        <v>Not Found</v>
      </c>
      <c r="I2776" s="6" t="str">
        <f>IFERROR(VLOOKUP('Customer Info'!A2768,'Customer Info'!A2768:E3267,5,FALSE),"Not Found")</f>
        <v>Not Found</v>
      </c>
      <c r="J2776" s="2">
        <v>8686</v>
      </c>
      <c r="K2776" s="2">
        <v>8035</v>
      </c>
      <c r="L2776" s="2">
        <v>7</v>
      </c>
      <c r="M2776" s="7">
        <f t="shared" si="215"/>
        <v>56245</v>
      </c>
      <c r="N2776" s="7">
        <f t="shared" si="216"/>
        <v>60802</v>
      </c>
      <c r="O2776" s="2">
        <v>31</v>
      </c>
      <c r="P2776" s="8">
        <f t="shared" si="217"/>
        <v>60833</v>
      </c>
      <c r="Q2776" s="8">
        <f t="shared" si="218"/>
        <v>52767</v>
      </c>
      <c r="R2776" s="2" t="s">
        <v>50</v>
      </c>
      <c r="S2776" s="9">
        <f t="shared" si="219"/>
        <v>5474.9699999999993</v>
      </c>
    </row>
    <row r="2777" spans="1:19" x14ac:dyDescent="0.3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str">
        <f>IFERROR(VLOOKUP('Customer Info'!A2769,'Customer Info'!A2769:C3268,2,FALSE),"Not Found")</f>
        <v>Not Found</v>
      </c>
      <c r="H2777" s="6" t="str">
        <f>IFERROR(VLOOKUP('Customer Info'!A2769,'Customer Info'!A2769:C3268,3,FALSE),"Not Found")</f>
        <v>Not Found</v>
      </c>
      <c r="I2777" s="6" t="str">
        <f>IFERROR(VLOOKUP('Customer Info'!A2769,'Customer Info'!A2769:E3268,5,FALSE),"Not Found")</f>
        <v>Not Found</v>
      </c>
      <c r="J2777" s="2">
        <v>8199</v>
      </c>
      <c r="K2777" s="2">
        <v>7523</v>
      </c>
      <c r="L2777" s="2">
        <v>3</v>
      </c>
      <c r="M2777" s="7">
        <f t="shared" si="215"/>
        <v>22569</v>
      </c>
      <c r="N2777" s="7">
        <f t="shared" si="216"/>
        <v>24597</v>
      </c>
      <c r="O2777" s="2">
        <v>21</v>
      </c>
      <c r="P2777" s="8">
        <f t="shared" si="217"/>
        <v>24618</v>
      </c>
      <c r="Q2777" s="8">
        <f t="shared" si="218"/>
        <v>17074</v>
      </c>
      <c r="R2777" s="2" t="s">
        <v>28</v>
      </c>
      <c r="S2777" s="9">
        <f t="shared" si="219"/>
        <v>1230.9000000000001</v>
      </c>
    </row>
    <row r="2778" spans="1:19" x14ac:dyDescent="0.3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str">
        <f>IFERROR(VLOOKUP('Customer Info'!A2770,'Customer Info'!A2770:C3269,2,FALSE),"Not Found")</f>
        <v>Not Found</v>
      </c>
      <c r="H2778" s="6" t="str">
        <f>IFERROR(VLOOKUP('Customer Info'!A2770,'Customer Info'!A2770:C3269,3,FALSE),"Not Found")</f>
        <v>Not Found</v>
      </c>
      <c r="I2778" s="6" t="str">
        <f>IFERROR(VLOOKUP('Customer Info'!A2770,'Customer Info'!A2770:E3269,5,FALSE),"Not Found")</f>
        <v>Not Found</v>
      </c>
      <c r="J2778" s="2">
        <v>681</v>
      </c>
      <c r="K2778" s="2">
        <v>642</v>
      </c>
      <c r="L2778" s="2">
        <v>1</v>
      </c>
      <c r="M2778" s="7">
        <f t="shared" si="215"/>
        <v>642</v>
      </c>
      <c r="N2778" s="7">
        <f t="shared" si="216"/>
        <v>681</v>
      </c>
      <c r="O2778" s="2">
        <v>38</v>
      </c>
      <c r="P2778" s="8">
        <f t="shared" si="217"/>
        <v>719</v>
      </c>
      <c r="Q2778" s="8">
        <f t="shared" si="218"/>
        <v>39</v>
      </c>
      <c r="R2778" s="2" t="s">
        <v>28</v>
      </c>
      <c r="S2778" s="9">
        <f t="shared" si="219"/>
        <v>14.38</v>
      </c>
    </row>
    <row r="2779" spans="1:19" x14ac:dyDescent="0.3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str">
        <f>IFERROR(VLOOKUP('Customer Info'!A2771,'Customer Info'!A2771:C3270,2,FALSE),"Not Found")</f>
        <v>Not Found</v>
      </c>
      <c r="H2779" s="6" t="str">
        <f>IFERROR(VLOOKUP('Customer Info'!A2771,'Customer Info'!A2771:C3270,3,FALSE),"Not Found")</f>
        <v>Not Found</v>
      </c>
      <c r="I2779" s="6" t="str">
        <f>IFERROR(VLOOKUP('Customer Info'!A2771,'Customer Info'!A2771:E3270,5,FALSE),"Not Found")</f>
        <v>Not Found</v>
      </c>
      <c r="J2779" s="2">
        <v>1332</v>
      </c>
      <c r="K2779" s="2">
        <v>1209</v>
      </c>
      <c r="L2779" s="2">
        <v>3</v>
      </c>
      <c r="M2779" s="7">
        <f t="shared" si="215"/>
        <v>3627</v>
      </c>
      <c r="N2779" s="7">
        <f t="shared" si="216"/>
        <v>3996</v>
      </c>
      <c r="O2779" s="2">
        <v>84</v>
      </c>
      <c r="P2779" s="8">
        <f t="shared" si="217"/>
        <v>4080</v>
      </c>
      <c r="Q2779" s="8">
        <f t="shared" si="218"/>
        <v>2787</v>
      </c>
      <c r="R2779" s="2" t="s">
        <v>50</v>
      </c>
      <c r="S2779" s="9">
        <f t="shared" si="219"/>
        <v>81.600000000000009</v>
      </c>
    </row>
    <row r="2780" spans="1:19" x14ac:dyDescent="0.3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str">
        <f>IFERROR(VLOOKUP('Customer Info'!A2772,'Customer Info'!A2772:C3271,2,FALSE),"Not Found")</f>
        <v>Not Found</v>
      </c>
      <c r="H2780" s="6" t="str">
        <f>IFERROR(VLOOKUP('Customer Info'!A2772,'Customer Info'!A2772:C3271,3,FALSE),"Not Found")</f>
        <v>Not Found</v>
      </c>
      <c r="I2780" s="6" t="str">
        <f>IFERROR(VLOOKUP('Customer Info'!A2772,'Customer Info'!A2772:E3271,5,FALSE),"Not Found")</f>
        <v>Not Found</v>
      </c>
      <c r="J2780" s="2">
        <v>2965</v>
      </c>
      <c r="K2780" s="2">
        <v>2694</v>
      </c>
      <c r="L2780" s="2">
        <v>1</v>
      </c>
      <c r="M2780" s="7">
        <f t="shared" si="215"/>
        <v>2694</v>
      </c>
      <c r="N2780" s="7">
        <f t="shared" si="216"/>
        <v>2965</v>
      </c>
      <c r="O2780" s="2">
        <v>46</v>
      </c>
      <c r="P2780" s="8">
        <f t="shared" si="217"/>
        <v>3011</v>
      </c>
      <c r="Q2780" s="8">
        <f t="shared" si="218"/>
        <v>271</v>
      </c>
      <c r="R2780" s="2" t="s">
        <v>28</v>
      </c>
      <c r="S2780" s="9">
        <f t="shared" si="219"/>
        <v>60.22</v>
      </c>
    </row>
    <row r="2781" spans="1:19" x14ac:dyDescent="0.3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str">
        <f>IFERROR(VLOOKUP('Customer Info'!A2773,'Customer Info'!A2773:C3272,2,FALSE),"Not Found")</f>
        <v>Not Found</v>
      </c>
      <c r="H2781" s="6" t="str">
        <f>IFERROR(VLOOKUP('Customer Info'!A2773,'Customer Info'!A2773:C3272,3,FALSE),"Not Found")</f>
        <v>Not Found</v>
      </c>
      <c r="I2781" s="6" t="str">
        <f>IFERROR(VLOOKUP('Customer Info'!A2773,'Customer Info'!A2773:E3272,5,FALSE),"Not Found")</f>
        <v>Not Found</v>
      </c>
      <c r="J2781" s="2">
        <v>8202</v>
      </c>
      <c r="K2781" s="2">
        <v>7594</v>
      </c>
      <c r="L2781" s="2">
        <v>2</v>
      </c>
      <c r="M2781" s="7">
        <f t="shared" si="215"/>
        <v>15188</v>
      </c>
      <c r="N2781" s="7">
        <f t="shared" si="216"/>
        <v>16404</v>
      </c>
      <c r="O2781" s="2">
        <v>56</v>
      </c>
      <c r="P2781" s="8">
        <f t="shared" si="217"/>
        <v>16460</v>
      </c>
      <c r="Q2781" s="8">
        <f t="shared" si="218"/>
        <v>8810</v>
      </c>
      <c r="R2781" s="2" t="s">
        <v>28</v>
      </c>
      <c r="S2781" s="9">
        <f t="shared" si="219"/>
        <v>823</v>
      </c>
    </row>
    <row r="2782" spans="1:19" x14ac:dyDescent="0.3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str">
        <f>IFERROR(VLOOKUP('Customer Info'!A2774,'Customer Info'!A2774:C3273,2,FALSE),"Not Found")</f>
        <v>Not Found</v>
      </c>
      <c r="H2782" s="6" t="str">
        <f>IFERROR(VLOOKUP('Customer Info'!A2774,'Customer Info'!A2774:C3273,3,FALSE),"Not Found")</f>
        <v>Not Found</v>
      </c>
      <c r="I2782" s="6" t="str">
        <f>IFERROR(VLOOKUP('Customer Info'!A2774,'Customer Info'!A2774:E3273,5,FALSE),"Not Found")</f>
        <v>Not Found</v>
      </c>
      <c r="J2782" s="2">
        <v>175</v>
      </c>
      <c r="K2782" s="2">
        <v>158</v>
      </c>
      <c r="L2782" s="2">
        <v>8</v>
      </c>
      <c r="M2782" s="7">
        <f t="shared" si="215"/>
        <v>1264</v>
      </c>
      <c r="N2782" s="7">
        <f t="shared" si="216"/>
        <v>1400</v>
      </c>
      <c r="O2782" s="2">
        <v>30</v>
      </c>
      <c r="P2782" s="8">
        <f t="shared" si="217"/>
        <v>1430</v>
      </c>
      <c r="Q2782" s="8">
        <f t="shared" si="218"/>
        <v>1242</v>
      </c>
      <c r="R2782" s="2" t="s">
        <v>56</v>
      </c>
      <c r="S2782" s="9">
        <f t="shared" si="219"/>
        <v>28.6</v>
      </c>
    </row>
    <row r="2783" spans="1:19" x14ac:dyDescent="0.3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str">
        <f>IFERROR(VLOOKUP('Customer Info'!A2775,'Customer Info'!A2775:C3274,2,FALSE),"Not Found")</f>
        <v>Not Found</v>
      </c>
      <c r="H2783" s="6" t="str">
        <f>IFERROR(VLOOKUP('Customer Info'!A2775,'Customer Info'!A2775:C3274,3,FALSE),"Not Found")</f>
        <v>Not Found</v>
      </c>
      <c r="I2783" s="6" t="str">
        <f>IFERROR(VLOOKUP('Customer Info'!A2775,'Customer Info'!A2775:E3274,5,FALSE),"Not Found")</f>
        <v>Not Found</v>
      </c>
      <c r="J2783" s="2">
        <v>8199</v>
      </c>
      <c r="K2783" s="2">
        <v>7523</v>
      </c>
      <c r="L2783" s="2">
        <v>1</v>
      </c>
      <c r="M2783" s="7">
        <f t="shared" si="215"/>
        <v>7523</v>
      </c>
      <c r="N2783" s="7">
        <f t="shared" si="216"/>
        <v>8199</v>
      </c>
      <c r="O2783" s="2">
        <v>60</v>
      </c>
      <c r="P2783" s="8">
        <f t="shared" si="217"/>
        <v>8259</v>
      </c>
      <c r="Q2783" s="8">
        <f t="shared" si="218"/>
        <v>676</v>
      </c>
      <c r="R2783" s="2" t="s">
        <v>50</v>
      </c>
      <c r="S2783" s="9">
        <f t="shared" si="219"/>
        <v>412.95000000000005</v>
      </c>
    </row>
    <row r="2784" spans="1:19" x14ac:dyDescent="0.3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str">
        <f>IFERROR(VLOOKUP('Customer Info'!A2776,'Customer Info'!A2776:C3275,2,FALSE),"Not Found")</f>
        <v>Not Found</v>
      </c>
      <c r="H2784" s="6" t="str">
        <f>IFERROR(VLOOKUP('Customer Info'!A2776,'Customer Info'!A2776:C3275,3,FALSE),"Not Found")</f>
        <v>Not Found</v>
      </c>
      <c r="I2784" s="6" t="str">
        <f>IFERROR(VLOOKUP('Customer Info'!A2776,'Customer Info'!A2776:E3275,5,FALSE),"Not Found")</f>
        <v>Not Found</v>
      </c>
      <c r="J2784" s="2">
        <v>887</v>
      </c>
      <c r="K2784" s="2">
        <v>814</v>
      </c>
      <c r="L2784" s="2">
        <v>6</v>
      </c>
      <c r="M2784" s="7">
        <f t="shared" si="215"/>
        <v>4884</v>
      </c>
      <c r="N2784" s="7">
        <f t="shared" si="216"/>
        <v>5322</v>
      </c>
      <c r="O2784" s="2">
        <v>64</v>
      </c>
      <c r="P2784" s="8">
        <f t="shared" si="217"/>
        <v>5386</v>
      </c>
      <c r="Q2784" s="8">
        <f t="shared" si="218"/>
        <v>4508</v>
      </c>
      <c r="R2784" s="2" t="s">
        <v>50</v>
      </c>
      <c r="S2784" s="9">
        <f t="shared" si="219"/>
        <v>269.3</v>
      </c>
    </row>
    <row r="2785" spans="1:19" x14ac:dyDescent="0.3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str">
        <f>IFERROR(VLOOKUP('Customer Info'!A2777,'Customer Info'!A2777:C3276,2,FALSE),"Not Found")</f>
        <v>Not Found</v>
      </c>
      <c r="H2785" s="6" t="str">
        <f>IFERROR(VLOOKUP('Customer Info'!A2777,'Customer Info'!A2777:C3276,3,FALSE),"Not Found")</f>
        <v>Not Found</v>
      </c>
      <c r="I2785" s="6" t="str">
        <f>IFERROR(VLOOKUP('Customer Info'!A2777,'Customer Info'!A2777:E3276,5,FALSE),"Not Found")</f>
        <v>Not Found</v>
      </c>
      <c r="J2785" s="2">
        <v>2453</v>
      </c>
      <c r="K2785" s="2">
        <v>2336</v>
      </c>
      <c r="L2785" s="2">
        <v>3</v>
      </c>
      <c r="M2785" s="7">
        <f t="shared" si="215"/>
        <v>7008</v>
      </c>
      <c r="N2785" s="7">
        <f t="shared" si="216"/>
        <v>7359</v>
      </c>
      <c r="O2785" s="2">
        <v>52</v>
      </c>
      <c r="P2785" s="8">
        <f t="shared" si="217"/>
        <v>7411</v>
      </c>
      <c r="Q2785" s="8">
        <f t="shared" si="218"/>
        <v>5023</v>
      </c>
      <c r="R2785" s="2" t="s">
        <v>28</v>
      </c>
      <c r="S2785" s="9">
        <f t="shared" si="219"/>
        <v>370.55</v>
      </c>
    </row>
    <row r="2786" spans="1:19" x14ac:dyDescent="0.3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str">
        <f>IFERROR(VLOOKUP('Customer Info'!A2778,'Customer Info'!A2778:C3277,2,FALSE),"Not Found")</f>
        <v>Not Found</v>
      </c>
      <c r="H2786" s="6" t="str">
        <f>IFERROR(VLOOKUP('Customer Info'!A2778,'Customer Info'!A2778:C3277,3,FALSE),"Not Found")</f>
        <v>Not Found</v>
      </c>
      <c r="I2786" s="6" t="str">
        <f>IFERROR(VLOOKUP('Customer Info'!A2778,'Customer Info'!A2778:E3277,5,FALSE),"Not Found")</f>
        <v>Not Found</v>
      </c>
      <c r="J2786" s="2">
        <v>214</v>
      </c>
      <c r="K2786" s="2">
        <v>200</v>
      </c>
      <c r="L2786" s="2">
        <v>1</v>
      </c>
      <c r="M2786" s="7">
        <f t="shared" si="215"/>
        <v>200</v>
      </c>
      <c r="N2786" s="7">
        <f t="shared" si="216"/>
        <v>214</v>
      </c>
      <c r="O2786" s="2">
        <v>30</v>
      </c>
      <c r="P2786" s="8">
        <f t="shared" si="217"/>
        <v>244</v>
      </c>
      <c r="Q2786" s="8">
        <f t="shared" si="218"/>
        <v>14</v>
      </c>
      <c r="R2786" s="2" t="s">
        <v>50</v>
      </c>
      <c r="S2786" s="9">
        <f t="shared" si="219"/>
        <v>4.88</v>
      </c>
    </row>
    <row r="2787" spans="1:19" x14ac:dyDescent="0.3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str">
        <f>IFERROR(VLOOKUP('Customer Info'!A2779,'Customer Info'!A2779:C3278,2,FALSE),"Not Found")</f>
        <v>Not Found</v>
      </c>
      <c r="H2787" s="6" t="str">
        <f>IFERROR(VLOOKUP('Customer Info'!A2779,'Customer Info'!A2779:C3278,3,FALSE),"Not Found")</f>
        <v>Not Found</v>
      </c>
      <c r="I2787" s="6" t="str">
        <f>IFERROR(VLOOKUP('Customer Info'!A2779,'Customer Info'!A2779:E3278,5,FALSE),"Not Found")</f>
        <v>Not Found</v>
      </c>
      <c r="J2787" s="2">
        <v>8281</v>
      </c>
      <c r="K2787" s="2">
        <v>7673</v>
      </c>
      <c r="L2787" s="2">
        <v>1</v>
      </c>
      <c r="M2787" s="7">
        <f t="shared" si="215"/>
        <v>7673</v>
      </c>
      <c r="N2787" s="7">
        <f t="shared" si="216"/>
        <v>8281</v>
      </c>
      <c r="O2787" s="2">
        <v>75</v>
      </c>
      <c r="P2787" s="8">
        <f t="shared" si="217"/>
        <v>8356</v>
      </c>
      <c r="Q2787" s="8">
        <f t="shared" si="218"/>
        <v>608</v>
      </c>
      <c r="R2787" s="2" t="s">
        <v>50</v>
      </c>
      <c r="S2787" s="9">
        <f t="shared" si="219"/>
        <v>417.8</v>
      </c>
    </row>
    <row r="2788" spans="1:19" x14ac:dyDescent="0.3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str">
        <f>IFERROR(VLOOKUP('Customer Info'!A2780,'Customer Info'!A2780:C3279,2,FALSE),"Not Found")</f>
        <v>Not Found</v>
      </c>
      <c r="H2788" s="6" t="str">
        <f>IFERROR(VLOOKUP('Customer Info'!A2780,'Customer Info'!A2780:C3279,3,FALSE),"Not Found")</f>
        <v>Not Found</v>
      </c>
      <c r="I2788" s="6" t="str">
        <f>IFERROR(VLOOKUP('Customer Info'!A2780,'Customer Info'!A2780:E3279,5,FALSE),"Not Found")</f>
        <v>Not Found</v>
      </c>
      <c r="J2788" s="2">
        <v>1364</v>
      </c>
      <c r="K2788" s="2">
        <v>1274</v>
      </c>
      <c r="L2788" s="2">
        <v>3</v>
      </c>
      <c r="M2788" s="7">
        <f t="shared" si="215"/>
        <v>3822</v>
      </c>
      <c r="N2788" s="7">
        <f t="shared" si="216"/>
        <v>4092</v>
      </c>
      <c r="O2788" s="2">
        <v>94</v>
      </c>
      <c r="P2788" s="8">
        <f t="shared" si="217"/>
        <v>4186</v>
      </c>
      <c r="Q2788" s="8">
        <f t="shared" si="218"/>
        <v>2818</v>
      </c>
      <c r="R2788" s="2" t="s">
        <v>50</v>
      </c>
      <c r="S2788" s="9">
        <f t="shared" si="219"/>
        <v>83.72</v>
      </c>
    </row>
    <row r="2789" spans="1:19" x14ac:dyDescent="0.3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str">
        <f>IFERROR(VLOOKUP('Customer Info'!A2781,'Customer Info'!A2781:C3280,2,FALSE),"Not Found")</f>
        <v>Not Found</v>
      </c>
      <c r="H2789" s="6" t="str">
        <f>IFERROR(VLOOKUP('Customer Info'!A2781,'Customer Info'!A2781:C3280,3,FALSE),"Not Found")</f>
        <v>Not Found</v>
      </c>
      <c r="I2789" s="6" t="str">
        <f>IFERROR(VLOOKUP('Customer Info'!A2781,'Customer Info'!A2781:E3280,5,FALSE),"Not Found")</f>
        <v>Not Found</v>
      </c>
      <c r="J2789" s="2">
        <v>793</v>
      </c>
      <c r="K2789" s="2">
        <v>755</v>
      </c>
      <c r="L2789" s="2">
        <v>4</v>
      </c>
      <c r="M2789" s="7">
        <f t="shared" si="215"/>
        <v>3020</v>
      </c>
      <c r="N2789" s="7">
        <f t="shared" si="216"/>
        <v>3172</v>
      </c>
      <c r="O2789" s="2">
        <v>86</v>
      </c>
      <c r="P2789" s="8">
        <f t="shared" si="217"/>
        <v>3258</v>
      </c>
      <c r="Q2789" s="8">
        <f t="shared" si="218"/>
        <v>2417</v>
      </c>
      <c r="R2789" s="2" t="s">
        <v>28</v>
      </c>
      <c r="S2789" s="9">
        <f t="shared" si="219"/>
        <v>65.16</v>
      </c>
    </row>
    <row r="2790" spans="1:19" x14ac:dyDescent="0.3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str">
        <f>IFERROR(VLOOKUP('Customer Info'!A2782,'Customer Info'!A2782:C3281,2,FALSE),"Not Found")</f>
        <v>Not Found</v>
      </c>
      <c r="H2790" s="6" t="str">
        <f>IFERROR(VLOOKUP('Customer Info'!A2782,'Customer Info'!A2782:C3281,3,FALSE),"Not Found")</f>
        <v>Not Found</v>
      </c>
      <c r="I2790" s="6" t="str">
        <f>IFERROR(VLOOKUP('Customer Info'!A2782,'Customer Info'!A2782:E3281,5,FALSE),"Not Found")</f>
        <v>Not Found</v>
      </c>
      <c r="J2790" s="2">
        <v>8889</v>
      </c>
      <c r="K2790" s="2">
        <v>8469</v>
      </c>
      <c r="L2790" s="2">
        <v>2</v>
      </c>
      <c r="M2790" s="7">
        <f t="shared" si="215"/>
        <v>16938</v>
      </c>
      <c r="N2790" s="7">
        <f t="shared" si="216"/>
        <v>17778</v>
      </c>
      <c r="O2790" s="2">
        <v>52</v>
      </c>
      <c r="P2790" s="8">
        <f t="shared" si="217"/>
        <v>17830</v>
      </c>
      <c r="Q2790" s="8">
        <f t="shared" si="218"/>
        <v>9309</v>
      </c>
      <c r="R2790" s="2" t="s">
        <v>28</v>
      </c>
      <c r="S2790" s="9">
        <f t="shared" si="219"/>
        <v>891.5</v>
      </c>
    </row>
    <row r="2791" spans="1:19" x14ac:dyDescent="0.3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str">
        <f>IFERROR(VLOOKUP('Customer Info'!A2783,'Customer Info'!A2783:C3282,2,FALSE),"Not Found")</f>
        <v>Not Found</v>
      </c>
      <c r="H2791" s="6" t="str">
        <f>IFERROR(VLOOKUP('Customer Info'!A2783,'Customer Info'!A2783:C3282,3,FALSE),"Not Found")</f>
        <v>Not Found</v>
      </c>
      <c r="I2791" s="6" t="str">
        <f>IFERROR(VLOOKUP('Customer Info'!A2783,'Customer Info'!A2783:E3282,5,FALSE),"Not Found")</f>
        <v>Not Found</v>
      </c>
      <c r="J2791" s="2">
        <v>691</v>
      </c>
      <c r="K2791" s="2">
        <v>627</v>
      </c>
      <c r="L2791" s="2">
        <v>5</v>
      </c>
      <c r="M2791" s="7">
        <f t="shared" si="215"/>
        <v>3135</v>
      </c>
      <c r="N2791" s="7">
        <f t="shared" si="216"/>
        <v>3455</v>
      </c>
      <c r="O2791" s="2">
        <v>31</v>
      </c>
      <c r="P2791" s="8">
        <f t="shared" si="217"/>
        <v>3486</v>
      </c>
      <c r="Q2791" s="8">
        <f t="shared" si="218"/>
        <v>2828</v>
      </c>
      <c r="R2791" s="2" t="s">
        <v>28</v>
      </c>
      <c r="S2791" s="9">
        <f t="shared" si="219"/>
        <v>69.72</v>
      </c>
    </row>
    <row r="2792" spans="1:19" x14ac:dyDescent="0.3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str">
        <f>IFERROR(VLOOKUP('Customer Info'!A2784,'Customer Info'!A2784:C3283,2,FALSE),"Not Found")</f>
        <v>Not Found</v>
      </c>
      <c r="H2792" s="6" t="str">
        <f>IFERROR(VLOOKUP('Customer Info'!A2784,'Customer Info'!A2784:C3283,3,FALSE),"Not Found")</f>
        <v>Not Found</v>
      </c>
      <c r="I2792" s="6" t="str">
        <f>IFERROR(VLOOKUP('Customer Info'!A2784,'Customer Info'!A2784:E3283,5,FALSE),"Not Found")</f>
        <v>Not Found</v>
      </c>
      <c r="J2792" s="2">
        <v>61</v>
      </c>
      <c r="K2792" s="2">
        <v>57</v>
      </c>
      <c r="L2792" s="2">
        <v>2</v>
      </c>
      <c r="M2792" s="7">
        <f t="shared" si="215"/>
        <v>114</v>
      </c>
      <c r="N2792" s="7">
        <f t="shared" si="216"/>
        <v>122</v>
      </c>
      <c r="O2792" s="2">
        <v>10</v>
      </c>
      <c r="P2792" s="8">
        <f t="shared" si="217"/>
        <v>132</v>
      </c>
      <c r="Q2792" s="8">
        <f t="shared" si="218"/>
        <v>65</v>
      </c>
      <c r="R2792" s="2" t="s">
        <v>28</v>
      </c>
      <c r="S2792" s="9">
        <f t="shared" si="219"/>
        <v>2.64</v>
      </c>
    </row>
    <row r="2793" spans="1:19" x14ac:dyDescent="0.3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str">
        <f>IFERROR(VLOOKUP('Customer Info'!A2785,'Customer Info'!A2785:C3284,2,FALSE),"Not Found")</f>
        <v>Not Found</v>
      </c>
      <c r="H2793" s="6" t="str">
        <f>IFERROR(VLOOKUP('Customer Info'!A2785,'Customer Info'!A2785:C3284,3,FALSE),"Not Found")</f>
        <v>Not Found</v>
      </c>
      <c r="I2793" s="6" t="str">
        <f>IFERROR(VLOOKUP('Customer Info'!A2785,'Customer Info'!A2785:E3284,5,FALSE),"Not Found")</f>
        <v>Not Found</v>
      </c>
      <c r="J2793" s="2">
        <v>4761</v>
      </c>
      <c r="K2793" s="2">
        <v>4368</v>
      </c>
      <c r="L2793" s="2">
        <v>2</v>
      </c>
      <c r="M2793" s="7">
        <f t="shared" si="215"/>
        <v>8736</v>
      </c>
      <c r="N2793" s="7">
        <f t="shared" si="216"/>
        <v>9522</v>
      </c>
      <c r="O2793" s="2">
        <v>39</v>
      </c>
      <c r="P2793" s="8">
        <f t="shared" si="217"/>
        <v>9561</v>
      </c>
      <c r="Q2793" s="8">
        <f t="shared" si="218"/>
        <v>5154</v>
      </c>
      <c r="R2793" s="2" t="s">
        <v>26</v>
      </c>
      <c r="S2793" s="9">
        <f t="shared" si="219"/>
        <v>478.05</v>
      </c>
    </row>
    <row r="2794" spans="1:19" x14ac:dyDescent="0.3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str">
        <f>IFERROR(VLOOKUP('Customer Info'!A2786,'Customer Info'!A2786:C3285,2,FALSE),"Not Found")</f>
        <v>Not Found</v>
      </c>
      <c r="H2794" s="6" t="str">
        <f>IFERROR(VLOOKUP('Customer Info'!A2786,'Customer Info'!A2786:C3285,3,FALSE),"Not Found")</f>
        <v>Not Found</v>
      </c>
      <c r="I2794" s="6" t="str">
        <f>IFERROR(VLOOKUP('Customer Info'!A2786,'Customer Info'!A2786:E3285,5,FALSE),"Not Found")</f>
        <v>Not Found</v>
      </c>
      <c r="J2794" s="2">
        <v>1700</v>
      </c>
      <c r="K2794" s="2">
        <v>1620</v>
      </c>
      <c r="L2794" s="2">
        <v>4</v>
      </c>
      <c r="M2794" s="7">
        <f t="shared" si="215"/>
        <v>6480</v>
      </c>
      <c r="N2794" s="7">
        <f t="shared" si="216"/>
        <v>6800</v>
      </c>
      <c r="O2794" s="2">
        <v>95</v>
      </c>
      <c r="P2794" s="8">
        <f t="shared" si="217"/>
        <v>6895</v>
      </c>
      <c r="Q2794" s="8">
        <f t="shared" si="218"/>
        <v>5180</v>
      </c>
      <c r="R2794" s="2" t="s">
        <v>26</v>
      </c>
      <c r="S2794" s="9">
        <f t="shared" si="219"/>
        <v>344.75</v>
      </c>
    </row>
    <row r="2795" spans="1:19" x14ac:dyDescent="0.3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str">
        <f>IFERROR(VLOOKUP('Customer Info'!A2787,'Customer Info'!A2787:C3286,2,FALSE),"Not Found")</f>
        <v>Not Found</v>
      </c>
      <c r="H2795" s="6" t="str">
        <f>IFERROR(VLOOKUP('Customer Info'!A2787,'Customer Info'!A2787:C3286,3,FALSE),"Not Found")</f>
        <v>Not Found</v>
      </c>
      <c r="I2795" s="6" t="str">
        <f>IFERROR(VLOOKUP('Customer Info'!A2787,'Customer Info'!A2787:E3286,5,FALSE),"Not Found")</f>
        <v>Not Found</v>
      </c>
      <c r="J2795" s="2">
        <v>2857</v>
      </c>
      <c r="K2795" s="2">
        <v>2622</v>
      </c>
      <c r="L2795" s="2">
        <v>1</v>
      </c>
      <c r="M2795" s="7">
        <f t="shared" si="215"/>
        <v>2622</v>
      </c>
      <c r="N2795" s="7">
        <f t="shared" si="216"/>
        <v>2857</v>
      </c>
      <c r="O2795" s="2">
        <v>68</v>
      </c>
      <c r="P2795" s="8">
        <f t="shared" si="217"/>
        <v>2925</v>
      </c>
      <c r="Q2795" s="8">
        <f t="shared" si="218"/>
        <v>235</v>
      </c>
      <c r="R2795" s="2" t="s">
        <v>28</v>
      </c>
      <c r="S2795" s="9">
        <f t="shared" si="219"/>
        <v>58.5</v>
      </c>
    </row>
    <row r="2796" spans="1:19" x14ac:dyDescent="0.3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str">
        <f>IFERROR(VLOOKUP('Customer Info'!A2788,'Customer Info'!A2788:C3287,2,FALSE),"Not Found")</f>
        <v>Not Found</v>
      </c>
      <c r="H2796" s="6" t="str">
        <f>IFERROR(VLOOKUP('Customer Info'!A2788,'Customer Info'!A2788:C3287,3,FALSE),"Not Found")</f>
        <v>Not Found</v>
      </c>
      <c r="I2796" s="6" t="str">
        <f>IFERROR(VLOOKUP('Customer Info'!A2788,'Customer Info'!A2788:E3287,5,FALSE),"Not Found")</f>
        <v>Not Found</v>
      </c>
      <c r="J2796" s="2">
        <v>8967</v>
      </c>
      <c r="K2796" s="2">
        <v>8151</v>
      </c>
      <c r="L2796" s="2">
        <v>3</v>
      </c>
      <c r="M2796" s="7">
        <f t="shared" si="215"/>
        <v>24453</v>
      </c>
      <c r="N2796" s="7">
        <f t="shared" si="216"/>
        <v>26901</v>
      </c>
      <c r="O2796" s="2">
        <v>27</v>
      </c>
      <c r="P2796" s="8">
        <f t="shared" si="217"/>
        <v>26928</v>
      </c>
      <c r="Q2796" s="8">
        <f t="shared" si="218"/>
        <v>18750</v>
      </c>
      <c r="R2796" s="2" t="s">
        <v>28</v>
      </c>
      <c r="S2796" s="9">
        <f t="shared" si="219"/>
        <v>1884.9600000000003</v>
      </c>
    </row>
    <row r="2797" spans="1:19" x14ac:dyDescent="0.3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str">
        <f>IFERROR(VLOOKUP('Customer Info'!A2789,'Customer Info'!A2789:C3288,2,FALSE),"Not Found")</f>
        <v>Not Found</v>
      </c>
      <c r="H2797" s="6" t="str">
        <f>IFERROR(VLOOKUP('Customer Info'!A2789,'Customer Info'!A2789:C3288,3,FALSE),"Not Found")</f>
        <v>Not Found</v>
      </c>
      <c r="I2797" s="6" t="str">
        <f>IFERROR(VLOOKUP('Customer Info'!A2789,'Customer Info'!A2789:E3288,5,FALSE),"Not Found")</f>
        <v>Not Found</v>
      </c>
      <c r="J2797" s="2">
        <v>8738</v>
      </c>
      <c r="K2797" s="2">
        <v>8162</v>
      </c>
      <c r="L2797" s="2">
        <v>7</v>
      </c>
      <c r="M2797" s="7">
        <f t="shared" si="215"/>
        <v>57134</v>
      </c>
      <c r="N2797" s="7">
        <f t="shared" si="216"/>
        <v>61166</v>
      </c>
      <c r="O2797" s="2">
        <v>45</v>
      </c>
      <c r="P2797" s="8">
        <f t="shared" si="217"/>
        <v>61211</v>
      </c>
      <c r="Q2797" s="8">
        <f t="shared" si="218"/>
        <v>53004</v>
      </c>
      <c r="R2797" s="2" t="s">
        <v>28</v>
      </c>
      <c r="S2797" s="9">
        <f t="shared" si="219"/>
        <v>5508.99</v>
      </c>
    </row>
    <row r="2798" spans="1:19" x14ac:dyDescent="0.3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str">
        <f>IFERROR(VLOOKUP('Customer Info'!A2790,'Customer Info'!A2790:C3289,2,FALSE),"Not Found")</f>
        <v>Not Found</v>
      </c>
      <c r="H2798" s="6" t="str">
        <f>IFERROR(VLOOKUP('Customer Info'!A2790,'Customer Info'!A2790:C3289,3,FALSE),"Not Found")</f>
        <v>Not Found</v>
      </c>
      <c r="I2798" s="6" t="str">
        <f>IFERROR(VLOOKUP('Customer Info'!A2790,'Customer Info'!A2790:E3289,5,FALSE),"Not Found")</f>
        <v>Not Found</v>
      </c>
      <c r="J2798" s="2">
        <v>681</v>
      </c>
      <c r="K2798" s="2">
        <v>642</v>
      </c>
      <c r="L2798" s="2">
        <v>4</v>
      </c>
      <c r="M2798" s="7">
        <f t="shared" si="215"/>
        <v>2568</v>
      </c>
      <c r="N2798" s="7">
        <f t="shared" si="216"/>
        <v>2724</v>
      </c>
      <c r="O2798" s="2">
        <v>49</v>
      </c>
      <c r="P2798" s="8">
        <f t="shared" si="217"/>
        <v>2773</v>
      </c>
      <c r="Q2798" s="8">
        <f t="shared" si="218"/>
        <v>2082</v>
      </c>
      <c r="R2798" s="2" t="s">
        <v>28</v>
      </c>
      <c r="S2798" s="9">
        <f t="shared" si="219"/>
        <v>55.46</v>
      </c>
    </row>
    <row r="2799" spans="1:19" x14ac:dyDescent="0.3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str">
        <f>IFERROR(VLOOKUP('Customer Info'!A2791,'Customer Info'!A2791:C3290,2,FALSE),"Not Found")</f>
        <v>Not Found</v>
      </c>
      <c r="H2799" s="6" t="str">
        <f>IFERROR(VLOOKUP('Customer Info'!A2791,'Customer Info'!A2791:C3290,3,FALSE),"Not Found")</f>
        <v>Not Found</v>
      </c>
      <c r="I2799" s="6" t="str">
        <f>IFERROR(VLOOKUP('Customer Info'!A2791,'Customer Info'!A2791:E3290,5,FALSE),"Not Found")</f>
        <v>Not Found</v>
      </c>
      <c r="J2799" s="2">
        <v>520</v>
      </c>
      <c r="K2799" s="2">
        <v>477</v>
      </c>
      <c r="L2799" s="2">
        <v>4</v>
      </c>
      <c r="M2799" s="7">
        <f t="shared" si="215"/>
        <v>1908</v>
      </c>
      <c r="N2799" s="7">
        <f t="shared" si="216"/>
        <v>2080</v>
      </c>
      <c r="O2799" s="2">
        <v>26</v>
      </c>
      <c r="P2799" s="8">
        <f t="shared" si="217"/>
        <v>2106</v>
      </c>
      <c r="Q2799" s="8">
        <f t="shared" si="218"/>
        <v>1603</v>
      </c>
      <c r="R2799" s="2" t="s">
        <v>28</v>
      </c>
      <c r="S2799" s="9">
        <f t="shared" si="219"/>
        <v>42.12</v>
      </c>
    </row>
    <row r="2800" spans="1:19" x14ac:dyDescent="0.3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str">
        <f>IFERROR(VLOOKUP('Customer Info'!A2792,'Customer Info'!A2792:C3291,2,FALSE),"Not Found")</f>
        <v>Not Found</v>
      </c>
      <c r="H2800" s="6" t="str">
        <f>IFERROR(VLOOKUP('Customer Info'!A2792,'Customer Info'!A2792:C3291,3,FALSE),"Not Found")</f>
        <v>Not Found</v>
      </c>
      <c r="I2800" s="6" t="str">
        <f>IFERROR(VLOOKUP('Customer Info'!A2792,'Customer Info'!A2792:E3291,5,FALSE),"Not Found")</f>
        <v>Not Found</v>
      </c>
      <c r="J2800" s="2">
        <v>6701</v>
      </c>
      <c r="K2800" s="2">
        <v>6384</v>
      </c>
      <c r="L2800" s="2">
        <v>8</v>
      </c>
      <c r="M2800" s="7">
        <f t="shared" si="215"/>
        <v>51072</v>
      </c>
      <c r="N2800" s="7">
        <f t="shared" si="216"/>
        <v>53608</v>
      </c>
      <c r="O2800" s="2">
        <v>23</v>
      </c>
      <c r="P2800" s="8">
        <f t="shared" si="217"/>
        <v>53631</v>
      </c>
      <c r="Q2800" s="8">
        <f t="shared" si="218"/>
        <v>47224</v>
      </c>
      <c r="R2800" s="2" t="s">
        <v>28</v>
      </c>
      <c r="S2800" s="9">
        <f t="shared" si="219"/>
        <v>4826.79</v>
      </c>
    </row>
    <row r="2801" spans="1:19" x14ac:dyDescent="0.3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str">
        <f>IFERROR(VLOOKUP('Customer Info'!A2793,'Customer Info'!A2793:C3292,2,FALSE),"Not Found")</f>
        <v>Not Found</v>
      </c>
      <c r="H2801" s="6" t="str">
        <f>IFERROR(VLOOKUP('Customer Info'!A2793,'Customer Info'!A2793:C3292,3,FALSE),"Not Found")</f>
        <v>Not Found</v>
      </c>
      <c r="I2801" s="6" t="str">
        <f>IFERROR(VLOOKUP('Customer Info'!A2793,'Customer Info'!A2793:E3292,5,FALSE),"Not Found")</f>
        <v>Not Found</v>
      </c>
      <c r="J2801" s="2">
        <v>2515</v>
      </c>
      <c r="K2801" s="2">
        <v>2397</v>
      </c>
      <c r="L2801" s="2">
        <v>4</v>
      </c>
      <c r="M2801" s="7">
        <f t="shared" si="215"/>
        <v>9588</v>
      </c>
      <c r="N2801" s="7">
        <f t="shared" si="216"/>
        <v>10060</v>
      </c>
      <c r="O2801" s="2">
        <v>61</v>
      </c>
      <c r="P2801" s="8">
        <f t="shared" si="217"/>
        <v>10121</v>
      </c>
      <c r="Q2801" s="8">
        <f t="shared" si="218"/>
        <v>7663</v>
      </c>
      <c r="R2801" s="2" t="s">
        <v>28</v>
      </c>
      <c r="S2801" s="9">
        <f t="shared" si="219"/>
        <v>506.05</v>
      </c>
    </row>
    <row r="2802" spans="1:19" x14ac:dyDescent="0.3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str">
        <f>IFERROR(VLOOKUP('Customer Info'!A2794,'Customer Info'!A2794:C3293,2,FALSE),"Not Found")</f>
        <v>Not Found</v>
      </c>
      <c r="H2802" s="6" t="str">
        <f>IFERROR(VLOOKUP('Customer Info'!A2794,'Customer Info'!A2794:C3293,3,FALSE),"Not Found")</f>
        <v>Not Found</v>
      </c>
      <c r="I2802" s="6" t="str">
        <f>IFERROR(VLOOKUP('Customer Info'!A2794,'Customer Info'!A2794:E3293,5,FALSE),"Not Found")</f>
        <v>Not Found</v>
      </c>
      <c r="J2802" s="2">
        <v>220</v>
      </c>
      <c r="K2802" s="2">
        <v>206</v>
      </c>
      <c r="L2802" s="2">
        <v>1</v>
      </c>
      <c r="M2802" s="7">
        <f t="shared" si="215"/>
        <v>206</v>
      </c>
      <c r="N2802" s="7">
        <f t="shared" si="216"/>
        <v>220</v>
      </c>
      <c r="O2802" s="2">
        <v>49</v>
      </c>
      <c r="P2802" s="8">
        <f t="shared" si="217"/>
        <v>269</v>
      </c>
      <c r="Q2802" s="8">
        <f t="shared" si="218"/>
        <v>14</v>
      </c>
      <c r="R2802" s="2" t="s">
        <v>50</v>
      </c>
      <c r="S2802" s="9">
        <f t="shared" si="219"/>
        <v>5.38</v>
      </c>
    </row>
    <row r="2803" spans="1:19" x14ac:dyDescent="0.3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str">
        <f>IFERROR(VLOOKUP('Customer Info'!A2795,'Customer Info'!A2795:C3294,2,FALSE),"Not Found")</f>
        <v>Not Found</v>
      </c>
      <c r="H2803" s="6" t="str">
        <f>IFERROR(VLOOKUP('Customer Info'!A2795,'Customer Info'!A2795:C3294,3,FALSE),"Not Found")</f>
        <v>Not Found</v>
      </c>
      <c r="I2803" s="6" t="str">
        <f>IFERROR(VLOOKUP('Customer Info'!A2795,'Customer Info'!A2795:E3294,5,FALSE),"Not Found")</f>
        <v>Not Found</v>
      </c>
      <c r="J2803" s="2">
        <v>8379</v>
      </c>
      <c r="K2803" s="2">
        <v>8061</v>
      </c>
      <c r="L2803" s="2">
        <v>2</v>
      </c>
      <c r="M2803" s="7">
        <f t="shared" si="215"/>
        <v>16122</v>
      </c>
      <c r="N2803" s="7">
        <f t="shared" si="216"/>
        <v>16758</v>
      </c>
      <c r="O2803" s="2">
        <v>46</v>
      </c>
      <c r="P2803" s="8">
        <f t="shared" si="217"/>
        <v>16804</v>
      </c>
      <c r="Q2803" s="8">
        <f t="shared" si="218"/>
        <v>8697</v>
      </c>
      <c r="R2803" s="2" t="s">
        <v>28</v>
      </c>
      <c r="S2803" s="9">
        <f t="shared" si="219"/>
        <v>840.2</v>
      </c>
    </row>
    <row r="2804" spans="1:19" x14ac:dyDescent="0.3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str">
        <f>IFERROR(VLOOKUP('Customer Info'!A2796,'Customer Info'!A2796:C3295,2,FALSE),"Not Found")</f>
        <v>Not Found</v>
      </c>
      <c r="H2804" s="6" t="str">
        <f>IFERROR(VLOOKUP('Customer Info'!A2796,'Customer Info'!A2796:C3295,3,FALSE),"Not Found")</f>
        <v>Not Found</v>
      </c>
      <c r="I2804" s="6" t="str">
        <f>IFERROR(VLOOKUP('Customer Info'!A2796,'Customer Info'!A2796:E3295,5,FALSE),"Not Found")</f>
        <v>Not Found</v>
      </c>
      <c r="J2804" s="2">
        <v>142</v>
      </c>
      <c r="K2804" s="2">
        <v>134</v>
      </c>
      <c r="L2804" s="2">
        <v>3</v>
      </c>
      <c r="M2804" s="7">
        <f t="shared" si="215"/>
        <v>402</v>
      </c>
      <c r="N2804" s="7">
        <f t="shared" si="216"/>
        <v>426</v>
      </c>
      <c r="O2804" s="2">
        <v>30</v>
      </c>
      <c r="P2804" s="8">
        <f t="shared" si="217"/>
        <v>456</v>
      </c>
      <c r="Q2804" s="8">
        <f t="shared" si="218"/>
        <v>292</v>
      </c>
      <c r="R2804" s="2" t="s">
        <v>50</v>
      </c>
      <c r="S2804" s="9">
        <f t="shared" si="219"/>
        <v>9.120000000000001</v>
      </c>
    </row>
    <row r="2805" spans="1:19" x14ac:dyDescent="0.3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str">
        <f>IFERROR(VLOOKUP('Customer Info'!A2797,'Customer Info'!A2797:C3296,2,FALSE),"Not Found")</f>
        <v>Not Found</v>
      </c>
      <c r="H2805" s="6" t="str">
        <f>IFERROR(VLOOKUP('Customer Info'!A2797,'Customer Info'!A2797:C3296,3,FALSE),"Not Found")</f>
        <v>Not Found</v>
      </c>
      <c r="I2805" s="6" t="str">
        <f>IFERROR(VLOOKUP('Customer Info'!A2797,'Customer Info'!A2797:E3296,5,FALSE),"Not Found")</f>
        <v>Not Found</v>
      </c>
      <c r="J2805" s="2">
        <v>1498</v>
      </c>
      <c r="K2805" s="2">
        <v>1335</v>
      </c>
      <c r="L2805" s="2">
        <v>1</v>
      </c>
      <c r="M2805" s="7">
        <f t="shared" si="215"/>
        <v>1335</v>
      </c>
      <c r="N2805" s="7">
        <f t="shared" si="216"/>
        <v>1498</v>
      </c>
      <c r="O2805" s="2">
        <v>43</v>
      </c>
      <c r="P2805" s="8">
        <f t="shared" si="217"/>
        <v>1541</v>
      </c>
      <c r="Q2805" s="8">
        <f t="shared" si="218"/>
        <v>163</v>
      </c>
      <c r="R2805" s="2" t="s">
        <v>28</v>
      </c>
      <c r="S2805" s="9">
        <f t="shared" si="219"/>
        <v>30.82</v>
      </c>
    </row>
    <row r="2806" spans="1:19" x14ac:dyDescent="0.3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str">
        <f>IFERROR(VLOOKUP('Customer Info'!A2798,'Customer Info'!A2798:C3297,2,FALSE),"Not Found")</f>
        <v>Not Found</v>
      </c>
      <c r="H2806" s="6" t="str">
        <f>IFERROR(VLOOKUP('Customer Info'!A2798,'Customer Info'!A2798:C3297,3,FALSE),"Not Found")</f>
        <v>Not Found</v>
      </c>
      <c r="I2806" s="6" t="str">
        <f>IFERROR(VLOOKUP('Customer Info'!A2798,'Customer Info'!A2798:E3297,5,FALSE),"Not Found")</f>
        <v>Not Found</v>
      </c>
      <c r="J2806" s="2">
        <v>2365</v>
      </c>
      <c r="K2806" s="2">
        <v>2232</v>
      </c>
      <c r="L2806" s="2">
        <v>4</v>
      </c>
      <c r="M2806" s="7">
        <f t="shared" si="215"/>
        <v>8928</v>
      </c>
      <c r="N2806" s="7">
        <f t="shared" si="216"/>
        <v>9460</v>
      </c>
      <c r="O2806" s="2">
        <v>32</v>
      </c>
      <c r="P2806" s="8">
        <f t="shared" si="217"/>
        <v>9492</v>
      </c>
      <c r="Q2806" s="8">
        <f t="shared" si="218"/>
        <v>7228</v>
      </c>
      <c r="R2806" s="2" t="s">
        <v>50</v>
      </c>
      <c r="S2806" s="9">
        <f t="shared" si="219"/>
        <v>474.6</v>
      </c>
    </row>
    <row r="2807" spans="1:19" x14ac:dyDescent="0.3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str">
        <f>IFERROR(VLOOKUP('Customer Info'!A2799,'Customer Info'!A2799:C3298,2,FALSE),"Not Found")</f>
        <v>Not Found</v>
      </c>
      <c r="H2807" s="6" t="str">
        <f>IFERROR(VLOOKUP('Customer Info'!A2799,'Customer Info'!A2799:C3298,3,FALSE),"Not Found")</f>
        <v>Not Found</v>
      </c>
      <c r="I2807" s="6" t="str">
        <f>IFERROR(VLOOKUP('Customer Info'!A2799,'Customer Info'!A2799:E3298,5,FALSE),"Not Found")</f>
        <v>Not Found</v>
      </c>
      <c r="J2807" s="2">
        <v>1292</v>
      </c>
      <c r="K2807" s="2">
        <v>1185</v>
      </c>
      <c r="L2807" s="2">
        <v>3</v>
      </c>
      <c r="M2807" s="7">
        <f t="shared" si="215"/>
        <v>3555</v>
      </c>
      <c r="N2807" s="7">
        <f t="shared" si="216"/>
        <v>3876</v>
      </c>
      <c r="O2807" s="2">
        <v>65</v>
      </c>
      <c r="P2807" s="8">
        <f t="shared" si="217"/>
        <v>3941</v>
      </c>
      <c r="Q2807" s="8">
        <f t="shared" si="218"/>
        <v>2691</v>
      </c>
      <c r="R2807" s="2" t="s">
        <v>28</v>
      </c>
      <c r="S2807" s="9">
        <f t="shared" si="219"/>
        <v>78.820000000000007</v>
      </c>
    </row>
    <row r="2808" spans="1:19" x14ac:dyDescent="0.3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str">
        <f>IFERROR(VLOOKUP('Customer Info'!A2800,'Customer Info'!A2800:C3299,2,FALSE),"Not Found")</f>
        <v>Not Found</v>
      </c>
      <c r="H2808" s="6" t="str">
        <f>IFERROR(VLOOKUP('Customer Info'!A2800,'Customer Info'!A2800:C3299,3,FALSE),"Not Found")</f>
        <v>Not Found</v>
      </c>
      <c r="I2808" s="6" t="str">
        <f>IFERROR(VLOOKUP('Customer Info'!A2800,'Customer Info'!A2800:E3299,5,FALSE),"Not Found")</f>
        <v>Not Found</v>
      </c>
      <c r="J2808" s="2">
        <v>4122</v>
      </c>
      <c r="K2808" s="2">
        <v>3781</v>
      </c>
      <c r="L2808" s="2">
        <v>7</v>
      </c>
      <c r="M2808" s="7">
        <f t="shared" si="215"/>
        <v>26467</v>
      </c>
      <c r="N2808" s="7">
        <f t="shared" si="216"/>
        <v>28854</v>
      </c>
      <c r="O2808" s="2">
        <v>98</v>
      </c>
      <c r="P2808" s="8">
        <f t="shared" si="217"/>
        <v>28952</v>
      </c>
      <c r="Q2808" s="8">
        <f t="shared" si="218"/>
        <v>25073</v>
      </c>
      <c r="R2808" s="2" t="s">
        <v>50</v>
      </c>
      <c r="S2808" s="9">
        <f t="shared" si="219"/>
        <v>2026.64</v>
      </c>
    </row>
    <row r="2809" spans="1:19" x14ac:dyDescent="0.3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str">
        <f>IFERROR(VLOOKUP('Customer Info'!A2801,'Customer Info'!A2801:C3300,2,FALSE),"Not Found")</f>
        <v>Not Found</v>
      </c>
      <c r="H2809" s="6" t="str">
        <f>IFERROR(VLOOKUP('Customer Info'!A2801,'Customer Info'!A2801:C3300,3,FALSE),"Not Found")</f>
        <v>Not Found</v>
      </c>
      <c r="I2809" s="6" t="str">
        <f>IFERROR(VLOOKUP('Customer Info'!A2801,'Customer Info'!A2801:E3300,5,FALSE),"Not Found")</f>
        <v>Not Found</v>
      </c>
      <c r="J2809" s="2">
        <v>1763</v>
      </c>
      <c r="K2809" s="2">
        <v>1602</v>
      </c>
      <c r="L2809" s="2">
        <v>5</v>
      </c>
      <c r="M2809" s="7">
        <f t="shared" si="215"/>
        <v>8010</v>
      </c>
      <c r="N2809" s="7">
        <f t="shared" si="216"/>
        <v>8815</v>
      </c>
      <c r="O2809" s="2">
        <v>64</v>
      </c>
      <c r="P2809" s="8">
        <f t="shared" si="217"/>
        <v>8879</v>
      </c>
      <c r="Q2809" s="8">
        <f t="shared" si="218"/>
        <v>7213</v>
      </c>
      <c r="R2809" s="2" t="s">
        <v>28</v>
      </c>
      <c r="S2809" s="9">
        <f t="shared" si="219"/>
        <v>443.95000000000005</v>
      </c>
    </row>
    <row r="2810" spans="1:19" x14ac:dyDescent="0.3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str">
        <f>IFERROR(VLOOKUP('Customer Info'!A2802,'Customer Info'!A2802:C3301,2,FALSE),"Not Found")</f>
        <v>Not Found</v>
      </c>
      <c r="H2810" s="6" t="str">
        <f>IFERROR(VLOOKUP('Customer Info'!A2802,'Customer Info'!A2802:C3301,3,FALSE),"Not Found")</f>
        <v>Not Found</v>
      </c>
      <c r="I2810" s="6" t="str">
        <f>IFERROR(VLOOKUP('Customer Info'!A2802,'Customer Info'!A2802:E3301,5,FALSE),"Not Found")</f>
        <v>Not Found</v>
      </c>
      <c r="J2810" s="2">
        <v>8448</v>
      </c>
      <c r="K2810" s="2">
        <v>7822</v>
      </c>
      <c r="L2810" s="2">
        <v>3</v>
      </c>
      <c r="M2810" s="7">
        <f t="shared" si="215"/>
        <v>23466</v>
      </c>
      <c r="N2810" s="7">
        <f t="shared" si="216"/>
        <v>25344</v>
      </c>
      <c r="O2810" s="2">
        <v>75</v>
      </c>
      <c r="P2810" s="8">
        <f t="shared" si="217"/>
        <v>25419</v>
      </c>
      <c r="Q2810" s="8">
        <f t="shared" si="218"/>
        <v>17522</v>
      </c>
      <c r="R2810" s="2" t="s">
        <v>26</v>
      </c>
      <c r="S2810" s="9">
        <f t="shared" si="219"/>
        <v>1779.3300000000002</v>
      </c>
    </row>
    <row r="2811" spans="1:19" x14ac:dyDescent="0.3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str">
        <f>IFERROR(VLOOKUP('Customer Info'!A2803,'Customer Info'!A2803:C3302,2,FALSE),"Not Found")</f>
        <v>Not Found</v>
      </c>
      <c r="H2811" s="6" t="str">
        <f>IFERROR(VLOOKUP('Customer Info'!A2803,'Customer Info'!A2803:C3302,3,FALSE),"Not Found")</f>
        <v>Not Found</v>
      </c>
      <c r="I2811" s="6" t="str">
        <f>IFERROR(VLOOKUP('Customer Info'!A2803,'Customer Info'!A2803:E3302,5,FALSE),"Not Found")</f>
        <v>Not Found</v>
      </c>
      <c r="J2811" s="2">
        <v>1321</v>
      </c>
      <c r="K2811" s="2">
        <v>1211</v>
      </c>
      <c r="L2811" s="2">
        <v>2</v>
      </c>
      <c r="M2811" s="7">
        <f t="shared" si="215"/>
        <v>2422</v>
      </c>
      <c r="N2811" s="7">
        <f t="shared" si="216"/>
        <v>2642</v>
      </c>
      <c r="O2811" s="2">
        <v>71</v>
      </c>
      <c r="P2811" s="8">
        <f t="shared" si="217"/>
        <v>2713</v>
      </c>
      <c r="Q2811" s="8">
        <f t="shared" si="218"/>
        <v>1431</v>
      </c>
      <c r="R2811" s="2" t="s">
        <v>28</v>
      </c>
      <c r="S2811" s="9">
        <f t="shared" si="219"/>
        <v>54.26</v>
      </c>
    </row>
    <row r="2812" spans="1:19" x14ac:dyDescent="0.3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str">
        <f>IFERROR(VLOOKUP('Customer Info'!A2804,'Customer Info'!A2804:C3303,2,FALSE),"Not Found")</f>
        <v>Not Found</v>
      </c>
      <c r="H2812" s="6" t="str">
        <f>IFERROR(VLOOKUP('Customer Info'!A2804,'Customer Info'!A2804:C3303,3,FALSE),"Not Found")</f>
        <v>Not Found</v>
      </c>
      <c r="I2812" s="6" t="str">
        <f>IFERROR(VLOOKUP('Customer Info'!A2804,'Customer Info'!A2804:E3303,5,FALSE),"Not Found")</f>
        <v>Not Found</v>
      </c>
      <c r="J2812" s="2">
        <v>2921</v>
      </c>
      <c r="K2812" s="2">
        <v>2809</v>
      </c>
      <c r="L2812" s="2">
        <v>1</v>
      </c>
      <c r="M2812" s="7">
        <f t="shared" si="215"/>
        <v>2809</v>
      </c>
      <c r="N2812" s="7">
        <f t="shared" si="216"/>
        <v>2921</v>
      </c>
      <c r="O2812" s="2">
        <v>82</v>
      </c>
      <c r="P2812" s="8">
        <f t="shared" si="217"/>
        <v>3003</v>
      </c>
      <c r="Q2812" s="8">
        <f t="shared" si="218"/>
        <v>112</v>
      </c>
      <c r="R2812" s="2" t="s">
        <v>28</v>
      </c>
      <c r="S2812" s="9">
        <f t="shared" si="219"/>
        <v>60.06</v>
      </c>
    </row>
    <row r="2813" spans="1:19" x14ac:dyDescent="0.3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str">
        <f>IFERROR(VLOOKUP('Customer Info'!A2805,'Customer Info'!A2805:C3304,2,FALSE),"Not Found")</f>
        <v>Not Found</v>
      </c>
      <c r="H2813" s="6" t="str">
        <f>IFERROR(VLOOKUP('Customer Info'!A2805,'Customer Info'!A2805:C3304,3,FALSE),"Not Found")</f>
        <v>Not Found</v>
      </c>
      <c r="I2813" s="6" t="str">
        <f>IFERROR(VLOOKUP('Customer Info'!A2805,'Customer Info'!A2805:E3304,5,FALSE),"Not Found")</f>
        <v>Not Found</v>
      </c>
      <c r="J2813" s="2">
        <v>2654</v>
      </c>
      <c r="K2813" s="2">
        <v>2410</v>
      </c>
      <c r="L2813" s="2">
        <v>1</v>
      </c>
      <c r="M2813" s="7">
        <f t="shared" si="215"/>
        <v>2410</v>
      </c>
      <c r="N2813" s="7">
        <f t="shared" si="216"/>
        <v>2654</v>
      </c>
      <c r="O2813" s="2">
        <v>95</v>
      </c>
      <c r="P2813" s="8">
        <f t="shared" si="217"/>
        <v>2749</v>
      </c>
      <c r="Q2813" s="8">
        <f t="shared" si="218"/>
        <v>244</v>
      </c>
      <c r="R2813" s="2" t="s">
        <v>28</v>
      </c>
      <c r="S2813" s="9">
        <f t="shared" si="219"/>
        <v>54.980000000000004</v>
      </c>
    </row>
    <row r="2814" spans="1:19" x14ac:dyDescent="0.3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str">
        <f>IFERROR(VLOOKUP('Customer Info'!A2806,'Customer Info'!A2806:C3305,2,FALSE),"Not Found")</f>
        <v>Not Found</v>
      </c>
      <c r="H2814" s="6" t="str">
        <f>IFERROR(VLOOKUP('Customer Info'!A2806,'Customer Info'!A2806:C3305,3,FALSE),"Not Found")</f>
        <v>Not Found</v>
      </c>
      <c r="I2814" s="6" t="str">
        <f>IFERROR(VLOOKUP('Customer Info'!A2806,'Customer Info'!A2806:E3305,5,FALSE),"Not Found")</f>
        <v>Not Found</v>
      </c>
      <c r="J2814" s="2">
        <v>60</v>
      </c>
      <c r="K2814" s="2">
        <v>58</v>
      </c>
      <c r="L2814" s="2">
        <v>1</v>
      </c>
      <c r="M2814" s="7">
        <f t="shared" si="215"/>
        <v>58</v>
      </c>
      <c r="N2814" s="7">
        <f t="shared" si="216"/>
        <v>60</v>
      </c>
      <c r="O2814" s="2">
        <v>10</v>
      </c>
      <c r="P2814" s="8">
        <f t="shared" si="217"/>
        <v>70</v>
      </c>
      <c r="Q2814" s="8">
        <f t="shared" si="218"/>
        <v>2</v>
      </c>
      <c r="R2814" s="2" t="s">
        <v>28</v>
      </c>
      <c r="S2814" s="9">
        <f t="shared" si="219"/>
        <v>1.4000000000000001</v>
      </c>
    </row>
    <row r="2815" spans="1:19" x14ac:dyDescent="0.3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str">
        <f>IFERROR(VLOOKUP('Customer Info'!A2807,'Customer Info'!A2807:C3306,2,FALSE),"Not Found")</f>
        <v>Not Found</v>
      </c>
      <c r="H2815" s="6" t="str">
        <f>IFERROR(VLOOKUP('Customer Info'!A2807,'Customer Info'!A2807:C3306,3,FALSE),"Not Found")</f>
        <v>Not Found</v>
      </c>
      <c r="I2815" s="6" t="str">
        <f>IFERROR(VLOOKUP('Customer Info'!A2807,'Customer Info'!A2807:E3306,5,FALSE),"Not Found")</f>
        <v>Not Found</v>
      </c>
      <c r="J2815" s="2">
        <v>1039</v>
      </c>
      <c r="K2815" s="2">
        <v>954</v>
      </c>
      <c r="L2815" s="2">
        <v>7</v>
      </c>
      <c r="M2815" s="7">
        <f t="shared" si="215"/>
        <v>6678</v>
      </c>
      <c r="N2815" s="7">
        <f t="shared" si="216"/>
        <v>7273</v>
      </c>
      <c r="O2815" s="2">
        <v>99</v>
      </c>
      <c r="P2815" s="8">
        <f t="shared" si="217"/>
        <v>7372</v>
      </c>
      <c r="Q2815" s="8">
        <f t="shared" si="218"/>
        <v>6319</v>
      </c>
      <c r="R2815" s="2" t="s">
        <v>28</v>
      </c>
      <c r="S2815" s="9">
        <f t="shared" si="219"/>
        <v>368.6</v>
      </c>
    </row>
    <row r="2816" spans="1:19" x14ac:dyDescent="0.3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str">
        <f>IFERROR(VLOOKUP('Customer Info'!A2808,'Customer Info'!A2808:C3307,2,FALSE),"Not Found")</f>
        <v>Not Found</v>
      </c>
      <c r="H2816" s="6" t="str">
        <f>IFERROR(VLOOKUP('Customer Info'!A2808,'Customer Info'!A2808:C3307,3,FALSE),"Not Found")</f>
        <v>Not Found</v>
      </c>
      <c r="I2816" s="6" t="str">
        <f>IFERROR(VLOOKUP('Customer Info'!A2808,'Customer Info'!A2808:E3307,5,FALSE),"Not Found")</f>
        <v>Not Found</v>
      </c>
      <c r="J2816" s="2">
        <v>7141</v>
      </c>
      <c r="K2816" s="2">
        <v>6541</v>
      </c>
      <c r="L2816" s="2">
        <v>2</v>
      </c>
      <c r="M2816" s="7">
        <f t="shared" si="215"/>
        <v>13082</v>
      </c>
      <c r="N2816" s="7">
        <f t="shared" si="216"/>
        <v>14282</v>
      </c>
      <c r="O2816" s="2">
        <v>90</v>
      </c>
      <c r="P2816" s="8">
        <f t="shared" si="217"/>
        <v>14372</v>
      </c>
      <c r="Q2816" s="8">
        <f t="shared" si="218"/>
        <v>7741</v>
      </c>
      <c r="R2816" s="2" t="s">
        <v>26</v>
      </c>
      <c r="S2816" s="9">
        <f t="shared" si="219"/>
        <v>718.6</v>
      </c>
    </row>
    <row r="2817" spans="1:19" x14ac:dyDescent="0.3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str">
        <f>IFERROR(VLOOKUP('Customer Info'!A2809,'Customer Info'!A2809:C3308,2,FALSE),"Not Found")</f>
        <v>Not Found</v>
      </c>
      <c r="H2817" s="6" t="str">
        <f>IFERROR(VLOOKUP('Customer Info'!A2809,'Customer Info'!A2809:C3308,3,FALSE),"Not Found")</f>
        <v>Not Found</v>
      </c>
      <c r="I2817" s="6" t="str">
        <f>IFERROR(VLOOKUP('Customer Info'!A2809,'Customer Info'!A2809:E3308,5,FALSE),"Not Found")</f>
        <v>Not Found</v>
      </c>
      <c r="J2817" s="2">
        <v>136</v>
      </c>
      <c r="K2817" s="2">
        <v>130</v>
      </c>
      <c r="L2817" s="2">
        <v>1</v>
      </c>
      <c r="M2817" s="7">
        <f t="shared" si="215"/>
        <v>130</v>
      </c>
      <c r="N2817" s="7">
        <f t="shared" si="216"/>
        <v>136</v>
      </c>
      <c r="O2817" s="2">
        <v>30</v>
      </c>
      <c r="P2817" s="8">
        <f t="shared" si="217"/>
        <v>166</v>
      </c>
      <c r="Q2817" s="8">
        <f t="shared" si="218"/>
        <v>6</v>
      </c>
      <c r="R2817" s="2" t="s">
        <v>26</v>
      </c>
      <c r="S2817" s="9">
        <f t="shared" si="219"/>
        <v>3.3200000000000003</v>
      </c>
    </row>
    <row r="2818" spans="1:19" x14ac:dyDescent="0.3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str">
        <f>IFERROR(VLOOKUP('Customer Info'!A2810,'Customer Info'!A2810:C3309,2,FALSE),"Not Found")</f>
        <v>Not Found</v>
      </c>
      <c r="H2818" s="6" t="str">
        <f>IFERROR(VLOOKUP('Customer Info'!A2810,'Customer Info'!A2810:C3309,3,FALSE),"Not Found")</f>
        <v>Not Found</v>
      </c>
      <c r="I2818" s="6" t="str">
        <f>IFERROR(VLOOKUP('Customer Info'!A2810,'Customer Info'!A2810:E3309,5,FALSE),"Not Found")</f>
        <v>Not Found</v>
      </c>
      <c r="J2818" s="2">
        <v>60</v>
      </c>
      <c r="K2818" s="2">
        <v>55</v>
      </c>
      <c r="L2818" s="2">
        <v>2</v>
      </c>
      <c r="M2818" s="7">
        <f t="shared" si="215"/>
        <v>110</v>
      </c>
      <c r="N2818" s="7">
        <f t="shared" si="216"/>
        <v>120</v>
      </c>
      <c r="O2818" s="2">
        <v>10</v>
      </c>
      <c r="P2818" s="8">
        <f t="shared" si="217"/>
        <v>130</v>
      </c>
      <c r="Q2818" s="8">
        <f t="shared" si="218"/>
        <v>65</v>
      </c>
      <c r="R2818" s="2" t="s">
        <v>50</v>
      </c>
      <c r="S2818" s="9">
        <f t="shared" si="219"/>
        <v>2.6</v>
      </c>
    </row>
    <row r="2819" spans="1:19" x14ac:dyDescent="0.3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str">
        <f>IFERROR(VLOOKUP('Customer Info'!A2811,'Customer Info'!A2811:C3310,2,FALSE),"Not Found")</f>
        <v>Not Found</v>
      </c>
      <c r="H2819" s="6" t="str">
        <f>IFERROR(VLOOKUP('Customer Info'!A2811,'Customer Info'!A2811:C3310,3,FALSE),"Not Found")</f>
        <v>Not Found</v>
      </c>
      <c r="I2819" s="6" t="str">
        <f>IFERROR(VLOOKUP('Customer Info'!A2811,'Customer Info'!A2811:E3310,5,FALSE),"Not Found")</f>
        <v>Not Found</v>
      </c>
      <c r="J2819" s="2">
        <v>511</v>
      </c>
      <c r="K2819" s="2">
        <v>477</v>
      </c>
      <c r="L2819" s="2">
        <v>2</v>
      </c>
      <c r="M2819" s="7">
        <f t="shared" si="215"/>
        <v>954</v>
      </c>
      <c r="N2819" s="7">
        <f t="shared" si="216"/>
        <v>1022</v>
      </c>
      <c r="O2819" s="2">
        <v>41</v>
      </c>
      <c r="P2819" s="8">
        <f t="shared" si="217"/>
        <v>1063</v>
      </c>
      <c r="Q2819" s="8">
        <f t="shared" si="218"/>
        <v>545</v>
      </c>
      <c r="R2819" s="2" t="s">
        <v>28</v>
      </c>
      <c r="S2819" s="9">
        <f t="shared" si="219"/>
        <v>21.26</v>
      </c>
    </row>
    <row r="2820" spans="1:19" x14ac:dyDescent="0.3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str">
        <f>IFERROR(VLOOKUP('Customer Info'!A2812,'Customer Info'!A2812:C3311,2,FALSE),"Not Found")</f>
        <v>Not Found</v>
      </c>
      <c r="H2820" s="6" t="str">
        <f>IFERROR(VLOOKUP('Customer Info'!A2812,'Customer Info'!A2812:C3311,3,FALSE),"Not Found")</f>
        <v>Not Found</v>
      </c>
      <c r="I2820" s="6" t="str">
        <f>IFERROR(VLOOKUP('Customer Info'!A2812,'Customer Info'!A2812:E3311,5,FALSE),"Not Found")</f>
        <v>Not Found</v>
      </c>
      <c r="J2820" s="2">
        <v>129</v>
      </c>
      <c r="K2820" s="2">
        <v>118</v>
      </c>
      <c r="L2820" s="2">
        <v>8</v>
      </c>
      <c r="M2820" s="7">
        <f t="shared" si="215"/>
        <v>944</v>
      </c>
      <c r="N2820" s="7">
        <f t="shared" si="216"/>
        <v>1032</v>
      </c>
      <c r="O2820" s="2">
        <v>30</v>
      </c>
      <c r="P2820" s="8">
        <f t="shared" si="217"/>
        <v>1062</v>
      </c>
      <c r="Q2820" s="8">
        <f t="shared" si="218"/>
        <v>914</v>
      </c>
      <c r="R2820" s="2" t="s">
        <v>28</v>
      </c>
      <c r="S2820" s="9">
        <f t="shared" si="219"/>
        <v>21.240000000000002</v>
      </c>
    </row>
    <row r="2821" spans="1:19" x14ac:dyDescent="0.3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str">
        <f>IFERROR(VLOOKUP('Customer Info'!A2813,'Customer Info'!A2813:C3312,2,FALSE),"Not Found")</f>
        <v>Not Found</v>
      </c>
      <c r="H2821" s="6" t="str">
        <f>IFERROR(VLOOKUP('Customer Info'!A2813,'Customer Info'!A2813:C3312,3,FALSE),"Not Found")</f>
        <v>Not Found</v>
      </c>
      <c r="I2821" s="6" t="str">
        <f>IFERROR(VLOOKUP('Customer Info'!A2813,'Customer Info'!A2813:E3312,5,FALSE),"Not Found")</f>
        <v>Not Found</v>
      </c>
      <c r="J2821" s="2">
        <v>4761</v>
      </c>
      <c r="K2821" s="2">
        <v>4368</v>
      </c>
      <c r="L2821" s="2">
        <v>4</v>
      </c>
      <c r="M2821" s="7">
        <f t="shared" si="215"/>
        <v>17472</v>
      </c>
      <c r="N2821" s="7">
        <f t="shared" si="216"/>
        <v>19044</v>
      </c>
      <c r="O2821" s="2">
        <v>78</v>
      </c>
      <c r="P2821" s="8">
        <f t="shared" si="217"/>
        <v>19122</v>
      </c>
      <c r="Q2821" s="8">
        <f t="shared" si="218"/>
        <v>14676</v>
      </c>
      <c r="R2821" s="2" t="s">
        <v>28</v>
      </c>
      <c r="S2821" s="9">
        <f t="shared" si="219"/>
        <v>956.1</v>
      </c>
    </row>
    <row r="2822" spans="1:19" x14ac:dyDescent="0.3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str">
        <f>IFERROR(VLOOKUP('Customer Info'!A2814,'Customer Info'!A2814:C3313,2,FALSE),"Not Found")</f>
        <v>Not Found</v>
      </c>
      <c r="H2822" s="6" t="str">
        <f>IFERROR(VLOOKUP('Customer Info'!A2814,'Customer Info'!A2814:C3313,3,FALSE),"Not Found")</f>
        <v>Not Found</v>
      </c>
      <c r="I2822" s="6" t="str">
        <f>IFERROR(VLOOKUP('Customer Info'!A2814,'Customer Info'!A2814:E3313,5,FALSE),"Not Found")</f>
        <v>Not Found</v>
      </c>
      <c r="J2822" s="2">
        <v>170</v>
      </c>
      <c r="K2822" s="2">
        <v>153</v>
      </c>
      <c r="L2822" s="2">
        <v>1</v>
      </c>
      <c r="M2822" s="7">
        <f t="shared" si="215"/>
        <v>153</v>
      </c>
      <c r="N2822" s="7">
        <f t="shared" si="216"/>
        <v>170</v>
      </c>
      <c r="O2822" s="2">
        <v>30</v>
      </c>
      <c r="P2822" s="8">
        <f t="shared" si="217"/>
        <v>200</v>
      </c>
      <c r="Q2822" s="8">
        <f t="shared" si="218"/>
        <v>17</v>
      </c>
      <c r="R2822" s="2" t="s">
        <v>50</v>
      </c>
      <c r="S2822" s="9">
        <f t="shared" si="219"/>
        <v>4</v>
      </c>
    </row>
    <row r="2823" spans="1:19" x14ac:dyDescent="0.3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str">
        <f>IFERROR(VLOOKUP('Customer Info'!A2815,'Customer Info'!A2815:C3314,2,FALSE),"Not Found")</f>
        <v>Not Found</v>
      </c>
      <c r="H2823" s="6" t="str">
        <f>IFERROR(VLOOKUP('Customer Info'!A2815,'Customer Info'!A2815:C3314,3,FALSE),"Not Found")</f>
        <v>Not Found</v>
      </c>
      <c r="I2823" s="6" t="str">
        <f>IFERROR(VLOOKUP('Customer Info'!A2815,'Customer Info'!A2815:E3314,5,FALSE),"Not Found")</f>
        <v>Not Found</v>
      </c>
      <c r="J2823" s="2">
        <v>1887</v>
      </c>
      <c r="K2823" s="2">
        <v>1763</v>
      </c>
      <c r="L2823" s="2">
        <v>2</v>
      </c>
      <c r="M2823" s="7">
        <f t="shared" si="215"/>
        <v>3526</v>
      </c>
      <c r="N2823" s="7">
        <f t="shared" si="216"/>
        <v>3774</v>
      </c>
      <c r="O2823" s="2">
        <v>45</v>
      </c>
      <c r="P2823" s="8">
        <f t="shared" si="217"/>
        <v>3819</v>
      </c>
      <c r="Q2823" s="8">
        <f t="shared" si="218"/>
        <v>2011</v>
      </c>
      <c r="R2823" s="2" t="s">
        <v>28</v>
      </c>
      <c r="S2823" s="9">
        <f t="shared" si="219"/>
        <v>76.38</v>
      </c>
    </row>
    <row r="2824" spans="1:19" x14ac:dyDescent="0.3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str">
        <f>IFERROR(VLOOKUP('Customer Info'!A2816,'Customer Info'!A2816:C3315,2,FALSE),"Not Found")</f>
        <v>Not Found</v>
      </c>
      <c r="H2824" s="6" t="str">
        <f>IFERROR(VLOOKUP('Customer Info'!A2816,'Customer Info'!A2816:C3315,3,FALSE),"Not Found")</f>
        <v>Not Found</v>
      </c>
      <c r="I2824" s="6" t="str">
        <f>IFERROR(VLOOKUP('Customer Info'!A2816,'Customer Info'!A2816:E3315,5,FALSE),"Not Found")</f>
        <v>Not Found</v>
      </c>
      <c r="J2824" s="2">
        <v>285</v>
      </c>
      <c r="K2824" s="2">
        <v>259</v>
      </c>
      <c r="L2824" s="2">
        <v>1</v>
      </c>
      <c r="M2824" s="7">
        <f t="shared" si="215"/>
        <v>259</v>
      </c>
      <c r="N2824" s="7">
        <f t="shared" si="216"/>
        <v>285</v>
      </c>
      <c r="O2824" s="2">
        <v>80</v>
      </c>
      <c r="P2824" s="8">
        <f t="shared" si="217"/>
        <v>365</v>
      </c>
      <c r="Q2824" s="8">
        <f t="shared" si="218"/>
        <v>26</v>
      </c>
      <c r="R2824" s="2" t="s">
        <v>50</v>
      </c>
      <c r="S2824" s="9">
        <f t="shared" si="219"/>
        <v>7.3</v>
      </c>
    </row>
    <row r="2825" spans="1:19" x14ac:dyDescent="0.3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str">
        <f>IFERROR(VLOOKUP('Customer Info'!A2817,'Customer Info'!A2817:C3316,2,FALSE),"Not Found")</f>
        <v>Not Found</v>
      </c>
      <c r="H2825" s="6" t="str">
        <f>IFERROR(VLOOKUP('Customer Info'!A2817,'Customer Info'!A2817:C3316,3,FALSE),"Not Found")</f>
        <v>Not Found</v>
      </c>
      <c r="I2825" s="6" t="str">
        <f>IFERROR(VLOOKUP('Customer Info'!A2817,'Customer Info'!A2817:E3316,5,FALSE),"Not Found")</f>
        <v>Not Found</v>
      </c>
      <c r="J2825" s="2">
        <v>2250</v>
      </c>
      <c r="K2825" s="2">
        <v>2207</v>
      </c>
      <c r="L2825" s="2">
        <v>2</v>
      </c>
      <c r="M2825" s="7">
        <f t="shared" si="215"/>
        <v>4414</v>
      </c>
      <c r="N2825" s="7">
        <f t="shared" si="216"/>
        <v>4500</v>
      </c>
      <c r="O2825" s="2">
        <v>31</v>
      </c>
      <c r="P2825" s="8">
        <f t="shared" si="217"/>
        <v>4531</v>
      </c>
      <c r="Q2825" s="8">
        <f t="shared" si="218"/>
        <v>2293</v>
      </c>
      <c r="R2825" s="2" t="s">
        <v>50</v>
      </c>
      <c r="S2825" s="9">
        <f t="shared" si="219"/>
        <v>90.62</v>
      </c>
    </row>
    <row r="2826" spans="1:19" x14ac:dyDescent="0.3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str">
        <f>IFERROR(VLOOKUP('Customer Info'!A2818,'Customer Info'!A2818:C3317,2,FALSE),"Not Found")</f>
        <v>Not Found</v>
      </c>
      <c r="H2826" s="6" t="str">
        <f>IFERROR(VLOOKUP('Customer Info'!A2818,'Customer Info'!A2818:C3317,3,FALSE),"Not Found")</f>
        <v>Not Found</v>
      </c>
      <c r="I2826" s="6" t="str">
        <f>IFERROR(VLOOKUP('Customer Info'!A2818,'Customer Info'!A2818:E3317,5,FALSE),"Not Found")</f>
        <v>Not Found</v>
      </c>
      <c r="J2826" s="2">
        <v>1358</v>
      </c>
      <c r="K2826" s="2">
        <v>1257</v>
      </c>
      <c r="L2826" s="2">
        <v>8</v>
      </c>
      <c r="M2826" s="7">
        <f t="shared" si="215"/>
        <v>10056</v>
      </c>
      <c r="N2826" s="7">
        <f t="shared" si="216"/>
        <v>10864</v>
      </c>
      <c r="O2826" s="2">
        <v>27</v>
      </c>
      <c r="P2826" s="8">
        <f t="shared" si="217"/>
        <v>10891</v>
      </c>
      <c r="Q2826" s="8">
        <f t="shared" si="218"/>
        <v>9607</v>
      </c>
      <c r="R2826" s="2" t="s">
        <v>50</v>
      </c>
      <c r="S2826" s="9">
        <f t="shared" si="219"/>
        <v>544.55000000000007</v>
      </c>
    </row>
    <row r="2827" spans="1:19" x14ac:dyDescent="0.3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str">
        <f>IFERROR(VLOOKUP('Customer Info'!A2819,'Customer Info'!A2819:C3318,2,FALSE),"Not Found")</f>
        <v>Not Found</v>
      </c>
      <c r="H2827" s="6" t="str">
        <f>IFERROR(VLOOKUP('Customer Info'!A2819,'Customer Info'!A2819:C3318,3,FALSE),"Not Found")</f>
        <v>Not Found</v>
      </c>
      <c r="I2827" s="6" t="str">
        <f>IFERROR(VLOOKUP('Customer Info'!A2819,'Customer Info'!A2819:E3318,5,FALSE),"Not Found")</f>
        <v>Not Found</v>
      </c>
      <c r="J2827" s="2">
        <v>2243</v>
      </c>
      <c r="K2827" s="2">
        <v>2000</v>
      </c>
      <c r="L2827" s="2">
        <v>3</v>
      </c>
      <c r="M2827" s="7">
        <f t="shared" ref="M2827:M2890" si="220">$K2827*$L2827</f>
        <v>6000</v>
      </c>
      <c r="N2827" s="7">
        <f t="shared" ref="N2827:N2890" si="221">$J2827*$L2827</f>
        <v>6729</v>
      </c>
      <c r="O2827" s="2">
        <v>73</v>
      </c>
      <c r="P2827" s="8">
        <f t="shared" ref="P2827:P2890" si="222">$N2827+$O2827</f>
        <v>6802</v>
      </c>
      <c r="Q2827" s="8">
        <f t="shared" ref="Q2827:Q2890" si="223">$N2827-$K2827</f>
        <v>4729</v>
      </c>
      <c r="R2827" s="2" t="s">
        <v>28</v>
      </c>
      <c r="S2827" s="9">
        <f t="shared" ref="S2827:S2890" si="224" xml:space="preserve"> P2827 * VLOOKUP(P2827, $T$2:$U$6, 2, TRUE)</f>
        <v>340.1</v>
      </c>
    </row>
    <row r="2828" spans="1:19" x14ac:dyDescent="0.3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str">
        <f>IFERROR(VLOOKUP('Customer Info'!A2820,'Customer Info'!A2820:C3319,2,FALSE),"Not Found")</f>
        <v>Not Found</v>
      </c>
      <c r="H2828" s="6" t="str">
        <f>IFERROR(VLOOKUP('Customer Info'!A2820,'Customer Info'!A2820:C3319,3,FALSE),"Not Found")</f>
        <v>Not Found</v>
      </c>
      <c r="I2828" s="6" t="str">
        <f>IFERROR(VLOOKUP('Customer Info'!A2820,'Customer Info'!A2820:E3319,5,FALSE),"Not Found")</f>
        <v>Not Found</v>
      </c>
      <c r="J2828" s="2">
        <v>8686</v>
      </c>
      <c r="K2828" s="2">
        <v>8035</v>
      </c>
      <c r="L2828" s="2">
        <v>13</v>
      </c>
      <c r="M2828" s="7">
        <f t="shared" si="220"/>
        <v>104455</v>
      </c>
      <c r="N2828" s="7">
        <f t="shared" si="221"/>
        <v>112918</v>
      </c>
      <c r="O2828" s="2">
        <v>24</v>
      </c>
      <c r="P2828" s="8">
        <f t="shared" si="222"/>
        <v>112942</v>
      </c>
      <c r="Q2828" s="8">
        <f t="shared" si="223"/>
        <v>104883</v>
      </c>
      <c r="R2828" s="2" t="s">
        <v>28</v>
      </c>
      <c r="S2828" s="9">
        <f t="shared" si="224"/>
        <v>13553.039999999999</v>
      </c>
    </row>
    <row r="2829" spans="1:19" x14ac:dyDescent="0.3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str">
        <f>IFERROR(VLOOKUP('Customer Info'!A2821,'Customer Info'!A2821:C3320,2,FALSE),"Not Found")</f>
        <v>Not Found</v>
      </c>
      <c r="H2829" s="6" t="str">
        <f>IFERROR(VLOOKUP('Customer Info'!A2821,'Customer Info'!A2821:C3320,3,FALSE),"Not Found")</f>
        <v>Not Found</v>
      </c>
      <c r="I2829" s="6" t="str">
        <f>IFERROR(VLOOKUP('Customer Info'!A2821,'Customer Info'!A2821:E3320,5,FALSE),"Not Found")</f>
        <v>Not Found</v>
      </c>
      <c r="J2829" s="2">
        <v>164</v>
      </c>
      <c r="K2829" s="2">
        <v>152</v>
      </c>
      <c r="L2829" s="2">
        <v>1</v>
      </c>
      <c r="M2829" s="7">
        <f t="shared" si="220"/>
        <v>152</v>
      </c>
      <c r="N2829" s="7">
        <f t="shared" si="221"/>
        <v>164</v>
      </c>
      <c r="O2829" s="2">
        <v>30</v>
      </c>
      <c r="P2829" s="8">
        <f t="shared" si="222"/>
        <v>194</v>
      </c>
      <c r="Q2829" s="8">
        <f t="shared" si="223"/>
        <v>12</v>
      </c>
      <c r="R2829" s="2" t="s">
        <v>50</v>
      </c>
      <c r="S2829" s="9">
        <f t="shared" si="224"/>
        <v>3.88</v>
      </c>
    </row>
    <row r="2830" spans="1:19" x14ac:dyDescent="0.3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str">
        <f>IFERROR(VLOOKUP('Customer Info'!A2822,'Customer Info'!A2822:C3321,2,FALSE),"Not Found")</f>
        <v>Not Found</v>
      </c>
      <c r="H2830" s="6" t="str">
        <f>IFERROR(VLOOKUP('Customer Info'!A2822,'Customer Info'!A2822:C3321,3,FALSE),"Not Found")</f>
        <v>Not Found</v>
      </c>
      <c r="I2830" s="6" t="str">
        <f>IFERROR(VLOOKUP('Customer Info'!A2822,'Customer Info'!A2822:E3321,5,FALSE),"Not Found")</f>
        <v>Not Found</v>
      </c>
      <c r="J2830" s="2">
        <v>932</v>
      </c>
      <c r="K2830" s="2">
        <v>838</v>
      </c>
      <c r="L2830" s="2">
        <v>2</v>
      </c>
      <c r="M2830" s="7">
        <f t="shared" si="220"/>
        <v>1676</v>
      </c>
      <c r="N2830" s="7">
        <f t="shared" si="221"/>
        <v>1864</v>
      </c>
      <c r="O2830" s="2">
        <v>90</v>
      </c>
      <c r="P2830" s="8">
        <f t="shared" si="222"/>
        <v>1954</v>
      </c>
      <c r="Q2830" s="8">
        <f t="shared" si="223"/>
        <v>1026</v>
      </c>
      <c r="R2830" s="2" t="s">
        <v>50</v>
      </c>
      <c r="S2830" s="9">
        <f t="shared" si="224"/>
        <v>39.08</v>
      </c>
    </row>
    <row r="2831" spans="1:19" x14ac:dyDescent="0.3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str">
        <f>IFERROR(VLOOKUP('Customer Info'!A2823,'Customer Info'!A2823:C3322,2,FALSE),"Not Found")</f>
        <v>Not Found</v>
      </c>
      <c r="H2831" s="6" t="str">
        <f>IFERROR(VLOOKUP('Customer Info'!A2823,'Customer Info'!A2823:C3322,3,FALSE),"Not Found")</f>
        <v>Not Found</v>
      </c>
      <c r="I2831" s="6" t="str">
        <f>IFERROR(VLOOKUP('Customer Info'!A2823,'Customer Info'!A2823:E3322,5,FALSE),"Not Found")</f>
        <v>Not Found</v>
      </c>
      <c r="J2831" s="2">
        <v>4704</v>
      </c>
      <c r="K2831" s="2">
        <v>4361</v>
      </c>
      <c r="L2831" s="2">
        <v>1</v>
      </c>
      <c r="M2831" s="7">
        <f t="shared" si="220"/>
        <v>4361</v>
      </c>
      <c r="N2831" s="7">
        <f t="shared" si="221"/>
        <v>4704</v>
      </c>
      <c r="O2831" s="2">
        <v>40</v>
      </c>
      <c r="P2831" s="8">
        <f t="shared" si="222"/>
        <v>4744</v>
      </c>
      <c r="Q2831" s="8">
        <f t="shared" si="223"/>
        <v>343</v>
      </c>
      <c r="R2831" s="2" t="s">
        <v>28</v>
      </c>
      <c r="S2831" s="9">
        <f t="shared" si="224"/>
        <v>94.88</v>
      </c>
    </row>
    <row r="2832" spans="1:19" x14ac:dyDescent="0.3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str">
        <f>IFERROR(VLOOKUP('Customer Info'!A2824,'Customer Info'!A2824:C3323,2,FALSE),"Not Found")</f>
        <v>Not Found</v>
      </c>
      <c r="H2832" s="6" t="str">
        <f>IFERROR(VLOOKUP('Customer Info'!A2824,'Customer Info'!A2824:C3323,3,FALSE),"Not Found")</f>
        <v>Not Found</v>
      </c>
      <c r="I2832" s="6" t="str">
        <f>IFERROR(VLOOKUP('Customer Info'!A2824,'Customer Info'!A2824:E3323,5,FALSE),"Not Found")</f>
        <v>Not Found</v>
      </c>
      <c r="J2832" s="2">
        <v>954</v>
      </c>
      <c r="K2832" s="2">
        <v>901</v>
      </c>
      <c r="L2832" s="2">
        <v>3</v>
      </c>
      <c r="M2832" s="7">
        <f t="shared" si="220"/>
        <v>2703</v>
      </c>
      <c r="N2832" s="7">
        <f t="shared" si="221"/>
        <v>2862</v>
      </c>
      <c r="O2832" s="2">
        <v>60</v>
      </c>
      <c r="P2832" s="8">
        <f t="shared" si="222"/>
        <v>2922</v>
      </c>
      <c r="Q2832" s="8">
        <f t="shared" si="223"/>
        <v>1961</v>
      </c>
      <c r="R2832" s="2" t="s">
        <v>28</v>
      </c>
      <c r="S2832" s="9">
        <f t="shared" si="224"/>
        <v>58.44</v>
      </c>
    </row>
    <row r="2833" spans="1:19" x14ac:dyDescent="0.3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str">
        <f>IFERROR(VLOOKUP('Customer Info'!A2825,'Customer Info'!A2825:C3324,2,FALSE),"Not Found")</f>
        <v>Not Found</v>
      </c>
      <c r="H2833" s="6" t="str">
        <f>IFERROR(VLOOKUP('Customer Info'!A2825,'Customer Info'!A2825:C3324,3,FALSE),"Not Found")</f>
        <v>Not Found</v>
      </c>
      <c r="I2833" s="6" t="str">
        <f>IFERROR(VLOOKUP('Customer Info'!A2825,'Customer Info'!A2825:E3324,5,FALSE),"Not Found")</f>
        <v>Not Found</v>
      </c>
      <c r="J2833" s="2">
        <v>3041</v>
      </c>
      <c r="K2833" s="2">
        <v>2927</v>
      </c>
      <c r="L2833" s="2">
        <v>1</v>
      </c>
      <c r="M2833" s="7">
        <f t="shared" si="220"/>
        <v>2927</v>
      </c>
      <c r="N2833" s="7">
        <f t="shared" si="221"/>
        <v>3041</v>
      </c>
      <c r="O2833" s="2">
        <v>96</v>
      </c>
      <c r="P2833" s="8">
        <f t="shared" si="222"/>
        <v>3137</v>
      </c>
      <c r="Q2833" s="8">
        <f t="shared" si="223"/>
        <v>114</v>
      </c>
      <c r="R2833" s="2" t="s">
        <v>28</v>
      </c>
      <c r="S2833" s="9">
        <f t="shared" si="224"/>
        <v>62.74</v>
      </c>
    </row>
    <row r="2834" spans="1:19" x14ac:dyDescent="0.3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str">
        <f>IFERROR(VLOOKUP('Customer Info'!A2826,'Customer Info'!A2826:C3325,2,FALSE),"Not Found")</f>
        <v>Not Found</v>
      </c>
      <c r="H2834" s="6" t="str">
        <f>IFERROR(VLOOKUP('Customer Info'!A2826,'Customer Info'!A2826:C3325,3,FALSE),"Not Found")</f>
        <v>Not Found</v>
      </c>
      <c r="I2834" s="6" t="str">
        <f>IFERROR(VLOOKUP('Customer Info'!A2826,'Customer Info'!A2826:E3325,5,FALSE),"Not Found")</f>
        <v>Not Found</v>
      </c>
      <c r="J2834" s="2">
        <v>7623</v>
      </c>
      <c r="K2834" s="2">
        <v>7064</v>
      </c>
      <c r="L2834" s="2">
        <v>3</v>
      </c>
      <c r="M2834" s="7">
        <f t="shared" si="220"/>
        <v>21192</v>
      </c>
      <c r="N2834" s="7">
        <f t="shared" si="221"/>
        <v>22869</v>
      </c>
      <c r="O2834" s="2">
        <v>90</v>
      </c>
      <c r="P2834" s="8">
        <f t="shared" si="222"/>
        <v>22959</v>
      </c>
      <c r="Q2834" s="8">
        <f t="shared" si="223"/>
        <v>15805</v>
      </c>
      <c r="R2834" s="2" t="s">
        <v>28</v>
      </c>
      <c r="S2834" s="9">
        <f t="shared" si="224"/>
        <v>1147.95</v>
      </c>
    </row>
    <row r="2835" spans="1:19" x14ac:dyDescent="0.3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str">
        <f>IFERROR(VLOOKUP('Customer Info'!A2827,'Customer Info'!A2827:C3326,2,FALSE),"Not Found")</f>
        <v>Not Found</v>
      </c>
      <c r="H2835" s="6" t="str">
        <f>IFERROR(VLOOKUP('Customer Info'!A2827,'Customer Info'!A2827:C3326,3,FALSE),"Not Found")</f>
        <v>Not Found</v>
      </c>
      <c r="I2835" s="6" t="str">
        <f>IFERROR(VLOOKUP('Customer Info'!A2827,'Customer Info'!A2827:E3326,5,FALSE),"Not Found")</f>
        <v>Not Found</v>
      </c>
      <c r="J2835" s="2">
        <v>1635</v>
      </c>
      <c r="K2835" s="2">
        <v>1573</v>
      </c>
      <c r="L2835" s="2">
        <v>6</v>
      </c>
      <c r="M2835" s="7">
        <f t="shared" si="220"/>
        <v>9438</v>
      </c>
      <c r="N2835" s="7">
        <f t="shared" si="221"/>
        <v>9810</v>
      </c>
      <c r="O2835" s="2">
        <v>50</v>
      </c>
      <c r="P2835" s="8">
        <f t="shared" si="222"/>
        <v>9860</v>
      </c>
      <c r="Q2835" s="8">
        <f t="shared" si="223"/>
        <v>8237</v>
      </c>
      <c r="R2835" s="2" t="s">
        <v>28</v>
      </c>
      <c r="S2835" s="9">
        <f t="shared" si="224"/>
        <v>493</v>
      </c>
    </row>
    <row r="2836" spans="1:19" x14ac:dyDescent="0.3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str">
        <f>IFERROR(VLOOKUP('Customer Info'!A2828,'Customer Info'!A2828:C3327,2,FALSE),"Not Found")</f>
        <v>Not Found</v>
      </c>
      <c r="H2836" s="6" t="str">
        <f>IFERROR(VLOOKUP('Customer Info'!A2828,'Customer Info'!A2828:C3327,3,FALSE),"Not Found")</f>
        <v>Not Found</v>
      </c>
      <c r="I2836" s="6" t="str">
        <f>IFERROR(VLOOKUP('Customer Info'!A2828,'Customer Info'!A2828:E3327,5,FALSE),"Not Found")</f>
        <v>Not Found</v>
      </c>
      <c r="J2836" s="2">
        <v>6012</v>
      </c>
      <c r="K2836" s="2">
        <v>5677</v>
      </c>
      <c r="L2836" s="2">
        <v>2</v>
      </c>
      <c r="M2836" s="7">
        <f t="shared" si="220"/>
        <v>11354</v>
      </c>
      <c r="N2836" s="7">
        <f t="shared" si="221"/>
        <v>12024</v>
      </c>
      <c r="O2836" s="2">
        <v>31</v>
      </c>
      <c r="P2836" s="8">
        <f t="shared" si="222"/>
        <v>12055</v>
      </c>
      <c r="Q2836" s="8">
        <f t="shared" si="223"/>
        <v>6347</v>
      </c>
      <c r="R2836" s="2" t="s">
        <v>50</v>
      </c>
      <c r="S2836" s="9">
        <f t="shared" si="224"/>
        <v>602.75</v>
      </c>
    </row>
    <row r="2837" spans="1:19" x14ac:dyDescent="0.3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str">
        <f>IFERROR(VLOOKUP('Customer Info'!A2829,'Customer Info'!A2829:C3328,2,FALSE),"Not Found")</f>
        <v>Not Found</v>
      </c>
      <c r="H2837" s="6" t="str">
        <f>IFERROR(VLOOKUP('Customer Info'!A2829,'Customer Info'!A2829:C3328,3,FALSE),"Not Found")</f>
        <v>Not Found</v>
      </c>
      <c r="I2837" s="6" t="str">
        <f>IFERROR(VLOOKUP('Customer Info'!A2829,'Customer Info'!A2829:E3328,5,FALSE),"Not Found")</f>
        <v>Not Found</v>
      </c>
      <c r="J2837" s="2">
        <v>130</v>
      </c>
      <c r="K2837" s="2">
        <v>122</v>
      </c>
      <c r="L2837" s="2">
        <v>3</v>
      </c>
      <c r="M2837" s="7">
        <f t="shared" si="220"/>
        <v>366</v>
      </c>
      <c r="N2837" s="7">
        <f t="shared" si="221"/>
        <v>390</v>
      </c>
      <c r="O2837" s="2">
        <v>30</v>
      </c>
      <c r="P2837" s="8">
        <f t="shared" si="222"/>
        <v>420</v>
      </c>
      <c r="Q2837" s="8">
        <f t="shared" si="223"/>
        <v>268</v>
      </c>
      <c r="R2837" s="2" t="s">
        <v>50</v>
      </c>
      <c r="S2837" s="9">
        <f t="shared" si="224"/>
        <v>8.4</v>
      </c>
    </row>
    <row r="2838" spans="1:19" x14ac:dyDescent="0.3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str">
        <f>IFERROR(VLOOKUP('Customer Info'!A2830,'Customer Info'!A2830:C3329,2,FALSE),"Not Found")</f>
        <v>Not Found</v>
      </c>
      <c r="H2838" s="6" t="str">
        <f>IFERROR(VLOOKUP('Customer Info'!A2830,'Customer Info'!A2830:C3329,3,FALSE),"Not Found")</f>
        <v>Not Found</v>
      </c>
      <c r="I2838" s="6" t="str">
        <f>IFERROR(VLOOKUP('Customer Info'!A2830,'Customer Info'!A2830:E3329,5,FALSE),"Not Found")</f>
        <v>Not Found</v>
      </c>
      <c r="J2838" s="2">
        <v>8889</v>
      </c>
      <c r="K2838" s="2">
        <v>8469</v>
      </c>
      <c r="L2838" s="2">
        <v>6</v>
      </c>
      <c r="M2838" s="7">
        <f t="shared" si="220"/>
        <v>50814</v>
      </c>
      <c r="N2838" s="7">
        <f t="shared" si="221"/>
        <v>53334</v>
      </c>
      <c r="O2838" s="2">
        <v>75</v>
      </c>
      <c r="P2838" s="8">
        <f t="shared" si="222"/>
        <v>53409</v>
      </c>
      <c r="Q2838" s="8">
        <f t="shared" si="223"/>
        <v>44865</v>
      </c>
      <c r="R2838" s="2" t="s">
        <v>28</v>
      </c>
      <c r="S2838" s="9">
        <f t="shared" si="224"/>
        <v>4806.8099999999995</v>
      </c>
    </row>
    <row r="2839" spans="1:19" x14ac:dyDescent="0.3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str">
        <f>IFERROR(VLOOKUP('Customer Info'!A2831,'Customer Info'!A2831:C3330,2,FALSE),"Not Found")</f>
        <v>Not Found</v>
      </c>
      <c r="H2839" s="6" t="str">
        <f>IFERROR(VLOOKUP('Customer Info'!A2831,'Customer Info'!A2831:C3330,3,FALSE),"Not Found")</f>
        <v>Not Found</v>
      </c>
      <c r="I2839" s="6" t="str">
        <f>IFERROR(VLOOKUP('Customer Info'!A2831,'Customer Info'!A2831:E3330,5,FALSE),"Not Found")</f>
        <v>Not Found</v>
      </c>
      <c r="J2839" s="2">
        <v>6664</v>
      </c>
      <c r="K2839" s="2">
        <v>6473</v>
      </c>
      <c r="L2839" s="2">
        <v>2</v>
      </c>
      <c r="M2839" s="7">
        <f t="shared" si="220"/>
        <v>12946</v>
      </c>
      <c r="N2839" s="7">
        <f t="shared" si="221"/>
        <v>13328</v>
      </c>
      <c r="O2839" s="2">
        <v>26</v>
      </c>
      <c r="P2839" s="8">
        <f t="shared" si="222"/>
        <v>13354</v>
      </c>
      <c r="Q2839" s="8">
        <f t="shared" si="223"/>
        <v>6855</v>
      </c>
      <c r="R2839" s="2" t="s">
        <v>28</v>
      </c>
      <c r="S2839" s="9">
        <f t="shared" si="224"/>
        <v>667.7</v>
      </c>
    </row>
    <row r="2840" spans="1:19" x14ac:dyDescent="0.3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str">
        <f>IFERROR(VLOOKUP('Customer Info'!A2832,'Customer Info'!A2832:C3331,2,FALSE),"Not Found")</f>
        <v>Not Found</v>
      </c>
      <c r="H2840" s="6" t="str">
        <f>IFERROR(VLOOKUP('Customer Info'!A2832,'Customer Info'!A2832:C3331,3,FALSE),"Not Found")</f>
        <v>Not Found</v>
      </c>
      <c r="I2840" s="6" t="str">
        <f>IFERROR(VLOOKUP('Customer Info'!A2832,'Customer Info'!A2832:E3331,5,FALSE),"Not Found")</f>
        <v>Not Found</v>
      </c>
      <c r="J2840" s="2">
        <v>7864</v>
      </c>
      <c r="K2840" s="2">
        <v>7563</v>
      </c>
      <c r="L2840" s="2">
        <v>1</v>
      </c>
      <c r="M2840" s="7">
        <f t="shared" si="220"/>
        <v>7563</v>
      </c>
      <c r="N2840" s="7">
        <f t="shared" si="221"/>
        <v>7864</v>
      </c>
      <c r="O2840" s="2">
        <v>54</v>
      </c>
      <c r="P2840" s="8">
        <f t="shared" si="222"/>
        <v>7918</v>
      </c>
      <c r="Q2840" s="8">
        <f t="shared" si="223"/>
        <v>301</v>
      </c>
      <c r="R2840" s="2" t="s">
        <v>28</v>
      </c>
      <c r="S2840" s="9">
        <f t="shared" si="224"/>
        <v>395.90000000000003</v>
      </c>
    </row>
    <row r="2841" spans="1:19" x14ac:dyDescent="0.3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str">
        <f>IFERROR(VLOOKUP('Customer Info'!A2833,'Customer Info'!A2833:C3332,2,FALSE),"Not Found")</f>
        <v>Not Found</v>
      </c>
      <c r="H2841" s="6" t="str">
        <f>IFERROR(VLOOKUP('Customer Info'!A2833,'Customer Info'!A2833:C3332,3,FALSE),"Not Found")</f>
        <v>Not Found</v>
      </c>
      <c r="I2841" s="6" t="str">
        <f>IFERROR(VLOOKUP('Customer Info'!A2833,'Customer Info'!A2833:E3332,5,FALSE),"Not Found")</f>
        <v>Not Found</v>
      </c>
      <c r="J2841" s="2">
        <v>3408</v>
      </c>
      <c r="K2841" s="2">
        <v>3215</v>
      </c>
      <c r="L2841" s="2">
        <v>2</v>
      </c>
      <c r="M2841" s="7">
        <f t="shared" si="220"/>
        <v>6430</v>
      </c>
      <c r="N2841" s="7">
        <f t="shared" si="221"/>
        <v>6816</v>
      </c>
      <c r="O2841" s="2">
        <v>85</v>
      </c>
      <c r="P2841" s="8">
        <f t="shared" si="222"/>
        <v>6901</v>
      </c>
      <c r="Q2841" s="8">
        <f t="shared" si="223"/>
        <v>3601</v>
      </c>
      <c r="R2841" s="2" t="s">
        <v>26</v>
      </c>
      <c r="S2841" s="9">
        <f t="shared" si="224"/>
        <v>345.05</v>
      </c>
    </row>
    <row r="2842" spans="1:19" x14ac:dyDescent="0.3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str">
        <f>IFERROR(VLOOKUP('Customer Info'!A2834,'Customer Info'!A2834:C3333,2,FALSE),"Not Found")</f>
        <v>Not Found</v>
      </c>
      <c r="H2842" s="6" t="str">
        <f>IFERROR(VLOOKUP('Customer Info'!A2834,'Customer Info'!A2834:C3333,3,FALSE),"Not Found")</f>
        <v>Not Found</v>
      </c>
      <c r="I2842" s="6" t="str">
        <f>IFERROR(VLOOKUP('Customer Info'!A2834,'Customer Info'!A2834:E3333,5,FALSE),"Not Found")</f>
        <v>Not Found</v>
      </c>
      <c r="J2842" s="2">
        <v>224</v>
      </c>
      <c r="K2842" s="2">
        <v>210</v>
      </c>
      <c r="L2842" s="2">
        <v>5</v>
      </c>
      <c r="M2842" s="7">
        <f t="shared" si="220"/>
        <v>1050</v>
      </c>
      <c r="N2842" s="7">
        <f t="shared" si="221"/>
        <v>1120</v>
      </c>
      <c r="O2842" s="2">
        <v>73</v>
      </c>
      <c r="P2842" s="8">
        <f t="shared" si="222"/>
        <v>1193</v>
      </c>
      <c r="Q2842" s="8">
        <f t="shared" si="223"/>
        <v>910</v>
      </c>
      <c r="R2842" s="2" t="s">
        <v>28</v>
      </c>
      <c r="S2842" s="9">
        <f t="shared" si="224"/>
        <v>23.86</v>
      </c>
    </row>
    <row r="2843" spans="1:19" x14ac:dyDescent="0.3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str">
        <f>IFERROR(VLOOKUP('Customer Info'!A2835,'Customer Info'!A2835:C3334,2,FALSE),"Not Found")</f>
        <v>Not Found</v>
      </c>
      <c r="H2843" s="6" t="str">
        <f>IFERROR(VLOOKUP('Customer Info'!A2835,'Customer Info'!A2835:C3334,3,FALSE),"Not Found")</f>
        <v>Not Found</v>
      </c>
      <c r="I2843" s="6" t="str">
        <f>IFERROR(VLOOKUP('Customer Info'!A2835,'Customer Info'!A2835:E3334,5,FALSE),"Not Found")</f>
        <v>Not Found</v>
      </c>
      <c r="J2843" s="2">
        <v>202</v>
      </c>
      <c r="K2843" s="2">
        <v>187</v>
      </c>
      <c r="L2843" s="2">
        <v>4</v>
      </c>
      <c r="M2843" s="7">
        <f t="shared" si="220"/>
        <v>748</v>
      </c>
      <c r="N2843" s="7">
        <f t="shared" si="221"/>
        <v>808</v>
      </c>
      <c r="O2843" s="2">
        <v>30</v>
      </c>
      <c r="P2843" s="8">
        <f t="shared" si="222"/>
        <v>838</v>
      </c>
      <c r="Q2843" s="8">
        <f t="shared" si="223"/>
        <v>621</v>
      </c>
      <c r="R2843" s="2" t="s">
        <v>50</v>
      </c>
      <c r="S2843" s="9">
        <f t="shared" si="224"/>
        <v>16.760000000000002</v>
      </c>
    </row>
    <row r="2844" spans="1:19" x14ac:dyDescent="0.3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str">
        <f>IFERROR(VLOOKUP('Customer Info'!A2836,'Customer Info'!A2836:C3335,2,FALSE),"Not Found")</f>
        <v>Not Found</v>
      </c>
      <c r="H2844" s="6" t="str">
        <f>IFERROR(VLOOKUP('Customer Info'!A2836,'Customer Info'!A2836:C3335,3,FALSE),"Not Found")</f>
        <v>Not Found</v>
      </c>
      <c r="I2844" s="6" t="str">
        <f>IFERROR(VLOOKUP('Customer Info'!A2836,'Customer Info'!A2836:E3335,5,FALSE),"Not Found")</f>
        <v>Not Found</v>
      </c>
      <c r="J2844" s="2">
        <v>2965</v>
      </c>
      <c r="K2844" s="2">
        <v>2694</v>
      </c>
      <c r="L2844" s="2">
        <v>6</v>
      </c>
      <c r="M2844" s="7">
        <f t="shared" si="220"/>
        <v>16164</v>
      </c>
      <c r="N2844" s="7">
        <f t="shared" si="221"/>
        <v>17790</v>
      </c>
      <c r="O2844" s="2">
        <v>49</v>
      </c>
      <c r="P2844" s="8">
        <f t="shared" si="222"/>
        <v>17839</v>
      </c>
      <c r="Q2844" s="8">
        <f t="shared" si="223"/>
        <v>15096</v>
      </c>
      <c r="R2844" s="2" t="s">
        <v>28</v>
      </c>
      <c r="S2844" s="9">
        <f t="shared" si="224"/>
        <v>891.95</v>
      </c>
    </row>
    <row r="2845" spans="1:19" x14ac:dyDescent="0.3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str">
        <f>IFERROR(VLOOKUP('Customer Info'!A2837,'Customer Info'!A2837:C3336,2,FALSE),"Not Found")</f>
        <v>Not Found</v>
      </c>
      <c r="H2845" s="6" t="str">
        <f>IFERROR(VLOOKUP('Customer Info'!A2837,'Customer Info'!A2837:C3336,3,FALSE),"Not Found")</f>
        <v>Not Found</v>
      </c>
      <c r="I2845" s="6" t="str">
        <f>IFERROR(VLOOKUP('Customer Info'!A2837,'Customer Info'!A2837:E3336,5,FALSE),"Not Found")</f>
        <v>Not Found</v>
      </c>
      <c r="J2845" s="2">
        <v>2365</v>
      </c>
      <c r="K2845" s="2">
        <v>2232</v>
      </c>
      <c r="L2845" s="2">
        <v>2</v>
      </c>
      <c r="M2845" s="7">
        <f t="shared" si="220"/>
        <v>4464</v>
      </c>
      <c r="N2845" s="7">
        <f t="shared" si="221"/>
        <v>4730</v>
      </c>
      <c r="O2845" s="2">
        <v>24</v>
      </c>
      <c r="P2845" s="8">
        <f t="shared" si="222"/>
        <v>4754</v>
      </c>
      <c r="Q2845" s="8">
        <f t="shared" si="223"/>
        <v>2498</v>
      </c>
      <c r="R2845" s="2" t="s">
        <v>28</v>
      </c>
      <c r="S2845" s="9">
        <f t="shared" si="224"/>
        <v>95.08</v>
      </c>
    </row>
    <row r="2846" spans="1:19" x14ac:dyDescent="0.3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str">
        <f>IFERROR(VLOOKUP('Customer Info'!A2838,'Customer Info'!A2838:C3337,2,FALSE),"Not Found")</f>
        <v>Not Found</v>
      </c>
      <c r="H2846" s="6" t="str">
        <f>IFERROR(VLOOKUP('Customer Info'!A2838,'Customer Info'!A2838:C3337,3,FALSE),"Not Found")</f>
        <v>Not Found</v>
      </c>
      <c r="I2846" s="6" t="str">
        <f>IFERROR(VLOOKUP('Customer Info'!A2838,'Customer Info'!A2838:E3337,5,FALSE),"Not Found")</f>
        <v>Not Found</v>
      </c>
      <c r="J2846" s="2">
        <v>3041</v>
      </c>
      <c r="K2846" s="2">
        <v>2927</v>
      </c>
      <c r="L2846" s="2">
        <v>1</v>
      </c>
      <c r="M2846" s="7">
        <f t="shared" si="220"/>
        <v>2927</v>
      </c>
      <c r="N2846" s="7">
        <f t="shared" si="221"/>
        <v>3041</v>
      </c>
      <c r="O2846" s="2">
        <v>81</v>
      </c>
      <c r="P2846" s="8">
        <f t="shared" si="222"/>
        <v>3122</v>
      </c>
      <c r="Q2846" s="8">
        <f t="shared" si="223"/>
        <v>114</v>
      </c>
      <c r="R2846" s="2" t="s">
        <v>50</v>
      </c>
      <c r="S2846" s="9">
        <f t="shared" si="224"/>
        <v>62.440000000000005</v>
      </c>
    </row>
    <row r="2847" spans="1:19" x14ac:dyDescent="0.3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str">
        <f>IFERROR(VLOOKUP('Customer Info'!A2839,'Customer Info'!A2839:C3338,2,FALSE),"Not Found")</f>
        <v>Not Found</v>
      </c>
      <c r="H2847" s="6" t="str">
        <f>IFERROR(VLOOKUP('Customer Info'!A2839,'Customer Info'!A2839:C3338,3,FALSE),"Not Found")</f>
        <v>Not Found</v>
      </c>
      <c r="I2847" s="6" t="str">
        <f>IFERROR(VLOOKUP('Customer Info'!A2839,'Customer Info'!A2839:E3338,5,FALSE),"Not Found")</f>
        <v>Not Found</v>
      </c>
      <c r="J2847" s="2">
        <v>7623</v>
      </c>
      <c r="K2847" s="2">
        <v>7064</v>
      </c>
      <c r="L2847" s="2">
        <v>3</v>
      </c>
      <c r="M2847" s="7">
        <f t="shared" si="220"/>
        <v>21192</v>
      </c>
      <c r="N2847" s="7">
        <f t="shared" si="221"/>
        <v>22869</v>
      </c>
      <c r="O2847" s="2">
        <v>63</v>
      </c>
      <c r="P2847" s="8">
        <f t="shared" si="222"/>
        <v>22932</v>
      </c>
      <c r="Q2847" s="8">
        <f t="shared" si="223"/>
        <v>15805</v>
      </c>
      <c r="R2847" s="2" t="s">
        <v>50</v>
      </c>
      <c r="S2847" s="9">
        <f t="shared" si="224"/>
        <v>1146.6000000000001</v>
      </c>
    </row>
    <row r="2848" spans="1:19" x14ac:dyDescent="0.3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str">
        <f>IFERROR(VLOOKUP('Customer Info'!A2840,'Customer Info'!A2840:C3339,2,FALSE),"Not Found")</f>
        <v>Not Found</v>
      </c>
      <c r="H2848" s="6" t="str">
        <f>IFERROR(VLOOKUP('Customer Info'!A2840,'Customer Info'!A2840:C3339,3,FALSE),"Not Found")</f>
        <v>Not Found</v>
      </c>
      <c r="I2848" s="6" t="str">
        <f>IFERROR(VLOOKUP('Customer Info'!A2840,'Customer Info'!A2840:E3339,5,FALSE),"Not Found")</f>
        <v>Not Found</v>
      </c>
      <c r="J2848" s="2">
        <v>1306</v>
      </c>
      <c r="K2848" s="2">
        <v>1197</v>
      </c>
      <c r="L2848" s="2">
        <v>1</v>
      </c>
      <c r="M2848" s="7">
        <f t="shared" si="220"/>
        <v>1197</v>
      </c>
      <c r="N2848" s="7">
        <f t="shared" si="221"/>
        <v>1306</v>
      </c>
      <c r="O2848" s="2">
        <v>70</v>
      </c>
      <c r="P2848" s="8">
        <f t="shared" si="222"/>
        <v>1376</v>
      </c>
      <c r="Q2848" s="8">
        <f t="shared" si="223"/>
        <v>109</v>
      </c>
      <c r="R2848" s="2" t="s">
        <v>28</v>
      </c>
      <c r="S2848" s="9">
        <f t="shared" si="224"/>
        <v>27.52</v>
      </c>
    </row>
    <row r="2849" spans="1:19" x14ac:dyDescent="0.3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str">
        <f>IFERROR(VLOOKUP('Customer Info'!A2841,'Customer Info'!A2841:C3340,2,FALSE),"Not Found")</f>
        <v>Not Found</v>
      </c>
      <c r="H2849" s="6" t="str">
        <f>IFERROR(VLOOKUP('Customer Info'!A2841,'Customer Info'!A2841:C3340,3,FALSE),"Not Found")</f>
        <v>Not Found</v>
      </c>
      <c r="I2849" s="6" t="str">
        <f>IFERROR(VLOOKUP('Customer Info'!A2841,'Customer Info'!A2841:E3340,5,FALSE),"Not Found")</f>
        <v>Not Found</v>
      </c>
      <c r="J2849" s="2">
        <v>2829</v>
      </c>
      <c r="K2849" s="2">
        <v>2596</v>
      </c>
      <c r="L2849" s="2">
        <v>4</v>
      </c>
      <c r="M2849" s="7">
        <f t="shared" si="220"/>
        <v>10384</v>
      </c>
      <c r="N2849" s="7">
        <f t="shared" si="221"/>
        <v>11316</v>
      </c>
      <c r="O2849" s="2">
        <v>20</v>
      </c>
      <c r="P2849" s="8">
        <f t="shared" si="222"/>
        <v>11336</v>
      </c>
      <c r="Q2849" s="8">
        <f t="shared" si="223"/>
        <v>8720</v>
      </c>
      <c r="R2849" s="2" t="s">
        <v>28</v>
      </c>
      <c r="S2849" s="9">
        <f t="shared" si="224"/>
        <v>566.80000000000007</v>
      </c>
    </row>
    <row r="2850" spans="1:19" x14ac:dyDescent="0.3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str">
        <f>IFERROR(VLOOKUP('Customer Info'!A2842,'Customer Info'!A2842:C3341,2,FALSE),"Not Found")</f>
        <v>Not Found</v>
      </c>
      <c r="H2850" s="6" t="str">
        <f>IFERROR(VLOOKUP('Customer Info'!A2842,'Customer Info'!A2842:C3341,3,FALSE),"Not Found")</f>
        <v>Not Found</v>
      </c>
      <c r="I2850" s="6" t="str">
        <f>IFERROR(VLOOKUP('Customer Info'!A2842,'Customer Info'!A2842:E3341,5,FALSE),"Not Found")</f>
        <v>Not Found</v>
      </c>
      <c r="J2850" s="2">
        <v>3354</v>
      </c>
      <c r="K2850" s="2">
        <v>3102</v>
      </c>
      <c r="L2850" s="2">
        <v>3</v>
      </c>
      <c r="M2850" s="7">
        <f t="shared" si="220"/>
        <v>9306</v>
      </c>
      <c r="N2850" s="7">
        <f t="shared" si="221"/>
        <v>10062</v>
      </c>
      <c r="O2850" s="2">
        <v>49</v>
      </c>
      <c r="P2850" s="8">
        <f t="shared" si="222"/>
        <v>10111</v>
      </c>
      <c r="Q2850" s="8">
        <f t="shared" si="223"/>
        <v>6960</v>
      </c>
      <c r="R2850" s="2" t="s">
        <v>28</v>
      </c>
      <c r="S2850" s="9">
        <f t="shared" si="224"/>
        <v>505.55</v>
      </c>
    </row>
    <row r="2851" spans="1:19" x14ac:dyDescent="0.3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str">
        <f>IFERROR(VLOOKUP('Customer Info'!A2843,'Customer Info'!A2843:C3342,2,FALSE),"Not Found")</f>
        <v>Not Found</v>
      </c>
      <c r="H2851" s="6" t="str">
        <f>IFERROR(VLOOKUP('Customer Info'!A2843,'Customer Info'!A2843:C3342,3,FALSE),"Not Found")</f>
        <v>Not Found</v>
      </c>
      <c r="I2851" s="6" t="str">
        <f>IFERROR(VLOOKUP('Customer Info'!A2843,'Customer Info'!A2843:E3342,5,FALSE),"Not Found")</f>
        <v>Not Found</v>
      </c>
      <c r="J2851" s="2">
        <v>8433</v>
      </c>
      <c r="K2851" s="2">
        <v>7801</v>
      </c>
      <c r="L2851" s="2">
        <v>2</v>
      </c>
      <c r="M2851" s="7">
        <f t="shared" si="220"/>
        <v>15602</v>
      </c>
      <c r="N2851" s="7">
        <f t="shared" si="221"/>
        <v>16866</v>
      </c>
      <c r="O2851" s="2">
        <v>37</v>
      </c>
      <c r="P2851" s="8">
        <f t="shared" si="222"/>
        <v>16903</v>
      </c>
      <c r="Q2851" s="8">
        <f t="shared" si="223"/>
        <v>9065</v>
      </c>
      <c r="R2851" s="2" t="s">
        <v>28</v>
      </c>
      <c r="S2851" s="9">
        <f t="shared" si="224"/>
        <v>845.15000000000009</v>
      </c>
    </row>
    <row r="2852" spans="1:19" x14ac:dyDescent="0.3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str">
        <f>IFERROR(VLOOKUP('Customer Info'!A2844,'Customer Info'!A2844:C3343,2,FALSE),"Not Found")</f>
        <v>Not Found</v>
      </c>
      <c r="H2852" s="6" t="str">
        <f>IFERROR(VLOOKUP('Customer Info'!A2844,'Customer Info'!A2844:C3343,3,FALSE),"Not Found")</f>
        <v>Not Found</v>
      </c>
      <c r="I2852" s="6" t="str">
        <f>IFERROR(VLOOKUP('Customer Info'!A2844,'Customer Info'!A2844:E3343,5,FALSE),"Not Found")</f>
        <v>Not Found</v>
      </c>
      <c r="J2852" s="2">
        <v>68</v>
      </c>
      <c r="K2852" s="2">
        <v>63</v>
      </c>
      <c r="L2852" s="2">
        <v>1</v>
      </c>
      <c r="M2852" s="7">
        <f t="shared" si="220"/>
        <v>63</v>
      </c>
      <c r="N2852" s="7">
        <f t="shared" si="221"/>
        <v>68</v>
      </c>
      <c r="O2852" s="2">
        <v>10</v>
      </c>
      <c r="P2852" s="8">
        <f t="shared" si="222"/>
        <v>78</v>
      </c>
      <c r="Q2852" s="8">
        <f t="shared" si="223"/>
        <v>5</v>
      </c>
      <c r="R2852" s="2" t="s">
        <v>50</v>
      </c>
      <c r="S2852" s="9">
        <f t="shared" si="224"/>
        <v>1.56</v>
      </c>
    </row>
    <row r="2853" spans="1:19" x14ac:dyDescent="0.3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str">
        <f>IFERROR(VLOOKUP('Customer Info'!A2845,'Customer Info'!A2845:C3344,2,FALSE),"Not Found")</f>
        <v>Not Found</v>
      </c>
      <c r="H2853" s="6" t="str">
        <f>IFERROR(VLOOKUP('Customer Info'!A2845,'Customer Info'!A2845:C3344,3,FALSE),"Not Found")</f>
        <v>Not Found</v>
      </c>
      <c r="I2853" s="6" t="str">
        <f>IFERROR(VLOOKUP('Customer Info'!A2845,'Customer Info'!A2845:E3344,5,FALSE),"Not Found")</f>
        <v>Not Found</v>
      </c>
      <c r="J2853" s="2">
        <v>184</v>
      </c>
      <c r="K2853" s="2">
        <v>176</v>
      </c>
      <c r="L2853" s="2">
        <v>1</v>
      </c>
      <c r="M2853" s="7">
        <f t="shared" si="220"/>
        <v>176</v>
      </c>
      <c r="N2853" s="7">
        <f t="shared" si="221"/>
        <v>184</v>
      </c>
      <c r="O2853" s="2">
        <v>30</v>
      </c>
      <c r="P2853" s="8">
        <f t="shared" si="222"/>
        <v>214</v>
      </c>
      <c r="Q2853" s="8">
        <f t="shared" si="223"/>
        <v>8</v>
      </c>
      <c r="R2853" s="2" t="s">
        <v>50</v>
      </c>
      <c r="S2853" s="9">
        <f t="shared" si="224"/>
        <v>4.28</v>
      </c>
    </row>
    <row r="2854" spans="1:19" x14ac:dyDescent="0.3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str">
        <f>IFERROR(VLOOKUP('Customer Info'!A2846,'Customer Info'!A2846:C3345,2,FALSE),"Not Found")</f>
        <v>Not Found</v>
      </c>
      <c r="H2854" s="6" t="str">
        <f>IFERROR(VLOOKUP('Customer Info'!A2846,'Customer Info'!A2846:C3345,3,FALSE),"Not Found")</f>
        <v>Not Found</v>
      </c>
      <c r="I2854" s="6" t="str">
        <f>IFERROR(VLOOKUP('Customer Info'!A2846,'Customer Info'!A2846:E3345,5,FALSE),"Not Found")</f>
        <v>Not Found</v>
      </c>
      <c r="J2854" s="2">
        <v>224</v>
      </c>
      <c r="K2854" s="2">
        <v>210</v>
      </c>
      <c r="L2854" s="2">
        <v>12</v>
      </c>
      <c r="M2854" s="7">
        <f t="shared" si="220"/>
        <v>2520</v>
      </c>
      <c r="N2854" s="7">
        <f t="shared" si="221"/>
        <v>2688</v>
      </c>
      <c r="O2854" s="2">
        <v>65</v>
      </c>
      <c r="P2854" s="8">
        <f t="shared" si="222"/>
        <v>2753</v>
      </c>
      <c r="Q2854" s="8">
        <f t="shared" si="223"/>
        <v>2478</v>
      </c>
      <c r="R2854" s="2" t="s">
        <v>28</v>
      </c>
      <c r="S2854" s="9">
        <f t="shared" si="224"/>
        <v>55.06</v>
      </c>
    </row>
    <row r="2855" spans="1:19" x14ac:dyDescent="0.3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str">
        <f>IFERROR(VLOOKUP('Customer Info'!A2847,'Customer Info'!A2847:C3346,2,FALSE),"Not Found")</f>
        <v>Not Found</v>
      </c>
      <c r="H2855" s="6" t="str">
        <f>IFERROR(VLOOKUP('Customer Info'!A2847,'Customer Info'!A2847:C3346,3,FALSE),"Not Found")</f>
        <v>Not Found</v>
      </c>
      <c r="I2855" s="6" t="str">
        <f>IFERROR(VLOOKUP('Customer Info'!A2847,'Customer Info'!A2847:E3346,5,FALSE),"Not Found")</f>
        <v>Not Found</v>
      </c>
      <c r="J2855" s="2">
        <v>139</v>
      </c>
      <c r="K2855" s="2">
        <v>130</v>
      </c>
      <c r="L2855" s="2">
        <v>3</v>
      </c>
      <c r="M2855" s="7">
        <f t="shared" si="220"/>
        <v>390</v>
      </c>
      <c r="N2855" s="7">
        <f t="shared" si="221"/>
        <v>417</v>
      </c>
      <c r="O2855" s="2">
        <v>30</v>
      </c>
      <c r="P2855" s="8">
        <f t="shared" si="222"/>
        <v>447</v>
      </c>
      <c r="Q2855" s="8">
        <f t="shared" si="223"/>
        <v>287</v>
      </c>
      <c r="R2855" s="2" t="s">
        <v>26</v>
      </c>
      <c r="S2855" s="9">
        <f t="shared" si="224"/>
        <v>8.94</v>
      </c>
    </row>
    <row r="2856" spans="1:19" x14ac:dyDescent="0.3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str">
        <f>IFERROR(VLOOKUP('Customer Info'!A2848,'Customer Info'!A2848:C3347,2,FALSE),"Not Found")</f>
        <v>Not Found</v>
      </c>
      <c r="H2856" s="6" t="str">
        <f>IFERROR(VLOOKUP('Customer Info'!A2848,'Customer Info'!A2848:C3347,3,FALSE),"Not Found")</f>
        <v>Not Found</v>
      </c>
      <c r="I2856" s="6" t="str">
        <f>IFERROR(VLOOKUP('Customer Info'!A2848,'Customer Info'!A2848:E3347,5,FALSE),"Not Found")</f>
        <v>Not Found</v>
      </c>
      <c r="J2856" s="2">
        <v>1887</v>
      </c>
      <c r="K2856" s="2">
        <v>1763</v>
      </c>
      <c r="L2856" s="2">
        <v>2</v>
      </c>
      <c r="M2856" s="7">
        <f t="shared" si="220"/>
        <v>3526</v>
      </c>
      <c r="N2856" s="7">
        <f t="shared" si="221"/>
        <v>3774</v>
      </c>
      <c r="O2856" s="2">
        <v>39</v>
      </c>
      <c r="P2856" s="8">
        <f t="shared" si="222"/>
        <v>3813</v>
      </c>
      <c r="Q2856" s="8">
        <f t="shared" si="223"/>
        <v>2011</v>
      </c>
      <c r="R2856" s="2" t="s">
        <v>50</v>
      </c>
      <c r="S2856" s="9">
        <f t="shared" si="224"/>
        <v>76.260000000000005</v>
      </c>
    </row>
    <row r="2857" spans="1:19" x14ac:dyDescent="0.3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str">
        <f>IFERROR(VLOOKUP('Customer Info'!A2849,'Customer Info'!A2849:C3348,2,FALSE),"Not Found")</f>
        <v>Not Found</v>
      </c>
      <c r="H2857" s="6" t="str">
        <f>IFERROR(VLOOKUP('Customer Info'!A2849,'Customer Info'!A2849:C3348,3,FALSE),"Not Found")</f>
        <v>Not Found</v>
      </c>
      <c r="I2857" s="6" t="str">
        <f>IFERROR(VLOOKUP('Customer Info'!A2849,'Customer Info'!A2849:E3348,5,FALSE),"Not Found")</f>
        <v>Not Found</v>
      </c>
      <c r="J2857" s="2">
        <v>6520</v>
      </c>
      <c r="K2857" s="2">
        <v>5985</v>
      </c>
      <c r="L2857" s="2">
        <v>5</v>
      </c>
      <c r="M2857" s="7">
        <f t="shared" si="220"/>
        <v>29925</v>
      </c>
      <c r="N2857" s="7">
        <f t="shared" si="221"/>
        <v>32600</v>
      </c>
      <c r="O2857" s="2">
        <v>38</v>
      </c>
      <c r="P2857" s="8">
        <f t="shared" si="222"/>
        <v>32638</v>
      </c>
      <c r="Q2857" s="8">
        <f t="shared" si="223"/>
        <v>26615</v>
      </c>
      <c r="R2857" s="2" t="s">
        <v>50</v>
      </c>
      <c r="S2857" s="9">
        <f t="shared" si="224"/>
        <v>2284.6600000000003</v>
      </c>
    </row>
    <row r="2858" spans="1:19" x14ac:dyDescent="0.3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str">
        <f>IFERROR(VLOOKUP('Customer Info'!A2850,'Customer Info'!A2850:C3349,2,FALSE),"Not Found")</f>
        <v>Not Found</v>
      </c>
      <c r="H2858" s="6" t="str">
        <f>IFERROR(VLOOKUP('Customer Info'!A2850,'Customer Info'!A2850:C3349,3,FALSE),"Not Found")</f>
        <v>Not Found</v>
      </c>
      <c r="I2858" s="6" t="str">
        <f>IFERROR(VLOOKUP('Customer Info'!A2850,'Customer Info'!A2850:E3349,5,FALSE),"Not Found")</f>
        <v>Not Found</v>
      </c>
      <c r="J2858" s="2">
        <v>3224</v>
      </c>
      <c r="K2858" s="2">
        <v>2984</v>
      </c>
      <c r="L2858" s="2">
        <v>2</v>
      </c>
      <c r="M2858" s="7">
        <f t="shared" si="220"/>
        <v>5968</v>
      </c>
      <c r="N2858" s="7">
        <f t="shared" si="221"/>
        <v>6448</v>
      </c>
      <c r="O2858" s="2">
        <v>77</v>
      </c>
      <c r="P2858" s="8">
        <f t="shared" si="222"/>
        <v>6525</v>
      </c>
      <c r="Q2858" s="8">
        <f t="shared" si="223"/>
        <v>3464</v>
      </c>
      <c r="R2858" s="2" t="s">
        <v>50</v>
      </c>
      <c r="S2858" s="9">
        <f t="shared" si="224"/>
        <v>326.25</v>
      </c>
    </row>
    <row r="2859" spans="1:19" x14ac:dyDescent="0.3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str">
        <f>IFERROR(VLOOKUP('Customer Info'!A2851,'Customer Info'!A2851:C3350,2,FALSE),"Not Found")</f>
        <v>Not Found</v>
      </c>
      <c r="H2859" s="6" t="str">
        <f>IFERROR(VLOOKUP('Customer Info'!A2851,'Customer Info'!A2851:C3350,3,FALSE),"Not Found")</f>
        <v>Not Found</v>
      </c>
      <c r="I2859" s="6" t="str">
        <f>IFERROR(VLOOKUP('Customer Info'!A2851,'Customer Info'!A2851:E3350,5,FALSE),"Not Found")</f>
        <v>Not Found</v>
      </c>
      <c r="J2859" s="2">
        <v>896</v>
      </c>
      <c r="K2859" s="2">
        <v>870</v>
      </c>
      <c r="L2859" s="2">
        <v>2</v>
      </c>
      <c r="M2859" s="7">
        <f t="shared" si="220"/>
        <v>1740</v>
      </c>
      <c r="N2859" s="7">
        <f t="shared" si="221"/>
        <v>1792</v>
      </c>
      <c r="O2859" s="2">
        <v>35</v>
      </c>
      <c r="P2859" s="8">
        <f t="shared" si="222"/>
        <v>1827</v>
      </c>
      <c r="Q2859" s="8">
        <f t="shared" si="223"/>
        <v>922</v>
      </c>
      <c r="R2859" s="2" t="s">
        <v>28</v>
      </c>
      <c r="S2859" s="9">
        <f t="shared" si="224"/>
        <v>36.54</v>
      </c>
    </row>
    <row r="2860" spans="1:19" x14ac:dyDescent="0.3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str">
        <f>IFERROR(VLOOKUP('Customer Info'!A2852,'Customer Info'!A2852:C3351,2,FALSE),"Not Found")</f>
        <v>Not Found</v>
      </c>
      <c r="H2860" s="6" t="str">
        <f>IFERROR(VLOOKUP('Customer Info'!A2852,'Customer Info'!A2852:C3351,3,FALSE),"Not Found")</f>
        <v>Not Found</v>
      </c>
      <c r="I2860" s="6" t="str">
        <f>IFERROR(VLOOKUP('Customer Info'!A2852,'Customer Info'!A2852:E3351,5,FALSE),"Not Found")</f>
        <v>Not Found</v>
      </c>
      <c r="J2860" s="2">
        <v>69</v>
      </c>
      <c r="K2860" s="2">
        <v>63</v>
      </c>
      <c r="L2860" s="2">
        <v>3</v>
      </c>
      <c r="M2860" s="7">
        <f t="shared" si="220"/>
        <v>189</v>
      </c>
      <c r="N2860" s="7">
        <f t="shared" si="221"/>
        <v>207</v>
      </c>
      <c r="O2860" s="2">
        <v>10</v>
      </c>
      <c r="P2860" s="8">
        <f t="shared" si="222"/>
        <v>217</v>
      </c>
      <c r="Q2860" s="8">
        <f t="shared" si="223"/>
        <v>144</v>
      </c>
      <c r="R2860" s="2" t="s">
        <v>50</v>
      </c>
      <c r="S2860" s="9">
        <f t="shared" si="224"/>
        <v>4.34</v>
      </c>
    </row>
    <row r="2861" spans="1:19" x14ac:dyDescent="0.3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str">
        <f>IFERROR(VLOOKUP('Customer Info'!A2853,'Customer Info'!A2853:C3352,2,FALSE),"Not Found")</f>
        <v>Not Found</v>
      </c>
      <c r="H2861" s="6" t="str">
        <f>IFERROR(VLOOKUP('Customer Info'!A2853,'Customer Info'!A2853:C3352,3,FALSE),"Not Found")</f>
        <v>Not Found</v>
      </c>
      <c r="I2861" s="6" t="str">
        <f>IFERROR(VLOOKUP('Customer Info'!A2853,'Customer Info'!A2853:E3352,5,FALSE),"Not Found")</f>
        <v>Not Found</v>
      </c>
      <c r="J2861" s="2">
        <v>6864</v>
      </c>
      <c r="K2861" s="2">
        <v>6667</v>
      </c>
      <c r="L2861" s="2">
        <v>8</v>
      </c>
      <c r="M2861" s="7">
        <f t="shared" si="220"/>
        <v>53336</v>
      </c>
      <c r="N2861" s="7">
        <f t="shared" si="221"/>
        <v>54912</v>
      </c>
      <c r="O2861" s="2">
        <v>34</v>
      </c>
      <c r="P2861" s="8">
        <f t="shared" si="222"/>
        <v>54946</v>
      </c>
      <c r="Q2861" s="8">
        <f t="shared" si="223"/>
        <v>48245</v>
      </c>
      <c r="R2861" s="2" t="s">
        <v>50</v>
      </c>
      <c r="S2861" s="9">
        <f t="shared" si="224"/>
        <v>4945.1399999999994</v>
      </c>
    </row>
    <row r="2862" spans="1:19" x14ac:dyDescent="0.3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str">
        <f>IFERROR(VLOOKUP('Customer Info'!A2854,'Customer Info'!A2854:C3353,2,FALSE),"Not Found")</f>
        <v>Not Found</v>
      </c>
      <c r="H2862" s="6" t="str">
        <f>IFERROR(VLOOKUP('Customer Info'!A2854,'Customer Info'!A2854:C3353,3,FALSE),"Not Found")</f>
        <v>Not Found</v>
      </c>
      <c r="I2862" s="6" t="str">
        <f>IFERROR(VLOOKUP('Customer Info'!A2854,'Customer Info'!A2854:E3353,5,FALSE),"Not Found")</f>
        <v>Not Found</v>
      </c>
      <c r="J2862" s="2">
        <v>456</v>
      </c>
      <c r="K2862" s="2">
        <v>430</v>
      </c>
      <c r="L2862" s="2">
        <v>3</v>
      </c>
      <c r="M2862" s="7">
        <f t="shared" si="220"/>
        <v>1290</v>
      </c>
      <c r="N2862" s="7">
        <f t="shared" si="221"/>
        <v>1368</v>
      </c>
      <c r="O2862" s="2">
        <v>22</v>
      </c>
      <c r="P2862" s="8">
        <f t="shared" si="222"/>
        <v>1390</v>
      </c>
      <c r="Q2862" s="8">
        <f t="shared" si="223"/>
        <v>938</v>
      </c>
      <c r="R2862" s="2" t="s">
        <v>28</v>
      </c>
      <c r="S2862" s="9">
        <f t="shared" si="224"/>
        <v>27.8</v>
      </c>
    </row>
    <row r="2863" spans="1:19" x14ac:dyDescent="0.3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str">
        <f>IFERROR(VLOOKUP('Customer Info'!A2855,'Customer Info'!A2855:C3354,2,FALSE),"Not Found")</f>
        <v>Not Found</v>
      </c>
      <c r="H2863" s="6" t="str">
        <f>IFERROR(VLOOKUP('Customer Info'!A2855,'Customer Info'!A2855:C3354,3,FALSE),"Not Found")</f>
        <v>Not Found</v>
      </c>
      <c r="I2863" s="6" t="str">
        <f>IFERROR(VLOOKUP('Customer Info'!A2855,'Customer Info'!A2855:E3354,5,FALSE),"Not Found")</f>
        <v>Not Found</v>
      </c>
      <c r="J2863" s="2">
        <v>1441</v>
      </c>
      <c r="K2863" s="2">
        <v>1360</v>
      </c>
      <c r="L2863" s="2">
        <v>3</v>
      </c>
      <c r="M2863" s="7">
        <f t="shared" si="220"/>
        <v>4080</v>
      </c>
      <c r="N2863" s="7">
        <f t="shared" si="221"/>
        <v>4323</v>
      </c>
      <c r="O2863" s="2">
        <v>99</v>
      </c>
      <c r="P2863" s="8">
        <f t="shared" si="222"/>
        <v>4422</v>
      </c>
      <c r="Q2863" s="8">
        <f t="shared" si="223"/>
        <v>2963</v>
      </c>
      <c r="R2863" s="2" t="s">
        <v>50</v>
      </c>
      <c r="S2863" s="9">
        <f t="shared" si="224"/>
        <v>88.44</v>
      </c>
    </row>
    <row r="2864" spans="1:19" x14ac:dyDescent="0.3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str">
        <f>IFERROR(VLOOKUP('Customer Info'!A2856,'Customer Info'!A2856:C3355,2,FALSE),"Not Found")</f>
        <v>Not Found</v>
      </c>
      <c r="H2864" s="6" t="str">
        <f>IFERROR(VLOOKUP('Customer Info'!A2856,'Customer Info'!A2856:C3355,3,FALSE),"Not Found")</f>
        <v>Not Found</v>
      </c>
      <c r="I2864" s="6" t="str">
        <f>IFERROR(VLOOKUP('Customer Info'!A2856,'Customer Info'!A2856:E3355,5,FALSE),"Not Found")</f>
        <v>Not Found</v>
      </c>
      <c r="J2864" s="2">
        <v>1146</v>
      </c>
      <c r="K2864" s="2">
        <v>1061</v>
      </c>
      <c r="L2864" s="2">
        <v>2</v>
      </c>
      <c r="M2864" s="7">
        <f t="shared" si="220"/>
        <v>2122</v>
      </c>
      <c r="N2864" s="7">
        <f t="shared" si="221"/>
        <v>2292</v>
      </c>
      <c r="O2864" s="2">
        <v>53</v>
      </c>
      <c r="P2864" s="8">
        <f t="shared" si="222"/>
        <v>2345</v>
      </c>
      <c r="Q2864" s="8">
        <f t="shared" si="223"/>
        <v>1231</v>
      </c>
      <c r="R2864" s="2" t="s">
        <v>28</v>
      </c>
      <c r="S2864" s="9">
        <f t="shared" si="224"/>
        <v>46.9</v>
      </c>
    </row>
    <row r="2865" spans="1:19" x14ac:dyDescent="0.3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str">
        <f>IFERROR(VLOOKUP('Customer Info'!A2857,'Customer Info'!A2857:C3356,2,FALSE),"Not Found")</f>
        <v>Not Found</v>
      </c>
      <c r="H2865" s="6" t="str">
        <f>IFERROR(VLOOKUP('Customer Info'!A2857,'Customer Info'!A2857:C3356,3,FALSE),"Not Found")</f>
        <v>Not Found</v>
      </c>
      <c r="I2865" s="6" t="str">
        <f>IFERROR(VLOOKUP('Customer Info'!A2857,'Customer Info'!A2857:E3356,5,FALSE),"Not Found")</f>
        <v>Not Found</v>
      </c>
      <c r="J2865" s="2">
        <v>3408</v>
      </c>
      <c r="K2865" s="2">
        <v>3215</v>
      </c>
      <c r="L2865" s="2">
        <v>6</v>
      </c>
      <c r="M2865" s="7">
        <f t="shared" si="220"/>
        <v>19290</v>
      </c>
      <c r="N2865" s="7">
        <f t="shared" si="221"/>
        <v>20448</v>
      </c>
      <c r="O2865" s="2">
        <v>99</v>
      </c>
      <c r="P2865" s="8">
        <f t="shared" si="222"/>
        <v>20547</v>
      </c>
      <c r="Q2865" s="8">
        <f t="shared" si="223"/>
        <v>17233</v>
      </c>
      <c r="R2865" s="2" t="s">
        <v>28</v>
      </c>
      <c r="S2865" s="9">
        <f t="shared" si="224"/>
        <v>1027.3500000000001</v>
      </c>
    </row>
    <row r="2866" spans="1:19" x14ac:dyDescent="0.3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str">
        <f>IFERROR(VLOOKUP('Customer Info'!A2858,'Customer Info'!A2858:C3357,2,FALSE),"Not Found")</f>
        <v>Not Found</v>
      </c>
      <c r="H2866" s="6" t="str">
        <f>IFERROR(VLOOKUP('Customer Info'!A2858,'Customer Info'!A2858:C3357,3,FALSE),"Not Found")</f>
        <v>Not Found</v>
      </c>
      <c r="I2866" s="6" t="str">
        <f>IFERROR(VLOOKUP('Customer Info'!A2858,'Customer Info'!A2858:E3357,5,FALSE),"Not Found")</f>
        <v>Not Found</v>
      </c>
      <c r="J2866" s="2">
        <v>63</v>
      </c>
      <c r="K2866" s="2">
        <v>59</v>
      </c>
      <c r="L2866" s="2">
        <v>5</v>
      </c>
      <c r="M2866" s="7">
        <f t="shared" si="220"/>
        <v>295</v>
      </c>
      <c r="N2866" s="7">
        <f t="shared" si="221"/>
        <v>315</v>
      </c>
      <c r="O2866" s="2">
        <v>10</v>
      </c>
      <c r="P2866" s="8">
        <f t="shared" si="222"/>
        <v>325</v>
      </c>
      <c r="Q2866" s="8">
        <f t="shared" si="223"/>
        <v>256</v>
      </c>
      <c r="R2866" s="2" t="s">
        <v>50</v>
      </c>
      <c r="S2866" s="9">
        <f t="shared" si="224"/>
        <v>6.5</v>
      </c>
    </row>
    <row r="2867" spans="1:19" x14ac:dyDescent="0.3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str">
        <f>IFERROR(VLOOKUP('Customer Info'!A2859,'Customer Info'!A2859:C3358,2,FALSE),"Not Found")</f>
        <v>Not Found</v>
      </c>
      <c r="H2867" s="6" t="str">
        <f>IFERROR(VLOOKUP('Customer Info'!A2859,'Customer Info'!A2859:C3358,3,FALSE),"Not Found")</f>
        <v>Not Found</v>
      </c>
      <c r="I2867" s="6" t="str">
        <f>IFERROR(VLOOKUP('Customer Info'!A2859,'Customer Info'!A2859:E3358,5,FALSE),"Not Found")</f>
        <v>Not Found</v>
      </c>
      <c r="J2867" s="2">
        <v>4002</v>
      </c>
      <c r="K2867" s="2">
        <v>3744</v>
      </c>
      <c r="L2867" s="2">
        <v>5</v>
      </c>
      <c r="M2867" s="7">
        <f t="shared" si="220"/>
        <v>18720</v>
      </c>
      <c r="N2867" s="7">
        <f t="shared" si="221"/>
        <v>20010</v>
      </c>
      <c r="O2867" s="2">
        <v>33</v>
      </c>
      <c r="P2867" s="8">
        <f t="shared" si="222"/>
        <v>20043</v>
      </c>
      <c r="Q2867" s="8">
        <f t="shared" si="223"/>
        <v>16266</v>
      </c>
      <c r="R2867" s="2" t="s">
        <v>28</v>
      </c>
      <c r="S2867" s="9">
        <f t="shared" si="224"/>
        <v>1002.1500000000001</v>
      </c>
    </row>
    <row r="2868" spans="1:19" x14ac:dyDescent="0.3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str">
        <f>IFERROR(VLOOKUP('Customer Info'!A2860,'Customer Info'!A2860:C3359,2,FALSE),"Not Found")</f>
        <v>Not Found</v>
      </c>
      <c r="H2868" s="6" t="str">
        <f>IFERROR(VLOOKUP('Customer Info'!A2860,'Customer Info'!A2860:C3359,3,FALSE),"Not Found")</f>
        <v>Not Found</v>
      </c>
      <c r="I2868" s="6" t="str">
        <f>IFERROR(VLOOKUP('Customer Info'!A2860,'Customer Info'!A2860:E3359,5,FALSE),"Not Found")</f>
        <v>Not Found</v>
      </c>
      <c r="J2868" s="2">
        <v>183</v>
      </c>
      <c r="K2868" s="2">
        <v>168</v>
      </c>
      <c r="L2868" s="2">
        <v>3</v>
      </c>
      <c r="M2868" s="7">
        <f t="shared" si="220"/>
        <v>504</v>
      </c>
      <c r="N2868" s="7">
        <f t="shared" si="221"/>
        <v>549</v>
      </c>
      <c r="O2868" s="2">
        <v>30</v>
      </c>
      <c r="P2868" s="8">
        <f t="shared" si="222"/>
        <v>579</v>
      </c>
      <c r="Q2868" s="8">
        <f t="shared" si="223"/>
        <v>381</v>
      </c>
      <c r="R2868" s="2" t="s">
        <v>50</v>
      </c>
      <c r="S2868" s="9">
        <f t="shared" si="224"/>
        <v>11.58</v>
      </c>
    </row>
    <row r="2869" spans="1:19" x14ac:dyDescent="0.3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str">
        <f>IFERROR(VLOOKUP('Customer Info'!A2861,'Customer Info'!A2861:C3360,2,FALSE),"Not Found")</f>
        <v>Not Found</v>
      </c>
      <c r="H2869" s="6" t="str">
        <f>IFERROR(VLOOKUP('Customer Info'!A2861,'Customer Info'!A2861:C3360,3,FALSE),"Not Found")</f>
        <v>Not Found</v>
      </c>
      <c r="I2869" s="6" t="str">
        <f>IFERROR(VLOOKUP('Customer Info'!A2861,'Customer Info'!A2861:E3360,5,FALSE),"Not Found")</f>
        <v>Not Found</v>
      </c>
      <c r="J2869" s="2">
        <v>185</v>
      </c>
      <c r="K2869" s="2">
        <v>171</v>
      </c>
      <c r="L2869" s="2">
        <v>2</v>
      </c>
      <c r="M2869" s="7">
        <f t="shared" si="220"/>
        <v>342</v>
      </c>
      <c r="N2869" s="7">
        <f t="shared" si="221"/>
        <v>370</v>
      </c>
      <c r="O2869" s="2">
        <v>30</v>
      </c>
      <c r="P2869" s="8">
        <f t="shared" si="222"/>
        <v>400</v>
      </c>
      <c r="Q2869" s="8">
        <f t="shared" si="223"/>
        <v>199</v>
      </c>
      <c r="R2869" s="2" t="s">
        <v>28</v>
      </c>
      <c r="S2869" s="9">
        <f t="shared" si="224"/>
        <v>8</v>
      </c>
    </row>
    <row r="2870" spans="1:19" x14ac:dyDescent="0.3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str">
        <f>IFERROR(VLOOKUP('Customer Info'!A2862,'Customer Info'!A2862:C3361,2,FALSE),"Not Found")</f>
        <v>Not Found</v>
      </c>
      <c r="H2870" s="6" t="str">
        <f>IFERROR(VLOOKUP('Customer Info'!A2862,'Customer Info'!A2862:C3361,3,FALSE),"Not Found")</f>
        <v>Not Found</v>
      </c>
      <c r="I2870" s="6" t="str">
        <f>IFERROR(VLOOKUP('Customer Info'!A2862,'Customer Info'!A2862:E3361,5,FALSE),"Not Found")</f>
        <v>Not Found</v>
      </c>
      <c r="J2870" s="2">
        <v>2333</v>
      </c>
      <c r="K2870" s="2">
        <v>2060</v>
      </c>
      <c r="L2870" s="2">
        <v>5</v>
      </c>
      <c r="M2870" s="7">
        <f t="shared" si="220"/>
        <v>10300</v>
      </c>
      <c r="N2870" s="7">
        <f t="shared" si="221"/>
        <v>11665</v>
      </c>
      <c r="O2870" s="2">
        <v>84</v>
      </c>
      <c r="P2870" s="8">
        <f t="shared" si="222"/>
        <v>11749</v>
      </c>
      <c r="Q2870" s="8">
        <f t="shared" si="223"/>
        <v>9605</v>
      </c>
      <c r="R2870" s="2" t="s">
        <v>28</v>
      </c>
      <c r="S2870" s="9">
        <f t="shared" si="224"/>
        <v>587.45000000000005</v>
      </c>
    </row>
    <row r="2871" spans="1:19" x14ac:dyDescent="0.3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str">
        <f>IFERROR(VLOOKUP('Customer Info'!A2863,'Customer Info'!A2863:C3362,2,FALSE),"Not Found")</f>
        <v>Not Found</v>
      </c>
      <c r="H2871" s="6" t="str">
        <f>IFERROR(VLOOKUP('Customer Info'!A2863,'Customer Info'!A2863:C3362,3,FALSE),"Not Found")</f>
        <v>Not Found</v>
      </c>
      <c r="I2871" s="6" t="str">
        <f>IFERROR(VLOOKUP('Customer Info'!A2863,'Customer Info'!A2863:E3362,5,FALSE),"Not Found")</f>
        <v>Not Found</v>
      </c>
      <c r="J2871" s="2">
        <v>8351</v>
      </c>
      <c r="K2871" s="2">
        <v>8033</v>
      </c>
      <c r="L2871" s="2">
        <v>6</v>
      </c>
      <c r="M2871" s="7">
        <f t="shared" si="220"/>
        <v>48198</v>
      </c>
      <c r="N2871" s="7">
        <f t="shared" si="221"/>
        <v>50106</v>
      </c>
      <c r="O2871" s="2">
        <v>97</v>
      </c>
      <c r="P2871" s="8">
        <f t="shared" si="222"/>
        <v>50203</v>
      </c>
      <c r="Q2871" s="8">
        <f t="shared" si="223"/>
        <v>42073</v>
      </c>
      <c r="R2871" s="2" t="s">
        <v>28</v>
      </c>
      <c r="S2871" s="9">
        <f t="shared" si="224"/>
        <v>4518.2699999999995</v>
      </c>
    </row>
    <row r="2872" spans="1:19" x14ac:dyDescent="0.3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str">
        <f>IFERROR(VLOOKUP('Customer Info'!A2864,'Customer Info'!A2864:C3363,2,FALSE),"Not Found")</f>
        <v>Not Found</v>
      </c>
      <c r="H2872" s="6" t="str">
        <f>IFERROR(VLOOKUP('Customer Info'!A2864,'Customer Info'!A2864:C3363,3,FALSE),"Not Found")</f>
        <v>Not Found</v>
      </c>
      <c r="I2872" s="6" t="str">
        <f>IFERROR(VLOOKUP('Customer Info'!A2864,'Customer Info'!A2864:E3363,5,FALSE),"Not Found")</f>
        <v>Not Found</v>
      </c>
      <c r="J2872" s="2">
        <v>1222</v>
      </c>
      <c r="K2872" s="2">
        <v>1187</v>
      </c>
      <c r="L2872" s="2">
        <v>2</v>
      </c>
      <c r="M2872" s="7">
        <f t="shared" si="220"/>
        <v>2374</v>
      </c>
      <c r="N2872" s="7">
        <f t="shared" si="221"/>
        <v>2444</v>
      </c>
      <c r="O2872" s="2">
        <v>26</v>
      </c>
      <c r="P2872" s="8">
        <f t="shared" si="222"/>
        <v>2470</v>
      </c>
      <c r="Q2872" s="8">
        <f t="shared" si="223"/>
        <v>1257</v>
      </c>
      <c r="R2872" s="2" t="s">
        <v>26</v>
      </c>
      <c r="S2872" s="9">
        <f t="shared" si="224"/>
        <v>49.4</v>
      </c>
    </row>
    <row r="2873" spans="1:19" x14ac:dyDescent="0.3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str">
        <f>IFERROR(VLOOKUP('Customer Info'!A2865,'Customer Info'!A2865:C3364,2,FALSE),"Not Found")</f>
        <v>Not Found</v>
      </c>
      <c r="H2873" s="6" t="str">
        <f>IFERROR(VLOOKUP('Customer Info'!A2865,'Customer Info'!A2865:C3364,3,FALSE),"Not Found")</f>
        <v>Not Found</v>
      </c>
      <c r="I2873" s="6" t="str">
        <f>IFERROR(VLOOKUP('Customer Info'!A2865,'Customer Info'!A2865:E3364,5,FALSE),"Not Found")</f>
        <v>Not Found</v>
      </c>
      <c r="J2873" s="2">
        <v>7623</v>
      </c>
      <c r="K2873" s="2">
        <v>7064</v>
      </c>
      <c r="L2873" s="2">
        <v>1</v>
      </c>
      <c r="M2873" s="7">
        <f t="shared" si="220"/>
        <v>7064</v>
      </c>
      <c r="N2873" s="7">
        <f t="shared" si="221"/>
        <v>7623</v>
      </c>
      <c r="O2873" s="2">
        <v>65</v>
      </c>
      <c r="P2873" s="8">
        <f t="shared" si="222"/>
        <v>7688</v>
      </c>
      <c r="Q2873" s="8">
        <f t="shared" si="223"/>
        <v>559</v>
      </c>
      <c r="R2873" s="2" t="s">
        <v>50</v>
      </c>
      <c r="S2873" s="9">
        <f t="shared" si="224"/>
        <v>384.40000000000003</v>
      </c>
    </row>
    <row r="2874" spans="1:19" x14ac:dyDescent="0.3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str">
        <f>IFERROR(VLOOKUP('Customer Info'!A2866,'Customer Info'!A2866:C3365,2,FALSE),"Not Found")</f>
        <v>Not Found</v>
      </c>
      <c r="H2874" s="6" t="str">
        <f>IFERROR(VLOOKUP('Customer Info'!A2866,'Customer Info'!A2866:C3365,3,FALSE),"Not Found")</f>
        <v>Not Found</v>
      </c>
      <c r="I2874" s="6" t="str">
        <f>IFERROR(VLOOKUP('Customer Info'!A2866,'Customer Info'!A2866:E3365,5,FALSE),"Not Found")</f>
        <v>Not Found</v>
      </c>
      <c r="J2874" s="2">
        <v>4704</v>
      </c>
      <c r="K2874" s="2">
        <v>4361</v>
      </c>
      <c r="L2874" s="2">
        <v>1</v>
      </c>
      <c r="M2874" s="7">
        <f t="shared" si="220"/>
        <v>4361</v>
      </c>
      <c r="N2874" s="7">
        <f t="shared" si="221"/>
        <v>4704</v>
      </c>
      <c r="O2874" s="2">
        <v>57</v>
      </c>
      <c r="P2874" s="8">
        <f t="shared" si="222"/>
        <v>4761</v>
      </c>
      <c r="Q2874" s="8">
        <f t="shared" si="223"/>
        <v>343</v>
      </c>
      <c r="R2874" s="2" t="s">
        <v>50</v>
      </c>
      <c r="S2874" s="9">
        <f t="shared" si="224"/>
        <v>95.22</v>
      </c>
    </row>
    <row r="2875" spans="1:19" x14ac:dyDescent="0.3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str">
        <f>IFERROR(VLOOKUP('Customer Info'!A2867,'Customer Info'!A2867:C3366,2,FALSE),"Not Found")</f>
        <v>Not Found</v>
      </c>
      <c r="H2875" s="6" t="str">
        <f>IFERROR(VLOOKUP('Customer Info'!A2867,'Customer Info'!A2867:C3366,3,FALSE),"Not Found")</f>
        <v>Not Found</v>
      </c>
      <c r="I2875" s="6" t="str">
        <f>IFERROR(VLOOKUP('Customer Info'!A2867,'Customer Info'!A2867:E3366,5,FALSE),"Not Found")</f>
        <v>Not Found</v>
      </c>
      <c r="J2875" s="2">
        <v>1834</v>
      </c>
      <c r="K2875" s="2">
        <v>1716</v>
      </c>
      <c r="L2875" s="2">
        <v>1</v>
      </c>
      <c r="M2875" s="7">
        <f t="shared" si="220"/>
        <v>1716</v>
      </c>
      <c r="N2875" s="7">
        <f t="shared" si="221"/>
        <v>1834</v>
      </c>
      <c r="O2875" s="2">
        <v>20</v>
      </c>
      <c r="P2875" s="8">
        <f t="shared" si="222"/>
        <v>1854</v>
      </c>
      <c r="Q2875" s="8">
        <f t="shared" si="223"/>
        <v>118</v>
      </c>
      <c r="R2875" s="2" t="s">
        <v>28</v>
      </c>
      <c r="S2875" s="9">
        <f t="shared" si="224"/>
        <v>37.08</v>
      </c>
    </row>
    <row r="2876" spans="1:19" x14ac:dyDescent="0.3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str">
        <f>IFERROR(VLOOKUP('Customer Info'!A2868,'Customer Info'!A2868:C3367,2,FALSE),"Not Found")</f>
        <v>Not Found</v>
      </c>
      <c r="H2876" s="6" t="str">
        <f>IFERROR(VLOOKUP('Customer Info'!A2868,'Customer Info'!A2868:C3367,3,FALSE),"Not Found")</f>
        <v>Not Found</v>
      </c>
      <c r="I2876" s="6" t="str">
        <f>IFERROR(VLOOKUP('Customer Info'!A2868,'Customer Info'!A2868:E3367,5,FALSE),"Not Found")</f>
        <v>Not Found</v>
      </c>
      <c r="J2876" s="2">
        <v>1752</v>
      </c>
      <c r="K2876" s="2">
        <v>1576</v>
      </c>
      <c r="L2876" s="2">
        <v>5</v>
      </c>
      <c r="M2876" s="7">
        <f t="shared" si="220"/>
        <v>7880</v>
      </c>
      <c r="N2876" s="7">
        <f t="shared" si="221"/>
        <v>8760</v>
      </c>
      <c r="O2876" s="2">
        <v>81</v>
      </c>
      <c r="P2876" s="8">
        <f t="shared" si="222"/>
        <v>8841</v>
      </c>
      <c r="Q2876" s="8">
        <f t="shared" si="223"/>
        <v>7184</v>
      </c>
      <c r="R2876" s="2" t="s">
        <v>50</v>
      </c>
      <c r="S2876" s="9">
        <f t="shared" si="224"/>
        <v>442.05</v>
      </c>
    </row>
    <row r="2877" spans="1:19" x14ac:dyDescent="0.3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str">
        <f>IFERROR(VLOOKUP('Customer Info'!A2869,'Customer Info'!A2869:C3368,2,FALSE),"Not Found")</f>
        <v>Not Found</v>
      </c>
      <c r="H2877" s="6" t="str">
        <f>IFERROR(VLOOKUP('Customer Info'!A2869,'Customer Info'!A2869:C3368,3,FALSE),"Not Found")</f>
        <v>Not Found</v>
      </c>
      <c r="I2877" s="6" t="str">
        <f>IFERROR(VLOOKUP('Customer Info'!A2869,'Customer Info'!A2869:E3368,5,FALSE),"Not Found")</f>
        <v>Not Found</v>
      </c>
      <c r="J2877" s="2">
        <v>691</v>
      </c>
      <c r="K2877" s="2">
        <v>627</v>
      </c>
      <c r="L2877" s="2">
        <v>2</v>
      </c>
      <c r="M2877" s="7">
        <f t="shared" si="220"/>
        <v>1254</v>
      </c>
      <c r="N2877" s="7">
        <f t="shared" si="221"/>
        <v>1382</v>
      </c>
      <c r="O2877" s="2">
        <v>23</v>
      </c>
      <c r="P2877" s="8">
        <f t="shared" si="222"/>
        <v>1405</v>
      </c>
      <c r="Q2877" s="8">
        <f t="shared" si="223"/>
        <v>755</v>
      </c>
      <c r="R2877" s="2" t="s">
        <v>28</v>
      </c>
      <c r="S2877" s="9">
        <f t="shared" si="224"/>
        <v>28.1</v>
      </c>
    </row>
    <row r="2878" spans="1:19" x14ac:dyDescent="0.3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str">
        <f>IFERROR(VLOOKUP('Customer Info'!A2870,'Customer Info'!A2870:C3369,2,FALSE),"Not Found")</f>
        <v>Not Found</v>
      </c>
      <c r="H2878" s="6" t="str">
        <f>IFERROR(VLOOKUP('Customer Info'!A2870,'Customer Info'!A2870:C3369,3,FALSE),"Not Found")</f>
        <v>Not Found</v>
      </c>
      <c r="I2878" s="6" t="str">
        <f>IFERROR(VLOOKUP('Customer Info'!A2870,'Customer Info'!A2870:E3369,5,FALSE),"Not Found")</f>
        <v>Not Found</v>
      </c>
      <c r="J2878" s="2">
        <v>8878</v>
      </c>
      <c r="K2878" s="2">
        <v>7914</v>
      </c>
      <c r="L2878" s="2">
        <v>2</v>
      </c>
      <c r="M2878" s="7">
        <f t="shared" si="220"/>
        <v>15828</v>
      </c>
      <c r="N2878" s="7">
        <f t="shared" si="221"/>
        <v>17756</v>
      </c>
      <c r="O2878" s="2">
        <v>29</v>
      </c>
      <c r="P2878" s="8">
        <f t="shared" si="222"/>
        <v>17785</v>
      </c>
      <c r="Q2878" s="8">
        <f t="shared" si="223"/>
        <v>9842</v>
      </c>
      <c r="R2878" s="2" t="s">
        <v>50</v>
      </c>
      <c r="S2878" s="9">
        <f t="shared" si="224"/>
        <v>889.25</v>
      </c>
    </row>
    <row r="2879" spans="1:19" x14ac:dyDescent="0.3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str">
        <f>IFERROR(VLOOKUP('Customer Info'!A2871,'Customer Info'!A2871:C3370,2,FALSE),"Not Found")</f>
        <v>Not Found</v>
      </c>
      <c r="H2879" s="6" t="str">
        <f>IFERROR(VLOOKUP('Customer Info'!A2871,'Customer Info'!A2871:C3370,3,FALSE),"Not Found")</f>
        <v>Not Found</v>
      </c>
      <c r="I2879" s="6" t="str">
        <f>IFERROR(VLOOKUP('Customer Info'!A2871,'Customer Info'!A2871:E3370,5,FALSE),"Not Found")</f>
        <v>Not Found</v>
      </c>
      <c r="J2879" s="2">
        <v>7658</v>
      </c>
      <c r="K2879" s="2">
        <v>7026</v>
      </c>
      <c r="L2879" s="2">
        <v>4</v>
      </c>
      <c r="M2879" s="7">
        <f t="shared" si="220"/>
        <v>28104</v>
      </c>
      <c r="N2879" s="7">
        <f t="shared" si="221"/>
        <v>30632</v>
      </c>
      <c r="O2879" s="2">
        <v>63</v>
      </c>
      <c r="P2879" s="8">
        <f t="shared" si="222"/>
        <v>30695</v>
      </c>
      <c r="Q2879" s="8">
        <f t="shared" si="223"/>
        <v>23606</v>
      </c>
      <c r="R2879" s="2" t="s">
        <v>26</v>
      </c>
      <c r="S2879" s="9">
        <f t="shared" si="224"/>
        <v>2148.65</v>
      </c>
    </row>
    <row r="2880" spans="1:19" x14ac:dyDescent="0.3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str">
        <f>IFERROR(VLOOKUP('Customer Info'!A2872,'Customer Info'!A2872:C3371,2,FALSE),"Not Found")</f>
        <v>Not Found</v>
      </c>
      <c r="H2880" s="6" t="str">
        <f>IFERROR(VLOOKUP('Customer Info'!A2872,'Customer Info'!A2872:C3371,3,FALSE),"Not Found")</f>
        <v>Not Found</v>
      </c>
      <c r="I2880" s="6" t="str">
        <f>IFERROR(VLOOKUP('Customer Info'!A2872,'Customer Info'!A2872:E3371,5,FALSE),"Not Found")</f>
        <v>Not Found</v>
      </c>
      <c r="J2880" s="2">
        <v>93</v>
      </c>
      <c r="K2880" s="2">
        <v>86</v>
      </c>
      <c r="L2880" s="2">
        <v>1</v>
      </c>
      <c r="M2880" s="7">
        <f t="shared" si="220"/>
        <v>86</v>
      </c>
      <c r="N2880" s="7">
        <f t="shared" si="221"/>
        <v>93</v>
      </c>
      <c r="O2880" s="2">
        <v>10</v>
      </c>
      <c r="P2880" s="8">
        <f t="shared" si="222"/>
        <v>103</v>
      </c>
      <c r="Q2880" s="8">
        <f t="shared" si="223"/>
        <v>7</v>
      </c>
      <c r="R2880" s="2" t="s">
        <v>56</v>
      </c>
      <c r="S2880" s="9">
        <f t="shared" si="224"/>
        <v>2.06</v>
      </c>
    </row>
    <row r="2881" spans="1:19" x14ac:dyDescent="0.3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str">
        <f>IFERROR(VLOOKUP('Customer Info'!A2873,'Customer Info'!A2873:C3372,2,FALSE),"Not Found")</f>
        <v>Not Found</v>
      </c>
      <c r="H2881" s="6" t="str">
        <f>IFERROR(VLOOKUP('Customer Info'!A2873,'Customer Info'!A2873:C3372,3,FALSE),"Not Found")</f>
        <v>Not Found</v>
      </c>
      <c r="I2881" s="6" t="str">
        <f>IFERROR(VLOOKUP('Customer Info'!A2873,'Customer Info'!A2873:E3372,5,FALSE),"Not Found")</f>
        <v>Not Found</v>
      </c>
      <c r="J2881" s="2">
        <v>8026</v>
      </c>
      <c r="K2881" s="2">
        <v>7572</v>
      </c>
      <c r="L2881" s="2">
        <v>2</v>
      </c>
      <c r="M2881" s="7">
        <f t="shared" si="220"/>
        <v>15144</v>
      </c>
      <c r="N2881" s="7">
        <f t="shared" si="221"/>
        <v>16052</v>
      </c>
      <c r="O2881" s="2">
        <v>67</v>
      </c>
      <c r="P2881" s="8">
        <f t="shared" si="222"/>
        <v>16119</v>
      </c>
      <c r="Q2881" s="8">
        <f t="shared" si="223"/>
        <v>8480</v>
      </c>
      <c r="R2881" s="2" t="s">
        <v>28</v>
      </c>
      <c r="S2881" s="9">
        <f t="shared" si="224"/>
        <v>805.95</v>
      </c>
    </row>
    <row r="2882" spans="1:19" x14ac:dyDescent="0.3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str">
        <f>IFERROR(VLOOKUP('Customer Info'!A2874,'Customer Info'!A2874:C3373,2,FALSE),"Not Found")</f>
        <v>Not Found</v>
      </c>
      <c r="H2882" s="6" t="str">
        <f>IFERROR(VLOOKUP('Customer Info'!A2874,'Customer Info'!A2874:C3373,3,FALSE),"Not Found")</f>
        <v>Not Found</v>
      </c>
      <c r="I2882" s="6" t="str">
        <f>IFERROR(VLOOKUP('Customer Info'!A2874,'Customer Info'!A2874:E3373,5,FALSE),"Not Found")</f>
        <v>Not Found</v>
      </c>
      <c r="J2882" s="2">
        <v>691</v>
      </c>
      <c r="K2882" s="2">
        <v>646</v>
      </c>
      <c r="L2882" s="2">
        <v>3</v>
      </c>
      <c r="M2882" s="7">
        <f t="shared" si="220"/>
        <v>1938</v>
      </c>
      <c r="N2882" s="7">
        <f t="shared" si="221"/>
        <v>2073</v>
      </c>
      <c r="O2882" s="2">
        <v>63</v>
      </c>
      <c r="P2882" s="8">
        <f t="shared" si="222"/>
        <v>2136</v>
      </c>
      <c r="Q2882" s="8">
        <f t="shared" si="223"/>
        <v>1427</v>
      </c>
      <c r="R2882" s="2" t="s">
        <v>28</v>
      </c>
      <c r="S2882" s="9">
        <f t="shared" si="224"/>
        <v>42.72</v>
      </c>
    </row>
    <row r="2883" spans="1:19" x14ac:dyDescent="0.3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str">
        <f>IFERROR(VLOOKUP('Customer Info'!A2875,'Customer Info'!A2875:C3374,2,FALSE),"Not Found")</f>
        <v>Not Found</v>
      </c>
      <c r="H2883" s="6" t="str">
        <f>IFERROR(VLOOKUP('Customer Info'!A2875,'Customer Info'!A2875:C3374,3,FALSE),"Not Found")</f>
        <v>Not Found</v>
      </c>
      <c r="I2883" s="6" t="str">
        <f>IFERROR(VLOOKUP('Customer Info'!A2875,'Customer Info'!A2875:E3374,5,FALSE),"Not Found")</f>
        <v>Not Found</v>
      </c>
      <c r="J2883" s="2">
        <v>829</v>
      </c>
      <c r="K2883" s="2">
        <v>761</v>
      </c>
      <c r="L2883" s="2">
        <v>4</v>
      </c>
      <c r="M2883" s="7">
        <f t="shared" si="220"/>
        <v>3044</v>
      </c>
      <c r="N2883" s="7">
        <f t="shared" si="221"/>
        <v>3316</v>
      </c>
      <c r="O2883" s="2">
        <v>94</v>
      </c>
      <c r="P2883" s="8">
        <f t="shared" si="222"/>
        <v>3410</v>
      </c>
      <c r="Q2883" s="8">
        <f t="shared" si="223"/>
        <v>2555</v>
      </c>
      <c r="R2883" s="2" t="s">
        <v>26</v>
      </c>
      <c r="S2883" s="9">
        <f t="shared" si="224"/>
        <v>68.2</v>
      </c>
    </row>
    <row r="2884" spans="1:19" x14ac:dyDescent="0.3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str">
        <f>IFERROR(VLOOKUP('Customer Info'!A2876,'Customer Info'!A2876:C3375,2,FALSE),"Not Found")</f>
        <v>Not Found</v>
      </c>
      <c r="H2884" s="6" t="str">
        <f>IFERROR(VLOOKUP('Customer Info'!A2876,'Customer Info'!A2876:C3375,3,FALSE),"Not Found")</f>
        <v>Not Found</v>
      </c>
      <c r="I2884" s="6" t="str">
        <f>IFERROR(VLOOKUP('Customer Info'!A2876,'Customer Info'!A2876:E3375,5,FALSE),"Not Found")</f>
        <v>Not Found</v>
      </c>
      <c r="J2884" s="2">
        <v>3248</v>
      </c>
      <c r="K2884" s="2">
        <v>3035</v>
      </c>
      <c r="L2884" s="2">
        <v>4</v>
      </c>
      <c r="M2884" s="7">
        <f t="shared" si="220"/>
        <v>12140</v>
      </c>
      <c r="N2884" s="7">
        <f t="shared" si="221"/>
        <v>12992</v>
      </c>
      <c r="O2884" s="2">
        <v>92</v>
      </c>
      <c r="P2884" s="8">
        <f t="shared" si="222"/>
        <v>13084</v>
      </c>
      <c r="Q2884" s="8">
        <f t="shared" si="223"/>
        <v>9957</v>
      </c>
      <c r="R2884" s="2" t="s">
        <v>28</v>
      </c>
      <c r="S2884" s="9">
        <f t="shared" si="224"/>
        <v>654.20000000000005</v>
      </c>
    </row>
    <row r="2885" spans="1:19" x14ac:dyDescent="0.3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str">
        <f>IFERROR(VLOOKUP('Customer Info'!A2877,'Customer Info'!A2877:C3376,2,FALSE),"Not Found")</f>
        <v>Not Found</v>
      </c>
      <c r="H2885" s="6" t="str">
        <f>IFERROR(VLOOKUP('Customer Info'!A2877,'Customer Info'!A2877:C3376,3,FALSE),"Not Found")</f>
        <v>Not Found</v>
      </c>
      <c r="I2885" s="6" t="str">
        <f>IFERROR(VLOOKUP('Customer Info'!A2877,'Customer Info'!A2877:E3376,5,FALSE),"Not Found")</f>
        <v>Not Found</v>
      </c>
      <c r="J2885" s="2">
        <v>1901</v>
      </c>
      <c r="K2885" s="2">
        <v>1810</v>
      </c>
      <c r="L2885" s="2">
        <v>8</v>
      </c>
      <c r="M2885" s="7">
        <f t="shared" si="220"/>
        <v>14480</v>
      </c>
      <c r="N2885" s="7">
        <f t="shared" si="221"/>
        <v>15208</v>
      </c>
      <c r="O2885" s="2">
        <v>69</v>
      </c>
      <c r="P2885" s="8">
        <f t="shared" si="222"/>
        <v>15277</v>
      </c>
      <c r="Q2885" s="8">
        <f t="shared" si="223"/>
        <v>13398</v>
      </c>
      <c r="R2885" s="2" t="s">
        <v>56</v>
      </c>
      <c r="S2885" s="9">
        <f t="shared" si="224"/>
        <v>763.85</v>
      </c>
    </row>
    <row r="2886" spans="1:19" x14ac:dyDescent="0.3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str">
        <f>IFERROR(VLOOKUP('Customer Info'!A2878,'Customer Info'!A2878:C3377,2,FALSE),"Not Found")</f>
        <v>Not Found</v>
      </c>
      <c r="H2886" s="6" t="str">
        <f>IFERROR(VLOOKUP('Customer Info'!A2878,'Customer Info'!A2878:C3377,3,FALSE),"Not Found")</f>
        <v>Not Found</v>
      </c>
      <c r="I2886" s="6" t="str">
        <f>IFERROR(VLOOKUP('Customer Info'!A2878,'Customer Info'!A2878:E3377,5,FALSE),"Not Found")</f>
        <v>Not Found</v>
      </c>
      <c r="J2886" s="2">
        <v>5882</v>
      </c>
      <c r="K2886" s="2">
        <v>5713</v>
      </c>
      <c r="L2886" s="2">
        <v>4</v>
      </c>
      <c r="M2886" s="7">
        <f t="shared" si="220"/>
        <v>22852</v>
      </c>
      <c r="N2886" s="7">
        <f t="shared" si="221"/>
        <v>23528</v>
      </c>
      <c r="O2886" s="2">
        <v>31</v>
      </c>
      <c r="P2886" s="8">
        <f t="shared" si="222"/>
        <v>23559</v>
      </c>
      <c r="Q2886" s="8">
        <f t="shared" si="223"/>
        <v>17815</v>
      </c>
      <c r="R2886" s="2" t="s">
        <v>28</v>
      </c>
      <c r="S2886" s="9">
        <f t="shared" si="224"/>
        <v>1177.95</v>
      </c>
    </row>
    <row r="2887" spans="1:19" x14ac:dyDescent="0.3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str">
        <f>IFERROR(VLOOKUP('Customer Info'!A2879,'Customer Info'!A2879:C3378,2,FALSE),"Not Found")</f>
        <v>Not Found</v>
      </c>
      <c r="H2887" s="6" t="str">
        <f>IFERROR(VLOOKUP('Customer Info'!A2879,'Customer Info'!A2879:C3378,3,FALSE),"Not Found")</f>
        <v>Not Found</v>
      </c>
      <c r="I2887" s="6" t="str">
        <f>IFERROR(VLOOKUP('Customer Info'!A2879,'Customer Info'!A2879:E3378,5,FALSE),"Not Found")</f>
        <v>Not Found</v>
      </c>
      <c r="J2887" s="2">
        <v>25155</v>
      </c>
      <c r="K2887" s="2">
        <v>23753</v>
      </c>
      <c r="L2887" s="2">
        <v>8</v>
      </c>
      <c r="M2887" s="7">
        <f t="shared" si="220"/>
        <v>190024</v>
      </c>
      <c r="N2887" s="7">
        <f t="shared" si="221"/>
        <v>201240</v>
      </c>
      <c r="O2887" s="2">
        <v>75</v>
      </c>
      <c r="P2887" s="8">
        <f t="shared" si="222"/>
        <v>201315</v>
      </c>
      <c r="Q2887" s="8">
        <f t="shared" si="223"/>
        <v>177487</v>
      </c>
      <c r="R2887" s="2" t="s">
        <v>28</v>
      </c>
      <c r="S2887" s="9">
        <f t="shared" si="224"/>
        <v>24157.8</v>
      </c>
    </row>
    <row r="2888" spans="1:19" x14ac:dyDescent="0.3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str">
        <f>IFERROR(VLOOKUP('Customer Info'!A2880,'Customer Info'!A2880:C3379,2,FALSE),"Not Found")</f>
        <v>Not Found</v>
      </c>
      <c r="H2888" s="6" t="str">
        <f>IFERROR(VLOOKUP('Customer Info'!A2880,'Customer Info'!A2880:C3379,3,FALSE),"Not Found")</f>
        <v>Not Found</v>
      </c>
      <c r="I2888" s="6" t="str">
        <f>IFERROR(VLOOKUP('Customer Info'!A2880,'Customer Info'!A2880:E3379,5,FALSE),"Not Found")</f>
        <v>Not Found</v>
      </c>
      <c r="J2888" s="2">
        <v>941</v>
      </c>
      <c r="K2888" s="2">
        <v>905</v>
      </c>
      <c r="L2888" s="2">
        <v>3</v>
      </c>
      <c r="M2888" s="7">
        <f t="shared" si="220"/>
        <v>2715</v>
      </c>
      <c r="N2888" s="7">
        <f t="shared" si="221"/>
        <v>2823</v>
      </c>
      <c r="O2888" s="2">
        <v>94</v>
      </c>
      <c r="P2888" s="8">
        <f t="shared" si="222"/>
        <v>2917</v>
      </c>
      <c r="Q2888" s="8">
        <f t="shared" si="223"/>
        <v>1918</v>
      </c>
      <c r="R2888" s="2" t="s">
        <v>28</v>
      </c>
      <c r="S2888" s="9">
        <f t="shared" si="224"/>
        <v>58.34</v>
      </c>
    </row>
    <row r="2889" spans="1:19" x14ac:dyDescent="0.3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str">
        <f>IFERROR(VLOOKUP('Customer Info'!A2881,'Customer Info'!A2881:C3380,2,FALSE),"Not Found")</f>
        <v>Not Found</v>
      </c>
      <c r="H2889" s="6" t="str">
        <f>IFERROR(VLOOKUP('Customer Info'!A2881,'Customer Info'!A2881:C3380,3,FALSE),"Not Found")</f>
        <v>Not Found</v>
      </c>
      <c r="I2889" s="6" t="str">
        <f>IFERROR(VLOOKUP('Customer Info'!A2881,'Customer Info'!A2881:E3380,5,FALSE),"Not Found")</f>
        <v>Not Found</v>
      </c>
      <c r="J2889" s="2">
        <v>1654</v>
      </c>
      <c r="K2889" s="2">
        <v>1577</v>
      </c>
      <c r="L2889" s="2">
        <v>2</v>
      </c>
      <c r="M2889" s="7">
        <f t="shared" si="220"/>
        <v>3154</v>
      </c>
      <c r="N2889" s="7">
        <f t="shared" si="221"/>
        <v>3308</v>
      </c>
      <c r="O2889" s="2">
        <v>95</v>
      </c>
      <c r="P2889" s="8">
        <f t="shared" si="222"/>
        <v>3403</v>
      </c>
      <c r="Q2889" s="8">
        <f t="shared" si="223"/>
        <v>1731</v>
      </c>
      <c r="R2889" s="2" t="s">
        <v>28</v>
      </c>
      <c r="S2889" s="9">
        <f t="shared" si="224"/>
        <v>68.06</v>
      </c>
    </row>
    <row r="2890" spans="1:19" x14ac:dyDescent="0.3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str">
        <f>IFERROR(VLOOKUP('Customer Info'!A2882,'Customer Info'!A2882:C3381,2,FALSE),"Not Found")</f>
        <v>Not Found</v>
      </c>
      <c r="H2890" s="6" t="str">
        <f>IFERROR(VLOOKUP('Customer Info'!A2882,'Customer Info'!A2882:C3381,3,FALSE),"Not Found")</f>
        <v>Not Found</v>
      </c>
      <c r="I2890" s="6" t="str">
        <f>IFERROR(VLOOKUP('Customer Info'!A2882,'Customer Info'!A2882:E3381,5,FALSE),"Not Found")</f>
        <v>Not Found</v>
      </c>
      <c r="J2890" s="2">
        <v>82</v>
      </c>
      <c r="K2890" s="2">
        <v>79</v>
      </c>
      <c r="L2890" s="2">
        <v>7</v>
      </c>
      <c r="M2890" s="7">
        <f t="shared" si="220"/>
        <v>553</v>
      </c>
      <c r="N2890" s="7">
        <f t="shared" si="221"/>
        <v>574</v>
      </c>
      <c r="O2890" s="2">
        <v>10</v>
      </c>
      <c r="P2890" s="8">
        <f t="shared" si="222"/>
        <v>584</v>
      </c>
      <c r="Q2890" s="8">
        <f t="shared" si="223"/>
        <v>495</v>
      </c>
      <c r="R2890" s="2" t="s">
        <v>28</v>
      </c>
      <c r="S2890" s="9">
        <f t="shared" si="224"/>
        <v>11.68</v>
      </c>
    </row>
    <row r="2891" spans="1:19" x14ac:dyDescent="0.3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str">
        <f>IFERROR(VLOOKUP('Customer Info'!A2883,'Customer Info'!A2883:C3382,2,FALSE),"Not Found")</f>
        <v>Not Found</v>
      </c>
      <c r="H2891" s="6" t="str">
        <f>IFERROR(VLOOKUP('Customer Info'!A2883,'Customer Info'!A2883:C3382,3,FALSE),"Not Found")</f>
        <v>Not Found</v>
      </c>
      <c r="I2891" s="6" t="str">
        <f>IFERROR(VLOOKUP('Customer Info'!A2883,'Customer Info'!A2883:E3382,5,FALSE),"Not Found")</f>
        <v>Not Found</v>
      </c>
      <c r="J2891" s="2">
        <v>8617</v>
      </c>
      <c r="K2891" s="2">
        <v>7900</v>
      </c>
      <c r="L2891" s="2">
        <v>3</v>
      </c>
      <c r="M2891" s="7">
        <f t="shared" ref="M2891:M2954" si="225">$K2891*$L2891</f>
        <v>23700</v>
      </c>
      <c r="N2891" s="7">
        <f t="shared" ref="N2891:N2954" si="226">$J2891*$L2891</f>
        <v>25851</v>
      </c>
      <c r="O2891" s="2">
        <v>68</v>
      </c>
      <c r="P2891" s="8">
        <f t="shared" ref="P2891:P2954" si="227">$N2891+$O2891</f>
        <v>25919</v>
      </c>
      <c r="Q2891" s="8">
        <f t="shared" ref="Q2891:Q2954" si="228">$N2891-$K2891</f>
        <v>17951</v>
      </c>
      <c r="R2891" s="2" t="s">
        <v>28</v>
      </c>
      <c r="S2891" s="9">
        <f t="shared" ref="S2891:S2954" si="229" xml:space="preserve"> P2891 * VLOOKUP(P2891, $T$2:$U$6, 2, TRUE)</f>
        <v>1814.3300000000002</v>
      </c>
    </row>
    <row r="2892" spans="1:19" x14ac:dyDescent="0.3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str">
        <f>IFERROR(VLOOKUP('Customer Info'!A2884,'Customer Info'!A2884:C3383,2,FALSE),"Not Found")</f>
        <v>Not Found</v>
      </c>
      <c r="H2892" s="6" t="str">
        <f>IFERROR(VLOOKUP('Customer Info'!A2884,'Customer Info'!A2884:C3383,3,FALSE),"Not Found")</f>
        <v>Not Found</v>
      </c>
      <c r="I2892" s="6" t="str">
        <f>IFERROR(VLOOKUP('Customer Info'!A2884,'Customer Info'!A2884:E3383,5,FALSE),"Not Found")</f>
        <v>Not Found</v>
      </c>
      <c r="J2892" s="2">
        <v>135</v>
      </c>
      <c r="K2892" s="2">
        <v>129</v>
      </c>
      <c r="L2892" s="2">
        <v>1</v>
      </c>
      <c r="M2892" s="7">
        <f t="shared" si="225"/>
        <v>129</v>
      </c>
      <c r="N2892" s="7">
        <f t="shared" si="226"/>
        <v>135</v>
      </c>
      <c r="O2892" s="2">
        <v>30</v>
      </c>
      <c r="P2892" s="8">
        <f t="shared" si="227"/>
        <v>165</v>
      </c>
      <c r="Q2892" s="8">
        <f t="shared" si="228"/>
        <v>6</v>
      </c>
      <c r="R2892" s="2" t="s">
        <v>28</v>
      </c>
      <c r="S2892" s="9">
        <f t="shared" si="229"/>
        <v>3.3000000000000003</v>
      </c>
    </row>
    <row r="2893" spans="1:19" x14ac:dyDescent="0.3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str">
        <f>IFERROR(VLOOKUP('Customer Info'!A2885,'Customer Info'!A2885:C3384,2,FALSE),"Not Found")</f>
        <v>Not Found</v>
      </c>
      <c r="H2893" s="6" t="str">
        <f>IFERROR(VLOOKUP('Customer Info'!A2885,'Customer Info'!A2885:C3384,3,FALSE),"Not Found")</f>
        <v>Not Found</v>
      </c>
      <c r="I2893" s="6" t="str">
        <f>IFERROR(VLOOKUP('Customer Info'!A2885,'Customer Info'!A2885:E3384,5,FALSE),"Not Found")</f>
        <v>Not Found</v>
      </c>
      <c r="J2893" s="2">
        <v>2706</v>
      </c>
      <c r="K2893" s="2">
        <v>2553</v>
      </c>
      <c r="L2893" s="2">
        <v>4</v>
      </c>
      <c r="M2893" s="7">
        <f t="shared" si="225"/>
        <v>10212</v>
      </c>
      <c r="N2893" s="7">
        <f t="shared" si="226"/>
        <v>10824</v>
      </c>
      <c r="O2893" s="2">
        <v>82</v>
      </c>
      <c r="P2893" s="8">
        <f t="shared" si="227"/>
        <v>10906</v>
      </c>
      <c r="Q2893" s="8">
        <f t="shared" si="228"/>
        <v>8271</v>
      </c>
      <c r="R2893" s="2" t="s">
        <v>26</v>
      </c>
      <c r="S2893" s="9">
        <f t="shared" si="229"/>
        <v>545.30000000000007</v>
      </c>
    </row>
    <row r="2894" spans="1:19" x14ac:dyDescent="0.3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str">
        <f>IFERROR(VLOOKUP('Customer Info'!A2886,'Customer Info'!A2886:C3385,2,FALSE),"Not Found")</f>
        <v>Not Found</v>
      </c>
      <c r="H2894" s="6" t="str">
        <f>IFERROR(VLOOKUP('Customer Info'!A2886,'Customer Info'!A2886:C3385,3,FALSE),"Not Found")</f>
        <v>Not Found</v>
      </c>
      <c r="I2894" s="6" t="str">
        <f>IFERROR(VLOOKUP('Customer Info'!A2886,'Customer Info'!A2886:E3385,5,FALSE),"Not Found")</f>
        <v>Not Found</v>
      </c>
      <c r="J2894" s="2">
        <v>773</v>
      </c>
      <c r="K2894" s="2">
        <v>708</v>
      </c>
      <c r="L2894" s="2">
        <v>2</v>
      </c>
      <c r="M2894" s="7">
        <f t="shared" si="225"/>
        <v>1416</v>
      </c>
      <c r="N2894" s="7">
        <f t="shared" si="226"/>
        <v>1546</v>
      </c>
      <c r="O2894" s="2">
        <v>21</v>
      </c>
      <c r="P2894" s="8">
        <f t="shared" si="227"/>
        <v>1567</v>
      </c>
      <c r="Q2894" s="8">
        <f t="shared" si="228"/>
        <v>838</v>
      </c>
      <c r="R2894" s="2" t="s">
        <v>50</v>
      </c>
      <c r="S2894" s="9">
        <f t="shared" si="229"/>
        <v>31.34</v>
      </c>
    </row>
    <row r="2895" spans="1:19" x14ac:dyDescent="0.3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str">
        <f>IFERROR(VLOOKUP('Customer Info'!A2887,'Customer Info'!A2887:C3386,2,FALSE),"Not Found")</f>
        <v>Not Found</v>
      </c>
      <c r="H2895" s="6" t="str">
        <f>IFERROR(VLOOKUP('Customer Info'!A2887,'Customer Info'!A2887:C3386,3,FALSE),"Not Found")</f>
        <v>Not Found</v>
      </c>
      <c r="I2895" s="6" t="str">
        <f>IFERROR(VLOOKUP('Customer Info'!A2887,'Customer Info'!A2887:E3386,5,FALSE),"Not Found")</f>
        <v>Not Found</v>
      </c>
      <c r="J2895" s="2">
        <v>60</v>
      </c>
      <c r="K2895" s="2">
        <v>57</v>
      </c>
      <c r="L2895" s="2">
        <v>2</v>
      </c>
      <c r="M2895" s="7">
        <f t="shared" si="225"/>
        <v>114</v>
      </c>
      <c r="N2895" s="7">
        <f t="shared" si="226"/>
        <v>120</v>
      </c>
      <c r="O2895" s="2">
        <v>10</v>
      </c>
      <c r="P2895" s="8">
        <f t="shared" si="227"/>
        <v>130</v>
      </c>
      <c r="Q2895" s="8">
        <f t="shared" si="228"/>
        <v>63</v>
      </c>
      <c r="R2895" s="2" t="s">
        <v>26</v>
      </c>
      <c r="S2895" s="9">
        <f t="shared" si="229"/>
        <v>2.6</v>
      </c>
    </row>
    <row r="2896" spans="1:19" x14ac:dyDescent="0.3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str">
        <f>IFERROR(VLOOKUP('Customer Info'!A2888,'Customer Info'!A2888:C3387,2,FALSE),"Not Found")</f>
        <v>Not Found</v>
      </c>
      <c r="H2896" s="6" t="str">
        <f>IFERROR(VLOOKUP('Customer Info'!A2888,'Customer Info'!A2888:C3387,3,FALSE),"Not Found")</f>
        <v>Not Found</v>
      </c>
      <c r="I2896" s="6" t="str">
        <f>IFERROR(VLOOKUP('Customer Info'!A2888,'Customer Info'!A2888:E3387,5,FALSE),"Not Found")</f>
        <v>Not Found</v>
      </c>
      <c r="J2896" s="2">
        <v>729</v>
      </c>
      <c r="K2896" s="2">
        <v>689</v>
      </c>
      <c r="L2896" s="2">
        <v>3</v>
      </c>
      <c r="M2896" s="7">
        <f t="shared" si="225"/>
        <v>2067</v>
      </c>
      <c r="N2896" s="7">
        <f t="shared" si="226"/>
        <v>2187</v>
      </c>
      <c r="O2896" s="2">
        <v>99</v>
      </c>
      <c r="P2896" s="8">
        <f t="shared" si="227"/>
        <v>2286</v>
      </c>
      <c r="Q2896" s="8">
        <f t="shared" si="228"/>
        <v>1498</v>
      </c>
      <c r="R2896" s="2" t="s">
        <v>50</v>
      </c>
      <c r="S2896" s="9">
        <f t="shared" si="229"/>
        <v>45.72</v>
      </c>
    </row>
    <row r="2897" spans="1:19" x14ac:dyDescent="0.3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str">
        <f>IFERROR(VLOOKUP('Customer Info'!A2889,'Customer Info'!A2889:C3388,2,FALSE),"Not Found")</f>
        <v>Not Found</v>
      </c>
      <c r="H2897" s="6" t="str">
        <f>IFERROR(VLOOKUP('Customer Info'!A2889,'Customer Info'!A2889:C3388,3,FALSE),"Not Found")</f>
        <v>Not Found</v>
      </c>
      <c r="I2897" s="6" t="str">
        <f>IFERROR(VLOOKUP('Customer Info'!A2889,'Customer Info'!A2889:E3388,5,FALSE),"Not Found")</f>
        <v>Not Found</v>
      </c>
      <c r="J2897" s="2">
        <v>1441</v>
      </c>
      <c r="K2897" s="2">
        <v>1360</v>
      </c>
      <c r="L2897" s="2">
        <v>5</v>
      </c>
      <c r="M2897" s="7">
        <f t="shared" si="225"/>
        <v>6800</v>
      </c>
      <c r="N2897" s="7">
        <f t="shared" si="226"/>
        <v>7205</v>
      </c>
      <c r="O2897" s="2">
        <v>53</v>
      </c>
      <c r="P2897" s="8">
        <f t="shared" si="227"/>
        <v>7258</v>
      </c>
      <c r="Q2897" s="8">
        <f t="shared" si="228"/>
        <v>5845</v>
      </c>
      <c r="R2897" s="2" t="s">
        <v>28</v>
      </c>
      <c r="S2897" s="9">
        <f t="shared" si="229"/>
        <v>362.90000000000003</v>
      </c>
    </row>
    <row r="2898" spans="1:19" x14ac:dyDescent="0.3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str">
        <f>IFERROR(VLOOKUP('Customer Info'!A2890,'Customer Info'!A2890:C3389,2,FALSE),"Not Found")</f>
        <v>Not Found</v>
      </c>
      <c r="H2898" s="6" t="str">
        <f>IFERROR(VLOOKUP('Customer Info'!A2890,'Customer Info'!A2890:C3389,3,FALSE),"Not Found")</f>
        <v>Not Found</v>
      </c>
      <c r="I2898" s="6" t="str">
        <f>IFERROR(VLOOKUP('Customer Info'!A2890,'Customer Info'!A2890:E3389,5,FALSE),"Not Found")</f>
        <v>Not Found</v>
      </c>
      <c r="J2898" s="2">
        <v>726</v>
      </c>
      <c r="K2898" s="2">
        <v>646</v>
      </c>
      <c r="L2898" s="2">
        <v>3</v>
      </c>
      <c r="M2898" s="7">
        <f t="shared" si="225"/>
        <v>1938</v>
      </c>
      <c r="N2898" s="7">
        <f t="shared" si="226"/>
        <v>2178</v>
      </c>
      <c r="O2898" s="2">
        <v>65</v>
      </c>
      <c r="P2898" s="8">
        <f t="shared" si="227"/>
        <v>2243</v>
      </c>
      <c r="Q2898" s="8">
        <f t="shared" si="228"/>
        <v>1532</v>
      </c>
      <c r="R2898" s="2" t="s">
        <v>28</v>
      </c>
      <c r="S2898" s="9">
        <f t="shared" si="229"/>
        <v>44.86</v>
      </c>
    </row>
    <row r="2899" spans="1:19" x14ac:dyDescent="0.3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str">
        <f>IFERROR(VLOOKUP('Customer Info'!A2891,'Customer Info'!A2891:C3390,2,FALSE),"Not Found")</f>
        <v>Not Found</v>
      </c>
      <c r="H2899" s="6" t="str">
        <f>IFERROR(VLOOKUP('Customer Info'!A2891,'Customer Info'!A2891:C3390,3,FALSE),"Not Found")</f>
        <v>Not Found</v>
      </c>
      <c r="I2899" s="6" t="str">
        <f>IFERROR(VLOOKUP('Customer Info'!A2891,'Customer Info'!A2891:E3390,5,FALSE),"Not Found")</f>
        <v>Not Found</v>
      </c>
      <c r="J2899" s="2">
        <v>8026</v>
      </c>
      <c r="K2899" s="2">
        <v>7572</v>
      </c>
      <c r="L2899" s="2">
        <v>1</v>
      </c>
      <c r="M2899" s="7">
        <f t="shared" si="225"/>
        <v>7572</v>
      </c>
      <c r="N2899" s="7">
        <f t="shared" si="226"/>
        <v>8026</v>
      </c>
      <c r="O2899" s="2">
        <v>70</v>
      </c>
      <c r="P2899" s="8">
        <f t="shared" si="227"/>
        <v>8096</v>
      </c>
      <c r="Q2899" s="8">
        <f t="shared" si="228"/>
        <v>454</v>
      </c>
      <c r="R2899" s="2" t="s">
        <v>28</v>
      </c>
      <c r="S2899" s="9">
        <f t="shared" si="229"/>
        <v>404.8</v>
      </c>
    </row>
    <row r="2900" spans="1:19" x14ac:dyDescent="0.3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str">
        <f>IFERROR(VLOOKUP('Customer Info'!A2892,'Customer Info'!A2892:C3391,2,FALSE),"Not Found")</f>
        <v>Not Found</v>
      </c>
      <c r="H2900" s="6" t="str">
        <f>IFERROR(VLOOKUP('Customer Info'!A2892,'Customer Info'!A2892:C3391,3,FALSE),"Not Found")</f>
        <v>Not Found</v>
      </c>
      <c r="I2900" s="6" t="str">
        <f>IFERROR(VLOOKUP('Customer Info'!A2892,'Customer Info'!A2892:E3391,5,FALSE),"Not Found")</f>
        <v>Not Found</v>
      </c>
      <c r="J2900" s="2">
        <v>1653</v>
      </c>
      <c r="K2900" s="2">
        <v>1560</v>
      </c>
      <c r="L2900" s="2">
        <v>1</v>
      </c>
      <c r="M2900" s="7">
        <f t="shared" si="225"/>
        <v>1560</v>
      </c>
      <c r="N2900" s="7">
        <f t="shared" si="226"/>
        <v>1653</v>
      </c>
      <c r="O2900" s="2">
        <v>66</v>
      </c>
      <c r="P2900" s="8">
        <f t="shared" si="227"/>
        <v>1719</v>
      </c>
      <c r="Q2900" s="8">
        <f t="shared" si="228"/>
        <v>93</v>
      </c>
      <c r="R2900" s="2" t="s">
        <v>28</v>
      </c>
      <c r="S2900" s="9">
        <f t="shared" si="229"/>
        <v>34.380000000000003</v>
      </c>
    </row>
    <row r="2901" spans="1:19" x14ac:dyDescent="0.3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str">
        <f>IFERROR(VLOOKUP('Customer Info'!A2893,'Customer Info'!A2893:C3392,2,FALSE),"Not Found")</f>
        <v>Not Found</v>
      </c>
      <c r="H2901" s="6" t="str">
        <f>IFERROR(VLOOKUP('Customer Info'!A2893,'Customer Info'!A2893:C3392,3,FALSE),"Not Found")</f>
        <v>Not Found</v>
      </c>
      <c r="I2901" s="6" t="str">
        <f>IFERROR(VLOOKUP('Customer Info'!A2893,'Customer Info'!A2893:E3392,5,FALSE),"Not Found")</f>
        <v>Not Found</v>
      </c>
      <c r="J2901" s="2">
        <v>92</v>
      </c>
      <c r="K2901" s="2">
        <v>85</v>
      </c>
      <c r="L2901" s="2">
        <v>2</v>
      </c>
      <c r="M2901" s="7">
        <f t="shared" si="225"/>
        <v>170</v>
      </c>
      <c r="N2901" s="7">
        <f t="shared" si="226"/>
        <v>184</v>
      </c>
      <c r="O2901" s="2">
        <v>10</v>
      </c>
      <c r="P2901" s="8">
        <f t="shared" si="227"/>
        <v>194</v>
      </c>
      <c r="Q2901" s="8">
        <f t="shared" si="228"/>
        <v>99</v>
      </c>
      <c r="R2901" s="2" t="s">
        <v>26</v>
      </c>
      <c r="S2901" s="9">
        <f t="shared" si="229"/>
        <v>3.88</v>
      </c>
    </row>
    <row r="2902" spans="1:19" x14ac:dyDescent="0.3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str">
        <f>IFERROR(VLOOKUP('Customer Info'!A2894,'Customer Info'!A2894:C3393,2,FALSE),"Not Found")</f>
        <v>Not Found</v>
      </c>
      <c r="H2902" s="6" t="str">
        <f>IFERROR(VLOOKUP('Customer Info'!A2894,'Customer Info'!A2894:C3393,3,FALSE),"Not Found")</f>
        <v>Not Found</v>
      </c>
      <c r="I2902" s="6" t="str">
        <f>IFERROR(VLOOKUP('Customer Info'!A2894,'Customer Info'!A2894:E3393,5,FALSE),"Not Found")</f>
        <v>Not Found</v>
      </c>
      <c r="J2902" s="2">
        <v>194</v>
      </c>
      <c r="K2902" s="2">
        <v>176</v>
      </c>
      <c r="L2902" s="2">
        <v>3</v>
      </c>
      <c r="M2902" s="7">
        <f t="shared" si="225"/>
        <v>528</v>
      </c>
      <c r="N2902" s="7">
        <f t="shared" si="226"/>
        <v>582</v>
      </c>
      <c r="O2902" s="2">
        <v>30</v>
      </c>
      <c r="P2902" s="8">
        <f t="shared" si="227"/>
        <v>612</v>
      </c>
      <c r="Q2902" s="8">
        <f t="shared" si="228"/>
        <v>406</v>
      </c>
      <c r="R2902" s="2" t="s">
        <v>28</v>
      </c>
      <c r="S2902" s="9">
        <f t="shared" si="229"/>
        <v>12.24</v>
      </c>
    </row>
    <row r="2903" spans="1:19" x14ac:dyDescent="0.3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str">
        <f>IFERROR(VLOOKUP('Customer Info'!A2895,'Customer Info'!A2895:C3394,2,FALSE),"Not Found")</f>
        <v>Not Found</v>
      </c>
      <c r="H2903" s="6" t="str">
        <f>IFERROR(VLOOKUP('Customer Info'!A2895,'Customer Info'!A2895:C3394,3,FALSE),"Not Found")</f>
        <v>Not Found</v>
      </c>
      <c r="I2903" s="6" t="str">
        <f>IFERROR(VLOOKUP('Customer Info'!A2895,'Customer Info'!A2895:E3394,5,FALSE),"Not Found")</f>
        <v>Not Found</v>
      </c>
      <c r="J2903" s="2">
        <v>3288</v>
      </c>
      <c r="K2903" s="2">
        <v>3041</v>
      </c>
      <c r="L2903" s="2">
        <v>3</v>
      </c>
      <c r="M2903" s="7">
        <f t="shared" si="225"/>
        <v>9123</v>
      </c>
      <c r="N2903" s="7">
        <f t="shared" si="226"/>
        <v>9864</v>
      </c>
      <c r="O2903" s="2">
        <v>26</v>
      </c>
      <c r="P2903" s="8">
        <f t="shared" si="227"/>
        <v>9890</v>
      </c>
      <c r="Q2903" s="8">
        <f t="shared" si="228"/>
        <v>6823</v>
      </c>
      <c r="R2903" s="2" t="s">
        <v>28</v>
      </c>
      <c r="S2903" s="9">
        <f t="shared" si="229"/>
        <v>494.5</v>
      </c>
    </row>
    <row r="2904" spans="1:19" x14ac:dyDescent="0.3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str">
        <f>IFERROR(VLOOKUP('Customer Info'!A2896,'Customer Info'!A2896:C3395,2,FALSE),"Not Found")</f>
        <v>Not Found</v>
      </c>
      <c r="H2904" s="6" t="str">
        <f>IFERROR(VLOOKUP('Customer Info'!A2896,'Customer Info'!A2896:C3395,3,FALSE),"Not Found")</f>
        <v>Not Found</v>
      </c>
      <c r="I2904" s="6" t="str">
        <f>IFERROR(VLOOKUP('Customer Info'!A2896,'Customer Info'!A2896:E3395,5,FALSE),"Not Found")</f>
        <v>Not Found</v>
      </c>
      <c r="J2904" s="2">
        <v>6337</v>
      </c>
      <c r="K2904" s="2">
        <v>6215</v>
      </c>
      <c r="L2904" s="2">
        <v>1</v>
      </c>
      <c r="M2904" s="7">
        <f t="shared" si="225"/>
        <v>6215</v>
      </c>
      <c r="N2904" s="7">
        <f t="shared" si="226"/>
        <v>6337</v>
      </c>
      <c r="O2904" s="2">
        <v>35</v>
      </c>
      <c r="P2904" s="8">
        <f t="shared" si="227"/>
        <v>6372</v>
      </c>
      <c r="Q2904" s="8">
        <f t="shared" si="228"/>
        <v>122</v>
      </c>
      <c r="R2904" s="2" t="s">
        <v>26</v>
      </c>
      <c r="S2904" s="9">
        <f t="shared" si="229"/>
        <v>318.60000000000002</v>
      </c>
    </row>
    <row r="2905" spans="1:19" x14ac:dyDescent="0.3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str">
        <f>IFERROR(VLOOKUP('Customer Info'!A2897,'Customer Info'!A2897:C3396,2,FALSE),"Not Found")</f>
        <v>Not Found</v>
      </c>
      <c r="H2905" s="6" t="str">
        <f>IFERROR(VLOOKUP('Customer Info'!A2897,'Customer Info'!A2897:C3396,3,FALSE),"Not Found")</f>
        <v>Not Found</v>
      </c>
      <c r="I2905" s="6" t="str">
        <f>IFERROR(VLOOKUP('Customer Info'!A2897,'Customer Info'!A2897:E3396,5,FALSE),"Not Found")</f>
        <v>Not Found</v>
      </c>
      <c r="J2905" s="2">
        <v>166</v>
      </c>
      <c r="K2905" s="2">
        <v>157</v>
      </c>
      <c r="L2905" s="2">
        <v>5</v>
      </c>
      <c r="M2905" s="7">
        <f t="shared" si="225"/>
        <v>785</v>
      </c>
      <c r="N2905" s="7">
        <f t="shared" si="226"/>
        <v>830</v>
      </c>
      <c r="O2905" s="2">
        <v>30</v>
      </c>
      <c r="P2905" s="8">
        <f t="shared" si="227"/>
        <v>860</v>
      </c>
      <c r="Q2905" s="8">
        <f t="shared" si="228"/>
        <v>673</v>
      </c>
      <c r="R2905" s="2" t="s">
        <v>28</v>
      </c>
      <c r="S2905" s="9">
        <f t="shared" si="229"/>
        <v>17.2</v>
      </c>
    </row>
    <row r="2906" spans="1:19" x14ac:dyDescent="0.3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str">
        <f>IFERROR(VLOOKUP('Customer Info'!A2898,'Customer Info'!A2898:C3397,2,FALSE),"Not Found")</f>
        <v>Not Found</v>
      </c>
      <c r="H2906" s="6" t="str">
        <f>IFERROR(VLOOKUP('Customer Info'!A2898,'Customer Info'!A2898:C3397,3,FALSE),"Not Found")</f>
        <v>Not Found</v>
      </c>
      <c r="I2906" s="6" t="str">
        <f>IFERROR(VLOOKUP('Customer Info'!A2898,'Customer Info'!A2898:E3397,5,FALSE),"Not Found")</f>
        <v>Not Found</v>
      </c>
      <c r="J2906" s="2">
        <v>7315</v>
      </c>
      <c r="K2906" s="2">
        <v>6967</v>
      </c>
      <c r="L2906" s="2">
        <v>6</v>
      </c>
      <c r="M2906" s="7">
        <f t="shared" si="225"/>
        <v>41802</v>
      </c>
      <c r="N2906" s="7">
        <f t="shared" si="226"/>
        <v>43890</v>
      </c>
      <c r="O2906" s="2">
        <v>57</v>
      </c>
      <c r="P2906" s="8">
        <f t="shared" si="227"/>
        <v>43947</v>
      </c>
      <c r="Q2906" s="8">
        <f t="shared" si="228"/>
        <v>36923</v>
      </c>
      <c r="R2906" s="2" t="s">
        <v>28</v>
      </c>
      <c r="S2906" s="9">
        <f t="shared" si="229"/>
        <v>3076.2900000000004</v>
      </c>
    </row>
    <row r="2907" spans="1:19" x14ac:dyDescent="0.3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str">
        <f>IFERROR(VLOOKUP('Customer Info'!A2899,'Customer Info'!A2899:C3398,2,FALSE),"Not Found")</f>
        <v>Not Found</v>
      </c>
      <c r="H2907" s="6" t="str">
        <f>IFERROR(VLOOKUP('Customer Info'!A2899,'Customer Info'!A2899:C3398,3,FALSE),"Not Found")</f>
        <v>Not Found</v>
      </c>
      <c r="I2907" s="6" t="str">
        <f>IFERROR(VLOOKUP('Customer Info'!A2899,'Customer Info'!A2899:E3398,5,FALSE),"Not Found")</f>
        <v>Not Found</v>
      </c>
      <c r="J2907" s="2">
        <v>1321</v>
      </c>
      <c r="K2907" s="2">
        <v>1211</v>
      </c>
      <c r="L2907" s="2">
        <v>2</v>
      </c>
      <c r="M2907" s="7">
        <f t="shared" si="225"/>
        <v>2422</v>
      </c>
      <c r="N2907" s="7">
        <f t="shared" si="226"/>
        <v>2642</v>
      </c>
      <c r="O2907" s="2">
        <v>65</v>
      </c>
      <c r="P2907" s="8">
        <f t="shared" si="227"/>
        <v>2707</v>
      </c>
      <c r="Q2907" s="8">
        <f t="shared" si="228"/>
        <v>1431</v>
      </c>
      <c r="R2907" s="2" t="s">
        <v>28</v>
      </c>
      <c r="S2907" s="9">
        <f t="shared" si="229"/>
        <v>54.14</v>
      </c>
    </row>
    <row r="2908" spans="1:19" x14ac:dyDescent="0.3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str">
        <f>IFERROR(VLOOKUP('Customer Info'!A2900,'Customer Info'!A2900:C3399,2,FALSE),"Not Found")</f>
        <v>Not Found</v>
      </c>
      <c r="H2908" s="6" t="str">
        <f>IFERROR(VLOOKUP('Customer Info'!A2900,'Customer Info'!A2900:C3399,3,FALSE),"Not Found")</f>
        <v>Not Found</v>
      </c>
      <c r="I2908" s="6" t="str">
        <f>IFERROR(VLOOKUP('Customer Info'!A2900,'Customer Info'!A2900:E3399,5,FALSE),"Not Found")</f>
        <v>Not Found</v>
      </c>
      <c r="J2908" s="2">
        <v>1734</v>
      </c>
      <c r="K2908" s="2">
        <v>1702</v>
      </c>
      <c r="L2908" s="2">
        <v>9</v>
      </c>
      <c r="M2908" s="7">
        <f t="shared" si="225"/>
        <v>15318</v>
      </c>
      <c r="N2908" s="7">
        <f t="shared" si="226"/>
        <v>15606</v>
      </c>
      <c r="O2908" s="2">
        <v>26</v>
      </c>
      <c r="P2908" s="8">
        <f t="shared" si="227"/>
        <v>15632</v>
      </c>
      <c r="Q2908" s="8">
        <f t="shared" si="228"/>
        <v>13904</v>
      </c>
      <c r="R2908" s="2" t="s">
        <v>28</v>
      </c>
      <c r="S2908" s="9">
        <f t="shared" si="229"/>
        <v>781.6</v>
      </c>
    </row>
    <row r="2909" spans="1:19" x14ac:dyDescent="0.3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str">
        <f>IFERROR(VLOOKUP('Customer Info'!A2901,'Customer Info'!A2901:C3400,2,FALSE),"Not Found")</f>
        <v>Not Found</v>
      </c>
      <c r="H2909" s="6" t="str">
        <f>IFERROR(VLOOKUP('Customer Info'!A2901,'Customer Info'!A2901:C3400,3,FALSE),"Not Found")</f>
        <v>Not Found</v>
      </c>
      <c r="I2909" s="6" t="str">
        <f>IFERROR(VLOOKUP('Customer Info'!A2901,'Customer Info'!A2901:E3400,5,FALSE),"Not Found")</f>
        <v>Not Found</v>
      </c>
      <c r="J2909" s="2">
        <v>811</v>
      </c>
      <c r="K2909" s="2">
        <v>780</v>
      </c>
      <c r="L2909" s="2">
        <v>6</v>
      </c>
      <c r="M2909" s="7">
        <f t="shared" si="225"/>
        <v>4680</v>
      </c>
      <c r="N2909" s="7">
        <f t="shared" si="226"/>
        <v>4866</v>
      </c>
      <c r="O2909" s="2">
        <v>44</v>
      </c>
      <c r="P2909" s="8">
        <f t="shared" si="227"/>
        <v>4910</v>
      </c>
      <c r="Q2909" s="8">
        <f t="shared" si="228"/>
        <v>4086</v>
      </c>
      <c r="R2909" s="2" t="s">
        <v>56</v>
      </c>
      <c r="S2909" s="9">
        <f t="shared" si="229"/>
        <v>98.2</v>
      </c>
    </row>
    <row r="2910" spans="1:19" x14ac:dyDescent="0.3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str">
        <f>IFERROR(VLOOKUP('Customer Info'!A2902,'Customer Info'!A2902:C3401,2,FALSE),"Not Found")</f>
        <v>Not Found</v>
      </c>
      <c r="H2910" s="6" t="str">
        <f>IFERROR(VLOOKUP('Customer Info'!A2902,'Customer Info'!A2902:C3401,3,FALSE),"Not Found")</f>
        <v>Not Found</v>
      </c>
      <c r="I2910" s="6" t="str">
        <f>IFERROR(VLOOKUP('Customer Info'!A2902,'Customer Info'!A2902:E3401,5,FALSE),"Not Found")</f>
        <v>Not Found</v>
      </c>
      <c r="J2910" s="2">
        <v>1916</v>
      </c>
      <c r="K2910" s="2">
        <v>1844</v>
      </c>
      <c r="L2910" s="2">
        <v>6</v>
      </c>
      <c r="M2910" s="7">
        <f t="shared" si="225"/>
        <v>11064</v>
      </c>
      <c r="N2910" s="7">
        <f t="shared" si="226"/>
        <v>11496</v>
      </c>
      <c r="O2910" s="2">
        <v>64</v>
      </c>
      <c r="P2910" s="8">
        <f t="shared" si="227"/>
        <v>11560</v>
      </c>
      <c r="Q2910" s="8">
        <f t="shared" si="228"/>
        <v>9652</v>
      </c>
      <c r="R2910" s="2" t="s">
        <v>50</v>
      </c>
      <c r="S2910" s="9">
        <f t="shared" si="229"/>
        <v>578</v>
      </c>
    </row>
    <row r="2911" spans="1:19" x14ac:dyDescent="0.3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str">
        <f>IFERROR(VLOOKUP('Customer Info'!A2903,'Customer Info'!A2903:C3402,2,FALSE),"Not Found")</f>
        <v>Not Found</v>
      </c>
      <c r="H2911" s="6" t="str">
        <f>IFERROR(VLOOKUP('Customer Info'!A2903,'Customer Info'!A2903:C3402,3,FALSE),"Not Found")</f>
        <v>Not Found</v>
      </c>
      <c r="I2911" s="6" t="str">
        <f>IFERROR(VLOOKUP('Customer Info'!A2903,'Customer Info'!A2903:E3402,5,FALSE),"Not Found")</f>
        <v>Not Found</v>
      </c>
      <c r="J2911" s="2">
        <v>664</v>
      </c>
      <c r="K2911" s="2">
        <v>576</v>
      </c>
      <c r="L2911" s="2">
        <v>1</v>
      </c>
      <c r="M2911" s="7">
        <f t="shared" si="225"/>
        <v>576</v>
      </c>
      <c r="N2911" s="7">
        <f t="shared" si="226"/>
        <v>664</v>
      </c>
      <c r="O2911" s="2">
        <v>93</v>
      </c>
      <c r="P2911" s="8">
        <f t="shared" si="227"/>
        <v>757</v>
      </c>
      <c r="Q2911" s="8">
        <f t="shared" si="228"/>
        <v>88</v>
      </c>
      <c r="R2911" s="2" t="s">
        <v>50</v>
      </c>
      <c r="S2911" s="9">
        <f t="shared" si="229"/>
        <v>15.14</v>
      </c>
    </row>
    <row r="2912" spans="1:19" x14ac:dyDescent="0.3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str">
        <f>IFERROR(VLOOKUP('Customer Info'!A2904,'Customer Info'!A2904:C3403,2,FALSE),"Not Found")</f>
        <v>Not Found</v>
      </c>
      <c r="H2912" s="6" t="str">
        <f>IFERROR(VLOOKUP('Customer Info'!A2904,'Customer Info'!A2904:C3403,3,FALSE),"Not Found")</f>
        <v>Not Found</v>
      </c>
      <c r="I2912" s="6" t="str">
        <f>IFERROR(VLOOKUP('Customer Info'!A2904,'Customer Info'!A2904:E3403,5,FALSE),"Not Found")</f>
        <v>Not Found</v>
      </c>
      <c r="J2912" s="2">
        <v>5882</v>
      </c>
      <c r="K2912" s="2">
        <v>5713</v>
      </c>
      <c r="L2912" s="2">
        <v>2</v>
      </c>
      <c r="M2912" s="7">
        <f t="shared" si="225"/>
        <v>11426</v>
      </c>
      <c r="N2912" s="7">
        <f t="shared" si="226"/>
        <v>11764</v>
      </c>
      <c r="O2912" s="2">
        <v>45</v>
      </c>
      <c r="P2912" s="8">
        <f t="shared" si="227"/>
        <v>11809</v>
      </c>
      <c r="Q2912" s="8">
        <f t="shared" si="228"/>
        <v>6051</v>
      </c>
      <c r="R2912" s="2" t="s">
        <v>26</v>
      </c>
      <c r="S2912" s="9">
        <f t="shared" si="229"/>
        <v>590.45000000000005</v>
      </c>
    </row>
    <row r="2913" spans="1:19" x14ac:dyDescent="0.3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str">
        <f>IFERROR(VLOOKUP('Customer Info'!A2905,'Customer Info'!A2905:C3404,2,FALSE),"Not Found")</f>
        <v>Not Found</v>
      </c>
      <c r="H2913" s="6" t="str">
        <f>IFERROR(VLOOKUP('Customer Info'!A2905,'Customer Info'!A2905:C3404,3,FALSE),"Not Found")</f>
        <v>Not Found</v>
      </c>
      <c r="I2913" s="6" t="str">
        <f>IFERROR(VLOOKUP('Customer Info'!A2905,'Customer Info'!A2905:E3404,5,FALSE),"Not Found")</f>
        <v>Not Found</v>
      </c>
      <c r="J2913" s="2">
        <v>5894</v>
      </c>
      <c r="K2913" s="2">
        <v>5621</v>
      </c>
      <c r="L2913" s="2">
        <v>3</v>
      </c>
      <c r="M2913" s="7">
        <f t="shared" si="225"/>
        <v>16863</v>
      </c>
      <c r="N2913" s="7">
        <f t="shared" si="226"/>
        <v>17682</v>
      </c>
      <c r="O2913" s="2">
        <v>89</v>
      </c>
      <c r="P2913" s="8">
        <f t="shared" si="227"/>
        <v>17771</v>
      </c>
      <c r="Q2913" s="8">
        <f t="shared" si="228"/>
        <v>12061</v>
      </c>
      <c r="R2913" s="2" t="s">
        <v>50</v>
      </c>
      <c r="S2913" s="9">
        <f t="shared" si="229"/>
        <v>888.55000000000007</v>
      </c>
    </row>
    <row r="2914" spans="1:19" x14ac:dyDescent="0.3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str">
        <f>IFERROR(VLOOKUP('Customer Info'!A2906,'Customer Info'!A2906:C3405,2,FALSE),"Not Found")</f>
        <v>Not Found</v>
      </c>
      <c r="H2914" s="6" t="str">
        <f>IFERROR(VLOOKUP('Customer Info'!A2906,'Customer Info'!A2906:C3405,3,FALSE),"Not Found")</f>
        <v>Not Found</v>
      </c>
      <c r="I2914" s="6" t="str">
        <f>IFERROR(VLOOKUP('Customer Info'!A2906,'Customer Info'!A2906:E3405,5,FALSE),"Not Found")</f>
        <v>Not Found</v>
      </c>
      <c r="J2914" s="2">
        <v>1528</v>
      </c>
      <c r="K2914" s="2">
        <v>1348</v>
      </c>
      <c r="L2914" s="2">
        <v>1</v>
      </c>
      <c r="M2914" s="7">
        <f t="shared" si="225"/>
        <v>1348</v>
      </c>
      <c r="N2914" s="7">
        <f t="shared" si="226"/>
        <v>1528</v>
      </c>
      <c r="O2914" s="2">
        <v>42</v>
      </c>
      <c r="P2914" s="8">
        <f t="shared" si="227"/>
        <v>1570</v>
      </c>
      <c r="Q2914" s="8">
        <f t="shared" si="228"/>
        <v>180</v>
      </c>
      <c r="R2914" s="2" t="s">
        <v>28</v>
      </c>
      <c r="S2914" s="9">
        <f t="shared" si="229"/>
        <v>31.400000000000002</v>
      </c>
    </row>
    <row r="2915" spans="1:19" x14ac:dyDescent="0.3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str">
        <f>IFERROR(VLOOKUP('Customer Info'!A2907,'Customer Info'!A2907:C3406,2,FALSE),"Not Found")</f>
        <v>Not Found</v>
      </c>
      <c r="H2915" s="6" t="str">
        <f>IFERROR(VLOOKUP('Customer Info'!A2907,'Customer Info'!A2907:C3406,3,FALSE),"Not Found")</f>
        <v>Not Found</v>
      </c>
      <c r="I2915" s="6" t="str">
        <f>IFERROR(VLOOKUP('Customer Info'!A2907,'Customer Info'!A2907:E3406,5,FALSE),"Not Found")</f>
        <v>Not Found</v>
      </c>
      <c r="J2915" s="2">
        <v>7136</v>
      </c>
      <c r="K2915" s="2">
        <v>6676</v>
      </c>
      <c r="L2915" s="2">
        <v>4</v>
      </c>
      <c r="M2915" s="7">
        <f t="shared" si="225"/>
        <v>26704</v>
      </c>
      <c r="N2915" s="7">
        <f t="shared" si="226"/>
        <v>28544</v>
      </c>
      <c r="O2915" s="2">
        <v>41</v>
      </c>
      <c r="P2915" s="8">
        <f t="shared" si="227"/>
        <v>28585</v>
      </c>
      <c r="Q2915" s="8">
        <f t="shared" si="228"/>
        <v>21868</v>
      </c>
      <c r="R2915" s="2" t="s">
        <v>50</v>
      </c>
      <c r="S2915" s="9">
        <f t="shared" si="229"/>
        <v>2000.9500000000003</v>
      </c>
    </row>
    <row r="2916" spans="1:19" x14ac:dyDescent="0.3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str">
        <f>IFERROR(VLOOKUP('Customer Info'!A2908,'Customer Info'!A2908:C3407,2,FALSE),"Not Found")</f>
        <v>Not Found</v>
      </c>
      <c r="H2916" s="6" t="str">
        <f>IFERROR(VLOOKUP('Customer Info'!A2908,'Customer Info'!A2908:C3407,3,FALSE),"Not Found")</f>
        <v>Not Found</v>
      </c>
      <c r="I2916" s="6" t="str">
        <f>IFERROR(VLOOKUP('Customer Info'!A2908,'Customer Info'!A2908:E3407,5,FALSE),"Not Found")</f>
        <v>Not Found</v>
      </c>
      <c r="J2916" s="2">
        <v>177</v>
      </c>
      <c r="K2916" s="2">
        <v>169</v>
      </c>
      <c r="L2916" s="2">
        <v>3</v>
      </c>
      <c r="M2916" s="7">
        <f t="shared" si="225"/>
        <v>507</v>
      </c>
      <c r="N2916" s="7">
        <f t="shared" si="226"/>
        <v>531</v>
      </c>
      <c r="O2916" s="2">
        <v>30</v>
      </c>
      <c r="P2916" s="8">
        <f t="shared" si="227"/>
        <v>561</v>
      </c>
      <c r="Q2916" s="8">
        <f t="shared" si="228"/>
        <v>362</v>
      </c>
      <c r="R2916" s="2" t="s">
        <v>56</v>
      </c>
      <c r="S2916" s="9">
        <f t="shared" si="229"/>
        <v>11.22</v>
      </c>
    </row>
    <row r="2917" spans="1:19" x14ac:dyDescent="0.3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str">
        <f>IFERROR(VLOOKUP('Customer Info'!A2909,'Customer Info'!A2909:C3408,2,FALSE),"Not Found")</f>
        <v>Not Found</v>
      </c>
      <c r="H2917" s="6" t="str">
        <f>IFERROR(VLOOKUP('Customer Info'!A2909,'Customer Info'!A2909:C3408,3,FALSE),"Not Found")</f>
        <v>Not Found</v>
      </c>
      <c r="I2917" s="6" t="str">
        <f>IFERROR(VLOOKUP('Customer Info'!A2909,'Customer Info'!A2909:E3408,5,FALSE),"Not Found")</f>
        <v>Not Found</v>
      </c>
      <c r="J2917" s="2">
        <v>1017</v>
      </c>
      <c r="K2917" s="2">
        <v>950</v>
      </c>
      <c r="L2917" s="2">
        <v>4</v>
      </c>
      <c r="M2917" s="7">
        <f t="shared" si="225"/>
        <v>3800</v>
      </c>
      <c r="N2917" s="7">
        <f t="shared" si="226"/>
        <v>4068</v>
      </c>
      <c r="O2917" s="2">
        <v>52</v>
      </c>
      <c r="P2917" s="8">
        <f t="shared" si="227"/>
        <v>4120</v>
      </c>
      <c r="Q2917" s="8">
        <f t="shared" si="228"/>
        <v>3118</v>
      </c>
      <c r="R2917" s="2" t="s">
        <v>28</v>
      </c>
      <c r="S2917" s="9">
        <f t="shared" si="229"/>
        <v>82.4</v>
      </c>
    </row>
    <row r="2918" spans="1:19" x14ac:dyDescent="0.3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str">
        <f>IFERROR(VLOOKUP('Customer Info'!A2910,'Customer Info'!A2910:C3409,2,FALSE),"Not Found")</f>
        <v>Not Found</v>
      </c>
      <c r="H2918" s="6" t="str">
        <f>IFERROR(VLOOKUP('Customer Info'!A2910,'Customer Info'!A2910:C3409,3,FALSE),"Not Found")</f>
        <v>Not Found</v>
      </c>
      <c r="I2918" s="6" t="str">
        <f>IFERROR(VLOOKUP('Customer Info'!A2910,'Customer Info'!A2910:E3409,5,FALSE),"Not Found")</f>
        <v>Not Found</v>
      </c>
      <c r="J2918" s="2">
        <v>1569</v>
      </c>
      <c r="K2918" s="2">
        <v>1466</v>
      </c>
      <c r="L2918" s="2">
        <v>6</v>
      </c>
      <c r="M2918" s="7">
        <f t="shared" si="225"/>
        <v>8796</v>
      </c>
      <c r="N2918" s="7">
        <f t="shared" si="226"/>
        <v>9414</v>
      </c>
      <c r="O2918" s="2">
        <v>43</v>
      </c>
      <c r="P2918" s="8">
        <f t="shared" si="227"/>
        <v>9457</v>
      </c>
      <c r="Q2918" s="8">
        <f t="shared" si="228"/>
        <v>7948</v>
      </c>
      <c r="R2918" s="2" t="s">
        <v>28</v>
      </c>
      <c r="S2918" s="9">
        <f t="shared" si="229"/>
        <v>472.85</v>
      </c>
    </row>
    <row r="2919" spans="1:19" x14ac:dyDescent="0.3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str">
        <f>IFERROR(VLOOKUP('Customer Info'!A2911,'Customer Info'!A2911:C3410,2,FALSE),"Not Found")</f>
        <v>Not Found</v>
      </c>
      <c r="H2919" s="6" t="str">
        <f>IFERROR(VLOOKUP('Customer Info'!A2911,'Customer Info'!A2911:C3410,3,FALSE),"Not Found")</f>
        <v>Not Found</v>
      </c>
      <c r="I2919" s="6" t="str">
        <f>IFERROR(VLOOKUP('Customer Info'!A2911,'Customer Info'!A2911:E3410,5,FALSE),"Not Found")</f>
        <v>Not Found</v>
      </c>
      <c r="J2919" s="2">
        <v>4577</v>
      </c>
      <c r="K2919" s="2">
        <v>4280</v>
      </c>
      <c r="L2919" s="2">
        <v>3</v>
      </c>
      <c r="M2919" s="7">
        <f t="shared" si="225"/>
        <v>12840</v>
      </c>
      <c r="N2919" s="7">
        <f t="shared" si="226"/>
        <v>13731</v>
      </c>
      <c r="O2919" s="2">
        <v>91</v>
      </c>
      <c r="P2919" s="8">
        <f t="shared" si="227"/>
        <v>13822</v>
      </c>
      <c r="Q2919" s="8">
        <f t="shared" si="228"/>
        <v>9451</v>
      </c>
      <c r="R2919" s="2" t="s">
        <v>50</v>
      </c>
      <c r="S2919" s="9">
        <f t="shared" si="229"/>
        <v>691.1</v>
      </c>
    </row>
    <row r="2920" spans="1:19" x14ac:dyDescent="0.3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str">
        <f>IFERROR(VLOOKUP('Customer Info'!A2912,'Customer Info'!A2912:C3411,2,FALSE),"Not Found")</f>
        <v>Not Found</v>
      </c>
      <c r="H2920" s="6" t="str">
        <f>IFERROR(VLOOKUP('Customer Info'!A2912,'Customer Info'!A2912:C3411,3,FALSE),"Not Found")</f>
        <v>Not Found</v>
      </c>
      <c r="I2920" s="6" t="str">
        <f>IFERROR(VLOOKUP('Customer Info'!A2912,'Customer Info'!A2912:E3411,5,FALSE),"Not Found")</f>
        <v>Not Found</v>
      </c>
      <c r="J2920" s="2">
        <v>78</v>
      </c>
      <c r="K2920" s="2">
        <v>74</v>
      </c>
      <c r="L2920" s="2">
        <v>6</v>
      </c>
      <c r="M2920" s="7">
        <f t="shared" si="225"/>
        <v>444</v>
      </c>
      <c r="N2920" s="7">
        <f t="shared" si="226"/>
        <v>468</v>
      </c>
      <c r="O2920" s="2">
        <v>10</v>
      </c>
      <c r="P2920" s="8">
        <f t="shared" si="227"/>
        <v>478</v>
      </c>
      <c r="Q2920" s="8">
        <f t="shared" si="228"/>
        <v>394</v>
      </c>
      <c r="R2920" s="2" t="s">
        <v>28</v>
      </c>
      <c r="S2920" s="9">
        <f t="shared" si="229"/>
        <v>9.56</v>
      </c>
    </row>
    <row r="2921" spans="1:19" x14ac:dyDescent="0.3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str">
        <f>IFERROR(VLOOKUP('Customer Info'!A2913,'Customer Info'!A2913:C3412,2,FALSE),"Not Found")</f>
        <v>Not Found</v>
      </c>
      <c r="H2921" s="6" t="str">
        <f>IFERROR(VLOOKUP('Customer Info'!A2913,'Customer Info'!A2913:C3412,3,FALSE),"Not Found")</f>
        <v>Not Found</v>
      </c>
      <c r="I2921" s="6" t="str">
        <f>IFERROR(VLOOKUP('Customer Info'!A2913,'Customer Info'!A2913:E3412,5,FALSE),"Not Found")</f>
        <v>Not Found</v>
      </c>
      <c r="J2921" s="2">
        <v>2017</v>
      </c>
      <c r="K2921" s="2">
        <v>1834</v>
      </c>
      <c r="L2921" s="2">
        <v>4</v>
      </c>
      <c r="M2921" s="7">
        <f t="shared" si="225"/>
        <v>7336</v>
      </c>
      <c r="N2921" s="7">
        <f t="shared" si="226"/>
        <v>8068</v>
      </c>
      <c r="O2921" s="2">
        <v>71</v>
      </c>
      <c r="P2921" s="8">
        <f t="shared" si="227"/>
        <v>8139</v>
      </c>
      <c r="Q2921" s="8">
        <f t="shared" si="228"/>
        <v>6234</v>
      </c>
      <c r="R2921" s="2" t="s">
        <v>28</v>
      </c>
      <c r="S2921" s="9">
        <f t="shared" si="229"/>
        <v>406.95000000000005</v>
      </c>
    </row>
    <row r="2922" spans="1:19" x14ac:dyDescent="0.3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str">
        <f>IFERROR(VLOOKUP('Customer Info'!A2914,'Customer Info'!A2914:C3413,2,FALSE),"Not Found")</f>
        <v>Not Found</v>
      </c>
      <c r="H2922" s="6" t="str">
        <f>IFERROR(VLOOKUP('Customer Info'!A2914,'Customer Info'!A2914:C3413,3,FALSE),"Not Found")</f>
        <v>Not Found</v>
      </c>
      <c r="I2922" s="6" t="str">
        <f>IFERROR(VLOOKUP('Customer Info'!A2914,'Customer Info'!A2914:E3413,5,FALSE),"Not Found")</f>
        <v>Not Found</v>
      </c>
      <c r="J2922" s="2">
        <v>658</v>
      </c>
      <c r="K2922" s="2">
        <v>615</v>
      </c>
      <c r="L2922" s="2">
        <v>2</v>
      </c>
      <c r="M2922" s="7">
        <f t="shared" si="225"/>
        <v>1230</v>
      </c>
      <c r="N2922" s="7">
        <f t="shared" si="226"/>
        <v>1316</v>
      </c>
      <c r="O2922" s="2">
        <v>53</v>
      </c>
      <c r="P2922" s="8">
        <f t="shared" si="227"/>
        <v>1369</v>
      </c>
      <c r="Q2922" s="8">
        <f t="shared" si="228"/>
        <v>701</v>
      </c>
      <c r="R2922" s="2" t="s">
        <v>28</v>
      </c>
      <c r="S2922" s="9">
        <f t="shared" si="229"/>
        <v>27.38</v>
      </c>
    </row>
    <row r="2923" spans="1:19" x14ac:dyDescent="0.3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str">
        <f>IFERROR(VLOOKUP('Customer Info'!A2915,'Customer Info'!A2915:C3414,2,FALSE),"Not Found")</f>
        <v>Not Found</v>
      </c>
      <c r="H2923" s="6" t="str">
        <f>IFERROR(VLOOKUP('Customer Info'!A2915,'Customer Info'!A2915:C3414,3,FALSE),"Not Found")</f>
        <v>Not Found</v>
      </c>
      <c r="I2923" s="6" t="str">
        <f>IFERROR(VLOOKUP('Customer Info'!A2915,'Customer Info'!A2915:E3414,5,FALSE),"Not Found")</f>
        <v>Not Found</v>
      </c>
      <c r="J2923" s="2">
        <v>1808</v>
      </c>
      <c r="K2923" s="2">
        <v>1740</v>
      </c>
      <c r="L2923" s="2">
        <v>3</v>
      </c>
      <c r="M2923" s="7">
        <f t="shared" si="225"/>
        <v>5220</v>
      </c>
      <c r="N2923" s="7">
        <f t="shared" si="226"/>
        <v>5424</v>
      </c>
      <c r="O2923" s="2">
        <v>41</v>
      </c>
      <c r="P2923" s="8">
        <f t="shared" si="227"/>
        <v>5465</v>
      </c>
      <c r="Q2923" s="8">
        <f t="shared" si="228"/>
        <v>3684</v>
      </c>
      <c r="R2923" s="2" t="s">
        <v>28</v>
      </c>
      <c r="S2923" s="9">
        <f t="shared" si="229"/>
        <v>273.25</v>
      </c>
    </row>
    <row r="2924" spans="1:19" x14ac:dyDescent="0.3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str">
        <f>IFERROR(VLOOKUP('Customer Info'!A2916,'Customer Info'!A2916:C3415,2,FALSE),"Not Found")</f>
        <v>Not Found</v>
      </c>
      <c r="H2924" s="6" t="str">
        <f>IFERROR(VLOOKUP('Customer Info'!A2916,'Customer Info'!A2916:C3415,3,FALSE),"Not Found")</f>
        <v>Not Found</v>
      </c>
      <c r="I2924" s="6" t="str">
        <f>IFERROR(VLOOKUP('Customer Info'!A2916,'Customer Info'!A2916:E3415,5,FALSE),"Not Found")</f>
        <v>Not Found</v>
      </c>
      <c r="J2924" s="2">
        <v>4832</v>
      </c>
      <c r="K2924" s="2">
        <v>4563</v>
      </c>
      <c r="L2924" s="2">
        <v>1</v>
      </c>
      <c r="M2924" s="7">
        <f t="shared" si="225"/>
        <v>4563</v>
      </c>
      <c r="N2924" s="7">
        <f t="shared" si="226"/>
        <v>4832</v>
      </c>
      <c r="O2924" s="2">
        <v>51</v>
      </c>
      <c r="P2924" s="8">
        <f t="shared" si="227"/>
        <v>4883</v>
      </c>
      <c r="Q2924" s="8">
        <f t="shared" si="228"/>
        <v>269</v>
      </c>
      <c r="R2924" s="2" t="s">
        <v>26</v>
      </c>
      <c r="S2924" s="9">
        <f t="shared" si="229"/>
        <v>97.66</v>
      </c>
    </row>
    <row r="2925" spans="1:19" x14ac:dyDescent="0.3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str">
        <f>IFERROR(VLOOKUP('Customer Info'!A2917,'Customer Info'!A2917:C3416,2,FALSE),"Not Found")</f>
        <v>Not Found</v>
      </c>
      <c r="H2925" s="6" t="str">
        <f>IFERROR(VLOOKUP('Customer Info'!A2917,'Customer Info'!A2917:C3416,3,FALSE),"Not Found")</f>
        <v>Not Found</v>
      </c>
      <c r="I2925" s="6" t="str">
        <f>IFERROR(VLOOKUP('Customer Info'!A2917,'Customer Info'!A2917:E3416,5,FALSE),"Not Found")</f>
        <v>Not Found</v>
      </c>
      <c r="J2925" s="2">
        <v>7960</v>
      </c>
      <c r="K2925" s="2">
        <v>7375</v>
      </c>
      <c r="L2925" s="2">
        <v>2</v>
      </c>
      <c r="M2925" s="7">
        <f t="shared" si="225"/>
        <v>14750</v>
      </c>
      <c r="N2925" s="7">
        <f t="shared" si="226"/>
        <v>15920</v>
      </c>
      <c r="O2925" s="2">
        <v>21</v>
      </c>
      <c r="P2925" s="8">
        <f t="shared" si="227"/>
        <v>15941</v>
      </c>
      <c r="Q2925" s="8">
        <f t="shared" si="228"/>
        <v>8545</v>
      </c>
      <c r="R2925" s="2" t="s">
        <v>50</v>
      </c>
      <c r="S2925" s="9">
        <f t="shared" si="229"/>
        <v>797.05000000000007</v>
      </c>
    </row>
    <row r="2926" spans="1:19" x14ac:dyDescent="0.3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str">
        <f>IFERROR(VLOOKUP('Customer Info'!A2918,'Customer Info'!A2918:C3417,2,FALSE),"Not Found")</f>
        <v>Not Found</v>
      </c>
      <c r="H2926" s="6" t="str">
        <f>IFERROR(VLOOKUP('Customer Info'!A2918,'Customer Info'!A2918:C3417,3,FALSE),"Not Found")</f>
        <v>Not Found</v>
      </c>
      <c r="I2926" s="6" t="str">
        <f>IFERROR(VLOOKUP('Customer Info'!A2918,'Customer Info'!A2918:E3417,5,FALSE),"Not Found")</f>
        <v>Not Found</v>
      </c>
      <c r="J2926" s="2">
        <v>835</v>
      </c>
      <c r="K2926" s="2">
        <v>796</v>
      </c>
      <c r="L2926" s="2">
        <v>4</v>
      </c>
      <c r="M2926" s="7">
        <f t="shared" si="225"/>
        <v>3184</v>
      </c>
      <c r="N2926" s="7">
        <f t="shared" si="226"/>
        <v>3340</v>
      </c>
      <c r="O2926" s="2">
        <v>56</v>
      </c>
      <c r="P2926" s="8">
        <f t="shared" si="227"/>
        <v>3396</v>
      </c>
      <c r="Q2926" s="8">
        <f t="shared" si="228"/>
        <v>2544</v>
      </c>
      <c r="R2926" s="2" t="s">
        <v>50</v>
      </c>
      <c r="S2926" s="9">
        <f t="shared" si="229"/>
        <v>67.92</v>
      </c>
    </row>
    <row r="2927" spans="1:19" x14ac:dyDescent="0.3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str">
        <f>IFERROR(VLOOKUP('Customer Info'!A2919,'Customer Info'!A2919:C3418,2,FALSE),"Not Found")</f>
        <v>Not Found</v>
      </c>
      <c r="H2927" s="6" t="str">
        <f>IFERROR(VLOOKUP('Customer Info'!A2919,'Customer Info'!A2919:C3418,3,FALSE),"Not Found")</f>
        <v>Not Found</v>
      </c>
      <c r="I2927" s="6" t="str">
        <f>IFERROR(VLOOKUP('Customer Info'!A2919,'Customer Info'!A2919:E3418,5,FALSE),"Not Found")</f>
        <v>Not Found</v>
      </c>
      <c r="J2927" s="2">
        <v>5882</v>
      </c>
      <c r="K2927" s="2">
        <v>5713</v>
      </c>
      <c r="L2927" s="2">
        <v>2</v>
      </c>
      <c r="M2927" s="7">
        <f t="shared" si="225"/>
        <v>11426</v>
      </c>
      <c r="N2927" s="7">
        <f t="shared" si="226"/>
        <v>11764</v>
      </c>
      <c r="O2927" s="2">
        <v>49</v>
      </c>
      <c r="P2927" s="8">
        <f t="shared" si="227"/>
        <v>11813</v>
      </c>
      <c r="Q2927" s="8">
        <f t="shared" si="228"/>
        <v>6051</v>
      </c>
      <c r="R2927" s="2" t="s">
        <v>28</v>
      </c>
      <c r="S2927" s="9">
        <f t="shared" si="229"/>
        <v>590.65</v>
      </c>
    </row>
    <row r="2928" spans="1:19" x14ac:dyDescent="0.3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str">
        <f>IFERROR(VLOOKUP('Customer Info'!A2920,'Customer Info'!A2920:C3419,2,FALSE),"Not Found")</f>
        <v>Not Found</v>
      </c>
      <c r="H2928" s="6" t="str">
        <f>IFERROR(VLOOKUP('Customer Info'!A2920,'Customer Info'!A2920:C3419,3,FALSE),"Not Found")</f>
        <v>Not Found</v>
      </c>
      <c r="I2928" s="6" t="str">
        <f>IFERROR(VLOOKUP('Customer Info'!A2920,'Customer Info'!A2920:E3419,5,FALSE),"Not Found")</f>
        <v>Not Found</v>
      </c>
      <c r="J2928" s="2">
        <v>171</v>
      </c>
      <c r="K2928" s="2">
        <v>153</v>
      </c>
      <c r="L2928" s="2">
        <v>2</v>
      </c>
      <c r="M2928" s="7">
        <f t="shared" si="225"/>
        <v>306</v>
      </c>
      <c r="N2928" s="7">
        <f t="shared" si="226"/>
        <v>342</v>
      </c>
      <c r="O2928" s="2">
        <v>30</v>
      </c>
      <c r="P2928" s="8">
        <f t="shared" si="227"/>
        <v>372</v>
      </c>
      <c r="Q2928" s="8">
        <f t="shared" si="228"/>
        <v>189</v>
      </c>
      <c r="R2928" s="2" t="s">
        <v>50</v>
      </c>
      <c r="S2928" s="9">
        <f t="shared" si="229"/>
        <v>7.44</v>
      </c>
    </row>
    <row r="2929" spans="1:19" x14ac:dyDescent="0.3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str">
        <f>IFERROR(VLOOKUP('Customer Info'!A2921,'Customer Info'!A2921:C3420,2,FALSE),"Not Found")</f>
        <v>Not Found</v>
      </c>
      <c r="H2929" s="6" t="str">
        <f>IFERROR(VLOOKUP('Customer Info'!A2921,'Customer Info'!A2921:C3420,3,FALSE),"Not Found")</f>
        <v>Not Found</v>
      </c>
      <c r="I2929" s="6" t="str">
        <f>IFERROR(VLOOKUP('Customer Info'!A2921,'Customer Info'!A2921:E3420,5,FALSE),"Not Found")</f>
        <v>Not Found</v>
      </c>
      <c r="J2929" s="2">
        <v>1552</v>
      </c>
      <c r="K2929" s="2">
        <v>1466</v>
      </c>
      <c r="L2929" s="2">
        <v>2</v>
      </c>
      <c r="M2929" s="7">
        <f t="shared" si="225"/>
        <v>2932</v>
      </c>
      <c r="N2929" s="7">
        <f t="shared" si="226"/>
        <v>3104</v>
      </c>
      <c r="O2929" s="2">
        <v>91</v>
      </c>
      <c r="P2929" s="8">
        <f t="shared" si="227"/>
        <v>3195</v>
      </c>
      <c r="Q2929" s="8">
        <f t="shared" si="228"/>
        <v>1638</v>
      </c>
      <c r="R2929" s="2" t="s">
        <v>50</v>
      </c>
      <c r="S2929" s="9">
        <f t="shared" si="229"/>
        <v>63.9</v>
      </c>
    </row>
    <row r="2930" spans="1:19" x14ac:dyDescent="0.3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str">
        <f>IFERROR(VLOOKUP('Customer Info'!A2922,'Customer Info'!A2922:C3421,2,FALSE),"Not Found")</f>
        <v>Not Found</v>
      </c>
      <c r="H2930" s="6" t="str">
        <f>IFERROR(VLOOKUP('Customer Info'!A2922,'Customer Info'!A2922:C3421,3,FALSE),"Not Found")</f>
        <v>Not Found</v>
      </c>
      <c r="I2930" s="6" t="str">
        <f>IFERROR(VLOOKUP('Customer Info'!A2922,'Customer Info'!A2922:E3421,5,FALSE),"Not Found")</f>
        <v>Not Found</v>
      </c>
      <c r="J2930" s="2">
        <v>405</v>
      </c>
      <c r="K2930" s="2">
        <v>381</v>
      </c>
      <c r="L2930" s="2">
        <v>5</v>
      </c>
      <c r="M2930" s="7">
        <f t="shared" si="225"/>
        <v>1905</v>
      </c>
      <c r="N2930" s="7">
        <f t="shared" si="226"/>
        <v>2025</v>
      </c>
      <c r="O2930" s="2">
        <v>52</v>
      </c>
      <c r="P2930" s="8">
        <f t="shared" si="227"/>
        <v>2077</v>
      </c>
      <c r="Q2930" s="8">
        <f t="shared" si="228"/>
        <v>1644</v>
      </c>
      <c r="R2930" s="2" t="s">
        <v>28</v>
      </c>
      <c r="S2930" s="9">
        <f t="shared" si="229"/>
        <v>41.54</v>
      </c>
    </row>
    <row r="2931" spans="1:19" x14ac:dyDescent="0.3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str">
        <f>IFERROR(VLOOKUP('Customer Info'!A2923,'Customer Info'!A2923:C3422,2,FALSE),"Not Found")</f>
        <v>Not Found</v>
      </c>
      <c r="H2931" s="6" t="str">
        <f>IFERROR(VLOOKUP('Customer Info'!A2923,'Customer Info'!A2923:C3422,3,FALSE),"Not Found")</f>
        <v>Not Found</v>
      </c>
      <c r="I2931" s="6" t="str">
        <f>IFERROR(VLOOKUP('Customer Info'!A2923,'Customer Info'!A2923:E3422,5,FALSE),"Not Found")</f>
        <v>Not Found</v>
      </c>
      <c r="J2931" s="2">
        <v>183</v>
      </c>
      <c r="K2931" s="2">
        <v>172</v>
      </c>
      <c r="L2931" s="2">
        <v>3</v>
      </c>
      <c r="M2931" s="7">
        <f t="shared" si="225"/>
        <v>516</v>
      </c>
      <c r="N2931" s="7">
        <f t="shared" si="226"/>
        <v>549</v>
      </c>
      <c r="O2931" s="2">
        <v>30</v>
      </c>
      <c r="P2931" s="8">
        <f t="shared" si="227"/>
        <v>579</v>
      </c>
      <c r="Q2931" s="8">
        <f t="shared" si="228"/>
        <v>377</v>
      </c>
      <c r="R2931" s="2" t="s">
        <v>28</v>
      </c>
      <c r="S2931" s="9">
        <f t="shared" si="229"/>
        <v>11.58</v>
      </c>
    </row>
    <row r="2932" spans="1:19" x14ac:dyDescent="0.3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str">
        <f>IFERROR(VLOOKUP('Customer Info'!A2924,'Customer Info'!A2924:C3423,2,FALSE),"Not Found")</f>
        <v>Not Found</v>
      </c>
      <c r="H2932" s="6" t="str">
        <f>IFERROR(VLOOKUP('Customer Info'!A2924,'Customer Info'!A2924:C3423,3,FALSE),"Not Found")</f>
        <v>Not Found</v>
      </c>
      <c r="I2932" s="6" t="str">
        <f>IFERROR(VLOOKUP('Customer Info'!A2924,'Customer Info'!A2924:E3423,5,FALSE),"Not Found")</f>
        <v>Not Found</v>
      </c>
      <c r="J2932" s="2">
        <v>1292</v>
      </c>
      <c r="K2932" s="2">
        <v>1185</v>
      </c>
      <c r="L2932" s="2">
        <v>3</v>
      </c>
      <c r="M2932" s="7">
        <f t="shared" si="225"/>
        <v>3555</v>
      </c>
      <c r="N2932" s="7">
        <f t="shared" si="226"/>
        <v>3876</v>
      </c>
      <c r="O2932" s="2">
        <v>63</v>
      </c>
      <c r="P2932" s="8">
        <f t="shared" si="227"/>
        <v>3939</v>
      </c>
      <c r="Q2932" s="8">
        <f t="shared" si="228"/>
        <v>2691</v>
      </c>
      <c r="R2932" s="2" t="s">
        <v>50</v>
      </c>
      <c r="S2932" s="9">
        <f t="shared" si="229"/>
        <v>78.78</v>
      </c>
    </row>
    <row r="2933" spans="1:19" x14ac:dyDescent="0.3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str">
        <f>IFERROR(VLOOKUP('Customer Info'!A2925,'Customer Info'!A2925:C3424,2,FALSE),"Not Found")</f>
        <v>Not Found</v>
      </c>
      <c r="H2933" s="6" t="str">
        <f>IFERROR(VLOOKUP('Customer Info'!A2925,'Customer Info'!A2925:C3424,3,FALSE),"Not Found")</f>
        <v>Not Found</v>
      </c>
      <c r="I2933" s="6" t="str">
        <f>IFERROR(VLOOKUP('Customer Info'!A2925,'Customer Info'!A2925:E3424,5,FALSE),"Not Found")</f>
        <v>Not Found</v>
      </c>
      <c r="J2933" s="2">
        <v>8738</v>
      </c>
      <c r="K2933" s="2">
        <v>8162</v>
      </c>
      <c r="L2933" s="2">
        <v>3</v>
      </c>
      <c r="M2933" s="7">
        <f t="shared" si="225"/>
        <v>24486</v>
      </c>
      <c r="N2933" s="7">
        <f t="shared" si="226"/>
        <v>26214</v>
      </c>
      <c r="O2933" s="2">
        <v>29</v>
      </c>
      <c r="P2933" s="8">
        <f t="shared" si="227"/>
        <v>26243</v>
      </c>
      <c r="Q2933" s="8">
        <f t="shared" si="228"/>
        <v>18052</v>
      </c>
      <c r="R2933" s="2" t="s">
        <v>28</v>
      </c>
      <c r="S2933" s="9">
        <f t="shared" si="229"/>
        <v>1837.0100000000002</v>
      </c>
    </row>
    <row r="2934" spans="1:19" x14ac:dyDescent="0.3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str">
        <f>IFERROR(VLOOKUP('Customer Info'!A2926,'Customer Info'!A2926:C3425,2,FALSE),"Not Found")</f>
        <v>Not Found</v>
      </c>
      <c r="H2934" s="6" t="str">
        <f>IFERROR(VLOOKUP('Customer Info'!A2926,'Customer Info'!A2926:C3425,3,FALSE),"Not Found")</f>
        <v>Not Found</v>
      </c>
      <c r="I2934" s="6" t="str">
        <f>IFERROR(VLOOKUP('Customer Info'!A2926,'Customer Info'!A2926:E3425,5,FALSE),"Not Found")</f>
        <v>Not Found</v>
      </c>
      <c r="J2934" s="2">
        <v>1512</v>
      </c>
      <c r="K2934" s="2">
        <v>1497</v>
      </c>
      <c r="L2934" s="2">
        <v>9</v>
      </c>
      <c r="M2934" s="7">
        <f t="shared" si="225"/>
        <v>13473</v>
      </c>
      <c r="N2934" s="7">
        <f t="shared" si="226"/>
        <v>13608</v>
      </c>
      <c r="O2934" s="2">
        <v>63</v>
      </c>
      <c r="P2934" s="8">
        <f t="shared" si="227"/>
        <v>13671</v>
      </c>
      <c r="Q2934" s="8">
        <f t="shared" si="228"/>
        <v>12111</v>
      </c>
      <c r="R2934" s="2" t="s">
        <v>56</v>
      </c>
      <c r="S2934" s="9">
        <f t="shared" si="229"/>
        <v>683.55000000000007</v>
      </c>
    </row>
    <row r="2935" spans="1:19" x14ac:dyDescent="0.3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str">
        <f>IFERROR(VLOOKUP('Customer Info'!A2927,'Customer Info'!A2927:C3426,2,FALSE),"Not Found")</f>
        <v>Not Found</v>
      </c>
      <c r="H2935" s="6" t="str">
        <f>IFERROR(VLOOKUP('Customer Info'!A2927,'Customer Info'!A2927:C3426,3,FALSE),"Not Found")</f>
        <v>Not Found</v>
      </c>
      <c r="I2935" s="6" t="str">
        <f>IFERROR(VLOOKUP('Customer Info'!A2927,'Customer Info'!A2927:E3426,5,FALSE),"Not Found")</f>
        <v>Not Found</v>
      </c>
      <c r="J2935" s="2">
        <v>679</v>
      </c>
      <c r="K2935" s="2">
        <v>654</v>
      </c>
      <c r="L2935" s="2">
        <v>2</v>
      </c>
      <c r="M2935" s="7">
        <f t="shared" si="225"/>
        <v>1308</v>
      </c>
      <c r="N2935" s="7">
        <f t="shared" si="226"/>
        <v>1358</v>
      </c>
      <c r="O2935" s="2">
        <v>67</v>
      </c>
      <c r="P2935" s="8">
        <f t="shared" si="227"/>
        <v>1425</v>
      </c>
      <c r="Q2935" s="8">
        <f t="shared" si="228"/>
        <v>704</v>
      </c>
      <c r="R2935" s="2" t="s">
        <v>28</v>
      </c>
      <c r="S2935" s="9">
        <f t="shared" si="229"/>
        <v>28.5</v>
      </c>
    </row>
    <row r="2936" spans="1:19" x14ac:dyDescent="0.3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str">
        <f>IFERROR(VLOOKUP('Customer Info'!A2928,'Customer Info'!A2928:C3427,2,FALSE),"Not Found")</f>
        <v>Not Found</v>
      </c>
      <c r="H2936" s="6" t="str">
        <f>IFERROR(VLOOKUP('Customer Info'!A2928,'Customer Info'!A2928:C3427,3,FALSE),"Not Found")</f>
        <v>Not Found</v>
      </c>
      <c r="I2936" s="6" t="str">
        <f>IFERROR(VLOOKUP('Customer Info'!A2928,'Customer Info'!A2928:E3427,5,FALSE),"Not Found")</f>
        <v>Not Found</v>
      </c>
      <c r="J2936" s="2">
        <v>8686</v>
      </c>
      <c r="K2936" s="2">
        <v>8035</v>
      </c>
      <c r="L2936" s="2">
        <v>3</v>
      </c>
      <c r="M2936" s="7">
        <f t="shared" si="225"/>
        <v>24105</v>
      </c>
      <c r="N2936" s="7">
        <f t="shared" si="226"/>
        <v>26058</v>
      </c>
      <c r="O2936" s="2">
        <v>40</v>
      </c>
      <c r="P2936" s="8">
        <f t="shared" si="227"/>
        <v>26098</v>
      </c>
      <c r="Q2936" s="8">
        <f t="shared" si="228"/>
        <v>18023</v>
      </c>
      <c r="R2936" s="2" t="s">
        <v>56</v>
      </c>
      <c r="S2936" s="9">
        <f t="shared" si="229"/>
        <v>1826.8600000000001</v>
      </c>
    </row>
    <row r="2937" spans="1:19" x14ac:dyDescent="0.3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str">
        <f>IFERROR(VLOOKUP('Customer Info'!A2929,'Customer Info'!A2929:C3428,2,FALSE),"Not Found")</f>
        <v>Not Found</v>
      </c>
      <c r="H2937" s="6" t="str">
        <f>IFERROR(VLOOKUP('Customer Info'!A2929,'Customer Info'!A2929:C3428,3,FALSE),"Not Found")</f>
        <v>Not Found</v>
      </c>
      <c r="I2937" s="6" t="str">
        <f>IFERROR(VLOOKUP('Customer Info'!A2929,'Customer Info'!A2929:E3428,5,FALSE),"Not Found")</f>
        <v>Not Found</v>
      </c>
      <c r="J2937" s="2">
        <v>1834</v>
      </c>
      <c r="K2937" s="2">
        <v>1716</v>
      </c>
      <c r="L2937" s="2">
        <v>5</v>
      </c>
      <c r="M2937" s="7">
        <f t="shared" si="225"/>
        <v>8580</v>
      </c>
      <c r="N2937" s="7">
        <f t="shared" si="226"/>
        <v>9170</v>
      </c>
      <c r="O2937" s="2">
        <v>55</v>
      </c>
      <c r="P2937" s="8">
        <f t="shared" si="227"/>
        <v>9225</v>
      </c>
      <c r="Q2937" s="8">
        <f t="shared" si="228"/>
        <v>7454</v>
      </c>
      <c r="R2937" s="2" t="s">
        <v>28</v>
      </c>
      <c r="S2937" s="9">
        <f t="shared" si="229"/>
        <v>461.25</v>
      </c>
    </row>
    <row r="2938" spans="1:19" x14ac:dyDescent="0.3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str">
        <f>IFERROR(VLOOKUP('Customer Info'!A2930,'Customer Info'!A2930:C3429,2,FALSE),"Not Found")</f>
        <v>Not Found</v>
      </c>
      <c r="H2938" s="6" t="str">
        <f>IFERROR(VLOOKUP('Customer Info'!A2930,'Customer Info'!A2930:C3429,3,FALSE),"Not Found")</f>
        <v>Not Found</v>
      </c>
      <c r="I2938" s="6" t="str">
        <f>IFERROR(VLOOKUP('Customer Info'!A2930,'Customer Info'!A2930:E3429,5,FALSE),"Not Found")</f>
        <v>Not Found</v>
      </c>
      <c r="J2938" s="2">
        <v>8022</v>
      </c>
      <c r="K2938" s="2">
        <v>7868</v>
      </c>
      <c r="L2938" s="2">
        <v>3</v>
      </c>
      <c r="M2938" s="7">
        <f t="shared" si="225"/>
        <v>23604</v>
      </c>
      <c r="N2938" s="7">
        <f t="shared" si="226"/>
        <v>24066</v>
      </c>
      <c r="O2938" s="2">
        <v>59</v>
      </c>
      <c r="P2938" s="8">
        <f t="shared" si="227"/>
        <v>24125</v>
      </c>
      <c r="Q2938" s="8">
        <f t="shared" si="228"/>
        <v>16198</v>
      </c>
      <c r="R2938" s="2" t="s">
        <v>28</v>
      </c>
      <c r="S2938" s="9">
        <f t="shared" si="229"/>
        <v>1206.25</v>
      </c>
    </row>
    <row r="2939" spans="1:19" x14ac:dyDescent="0.3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str">
        <f>IFERROR(VLOOKUP('Customer Info'!A2931,'Customer Info'!A2931:C3430,2,FALSE),"Not Found")</f>
        <v>Not Found</v>
      </c>
      <c r="H2939" s="6" t="str">
        <f>IFERROR(VLOOKUP('Customer Info'!A2931,'Customer Info'!A2931:C3430,3,FALSE),"Not Found")</f>
        <v>Not Found</v>
      </c>
      <c r="I2939" s="6" t="str">
        <f>IFERROR(VLOOKUP('Customer Info'!A2931,'Customer Info'!A2931:E3430,5,FALSE),"Not Found")</f>
        <v>Not Found</v>
      </c>
      <c r="J2939" s="2">
        <v>1528</v>
      </c>
      <c r="K2939" s="2">
        <v>1348</v>
      </c>
      <c r="L2939" s="2">
        <v>3</v>
      </c>
      <c r="M2939" s="7">
        <f t="shared" si="225"/>
        <v>4044</v>
      </c>
      <c r="N2939" s="7">
        <f t="shared" si="226"/>
        <v>4584</v>
      </c>
      <c r="O2939" s="2">
        <v>27</v>
      </c>
      <c r="P2939" s="8">
        <f t="shared" si="227"/>
        <v>4611</v>
      </c>
      <c r="Q2939" s="8">
        <f t="shared" si="228"/>
        <v>3236</v>
      </c>
      <c r="R2939" s="2" t="s">
        <v>28</v>
      </c>
      <c r="S2939" s="9">
        <f t="shared" si="229"/>
        <v>92.22</v>
      </c>
    </row>
    <row r="2940" spans="1:19" x14ac:dyDescent="0.3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str">
        <f>IFERROR(VLOOKUP('Customer Info'!A2932,'Customer Info'!A2932:C3431,2,FALSE),"Not Found")</f>
        <v>Not Found</v>
      </c>
      <c r="H2940" s="6" t="str">
        <f>IFERROR(VLOOKUP('Customer Info'!A2932,'Customer Info'!A2932:C3431,3,FALSE),"Not Found")</f>
        <v>Not Found</v>
      </c>
      <c r="I2940" s="6" t="str">
        <f>IFERROR(VLOOKUP('Customer Info'!A2932,'Customer Info'!A2932:E3431,5,FALSE),"Not Found")</f>
        <v>Not Found</v>
      </c>
      <c r="J2940" s="2">
        <v>4577</v>
      </c>
      <c r="K2940" s="2">
        <v>4285</v>
      </c>
      <c r="L2940" s="2">
        <v>3</v>
      </c>
      <c r="M2940" s="7">
        <f t="shared" si="225"/>
        <v>12855</v>
      </c>
      <c r="N2940" s="7">
        <f t="shared" si="226"/>
        <v>13731</v>
      </c>
      <c r="O2940" s="2">
        <v>46</v>
      </c>
      <c r="P2940" s="8">
        <f t="shared" si="227"/>
        <v>13777</v>
      </c>
      <c r="Q2940" s="8">
        <f t="shared" si="228"/>
        <v>9446</v>
      </c>
      <c r="R2940" s="2" t="s">
        <v>28</v>
      </c>
      <c r="S2940" s="9">
        <f t="shared" si="229"/>
        <v>688.85</v>
      </c>
    </row>
    <row r="2941" spans="1:19" x14ac:dyDescent="0.3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str">
        <f>IFERROR(VLOOKUP('Customer Info'!A2933,'Customer Info'!A2933:C3432,2,FALSE),"Not Found")</f>
        <v>Not Found</v>
      </c>
      <c r="H2941" s="6" t="str">
        <f>IFERROR(VLOOKUP('Customer Info'!A2933,'Customer Info'!A2933:C3432,3,FALSE),"Not Found")</f>
        <v>Not Found</v>
      </c>
      <c r="I2941" s="6" t="str">
        <f>IFERROR(VLOOKUP('Customer Info'!A2933,'Customer Info'!A2933:E3432,5,FALSE),"Not Found")</f>
        <v>Not Found</v>
      </c>
      <c r="J2941" s="2">
        <v>6768</v>
      </c>
      <c r="K2941" s="2">
        <v>6512</v>
      </c>
      <c r="L2941" s="2">
        <v>1</v>
      </c>
      <c r="M2941" s="7">
        <f t="shared" si="225"/>
        <v>6512</v>
      </c>
      <c r="N2941" s="7">
        <f t="shared" si="226"/>
        <v>6768</v>
      </c>
      <c r="O2941" s="2">
        <v>40</v>
      </c>
      <c r="P2941" s="8">
        <f t="shared" si="227"/>
        <v>6808</v>
      </c>
      <c r="Q2941" s="8">
        <f t="shared" si="228"/>
        <v>256</v>
      </c>
      <c r="R2941" s="2" t="s">
        <v>26</v>
      </c>
      <c r="S2941" s="9">
        <f t="shared" si="229"/>
        <v>340.40000000000003</v>
      </c>
    </row>
    <row r="2942" spans="1:19" x14ac:dyDescent="0.3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str">
        <f>IFERROR(VLOOKUP('Customer Info'!A2934,'Customer Info'!A2934:C3433,2,FALSE),"Not Found")</f>
        <v>Not Found</v>
      </c>
      <c r="H2942" s="6" t="str">
        <f>IFERROR(VLOOKUP('Customer Info'!A2934,'Customer Info'!A2934:C3433,3,FALSE),"Not Found")</f>
        <v>Not Found</v>
      </c>
      <c r="I2942" s="6" t="str">
        <f>IFERROR(VLOOKUP('Customer Info'!A2934,'Customer Info'!A2934:E3433,5,FALSE),"Not Found")</f>
        <v>Not Found</v>
      </c>
      <c r="J2942" s="2">
        <v>1718</v>
      </c>
      <c r="K2942" s="2">
        <v>1545</v>
      </c>
      <c r="L2942" s="2">
        <v>5</v>
      </c>
      <c r="M2942" s="7">
        <f t="shared" si="225"/>
        <v>7725</v>
      </c>
      <c r="N2942" s="7">
        <f t="shared" si="226"/>
        <v>8590</v>
      </c>
      <c r="O2942" s="2">
        <v>81</v>
      </c>
      <c r="P2942" s="8">
        <f t="shared" si="227"/>
        <v>8671</v>
      </c>
      <c r="Q2942" s="8">
        <f t="shared" si="228"/>
        <v>7045</v>
      </c>
      <c r="R2942" s="2" t="s">
        <v>28</v>
      </c>
      <c r="S2942" s="9">
        <f t="shared" si="229"/>
        <v>433.55</v>
      </c>
    </row>
    <row r="2943" spans="1:19" x14ac:dyDescent="0.3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str">
        <f>IFERROR(VLOOKUP('Customer Info'!A2935,'Customer Info'!A2935:C3434,2,FALSE),"Not Found")</f>
        <v>Not Found</v>
      </c>
      <c r="H2943" s="6" t="str">
        <f>IFERROR(VLOOKUP('Customer Info'!A2935,'Customer Info'!A2935:C3434,3,FALSE),"Not Found")</f>
        <v>Not Found</v>
      </c>
      <c r="I2943" s="6" t="str">
        <f>IFERROR(VLOOKUP('Customer Info'!A2935,'Customer Info'!A2935:E3434,5,FALSE),"Not Found")</f>
        <v>Not Found</v>
      </c>
      <c r="J2943" s="2">
        <v>162</v>
      </c>
      <c r="K2943" s="2">
        <v>148</v>
      </c>
      <c r="L2943" s="2">
        <v>1</v>
      </c>
      <c r="M2943" s="7">
        <f t="shared" si="225"/>
        <v>148</v>
      </c>
      <c r="N2943" s="7">
        <f t="shared" si="226"/>
        <v>162</v>
      </c>
      <c r="O2943" s="2">
        <v>30</v>
      </c>
      <c r="P2943" s="8">
        <f t="shared" si="227"/>
        <v>192</v>
      </c>
      <c r="Q2943" s="8">
        <f t="shared" si="228"/>
        <v>14</v>
      </c>
      <c r="R2943" s="2" t="s">
        <v>28</v>
      </c>
      <c r="S2943" s="9">
        <f t="shared" si="229"/>
        <v>3.84</v>
      </c>
    </row>
    <row r="2944" spans="1:19" x14ac:dyDescent="0.3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str">
        <f>IFERROR(VLOOKUP('Customer Info'!A2936,'Customer Info'!A2936:C3435,2,FALSE),"Not Found")</f>
        <v>Not Found</v>
      </c>
      <c r="H2944" s="6" t="str">
        <f>IFERROR(VLOOKUP('Customer Info'!A2936,'Customer Info'!A2936:C3435,3,FALSE),"Not Found")</f>
        <v>Not Found</v>
      </c>
      <c r="I2944" s="6" t="str">
        <f>IFERROR(VLOOKUP('Customer Info'!A2936,'Customer Info'!A2936:E3435,5,FALSE),"Not Found")</f>
        <v>Not Found</v>
      </c>
      <c r="J2944" s="2">
        <v>1601</v>
      </c>
      <c r="K2944" s="2">
        <v>1510</v>
      </c>
      <c r="L2944" s="2">
        <v>1</v>
      </c>
      <c r="M2944" s="7">
        <f t="shared" si="225"/>
        <v>1510</v>
      </c>
      <c r="N2944" s="7">
        <f t="shared" si="226"/>
        <v>1601</v>
      </c>
      <c r="O2944" s="2">
        <v>28</v>
      </c>
      <c r="P2944" s="8">
        <f t="shared" si="227"/>
        <v>1629</v>
      </c>
      <c r="Q2944" s="8">
        <f t="shared" si="228"/>
        <v>91</v>
      </c>
      <c r="R2944" s="2" t="s">
        <v>26</v>
      </c>
      <c r="S2944" s="9">
        <f t="shared" si="229"/>
        <v>32.58</v>
      </c>
    </row>
    <row r="2945" spans="1:19" x14ac:dyDescent="0.3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str">
        <f>IFERROR(VLOOKUP('Customer Info'!A2937,'Customer Info'!A2937:C3436,2,FALSE),"Not Found")</f>
        <v>Not Found</v>
      </c>
      <c r="H2945" s="6" t="str">
        <f>IFERROR(VLOOKUP('Customer Info'!A2937,'Customer Info'!A2937:C3436,3,FALSE),"Not Found")</f>
        <v>Not Found</v>
      </c>
      <c r="I2945" s="6" t="str">
        <f>IFERROR(VLOOKUP('Customer Info'!A2937,'Customer Info'!A2937:E3436,5,FALSE),"Not Found")</f>
        <v>Not Found</v>
      </c>
      <c r="J2945" s="2">
        <v>2706</v>
      </c>
      <c r="K2945" s="2">
        <v>2553</v>
      </c>
      <c r="L2945" s="2">
        <v>6</v>
      </c>
      <c r="M2945" s="7">
        <f t="shared" si="225"/>
        <v>15318</v>
      </c>
      <c r="N2945" s="7">
        <f t="shared" si="226"/>
        <v>16236</v>
      </c>
      <c r="O2945" s="2">
        <v>77</v>
      </c>
      <c r="P2945" s="8">
        <f t="shared" si="227"/>
        <v>16313</v>
      </c>
      <c r="Q2945" s="8">
        <f t="shared" si="228"/>
        <v>13683</v>
      </c>
      <c r="R2945" s="2" t="s">
        <v>28</v>
      </c>
      <c r="S2945" s="9">
        <f t="shared" si="229"/>
        <v>815.65000000000009</v>
      </c>
    </row>
    <row r="2946" spans="1:19" x14ac:dyDescent="0.3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str">
        <f>IFERROR(VLOOKUP('Customer Info'!A2938,'Customer Info'!A2938:C3437,2,FALSE),"Not Found")</f>
        <v>Not Found</v>
      </c>
      <c r="H2946" s="6" t="str">
        <f>IFERROR(VLOOKUP('Customer Info'!A2938,'Customer Info'!A2938:C3437,3,FALSE),"Not Found")</f>
        <v>Not Found</v>
      </c>
      <c r="I2946" s="6" t="str">
        <f>IFERROR(VLOOKUP('Customer Info'!A2938,'Customer Info'!A2938:E3437,5,FALSE),"Not Found")</f>
        <v>Not Found</v>
      </c>
      <c r="J2946" s="2">
        <v>3176</v>
      </c>
      <c r="K2946" s="2">
        <v>3116</v>
      </c>
      <c r="L2946" s="2">
        <v>3</v>
      </c>
      <c r="M2946" s="7">
        <f t="shared" si="225"/>
        <v>9348</v>
      </c>
      <c r="N2946" s="7">
        <f t="shared" si="226"/>
        <v>9528</v>
      </c>
      <c r="O2946" s="2">
        <v>37</v>
      </c>
      <c r="P2946" s="8">
        <f t="shared" si="227"/>
        <v>9565</v>
      </c>
      <c r="Q2946" s="8">
        <f t="shared" si="228"/>
        <v>6412</v>
      </c>
      <c r="R2946" s="2" t="s">
        <v>50</v>
      </c>
      <c r="S2946" s="9">
        <f t="shared" si="229"/>
        <v>478.25</v>
      </c>
    </row>
    <row r="2947" spans="1:19" x14ac:dyDescent="0.3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str">
        <f>IFERROR(VLOOKUP('Customer Info'!A2939,'Customer Info'!A2939:C3438,2,FALSE),"Not Found")</f>
        <v>Not Found</v>
      </c>
      <c r="H2947" s="6" t="str">
        <f>IFERROR(VLOOKUP('Customer Info'!A2939,'Customer Info'!A2939:C3438,3,FALSE),"Not Found")</f>
        <v>Not Found</v>
      </c>
      <c r="I2947" s="6" t="str">
        <f>IFERROR(VLOOKUP('Customer Info'!A2939,'Customer Info'!A2939:E3438,5,FALSE),"Not Found")</f>
        <v>Not Found</v>
      </c>
      <c r="J2947" s="2">
        <v>9214</v>
      </c>
      <c r="K2947" s="2">
        <v>8295</v>
      </c>
      <c r="L2947" s="2">
        <v>1</v>
      </c>
      <c r="M2947" s="7">
        <f t="shared" si="225"/>
        <v>8295</v>
      </c>
      <c r="N2947" s="7">
        <f t="shared" si="226"/>
        <v>9214</v>
      </c>
      <c r="O2947" s="2">
        <v>23</v>
      </c>
      <c r="P2947" s="8">
        <f t="shared" si="227"/>
        <v>9237</v>
      </c>
      <c r="Q2947" s="8">
        <f t="shared" si="228"/>
        <v>919</v>
      </c>
      <c r="R2947" s="2" t="s">
        <v>26</v>
      </c>
      <c r="S2947" s="9">
        <f t="shared" si="229"/>
        <v>461.85</v>
      </c>
    </row>
    <row r="2948" spans="1:19" x14ac:dyDescent="0.3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str">
        <f>IFERROR(VLOOKUP('Customer Info'!A2940,'Customer Info'!A2940:C3439,2,FALSE),"Not Found")</f>
        <v>Not Found</v>
      </c>
      <c r="H2948" s="6" t="str">
        <f>IFERROR(VLOOKUP('Customer Info'!A2940,'Customer Info'!A2940:C3439,3,FALSE),"Not Found")</f>
        <v>Not Found</v>
      </c>
      <c r="I2948" s="6" t="str">
        <f>IFERROR(VLOOKUP('Customer Info'!A2940,'Customer Info'!A2940:E3439,5,FALSE),"Not Found")</f>
        <v>Not Found</v>
      </c>
      <c r="J2948" s="2">
        <v>1703</v>
      </c>
      <c r="K2948" s="2">
        <v>1639</v>
      </c>
      <c r="L2948" s="2">
        <v>1</v>
      </c>
      <c r="M2948" s="7">
        <f t="shared" si="225"/>
        <v>1639</v>
      </c>
      <c r="N2948" s="7">
        <f t="shared" si="226"/>
        <v>1703</v>
      </c>
      <c r="O2948" s="2">
        <v>54</v>
      </c>
      <c r="P2948" s="8">
        <f t="shared" si="227"/>
        <v>1757</v>
      </c>
      <c r="Q2948" s="8">
        <f t="shared" si="228"/>
        <v>64</v>
      </c>
      <c r="R2948" s="2" t="s">
        <v>28</v>
      </c>
      <c r="S2948" s="9">
        <f t="shared" si="229"/>
        <v>35.14</v>
      </c>
    </row>
    <row r="2949" spans="1:19" x14ac:dyDescent="0.3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str">
        <f>IFERROR(VLOOKUP('Customer Info'!A2941,'Customer Info'!A2941:C3440,2,FALSE),"Not Found")</f>
        <v>Not Found</v>
      </c>
      <c r="H2949" s="6" t="str">
        <f>IFERROR(VLOOKUP('Customer Info'!A2941,'Customer Info'!A2941:C3440,3,FALSE),"Not Found")</f>
        <v>Not Found</v>
      </c>
      <c r="I2949" s="6" t="str">
        <f>IFERROR(VLOOKUP('Customer Info'!A2941,'Customer Info'!A2941:E3440,5,FALSE),"Not Found")</f>
        <v>Not Found</v>
      </c>
      <c r="J2949" s="2">
        <v>7922</v>
      </c>
      <c r="K2949" s="2">
        <v>7328</v>
      </c>
      <c r="L2949" s="2">
        <v>2</v>
      </c>
      <c r="M2949" s="7">
        <f t="shared" si="225"/>
        <v>14656</v>
      </c>
      <c r="N2949" s="7">
        <f t="shared" si="226"/>
        <v>15844</v>
      </c>
      <c r="O2949" s="2">
        <v>93</v>
      </c>
      <c r="P2949" s="8">
        <f t="shared" si="227"/>
        <v>15937</v>
      </c>
      <c r="Q2949" s="8">
        <f t="shared" si="228"/>
        <v>8516</v>
      </c>
      <c r="R2949" s="2" t="s">
        <v>28</v>
      </c>
      <c r="S2949" s="9">
        <f t="shared" si="229"/>
        <v>796.85</v>
      </c>
    </row>
    <row r="2950" spans="1:19" x14ac:dyDescent="0.3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str">
        <f>IFERROR(VLOOKUP('Customer Info'!A2942,'Customer Info'!A2942:C3441,2,FALSE),"Not Found")</f>
        <v>Not Found</v>
      </c>
      <c r="H2950" s="6" t="str">
        <f>IFERROR(VLOOKUP('Customer Info'!A2942,'Customer Info'!A2942:C3441,3,FALSE),"Not Found")</f>
        <v>Not Found</v>
      </c>
      <c r="I2950" s="6" t="str">
        <f>IFERROR(VLOOKUP('Customer Info'!A2942,'Customer Info'!A2942:E3441,5,FALSE),"Not Found")</f>
        <v>Not Found</v>
      </c>
      <c r="J2950" s="2">
        <v>60</v>
      </c>
      <c r="K2950" s="2">
        <v>55</v>
      </c>
      <c r="L2950" s="2">
        <v>2</v>
      </c>
      <c r="M2950" s="7">
        <f t="shared" si="225"/>
        <v>110</v>
      </c>
      <c r="N2950" s="7">
        <f t="shared" si="226"/>
        <v>120</v>
      </c>
      <c r="O2950" s="2">
        <v>10</v>
      </c>
      <c r="P2950" s="8">
        <f t="shared" si="227"/>
        <v>130</v>
      </c>
      <c r="Q2950" s="8">
        <f t="shared" si="228"/>
        <v>65</v>
      </c>
      <c r="R2950" s="2" t="s">
        <v>28</v>
      </c>
      <c r="S2950" s="9">
        <f t="shared" si="229"/>
        <v>2.6</v>
      </c>
    </row>
    <row r="2951" spans="1:19" x14ac:dyDescent="0.3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str">
        <f>IFERROR(VLOOKUP('Customer Info'!A2943,'Customer Info'!A2943:C3442,2,FALSE),"Not Found")</f>
        <v>Not Found</v>
      </c>
      <c r="H2951" s="6" t="str">
        <f>IFERROR(VLOOKUP('Customer Info'!A2943,'Customer Info'!A2943:C3442,3,FALSE),"Not Found")</f>
        <v>Not Found</v>
      </c>
      <c r="I2951" s="6" t="str">
        <f>IFERROR(VLOOKUP('Customer Info'!A2943,'Customer Info'!A2943:E3442,5,FALSE),"Not Found")</f>
        <v>Not Found</v>
      </c>
      <c r="J2951" s="2">
        <v>1568</v>
      </c>
      <c r="K2951" s="2">
        <v>1495</v>
      </c>
      <c r="L2951" s="2">
        <v>1</v>
      </c>
      <c r="M2951" s="7">
        <f t="shared" si="225"/>
        <v>1495</v>
      </c>
      <c r="N2951" s="7">
        <f t="shared" si="226"/>
        <v>1568</v>
      </c>
      <c r="O2951" s="2">
        <v>88</v>
      </c>
      <c r="P2951" s="8">
        <f t="shared" si="227"/>
        <v>1656</v>
      </c>
      <c r="Q2951" s="8">
        <f t="shared" si="228"/>
        <v>73</v>
      </c>
      <c r="R2951" s="2" t="s">
        <v>28</v>
      </c>
      <c r="S2951" s="9">
        <f t="shared" si="229"/>
        <v>33.119999999999997</v>
      </c>
    </row>
    <row r="2952" spans="1:19" x14ac:dyDescent="0.3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str">
        <f>IFERROR(VLOOKUP('Customer Info'!A2944,'Customer Info'!A2944:C3443,2,FALSE),"Not Found")</f>
        <v>Not Found</v>
      </c>
      <c r="H2952" s="6" t="str">
        <f>IFERROR(VLOOKUP('Customer Info'!A2944,'Customer Info'!A2944:C3443,3,FALSE),"Not Found")</f>
        <v>Not Found</v>
      </c>
      <c r="I2952" s="6" t="str">
        <f>IFERROR(VLOOKUP('Customer Info'!A2944,'Customer Info'!A2944:E3443,5,FALSE),"Not Found")</f>
        <v>Not Found</v>
      </c>
      <c r="J2952" s="2">
        <v>82</v>
      </c>
      <c r="K2952" s="2">
        <v>79</v>
      </c>
      <c r="L2952" s="2">
        <v>5</v>
      </c>
      <c r="M2952" s="7">
        <f t="shared" si="225"/>
        <v>395</v>
      </c>
      <c r="N2952" s="7">
        <f t="shared" si="226"/>
        <v>410</v>
      </c>
      <c r="O2952" s="2">
        <v>10</v>
      </c>
      <c r="P2952" s="8">
        <f t="shared" si="227"/>
        <v>420</v>
      </c>
      <c r="Q2952" s="8">
        <f t="shared" si="228"/>
        <v>331</v>
      </c>
      <c r="R2952" s="2" t="s">
        <v>26</v>
      </c>
      <c r="S2952" s="9">
        <f t="shared" si="229"/>
        <v>8.4</v>
      </c>
    </row>
    <row r="2953" spans="1:19" x14ac:dyDescent="0.3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str">
        <f>IFERROR(VLOOKUP('Customer Info'!A2945,'Customer Info'!A2945:C3444,2,FALSE),"Not Found")</f>
        <v>Not Found</v>
      </c>
      <c r="H2953" s="6" t="str">
        <f>IFERROR(VLOOKUP('Customer Info'!A2945,'Customer Info'!A2945:C3444,3,FALSE),"Not Found")</f>
        <v>Not Found</v>
      </c>
      <c r="I2953" s="6" t="str">
        <f>IFERROR(VLOOKUP('Customer Info'!A2945,'Customer Info'!A2945:E3444,5,FALSE),"Not Found")</f>
        <v>Not Found</v>
      </c>
      <c r="J2953" s="2">
        <v>61</v>
      </c>
      <c r="K2953" s="2">
        <v>57</v>
      </c>
      <c r="L2953" s="2">
        <v>5</v>
      </c>
      <c r="M2953" s="7">
        <f t="shared" si="225"/>
        <v>285</v>
      </c>
      <c r="N2953" s="7">
        <f t="shared" si="226"/>
        <v>305</v>
      </c>
      <c r="O2953" s="2">
        <v>10</v>
      </c>
      <c r="P2953" s="8">
        <f t="shared" si="227"/>
        <v>315</v>
      </c>
      <c r="Q2953" s="8">
        <f t="shared" si="228"/>
        <v>248</v>
      </c>
      <c r="R2953" s="2" t="s">
        <v>50</v>
      </c>
      <c r="S2953" s="9">
        <f t="shared" si="229"/>
        <v>6.3</v>
      </c>
    </row>
    <row r="2954" spans="1:19" x14ac:dyDescent="0.3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str">
        <f>IFERROR(VLOOKUP('Customer Info'!A2946,'Customer Info'!A2946:C3445,2,FALSE),"Not Found")</f>
        <v>Not Found</v>
      </c>
      <c r="H2954" s="6" t="str">
        <f>IFERROR(VLOOKUP('Customer Info'!A2946,'Customer Info'!A2946:C3445,3,FALSE),"Not Found")</f>
        <v>Not Found</v>
      </c>
      <c r="I2954" s="6" t="str">
        <f>IFERROR(VLOOKUP('Customer Info'!A2946,'Customer Info'!A2946:E3445,5,FALSE),"Not Found")</f>
        <v>Not Found</v>
      </c>
      <c r="J2954" s="2">
        <v>2342</v>
      </c>
      <c r="K2954" s="2">
        <v>2210</v>
      </c>
      <c r="L2954" s="2">
        <v>1</v>
      </c>
      <c r="M2954" s="7">
        <f t="shared" si="225"/>
        <v>2210</v>
      </c>
      <c r="N2954" s="7">
        <f t="shared" si="226"/>
        <v>2342</v>
      </c>
      <c r="O2954" s="2">
        <v>25</v>
      </c>
      <c r="P2954" s="8">
        <f t="shared" si="227"/>
        <v>2367</v>
      </c>
      <c r="Q2954" s="8">
        <f t="shared" si="228"/>
        <v>132</v>
      </c>
      <c r="R2954" s="2" t="s">
        <v>50</v>
      </c>
      <c r="S2954" s="9">
        <f t="shared" si="229"/>
        <v>47.34</v>
      </c>
    </row>
    <row r="2955" spans="1:19" x14ac:dyDescent="0.3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str">
        <f>IFERROR(VLOOKUP('Customer Info'!A2947,'Customer Info'!A2947:C3446,2,FALSE),"Not Found")</f>
        <v>Not Found</v>
      </c>
      <c r="H2955" s="6" t="str">
        <f>IFERROR(VLOOKUP('Customer Info'!A2947,'Customer Info'!A2947:C3446,3,FALSE),"Not Found")</f>
        <v>Not Found</v>
      </c>
      <c r="I2955" s="6" t="str">
        <f>IFERROR(VLOOKUP('Customer Info'!A2947,'Customer Info'!A2947:E3446,5,FALSE),"Not Found")</f>
        <v>Not Found</v>
      </c>
      <c r="J2955" s="2">
        <v>520</v>
      </c>
      <c r="K2955" s="2">
        <v>477</v>
      </c>
      <c r="L2955" s="2">
        <v>4</v>
      </c>
      <c r="M2955" s="7">
        <f t="shared" ref="M2955:M3018" si="230">$K2955*$L2955</f>
        <v>1908</v>
      </c>
      <c r="N2955" s="7">
        <f t="shared" ref="N2955:N3018" si="231">$J2955*$L2955</f>
        <v>2080</v>
      </c>
      <c r="O2955" s="2">
        <v>72</v>
      </c>
      <c r="P2955" s="8">
        <f t="shared" ref="P2955:P3018" si="232">$N2955+$O2955</f>
        <v>2152</v>
      </c>
      <c r="Q2955" s="8">
        <f t="shared" ref="Q2955:Q3018" si="233">$N2955-$K2955</f>
        <v>1603</v>
      </c>
      <c r="R2955" s="2" t="s">
        <v>50</v>
      </c>
      <c r="S2955" s="9">
        <f t="shared" ref="S2955:S3018" si="234" xml:space="preserve"> P2955 * VLOOKUP(P2955, $T$2:$U$6, 2, TRUE)</f>
        <v>43.04</v>
      </c>
    </row>
    <row r="2956" spans="1:19" x14ac:dyDescent="0.3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str">
        <f>IFERROR(VLOOKUP('Customer Info'!A2948,'Customer Info'!A2948:C3447,2,FALSE),"Not Found")</f>
        <v>Not Found</v>
      </c>
      <c r="H2956" s="6" t="str">
        <f>IFERROR(VLOOKUP('Customer Info'!A2948,'Customer Info'!A2948:C3447,3,FALSE),"Not Found")</f>
        <v>Not Found</v>
      </c>
      <c r="I2956" s="6" t="str">
        <f>IFERROR(VLOOKUP('Customer Info'!A2948,'Customer Info'!A2948:E3447,5,FALSE),"Not Found")</f>
        <v>Not Found</v>
      </c>
      <c r="J2956" s="2">
        <v>8752</v>
      </c>
      <c r="K2956" s="2">
        <v>7877</v>
      </c>
      <c r="L2956" s="2">
        <v>1</v>
      </c>
      <c r="M2956" s="7">
        <f t="shared" si="230"/>
        <v>7877</v>
      </c>
      <c r="N2956" s="7">
        <f t="shared" si="231"/>
        <v>8752</v>
      </c>
      <c r="O2956" s="2">
        <v>55</v>
      </c>
      <c r="P2956" s="8">
        <f t="shared" si="232"/>
        <v>8807</v>
      </c>
      <c r="Q2956" s="8">
        <f t="shared" si="233"/>
        <v>875</v>
      </c>
      <c r="R2956" s="2" t="s">
        <v>28</v>
      </c>
      <c r="S2956" s="9">
        <f t="shared" si="234"/>
        <v>440.35</v>
      </c>
    </row>
    <row r="2957" spans="1:19" x14ac:dyDescent="0.3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str">
        <f>IFERROR(VLOOKUP('Customer Info'!A2949,'Customer Info'!A2949:C3448,2,FALSE),"Not Found")</f>
        <v>Not Found</v>
      </c>
      <c r="H2957" s="6" t="str">
        <f>IFERROR(VLOOKUP('Customer Info'!A2949,'Customer Info'!A2949:C3448,3,FALSE),"Not Found")</f>
        <v>Not Found</v>
      </c>
      <c r="I2957" s="6" t="str">
        <f>IFERROR(VLOOKUP('Customer Info'!A2949,'Customer Info'!A2949:E3448,5,FALSE),"Not Found")</f>
        <v>Not Found</v>
      </c>
      <c r="J2957" s="2">
        <v>3054</v>
      </c>
      <c r="K2957" s="2">
        <v>2721</v>
      </c>
      <c r="L2957" s="2">
        <v>5</v>
      </c>
      <c r="M2957" s="7">
        <f t="shared" si="230"/>
        <v>13605</v>
      </c>
      <c r="N2957" s="7">
        <f t="shared" si="231"/>
        <v>15270</v>
      </c>
      <c r="O2957" s="2">
        <v>93</v>
      </c>
      <c r="P2957" s="8">
        <f t="shared" si="232"/>
        <v>15363</v>
      </c>
      <c r="Q2957" s="8">
        <f t="shared" si="233"/>
        <v>12549</v>
      </c>
      <c r="R2957" s="2" t="s">
        <v>56</v>
      </c>
      <c r="S2957" s="9">
        <f t="shared" si="234"/>
        <v>768.15000000000009</v>
      </c>
    </row>
    <row r="2958" spans="1:19" x14ac:dyDescent="0.3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str">
        <f>IFERROR(VLOOKUP('Customer Info'!A2950,'Customer Info'!A2950:C3449,2,FALSE),"Not Found")</f>
        <v>Not Found</v>
      </c>
      <c r="H2958" s="6" t="str">
        <f>IFERROR(VLOOKUP('Customer Info'!A2950,'Customer Info'!A2950:C3449,3,FALSE),"Not Found")</f>
        <v>Not Found</v>
      </c>
      <c r="I2958" s="6" t="str">
        <f>IFERROR(VLOOKUP('Customer Info'!A2950,'Customer Info'!A2950:E3449,5,FALSE),"Not Found")</f>
        <v>Not Found</v>
      </c>
      <c r="J2958" s="2">
        <v>8889</v>
      </c>
      <c r="K2958" s="2">
        <v>8469</v>
      </c>
      <c r="L2958" s="2">
        <v>2</v>
      </c>
      <c r="M2958" s="7">
        <f t="shared" si="230"/>
        <v>16938</v>
      </c>
      <c r="N2958" s="7">
        <f t="shared" si="231"/>
        <v>17778</v>
      </c>
      <c r="O2958" s="2">
        <v>63</v>
      </c>
      <c r="P2958" s="8">
        <f t="shared" si="232"/>
        <v>17841</v>
      </c>
      <c r="Q2958" s="8">
        <f t="shared" si="233"/>
        <v>9309</v>
      </c>
      <c r="R2958" s="2" t="s">
        <v>50</v>
      </c>
      <c r="S2958" s="9">
        <f t="shared" si="234"/>
        <v>892.05000000000007</v>
      </c>
    </row>
    <row r="2959" spans="1:19" x14ac:dyDescent="0.3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str">
        <f>IFERROR(VLOOKUP('Customer Info'!A2951,'Customer Info'!A2951:C3450,2,FALSE),"Not Found")</f>
        <v>Not Found</v>
      </c>
      <c r="H2959" s="6" t="str">
        <f>IFERROR(VLOOKUP('Customer Info'!A2951,'Customer Info'!A2951:C3450,3,FALSE),"Not Found")</f>
        <v>Not Found</v>
      </c>
      <c r="I2959" s="6" t="str">
        <f>IFERROR(VLOOKUP('Customer Info'!A2951,'Customer Info'!A2951:E3450,5,FALSE),"Not Found")</f>
        <v>Not Found</v>
      </c>
      <c r="J2959" s="2">
        <v>1637</v>
      </c>
      <c r="K2959" s="2">
        <v>1532</v>
      </c>
      <c r="L2959" s="2">
        <v>1</v>
      </c>
      <c r="M2959" s="7">
        <f t="shared" si="230"/>
        <v>1532</v>
      </c>
      <c r="N2959" s="7">
        <f t="shared" si="231"/>
        <v>1637</v>
      </c>
      <c r="O2959" s="2">
        <v>20</v>
      </c>
      <c r="P2959" s="8">
        <f t="shared" si="232"/>
        <v>1657</v>
      </c>
      <c r="Q2959" s="8">
        <f t="shared" si="233"/>
        <v>105</v>
      </c>
      <c r="R2959" s="2" t="s">
        <v>50</v>
      </c>
      <c r="S2959" s="9">
        <f t="shared" si="234"/>
        <v>33.14</v>
      </c>
    </row>
    <row r="2960" spans="1:19" x14ac:dyDescent="0.3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str">
        <f>IFERROR(VLOOKUP('Customer Info'!A2952,'Customer Info'!A2952:C3451,2,FALSE),"Not Found")</f>
        <v>Not Found</v>
      </c>
      <c r="H2960" s="6" t="str">
        <f>IFERROR(VLOOKUP('Customer Info'!A2952,'Customer Info'!A2952:C3451,3,FALSE),"Not Found")</f>
        <v>Not Found</v>
      </c>
      <c r="I2960" s="6" t="str">
        <f>IFERROR(VLOOKUP('Customer Info'!A2952,'Customer Info'!A2952:E3451,5,FALSE),"Not Found")</f>
        <v>Not Found</v>
      </c>
      <c r="J2960" s="2">
        <v>135</v>
      </c>
      <c r="K2960" s="2">
        <v>129</v>
      </c>
      <c r="L2960" s="2">
        <v>4</v>
      </c>
      <c r="M2960" s="7">
        <f t="shared" si="230"/>
        <v>516</v>
      </c>
      <c r="N2960" s="7">
        <f t="shared" si="231"/>
        <v>540</v>
      </c>
      <c r="O2960" s="2">
        <v>30</v>
      </c>
      <c r="P2960" s="8">
        <f t="shared" si="232"/>
        <v>570</v>
      </c>
      <c r="Q2960" s="8">
        <f t="shared" si="233"/>
        <v>411</v>
      </c>
      <c r="R2960" s="2" t="s">
        <v>50</v>
      </c>
      <c r="S2960" s="9">
        <f t="shared" si="234"/>
        <v>11.4</v>
      </c>
    </row>
    <row r="2961" spans="1:19" x14ac:dyDescent="0.3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str">
        <f>IFERROR(VLOOKUP('Customer Info'!A2953,'Customer Info'!A2953:C3452,2,FALSE),"Not Found")</f>
        <v>Not Found</v>
      </c>
      <c r="H2961" s="6" t="str">
        <f>IFERROR(VLOOKUP('Customer Info'!A2953,'Customer Info'!A2953:C3452,3,FALSE),"Not Found")</f>
        <v>Not Found</v>
      </c>
      <c r="I2961" s="6" t="str">
        <f>IFERROR(VLOOKUP('Customer Info'!A2953,'Customer Info'!A2953:E3452,5,FALSE),"Not Found")</f>
        <v>Not Found</v>
      </c>
      <c r="J2961" s="2">
        <v>1081</v>
      </c>
      <c r="K2961" s="2">
        <v>983</v>
      </c>
      <c r="L2961" s="2">
        <v>6</v>
      </c>
      <c r="M2961" s="7">
        <f t="shared" si="230"/>
        <v>5898</v>
      </c>
      <c r="N2961" s="7">
        <f t="shared" si="231"/>
        <v>6486</v>
      </c>
      <c r="O2961" s="2">
        <v>82</v>
      </c>
      <c r="P2961" s="8">
        <f t="shared" si="232"/>
        <v>6568</v>
      </c>
      <c r="Q2961" s="8">
        <f t="shared" si="233"/>
        <v>5503</v>
      </c>
      <c r="R2961" s="2" t="s">
        <v>28</v>
      </c>
      <c r="S2961" s="9">
        <f t="shared" si="234"/>
        <v>328.40000000000003</v>
      </c>
    </row>
    <row r="2962" spans="1:19" x14ac:dyDescent="0.3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str">
        <f>IFERROR(VLOOKUP('Customer Info'!A2954,'Customer Info'!A2954:C3453,2,FALSE),"Not Found")</f>
        <v>Not Found</v>
      </c>
      <c r="H2962" s="6" t="str">
        <f>IFERROR(VLOOKUP('Customer Info'!A2954,'Customer Info'!A2954:C3453,3,FALSE),"Not Found")</f>
        <v>Not Found</v>
      </c>
      <c r="I2962" s="6" t="str">
        <f>IFERROR(VLOOKUP('Customer Info'!A2954,'Customer Info'!A2954:E3453,5,FALSE),"Not Found")</f>
        <v>Not Found</v>
      </c>
      <c r="J2962" s="2">
        <v>7609</v>
      </c>
      <c r="K2962" s="2">
        <v>7248</v>
      </c>
      <c r="L2962" s="2">
        <v>3</v>
      </c>
      <c r="M2962" s="7">
        <f t="shared" si="230"/>
        <v>21744</v>
      </c>
      <c r="N2962" s="7">
        <f t="shared" si="231"/>
        <v>22827</v>
      </c>
      <c r="O2962" s="2">
        <v>21</v>
      </c>
      <c r="P2962" s="8">
        <f t="shared" si="232"/>
        <v>22848</v>
      </c>
      <c r="Q2962" s="8">
        <f t="shared" si="233"/>
        <v>15579</v>
      </c>
      <c r="R2962" s="2" t="s">
        <v>50</v>
      </c>
      <c r="S2962" s="9">
        <f t="shared" si="234"/>
        <v>1142.4000000000001</v>
      </c>
    </row>
    <row r="2963" spans="1:19" x14ac:dyDescent="0.3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str">
        <f>IFERROR(VLOOKUP('Customer Info'!A2955,'Customer Info'!A2955:C3454,2,FALSE),"Not Found")</f>
        <v>Not Found</v>
      </c>
      <c r="H2963" s="6" t="str">
        <f>IFERROR(VLOOKUP('Customer Info'!A2955,'Customer Info'!A2955:C3454,3,FALSE),"Not Found")</f>
        <v>Not Found</v>
      </c>
      <c r="I2963" s="6" t="str">
        <f>IFERROR(VLOOKUP('Customer Info'!A2955,'Customer Info'!A2955:E3454,5,FALSE),"Not Found")</f>
        <v>Not Found</v>
      </c>
      <c r="J2963" s="2">
        <v>1283</v>
      </c>
      <c r="K2963" s="2">
        <v>1187</v>
      </c>
      <c r="L2963" s="2">
        <v>3</v>
      </c>
      <c r="M2963" s="7">
        <f t="shared" si="230"/>
        <v>3561</v>
      </c>
      <c r="N2963" s="7">
        <f t="shared" si="231"/>
        <v>3849</v>
      </c>
      <c r="O2963" s="2">
        <v>58</v>
      </c>
      <c r="P2963" s="8">
        <f t="shared" si="232"/>
        <v>3907</v>
      </c>
      <c r="Q2963" s="8">
        <f t="shared" si="233"/>
        <v>2662</v>
      </c>
      <c r="R2963" s="2" t="s">
        <v>28</v>
      </c>
      <c r="S2963" s="9">
        <f t="shared" si="234"/>
        <v>78.14</v>
      </c>
    </row>
    <row r="2964" spans="1:19" x14ac:dyDescent="0.3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str">
        <f>IFERROR(VLOOKUP('Customer Info'!A2956,'Customer Info'!A2956:C3455,2,FALSE),"Not Found")</f>
        <v>Not Found</v>
      </c>
      <c r="H2964" s="6" t="str">
        <f>IFERROR(VLOOKUP('Customer Info'!A2956,'Customer Info'!A2956:C3455,3,FALSE),"Not Found")</f>
        <v>Not Found</v>
      </c>
      <c r="I2964" s="6" t="str">
        <f>IFERROR(VLOOKUP('Customer Info'!A2956,'Customer Info'!A2956:E3455,5,FALSE),"Not Found")</f>
        <v>Not Found</v>
      </c>
      <c r="J2964" s="2">
        <v>184</v>
      </c>
      <c r="K2964" s="2">
        <v>176</v>
      </c>
      <c r="L2964" s="2">
        <v>7</v>
      </c>
      <c r="M2964" s="7">
        <f t="shared" si="230"/>
        <v>1232</v>
      </c>
      <c r="N2964" s="7">
        <f t="shared" si="231"/>
        <v>1288</v>
      </c>
      <c r="O2964" s="2">
        <v>30</v>
      </c>
      <c r="P2964" s="8">
        <f t="shared" si="232"/>
        <v>1318</v>
      </c>
      <c r="Q2964" s="8">
        <f t="shared" si="233"/>
        <v>1112</v>
      </c>
      <c r="R2964" s="2" t="s">
        <v>56</v>
      </c>
      <c r="S2964" s="9">
        <f t="shared" si="234"/>
        <v>26.36</v>
      </c>
    </row>
    <row r="2965" spans="1:19" x14ac:dyDescent="0.3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str">
        <f>IFERROR(VLOOKUP('Customer Info'!A2957,'Customer Info'!A2957:C3456,2,FALSE),"Not Found")</f>
        <v>Not Found</v>
      </c>
      <c r="H2965" s="6" t="str">
        <f>IFERROR(VLOOKUP('Customer Info'!A2957,'Customer Info'!A2957:C3456,3,FALSE),"Not Found")</f>
        <v>Not Found</v>
      </c>
      <c r="I2965" s="6" t="str">
        <f>IFERROR(VLOOKUP('Customer Info'!A2957,'Customer Info'!A2957:E3456,5,FALSE),"Not Found")</f>
        <v>Not Found</v>
      </c>
      <c r="J2965" s="2">
        <v>27691</v>
      </c>
      <c r="K2965" s="2">
        <v>25616</v>
      </c>
      <c r="L2965" s="2">
        <v>9</v>
      </c>
      <c r="M2965" s="7">
        <f t="shared" si="230"/>
        <v>230544</v>
      </c>
      <c r="N2965" s="7">
        <f t="shared" si="231"/>
        <v>249219</v>
      </c>
      <c r="O2965" s="2">
        <v>86</v>
      </c>
      <c r="P2965" s="8">
        <f t="shared" si="232"/>
        <v>249305</v>
      </c>
      <c r="Q2965" s="8">
        <f t="shared" si="233"/>
        <v>223603</v>
      </c>
      <c r="R2965" s="2" t="s">
        <v>28</v>
      </c>
      <c r="S2965" s="9">
        <f t="shared" si="234"/>
        <v>29916.6</v>
      </c>
    </row>
    <row r="2966" spans="1:19" x14ac:dyDescent="0.3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str">
        <f>IFERROR(VLOOKUP('Customer Info'!A2958,'Customer Info'!A2958:C3457,2,FALSE),"Not Found")</f>
        <v>Not Found</v>
      </c>
      <c r="H2966" s="6" t="str">
        <f>IFERROR(VLOOKUP('Customer Info'!A2958,'Customer Info'!A2958:C3457,3,FALSE),"Not Found")</f>
        <v>Not Found</v>
      </c>
      <c r="I2966" s="6" t="str">
        <f>IFERROR(VLOOKUP('Customer Info'!A2958,'Customer Info'!A2958:E3457,5,FALSE),"Not Found")</f>
        <v>Not Found</v>
      </c>
      <c r="J2966" s="2">
        <v>6087</v>
      </c>
      <c r="K2966" s="2">
        <v>5808</v>
      </c>
      <c r="L2966" s="2">
        <v>2</v>
      </c>
      <c r="M2966" s="7">
        <f t="shared" si="230"/>
        <v>11616</v>
      </c>
      <c r="N2966" s="7">
        <f t="shared" si="231"/>
        <v>12174</v>
      </c>
      <c r="O2966" s="2">
        <v>58</v>
      </c>
      <c r="P2966" s="8">
        <f t="shared" si="232"/>
        <v>12232</v>
      </c>
      <c r="Q2966" s="8">
        <f t="shared" si="233"/>
        <v>6366</v>
      </c>
      <c r="R2966" s="2" t="s">
        <v>28</v>
      </c>
      <c r="S2966" s="9">
        <f t="shared" si="234"/>
        <v>611.6</v>
      </c>
    </row>
    <row r="2967" spans="1:19" x14ac:dyDescent="0.3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str">
        <f>IFERROR(VLOOKUP('Customer Info'!A2959,'Customer Info'!A2959:C3458,2,FALSE),"Not Found")</f>
        <v>Not Found</v>
      </c>
      <c r="H2967" s="6" t="str">
        <f>IFERROR(VLOOKUP('Customer Info'!A2959,'Customer Info'!A2959:C3458,3,FALSE),"Not Found")</f>
        <v>Not Found</v>
      </c>
      <c r="I2967" s="6" t="str">
        <f>IFERROR(VLOOKUP('Customer Info'!A2959,'Customer Info'!A2959:E3458,5,FALSE),"Not Found")</f>
        <v>Not Found</v>
      </c>
      <c r="J2967" s="2">
        <v>1968</v>
      </c>
      <c r="K2967" s="2">
        <v>1821</v>
      </c>
      <c r="L2967" s="2">
        <v>3</v>
      </c>
      <c r="M2967" s="7">
        <f t="shared" si="230"/>
        <v>5463</v>
      </c>
      <c r="N2967" s="7">
        <f t="shared" si="231"/>
        <v>5904</v>
      </c>
      <c r="O2967" s="2">
        <v>51</v>
      </c>
      <c r="P2967" s="8">
        <f t="shared" si="232"/>
        <v>5955</v>
      </c>
      <c r="Q2967" s="8">
        <f t="shared" si="233"/>
        <v>4083</v>
      </c>
      <c r="R2967" s="2" t="s">
        <v>50</v>
      </c>
      <c r="S2967" s="9">
        <f t="shared" si="234"/>
        <v>297.75</v>
      </c>
    </row>
    <row r="2968" spans="1:19" x14ac:dyDescent="0.3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str">
        <f>IFERROR(VLOOKUP('Customer Info'!A2960,'Customer Info'!A2960:C3459,2,FALSE),"Not Found")</f>
        <v>Not Found</v>
      </c>
      <c r="H2968" s="6" t="str">
        <f>IFERROR(VLOOKUP('Customer Info'!A2960,'Customer Info'!A2960:C3459,3,FALSE),"Not Found")</f>
        <v>Not Found</v>
      </c>
      <c r="I2968" s="6" t="str">
        <f>IFERROR(VLOOKUP('Customer Info'!A2960,'Customer Info'!A2960:E3459,5,FALSE),"Not Found")</f>
        <v>Not Found</v>
      </c>
      <c r="J2968" s="2">
        <v>2960</v>
      </c>
      <c r="K2968" s="2">
        <v>2635</v>
      </c>
      <c r="L2968" s="2">
        <v>3</v>
      </c>
      <c r="M2968" s="7">
        <f t="shared" si="230"/>
        <v>7905</v>
      </c>
      <c r="N2968" s="7">
        <f t="shared" si="231"/>
        <v>8880</v>
      </c>
      <c r="O2968" s="2">
        <v>52</v>
      </c>
      <c r="P2968" s="8">
        <f t="shared" si="232"/>
        <v>8932</v>
      </c>
      <c r="Q2968" s="8">
        <f t="shared" si="233"/>
        <v>6245</v>
      </c>
      <c r="R2968" s="2" t="s">
        <v>28</v>
      </c>
      <c r="S2968" s="9">
        <f t="shared" si="234"/>
        <v>446.6</v>
      </c>
    </row>
    <row r="2969" spans="1:19" x14ac:dyDescent="0.3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str">
        <f>IFERROR(VLOOKUP('Customer Info'!A2961,'Customer Info'!A2961:C3460,2,FALSE),"Not Found")</f>
        <v>Not Found</v>
      </c>
      <c r="H2969" s="6" t="str">
        <f>IFERROR(VLOOKUP('Customer Info'!A2961,'Customer Info'!A2961:C3460,3,FALSE),"Not Found")</f>
        <v>Not Found</v>
      </c>
      <c r="I2969" s="6" t="str">
        <f>IFERROR(VLOOKUP('Customer Info'!A2961,'Customer Info'!A2961:E3460,5,FALSE),"Not Found")</f>
        <v>Not Found</v>
      </c>
      <c r="J2969" s="2">
        <v>825</v>
      </c>
      <c r="K2969" s="2">
        <v>793</v>
      </c>
      <c r="L2969" s="2">
        <v>3</v>
      </c>
      <c r="M2969" s="7">
        <f t="shared" si="230"/>
        <v>2379</v>
      </c>
      <c r="N2969" s="7">
        <f t="shared" si="231"/>
        <v>2475</v>
      </c>
      <c r="O2969" s="2">
        <v>99</v>
      </c>
      <c r="P2969" s="8">
        <f t="shared" si="232"/>
        <v>2574</v>
      </c>
      <c r="Q2969" s="8">
        <f t="shared" si="233"/>
        <v>1682</v>
      </c>
      <c r="R2969" s="2" t="s">
        <v>28</v>
      </c>
      <c r="S2969" s="9">
        <f t="shared" si="234"/>
        <v>51.480000000000004</v>
      </c>
    </row>
    <row r="2970" spans="1:19" x14ac:dyDescent="0.3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str">
        <f>IFERROR(VLOOKUP('Customer Info'!A2962,'Customer Info'!A2962:C3461,2,FALSE),"Not Found")</f>
        <v>Not Found</v>
      </c>
      <c r="H2970" s="6" t="str">
        <f>IFERROR(VLOOKUP('Customer Info'!A2962,'Customer Info'!A2962:C3461,3,FALSE),"Not Found")</f>
        <v>Not Found</v>
      </c>
      <c r="I2970" s="6" t="str">
        <f>IFERROR(VLOOKUP('Customer Info'!A2962,'Customer Info'!A2962:E3461,5,FALSE),"Not Found")</f>
        <v>Not Found</v>
      </c>
      <c r="J2970" s="2">
        <v>2778</v>
      </c>
      <c r="K2970" s="2">
        <v>2573</v>
      </c>
      <c r="L2970" s="2">
        <v>3</v>
      </c>
      <c r="M2970" s="7">
        <f t="shared" si="230"/>
        <v>7719</v>
      </c>
      <c r="N2970" s="7">
        <f t="shared" si="231"/>
        <v>8334</v>
      </c>
      <c r="O2970" s="2">
        <v>69</v>
      </c>
      <c r="P2970" s="8">
        <f t="shared" si="232"/>
        <v>8403</v>
      </c>
      <c r="Q2970" s="8">
        <f t="shared" si="233"/>
        <v>5761</v>
      </c>
      <c r="R2970" s="2" t="s">
        <v>50</v>
      </c>
      <c r="S2970" s="9">
        <f t="shared" si="234"/>
        <v>420.15000000000003</v>
      </c>
    </row>
    <row r="2971" spans="1:19" x14ac:dyDescent="0.3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str">
        <f>IFERROR(VLOOKUP('Customer Info'!A2963,'Customer Info'!A2963:C3462,2,FALSE),"Not Found")</f>
        <v>Not Found</v>
      </c>
      <c r="H2971" s="6" t="str">
        <f>IFERROR(VLOOKUP('Customer Info'!A2963,'Customer Info'!A2963:C3462,3,FALSE),"Not Found")</f>
        <v>Not Found</v>
      </c>
      <c r="I2971" s="6" t="str">
        <f>IFERROR(VLOOKUP('Customer Info'!A2963,'Customer Info'!A2963:E3462,5,FALSE),"Not Found")</f>
        <v>Not Found</v>
      </c>
      <c r="J2971" s="2">
        <v>69</v>
      </c>
      <c r="K2971" s="2">
        <v>64</v>
      </c>
      <c r="L2971" s="2">
        <v>1</v>
      </c>
      <c r="M2971" s="7">
        <f t="shared" si="230"/>
        <v>64</v>
      </c>
      <c r="N2971" s="7">
        <f t="shared" si="231"/>
        <v>69</v>
      </c>
      <c r="O2971" s="2">
        <v>10</v>
      </c>
      <c r="P2971" s="8">
        <f t="shared" si="232"/>
        <v>79</v>
      </c>
      <c r="Q2971" s="8">
        <f t="shared" si="233"/>
        <v>5</v>
      </c>
      <c r="R2971" s="2" t="s">
        <v>28</v>
      </c>
      <c r="S2971" s="9">
        <f t="shared" si="234"/>
        <v>1.58</v>
      </c>
    </row>
    <row r="2972" spans="1:19" x14ac:dyDescent="0.3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str">
        <f>IFERROR(VLOOKUP('Customer Info'!A2964,'Customer Info'!A2964:C3463,2,FALSE),"Not Found")</f>
        <v>Not Found</v>
      </c>
      <c r="H2972" s="6" t="str">
        <f>IFERROR(VLOOKUP('Customer Info'!A2964,'Customer Info'!A2964:C3463,3,FALSE),"Not Found")</f>
        <v>Not Found</v>
      </c>
      <c r="I2972" s="6" t="str">
        <f>IFERROR(VLOOKUP('Customer Info'!A2964,'Customer Info'!A2964:E3463,5,FALSE),"Not Found")</f>
        <v>Not Found</v>
      </c>
      <c r="J2972" s="2">
        <v>1887</v>
      </c>
      <c r="K2972" s="2">
        <v>1763</v>
      </c>
      <c r="L2972" s="2">
        <v>5</v>
      </c>
      <c r="M2972" s="7">
        <f t="shared" si="230"/>
        <v>8815</v>
      </c>
      <c r="N2972" s="7">
        <f t="shared" si="231"/>
        <v>9435</v>
      </c>
      <c r="O2972" s="2">
        <v>70</v>
      </c>
      <c r="P2972" s="8">
        <f t="shared" si="232"/>
        <v>9505</v>
      </c>
      <c r="Q2972" s="8">
        <f t="shared" si="233"/>
        <v>7672</v>
      </c>
      <c r="R2972" s="2" t="s">
        <v>26</v>
      </c>
      <c r="S2972" s="9">
        <f t="shared" si="234"/>
        <v>475.25</v>
      </c>
    </row>
    <row r="2973" spans="1:19" x14ac:dyDescent="0.3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str">
        <f>IFERROR(VLOOKUP('Customer Info'!A2965,'Customer Info'!A2965:C3464,2,FALSE),"Not Found")</f>
        <v>Not Found</v>
      </c>
      <c r="H2973" s="6" t="str">
        <f>IFERROR(VLOOKUP('Customer Info'!A2965,'Customer Info'!A2965:C3464,3,FALSE),"Not Found")</f>
        <v>Not Found</v>
      </c>
      <c r="I2973" s="6" t="str">
        <f>IFERROR(VLOOKUP('Customer Info'!A2965,'Customer Info'!A2965:E3464,5,FALSE),"Not Found")</f>
        <v>Not Found</v>
      </c>
      <c r="J2973" s="2">
        <v>7864</v>
      </c>
      <c r="K2973" s="2">
        <v>7563</v>
      </c>
      <c r="L2973" s="2">
        <v>2</v>
      </c>
      <c r="M2973" s="7">
        <f t="shared" si="230"/>
        <v>15126</v>
      </c>
      <c r="N2973" s="7">
        <f t="shared" si="231"/>
        <v>15728</v>
      </c>
      <c r="O2973" s="2">
        <v>93</v>
      </c>
      <c r="P2973" s="8">
        <f t="shared" si="232"/>
        <v>15821</v>
      </c>
      <c r="Q2973" s="8">
        <f t="shared" si="233"/>
        <v>8165</v>
      </c>
      <c r="R2973" s="2" t="s">
        <v>50</v>
      </c>
      <c r="S2973" s="9">
        <f t="shared" si="234"/>
        <v>791.05000000000007</v>
      </c>
    </row>
    <row r="2974" spans="1:19" x14ac:dyDescent="0.3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str">
        <f>IFERROR(VLOOKUP('Customer Info'!A2966,'Customer Info'!A2966:C3465,2,FALSE),"Not Found")</f>
        <v>Not Found</v>
      </c>
      <c r="H2974" s="6" t="str">
        <f>IFERROR(VLOOKUP('Customer Info'!A2966,'Customer Info'!A2966:C3465,3,FALSE),"Not Found")</f>
        <v>Not Found</v>
      </c>
      <c r="I2974" s="6" t="str">
        <f>IFERROR(VLOOKUP('Customer Info'!A2966,'Customer Info'!A2966:E3465,5,FALSE),"Not Found")</f>
        <v>Not Found</v>
      </c>
      <c r="J2974" s="2">
        <v>169</v>
      </c>
      <c r="K2974" s="2">
        <v>160</v>
      </c>
      <c r="L2974" s="2">
        <v>1</v>
      </c>
      <c r="M2974" s="7">
        <f t="shared" si="230"/>
        <v>160</v>
      </c>
      <c r="N2974" s="7">
        <f t="shared" si="231"/>
        <v>169</v>
      </c>
      <c r="O2974" s="2">
        <v>30</v>
      </c>
      <c r="P2974" s="8">
        <f t="shared" si="232"/>
        <v>199</v>
      </c>
      <c r="Q2974" s="8">
        <f t="shared" si="233"/>
        <v>9</v>
      </c>
      <c r="R2974" s="2" t="s">
        <v>50</v>
      </c>
      <c r="S2974" s="9">
        <f t="shared" si="234"/>
        <v>3.98</v>
      </c>
    </row>
    <row r="2975" spans="1:19" x14ac:dyDescent="0.3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str">
        <f>IFERROR(VLOOKUP('Customer Info'!A2967,'Customer Info'!A2967:C3466,2,FALSE),"Not Found")</f>
        <v>Not Found</v>
      </c>
      <c r="H2975" s="6" t="str">
        <f>IFERROR(VLOOKUP('Customer Info'!A2967,'Customer Info'!A2967:C3466,3,FALSE),"Not Found")</f>
        <v>Not Found</v>
      </c>
      <c r="I2975" s="6" t="str">
        <f>IFERROR(VLOOKUP('Customer Info'!A2967,'Customer Info'!A2967:E3466,5,FALSE),"Not Found")</f>
        <v>Not Found</v>
      </c>
      <c r="J2975" s="2">
        <v>1169</v>
      </c>
      <c r="K2975" s="2">
        <v>1103</v>
      </c>
      <c r="L2975" s="2">
        <v>3</v>
      </c>
      <c r="M2975" s="7">
        <f t="shared" si="230"/>
        <v>3309</v>
      </c>
      <c r="N2975" s="7">
        <f t="shared" si="231"/>
        <v>3507</v>
      </c>
      <c r="O2975" s="2">
        <v>90</v>
      </c>
      <c r="P2975" s="8">
        <f t="shared" si="232"/>
        <v>3597</v>
      </c>
      <c r="Q2975" s="8">
        <f t="shared" si="233"/>
        <v>2404</v>
      </c>
      <c r="R2975" s="2" t="s">
        <v>50</v>
      </c>
      <c r="S2975" s="9">
        <f t="shared" si="234"/>
        <v>71.94</v>
      </c>
    </row>
    <row r="2976" spans="1:19" x14ac:dyDescent="0.3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str">
        <f>IFERROR(VLOOKUP('Customer Info'!A2968,'Customer Info'!A2968:C3467,2,FALSE),"Not Found")</f>
        <v>Not Found</v>
      </c>
      <c r="H2976" s="6" t="str">
        <f>IFERROR(VLOOKUP('Customer Info'!A2968,'Customer Info'!A2968:C3467,3,FALSE),"Not Found")</f>
        <v>Not Found</v>
      </c>
      <c r="I2976" s="6" t="str">
        <f>IFERROR(VLOOKUP('Customer Info'!A2968,'Customer Info'!A2968:E3467,5,FALSE),"Not Found")</f>
        <v>Not Found</v>
      </c>
      <c r="J2976" s="2">
        <v>142</v>
      </c>
      <c r="K2976" s="2">
        <v>134</v>
      </c>
      <c r="L2976" s="2">
        <v>3</v>
      </c>
      <c r="M2976" s="7">
        <f t="shared" si="230"/>
        <v>402</v>
      </c>
      <c r="N2976" s="7">
        <f t="shared" si="231"/>
        <v>426</v>
      </c>
      <c r="O2976" s="2">
        <v>30</v>
      </c>
      <c r="P2976" s="8">
        <f t="shared" si="232"/>
        <v>456</v>
      </c>
      <c r="Q2976" s="8">
        <f t="shared" si="233"/>
        <v>292</v>
      </c>
      <c r="R2976" s="2" t="s">
        <v>28</v>
      </c>
      <c r="S2976" s="9">
        <f t="shared" si="234"/>
        <v>9.120000000000001</v>
      </c>
    </row>
    <row r="2977" spans="1:19" x14ac:dyDescent="0.3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str">
        <f>IFERROR(VLOOKUP('Customer Info'!A2969,'Customer Info'!A2969:C3468,2,FALSE),"Not Found")</f>
        <v>Not Found</v>
      </c>
      <c r="H2977" s="6" t="str">
        <f>IFERROR(VLOOKUP('Customer Info'!A2969,'Customer Info'!A2969:C3468,3,FALSE),"Not Found")</f>
        <v>Not Found</v>
      </c>
      <c r="I2977" s="6" t="str">
        <f>IFERROR(VLOOKUP('Customer Info'!A2969,'Customer Info'!A2969:E3468,5,FALSE),"Not Found")</f>
        <v>Not Found</v>
      </c>
      <c r="J2977" s="2">
        <v>825</v>
      </c>
      <c r="K2977" s="2">
        <v>793</v>
      </c>
      <c r="L2977" s="2">
        <v>3</v>
      </c>
      <c r="M2977" s="7">
        <f t="shared" si="230"/>
        <v>2379</v>
      </c>
      <c r="N2977" s="7">
        <f t="shared" si="231"/>
        <v>2475</v>
      </c>
      <c r="O2977" s="2">
        <v>94</v>
      </c>
      <c r="P2977" s="8">
        <f t="shared" si="232"/>
        <v>2569</v>
      </c>
      <c r="Q2977" s="8">
        <f t="shared" si="233"/>
        <v>1682</v>
      </c>
      <c r="R2977" s="2" t="s">
        <v>50</v>
      </c>
      <c r="S2977" s="9">
        <f t="shared" si="234"/>
        <v>51.38</v>
      </c>
    </row>
    <row r="2978" spans="1:19" x14ac:dyDescent="0.3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str">
        <f>IFERROR(VLOOKUP('Customer Info'!A2970,'Customer Info'!A2970:C3469,2,FALSE),"Not Found")</f>
        <v>Not Found</v>
      </c>
      <c r="H2978" s="6" t="str">
        <f>IFERROR(VLOOKUP('Customer Info'!A2970,'Customer Info'!A2970:C3469,3,FALSE),"Not Found")</f>
        <v>Not Found</v>
      </c>
      <c r="I2978" s="6" t="str">
        <f>IFERROR(VLOOKUP('Customer Info'!A2970,'Customer Info'!A2970:E3469,5,FALSE),"Not Found")</f>
        <v>Not Found</v>
      </c>
      <c r="J2978" s="2">
        <v>6087</v>
      </c>
      <c r="K2978" s="2">
        <v>5808</v>
      </c>
      <c r="L2978" s="2">
        <v>1</v>
      </c>
      <c r="M2978" s="7">
        <f t="shared" si="230"/>
        <v>5808</v>
      </c>
      <c r="N2978" s="7">
        <f t="shared" si="231"/>
        <v>6087</v>
      </c>
      <c r="O2978" s="2">
        <v>32</v>
      </c>
      <c r="P2978" s="8">
        <f t="shared" si="232"/>
        <v>6119</v>
      </c>
      <c r="Q2978" s="8">
        <f t="shared" si="233"/>
        <v>279</v>
      </c>
      <c r="R2978" s="2" t="s">
        <v>26</v>
      </c>
      <c r="S2978" s="9">
        <f t="shared" si="234"/>
        <v>305.95</v>
      </c>
    </row>
    <row r="2979" spans="1:19" x14ac:dyDescent="0.3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str">
        <f>IFERROR(VLOOKUP('Customer Info'!A2971,'Customer Info'!A2971:C3470,2,FALSE),"Not Found")</f>
        <v>Not Found</v>
      </c>
      <c r="H2979" s="6" t="str">
        <f>IFERROR(VLOOKUP('Customer Info'!A2971,'Customer Info'!A2971:C3470,3,FALSE),"Not Found")</f>
        <v>Not Found</v>
      </c>
      <c r="I2979" s="6" t="str">
        <f>IFERROR(VLOOKUP('Customer Info'!A2971,'Customer Info'!A2971:E3470,5,FALSE),"Not Found")</f>
        <v>Not Found</v>
      </c>
      <c r="J2979" s="2">
        <v>4846</v>
      </c>
      <c r="K2979" s="2">
        <v>4492</v>
      </c>
      <c r="L2979" s="2">
        <v>4</v>
      </c>
      <c r="M2979" s="7">
        <f t="shared" si="230"/>
        <v>17968</v>
      </c>
      <c r="N2979" s="7">
        <f t="shared" si="231"/>
        <v>19384</v>
      </c>
      <c r="O2979" s="2">
        <v>33</v>
      </c>
      <c r="P2979" s="8">
        <f t="shared" si="232"/>
        <v>19417</v>
      </c>
      <c r="Q2979" s="8">
        <f t="shared" si="233"/>
        <v>14892</v>
      </c>
      <c r="R2979" s="2" t="s">
        <v>28</v>
      </c>
      <c r="S2979" s="9">
        <f t="shared" si="234"/>
        <v>970.85</v>
      </c>
    </row>
    <row r="2980" spans="1:19" x14ac:dyDescent="0.3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str">
        <f>IFERROR(VLOOKUP('Customer Info'!A2972,'Customer Info'!A2972:C3471,2,FALSE),"Not Found")</f>
        <v>Not Found</v>
      </c>
      <c r="H2980" s="6" t="str">
        <f>IFERROR(VLOOKUP('Customer Info'!A2972,'Customer Info'!A2972:C3471,3,FALSE),"Not Found")</f>
        <v>Not Found</v>
      </c>
      <c r="I2980" s="6" t="str">
        <f>IFERROR(VLOOKUP('Customer Info'!A2972,'Customer Info'!A2972:E3471,5,FALSE),"Not Found")</f>
        <v>Not Found</v>
      </c>
      <c r="J2980" s="2">
        <v>78</v>
      </c>
      <c r="K2980" s="2">
        <v>74</v>
      </c>
      <c r="L2980" s="2">
        <v>7</v>
      </c>
      <c r="M2980" s="7">
        <f t="shared" si="230"/>
        <v>518</v>
      </c>
      <c r="N2980" s="7">
        <f t="shared" si="231"/>
        <v>546</v>
      </c>
      <c r="O2980" s="2">
        <v>10</v>
      </c>
      <c r="P2980" s="8">
        <f t="shared" si="232"/>
        <v>556</v>
      </c>
      <c r="Q2980" s="8">
        <f t="shared" si="233"/>
        <v>472</v>
      </c>
      <c r="R2980" s="2" t="s">
        <v>50</v>
      </c>
      <c r="S2980" s="9">
        <f t="shared" si="234"/>
        <v>11.120000000000001</v>
      </c>
    </row>
    <row r="2981" spans="1:19" x14ac:dyDescent="0.3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str">
        <f>IFERROR(VLOOKUP('Customer Info'!A2973,'Customer Info'!A2973:C3472,2,FALSE),"Not Found")</f>
        <v>Not Found</v>
      </c>
      <c r="H2981" s="6" t="str">
        <f>IFERROR(VLOOKUP('Customer Info'!A2973,'Customer Info'!A2973:C3472,3,FALSE),"Not Found")</f>
        <v>Not Found</v>
      </c>
      <c r="I2981" s="6" t="str">
        <f>IFERROR(VLOOKUP('Customer Info'!A2973,'Customer Info'!A2973:E3472,5,FALSE),"Not Found")</f>
        <v>Not Found</v>
      </c>
      <c r="J2981" s="2">
        <v>4487</v>
      </c>
      <c r="K2981" s="2">
        <v>4201</v>
      </c>
      <c r="L2981" s="2">
        <v>9</v>
      </c>
      <c r="M2981" s="7">
        <f t="shared" si="230"/>
        <v>37809</v>
      </c>
      <c r="N2981" s="7">
        <f t="shared" si="231"/>
        <v>40383</v>
      </c>
      <c r="O2981" s="2">
        <v>40</v>
      </c>
      <c r="P2981" s="8">
        <f t="shared" si="232"/>
        <v>40423</v>
      </c>
      <c r="Q2981" s="8">
        <f t="shared" si="233"/>
        <v>36182</v>
      </c>
      <c r="R2981" s="2" t="s">
        <v>26</v>
      </c>
      <c r="S2981" s="9">
        <f t="shared" si="234"/>
        <v>2829.61</v>
      </c>
    </row>
    <row r="2982" spans="1:19" x14ac:dyDescent="0.3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str">
        <f>IFERROR(VLOOKUP('Customer Info'!A2974,'Customer Info'!A2974:C3473,2,FALSE),"Not Found")</f>
        <v>Not Found</v>
      </c>
      <c r="H2982" s="6" t="str">
        <f>IFERROR(VLOOKUP('Customer Info'!A2974,'Customer Info'!A2974:C3473,3,FALSE),"Not Found")</f>
        <v>Not Found</v>
      </c>
      <c r="I2982" s="6" t="str">
        <f>IFERROR(VLOOKUP('Customer Info'!A2974,'Customer Info'!A2974:E3473,5,FALSE),"Not Found")</f>
        <v>Not Found</v>
      </c>
      <c r="J2982" s="2">
        <v>7021</v>
      </c>
      <c r="K2982" s="2">
        <v>6686</v>
      </c>
      <c r="L2982" s="2">
        <v>1</v>
      </c>
      <c r="M2982" s="7">
        <f t="shared" si="230"/>
        <v>6686</v>
      </c>
      <c r="N2982" s="7">
        <f t="shared" si="231"/>
        <v>7021</v>
      </c>
      <c r="O2982" s="2">
        <v>50</v>
      </c>
      <c r="P2982" s="8">
        <f t="shared" si="232"/>
        <v>7071</v>
      </c>
      <c r="Q2982" s="8">
        <f t="shared" si="233"/>
        <v>335</v>
      </c>
      <c r="R2982" s="2" t="s">
        <v>50</v>
      </c>
      <c r="S2982" s="9">
        <f t="shared" si="234"/>
        <v>353.55</v>
      </c>
    </row>
    <row r="2983" spans="1:19" x14ac:dyDescent="0.3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str">
        <f>IFERROR(VLOOKUP('Customer Info'!A2975,'Customer Info'!A2975:C3474,2,FALSE),"Not Found")</f>
        <v>Not Found</v>
      </c>
      <c r="H2983" s="6" t="str">
        <f>IFERROR(VLOOKUP('Customer Info'!A2975,'Customer Info'!A2975:C3474,3,FALSE),"Not Found")</f>
        <v>Not Found</v>
      </c>
      <c r="I2983" s="6" t="str">
        <f>IFERROR(VLOOKUP('Customer Info'!A2975,'Customer Info'!A2975:E3474,5,FALSE),"Not Found")</f>
        <v>Not Found</v>
      </c>
      <c r="J2983" s="2">
        <v>188</v>
      </c>
      <c r="K2983" s="2">
        <v>173</v>
      </c>
      <c r="L2983" s="2">
        <v>2</v>
      </c>
      <c r="M2983" s="7">
        <f t="shared" si="230"/>
        <v>346</v>
      </c>
      <c r="N2983" s="7">
        <f t="shared" si="231"/>
        <v>376</v>
      </c>
      <c r="O2983" s="2">
        <v>30</v>
      </c>
      <c r="P2983" s="8">
        <f t="shared" si="232"/>
        <v>406</v>
      </c>
      <c r="Q2983" s="8">
        <f t="shared" si="233"/>
        <v>203</v>
      </c>
      <c r="R2983" s="2" t="s">
        <v>56</v>
      </c>
      <c r="S2983" s="9">
        <f t="shared" si="234"/>
        <v>8.120000000000001</v>
      </c>
    </row>
    <row r="2984" spans="1:19" x14ac:dyDescent="0.3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str">
        <f>IFERROR(VLOOKUP('Customer Info'!A2976,'Customer Info'!A2976:C3475,2,FALSE),"Not Found")</f>
        <v>Not Found</v>
      </c>
      <c r="H2984" s="6" t="str">
        <f>IFERROR(VLOOKUP('Customer Info'!A2976,'Customer Info'!A2976:C3475,3,FALSE),"Not Found")</f>
        <v>Not Found</v>
      </c>
      <c r="I2984" s="6" t="str">
        <f>IFERROR(VLOOKUP('Customer Info'!A2976,'Customer Info'!A2976:E3475,5,FALSE),"Not Found")</f>
        <v>Not Found</v>
      </c>
      <c r="J2984" s="2">
        <v>1601</v>
      </c>
      <c r="K2984" s="2">
        <v>1510</v>
      </c>
      <c r="L2984" s="2">
        <v>4</v>
      </c>
      <c r="M2984" s="7">
        <f t="shared" si="230"/>
        <v>6040</v>
      </c>
      <c r="N2984" s="7">
        <f t="shared" si="231"/>
        <v>6404</v>
      </c>
      <c r="O2984" s="2">
        <v>78</v>
      </c>
      <c r="P2984" s="8">
        <f t="shared" si="232"/>
        <v>6482</v>
      </c>
      <c r="Q2984" s="8">
        <f t="shared" si="233"/>
        <v>4894</v>
      </c>
      <c r="R2984" s="2" t="s">
        <v>50</v>
      </c>
      <c r="S2984" s="9">
        <f t="shared" si="234"/>
        <v>324.10000000000002</v>
      </c>
    </row>
    <row r="2985" spans="1:19" x14ac:dyDescent="0.3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str">
        <f>IFERROR(VLOOKUP('Customer Info'!A2977,'Customer Info'!A2977:C3476,2,FALSE),"Not Found")</f>
        <v>Not Found</v>
      </c>
      <c r="H2985" s="6" t="str">
        <f>IFERROR(VLOOKUP('Customer Info'!A2977,'Customer Info'!A2977:C3476,3,FALSE),"Not Found")</f>
        <v>Not Found</v>
      </c>
      <c r="I2985" s="6" t="str">
        <f>IFERROR(VLOOKUP('Customer Info'!A2977,'Customer Info'!A2977:E3476,5,FALSE),"Not Found")</f>
        <v>Not Found</v>
      </c>
      <c r="J2985" s="2">
        <v>7609</v>
      </c>
      <c r="K2985" s="2">
        <v>7248</v>
      </c>
      <c r="L2985" s="2">
        <v>3</v>
      </c>
      <c r="M2985" s="7">
        <f t="shared" si="230"/>
        <v>21744</v>
      </c>
      <c r="N2985" s="7">
        <f t="shared" si="231"/>
        <v>22827</v>
      </c>
      <c r="O2985" s="2">
        <v>38</v>
      </c>
      <c r="P2985" s="8">
        <f t="shared" si="232"/>
        <v>22865</v>
      </c>
      <c r="Q2985" s="8">
        <f t="shared" si="233"/>
        <v>15579</v>
      </c>
      <c r="R2985" s="2" t="s">
        <v>28</v>
      </c>
      <c r="S2985" s="9">
        <f t="shared" si="234"/>
        <v>1143.25</v>
      </c>
    </row>
    <row r="2986" spans="1:19" x14ac:dyDescent="0.3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str">
        <f>IFERROR(VLOOKUP('Customer Info'!A2978,'Customer Info'!A2978:C3477,2,FALSE),"Not Found")</f>
        <v>Not Found</v>
      </c>
      <c r="H2986" s="6" t="str">
        <f>IFERROR(VLOOKUP('Customer Info'!A2978,'Customer Info'!A2978:C3477,3,FALSE),"Not Found")</f>
        <v>Not Found</v>
      </c>
      <c r="I2986" s="6" t="str">
        <f>IFERROR(VLOOKUP('Customer Info'!A2978,'Customer Info'!A2978:E3477,5,FALSE),"Not Found")</f>
        <v>Not Found</v>
      </c>
      <c r="J2986" s="2">
        <v>2249</v>
      </c>
      <c r="K2986" s="2">
        <v>2102</v>
      </c>
      <c r="L2986" s="2">
        <v>2</v>
      </c>
      <c r="M2986" s="7">
        <f t="shared" si="230"/>
        <v>4204</v>
      </c>
      <c r="N2986" s="7">
        <f t="shared" si="231"/>
        <v>4498</v>
      </c>
      <c r="O2986" s="2">
        <v>97</v>
      </c>
      <c r="P2986" s="8">
        <f t="shared" si="232"/>
        <v>4595</v>
      </c>
      <c r="Q2986" s="8">
        <f t="shared" si="233"/>
        <v>2396</v>
      </c>
      <c r="R2986" s="2" t="s">
        <v>50</v>
      </c>
      <c r="S2986" s="9">
        <f t="shared" si="234"/>
        <v>91.9</v>
      </c>
    </row>
    <row r="2987" spans="1:19" x14ac:dyDescent="0.3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str">
        <f>IFERROR(VLOOKUP('Customer Info'!A2979,'Customer Info'!A2979:C3478,2,FALSE),"Not Found")</f>
        <v>Not Found</v>
      </c>
      <c r="H2987" s="6" t="str">
        <f>IFERROR(VLOOKUP('Customer Info'!A2979,'Customer Info'!A2979:C3478,3,FALSE),"Not Found")</f>
        <v>Not Found</v>
      </c>
      <c r="I2987" s="6" t="str">
        <f>IFERROR(VLOOKUP('Customer Info'!A2979,'Customer Info'!A2979:E3478,5,FALSE),"Not Found")</f>
        <v>Not Found</v>
      </c>
      <c r="J2987" s="2">
        <v>185</v>
      </c>
      <c r="K2987" s="2">
        <v>174</v>
      </c>
      <c r="L2987" s="2">
        <v>5</v>
      </c>
      <c r="M2987" s="7">
        <f t="shared" si="230"/>
        <v>870</v>
      </c>
      <c r="N2987" s="7">
        <f t="shared" si="231"/>
        <v>925</v>
      </c>
      <c r="O2987" s="2">
        <v>30</v>
      </c>
      <c r="P2987" s="8">
        <f t="shared" si="232"/>
        <v>955</v>
      </c>
      <c r="Q2987" s="8">
        <f t="shared" si="233"/>
        <v>751</v>
      </c>
      <c r="R2987" s="2" t="s">
        <v>28</v>
      </c>
      <c r="S2987" s="9">
        <f t="shared" si="234"/>
        <v>19.100000000000001</v>
      </c>
    </row>
    <row r="2988" spans="1:19" x14ac:dyDescent="0.3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str">
        <f>IFERROR(VLOOKUP('Customer Info'!A2980,'Customer Info'!A2980:C3479,2,FALSE),"Not Found")</f>
        <v>Not Found</v>
      </c>
      <c r="H2988" s="6" t="str">
        <f>IFERROR(VLOOKUP('Customer Info'!A2980,'Customer Info'!A2980:C3479,3,FALSE),"Not Found")</f>
        <v>Not Found</v>
      </c>
      <c r="I2988" s="6" t="str">
        <f>IFERROR(VLOOKUP('Customer Info'!A2980,'Customer Info'!A2980:E3479,5,FALSE),"Not Found")</f>
        <v>Not Found</v>
      </c>
      <c r="J2988" s="2">
        <v>1770</v>
      </c>
      <c r="K2988" s="2">
        <v>1592</v>
      </c>
      <c r="L2988" s="2">
        <v>6</v>
      </c>
      <c r="M2988" s="7">
        <f t="shared" si="230"/>
        <v>9552</v>
      </c>
      <c r="N2988" s="7">
        <f t="shared" si="231"/>
        <v>10620</v>
      </c>
      <c r="O2988" s="2">
        <v>81</v>
      </c>
      <c r="P2988" s="8">
        <f t="shared" si="232"/>
        <v>10701</v>
      </c>
      <c r="Q2988" s="8">
        <f t="shared" si="233"/>
        <v>9028</v>
      </c>
      <c r="R2988" s="2" t="s">
        <v>28</v>
      </c>
      <c r="S2988" s="9">
        <f t="shared" si="234"/>
        <v>535.05000000000007</v>
      </c>
    </row>
    <row r="2989" spans="1:19" x14ac:dyDescent="0.3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str">
        <f>IFERROR(VLOOKUP('Customer Info'!A2981,'Customer Info'!A2981:C3480,2,FALSE),"Not Found")</f>
        <v>Not Found</v>
      </c>
      <c r="H2989" s="6" t="str">
        <f>IFERROR(VLOOKUP('Customer Info'!A2981,'Customer Info'!A2981:C3480,3,FALSE),"Not Found")</f>
        <v>Not Found</v>
      </c>
      <c r="I2989" s="6" t="str">
        <f>IFERROR(VLOOKUP('Customer Info'!A2981,'Customer Info'!A2981:E3480,5,FALSE),"Not Found")</f>
        <v>Not Found</v>
      </c>
      <c r="J2989" s="2">
        <v>1734</v>
      </c>
      <c r="K2989" s="2">
        <v>1702</v>
      </c>
      <c r="L2989" s="2">
        <v>2</v>
      </c>
      <c r="M2989" s="7">
        <f t="shared" si="230"/>
        <v>3404</v>
      </c>
      <c r="N2989" s="7">
        <f t="shared" si="231"/>
        <v>3468</v>
      </c>
      <c r="O2989" s="2">
        <v>29</v>
      </c>
      <c r="P2989" s="8">
        <f t="shared" si="232"/>
        <v>3497</v>
      </c>
      <c r="Q2989" s="8">
        <f t="shared" si="233"/>
        <v>1766</v>
      </c>
      <c r="R2989" s="2" t="s">
        <v>26</v>
      </c>
      <c r="S2989" s="9">
        <f t="shared" si="234"/>
        <v>69.94</v>
      </c>
    </row>
    <row r="2990" spans="1:19" x14ac:dyDescent="0.3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str">
        <f>IFERROR(VLOOKUP('Customer Info'!A2982,'Customer Info'!A2982:C3481,2,FALSE),"Not Found")</f>
        <v>Not Found</v>
      </c>
      <c r="H2990" s="6" t="str">
        <f>IFERROR(VLOOKUP('Customer Info'!A2982,'Customer Info'!A2982:C3481,3,FALSE),"Not Found")</f>
        <v>Not Found</v>
      </c>
      <c r="I2990" s="6" t="str">
        <f>IFERROR(VLOOKUP('Customer Info'!A2982,'Customer Info'!A2982:E3481,5,FALSE),"Not Found")</f>
        <v>Not Found</v>
      </c>
      <c r="J2990" s="2">
        <v>8617</v>
      </c>
      <c r="K2990" s="2">
        <v>7900</v>
      </c>
      <c r="L2990" s="2">
        <v>14</v>
      </c>
      <c r="M2990" s="7">
        <f t="shared" si="230"/>
        <v>110600</v>
      </c>
      <c r="N2990" s="7">
        <f t="shared" si="231"/>
        <v>120638</v>
      </c>
      <c r="O2990" s="2">
        <v>35</v>
      </c>
      <c r="P2990" s="8">
        <f t="shared" si="232"/>
        <v>120673</v>
      </c>
      <c r="Q2990" s="8">
        <f t="shared" si="233"/>
        <v>112738</v>
      </c>
      <c r="R2990" s="2" t="s">
        <v>50</v>
      </c>
      <c r="S2990" s="9">
        <f t="shared" si="234"/>
        <v>14480.76</v>
      </c>
    </row>
    <row r="2991" spans="1:19" x14ac:dyDescent="0.3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str">
        <f>IFERROR(VLOOKUP('Customer Info'!A2983,'Customer Info'!A2983:C3482,2,FALSE),"Not Found")</f>
        <v>Not Found</v>
      </c>
      <c r="H2991" s="6" t="str">
        <f>IFERROR(VLOOKUP('Customer Info'!A2983,'Customer Info'!A2983:C3482,3,FALSE),"Not Found")</f>
        <v>Not Found</v>
      </c>
      <c r="I2991" s="6" t="str">
        <f>IFERROR(VLOOKUP('Customer Info'!A2983,'Customer Info'!A2983:E3482,5,FALSE),"Not Found")</f>
        <v>Not Found</v>
      </c>
      <c r="J2991" s="2">
        <v>393</v>
      </c>
      <c r="K2991" s="2">
        <v>374</v>
      </c>
      <c r="L2991" s="2">
        <v>5</v>
      </c>
      <c r="M2991" s="7">
        <f t="shared" si="230"/>
        <v>1870</v>
      </c>
      <c r="N2991" s="7">
        <f t="shared" si="231"/>
        <v>1965</v>
      </c>
      <c r="O2991" s="2">
        <v>90</v>
      </c>
      <c r="P2991" s="8">
        <f t="shared" si="232"/>
        <v>2055</v>
      </c>
      <c r="Q2991" s="8">
        <f t="shared" si="233"/>
        <v>1591</v>
      </c>
      <c r="R2991" s="2" t="s">
        <v>28</v>
      </c>
      <c r="S2991" s="9">
        <f t="shared" si="234"/>
        <v>41.1</v>
      </c>
    </row>
    <row r="2992" spans="1:19" x14ac:dyDescent="0.3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str">
        <f>IFERROR(VLOOKUP('Customer Info'!A2984,'Customer Info'!A2984:C3483,2,FALSE),"Not Found")</f>
        <v>Not Found</v>
      </c>
      <c r="H2992" s="6" t="str">
        <f>IFERROR(VLOOKUP('Customer Info'!A2984,'Customer Info'!A2984:C3483,3,FALSE),"Not Found")</f>
        <v>Not Found</v>
      </c>
      <c r="I2992" s="6" t="str">
        <f>IFERROR(VLOOKUP('Customer Info'!A2984,'Customer Info'!A2984:E3483,5,FALSE),"Not Found")</f>
        <v>Not Found</v>
      </c>
      <c r="J2992" s="2">
        <v>2644</v>
      </c>
      <c r="K2992" s="2">
        <v>2425</v>
      </c>
      <c r="L2992" s="2">
        <v>3</v>
      </c>
      <c r="M2992" s="7">
        <f t="shared" si="230"/>
        <v>7275</v>
      </c>
      <c r="N2992" s="7">
        <f t="shared" si="231"/>
        <v>7932</v>
      </c>
      <c r="O2992" s="2">
        <v>29</v>
      </c>
      <c r="P2992" s="8">
        <f t="shared" si="232"/>
        <v>7961</v>
      </c>
      <c r="Q2992" s="8">
        <f t="shared" si="233"/>
        <v>5507</v>
      </c>
      <c r="R2992" s="2" t="s">
        <v>50</v>
      </c>
      <c r="S2992" s="9">
        <f t="shared" si="234"/>
        <v>398.05</v>
      </c>
    </row>
    <row r="2993" spans="1:19" x14ac:dyDescent="0.3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str">
        <f>IFERROR(VLOOKUP('Customer Info'!A2985,'Customer Info'!A2985:C3484,2,FALSE),"Not Found")</f>
        <v>Not Found</v>
      </c>
      <c r="H2993" s="6" t="str">
        <f>IFERROR(VLOOKUP('Customer Info'!A2985,'Customer Info'!A2985:C3484,3,FALSE),"Not Found")</f>
        <v>Not Found</v>
      </c>
      <c r="I2993" s="6" t="str">
        <f>IFERROR(VLOOKUP('Customer Info'!A2985,'Customer Info'!A2985:E3484,5,FALSE),"Not Found")</f>
        <v>Not Found</v>
      </c>
      <c r="J2993" s="2">
        <v>1306</v>
      </c>
      <c r="K2993" s="2">
        <v>1197</v>
      </c>
      <c r="L2993" s="2">
        <v>2</v>
      </c>
      <c r="M2993" s="7">
        <f t="shared" si="230"/>
        <v>2394</v>
      </c>
      <c r="N2993" s="7">
        <f t="shared" si="231"/>
        <v>2612</v>
      </c>
      <c r="O2993" s="2">
        <v>55</v>
      </c>
      <c r="P2993" s="8">
        <f t="shared" si="232"/>
        <v>2667</v>
      </c>
      <c r="Q2993" s="8">
        <f t="shared" si="233"/>
        <v>1415</v>
      </c>
      <c r="R2993" s="2" t="s">
        <v>28</v>
      </c>
      <c r="S2993" s="9">
        <f t="shared" si="234"/>
        <v>53.34</v>
      </c>
    </row>
    <row r="2994" spans="1:19" x14ac:dyDescent="0.3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str">
        <f>IFERROR(VLOOKUP('Customer Info'!A2986,'Customer Info'!A2986:C3485,2,FALSE),"Not Found")</f>
        <v>Not Found</v>
      </c>
      <c r="H2994" s="6" t="str">
        <f>IFERROR(VLOOKUP('Customer Info'!A2986,'Customer Info'!A2986:C3485,3,FALSE),"Not Found")</f>
        <v>Not Found</v>
      </c>
      <c r="I2994" s="6" t="str">
        <f>IFERROR(VLOOKUP('Customer Info'!A2986,'Customer Info'!A2986:E3485,5,FALSE),"Not Found")</f>
        <v>Not Found</v>
      </c>
      <c r="J2994" s="2">
        <v>2249</v>
      </c>
      <c r="K2994" s="2">
        <v>2102</v>
      </c>
      <c r="L2994" s="2">
        <v>3</v>
      </c>
      <c r="M2994" s="7">
        <f t="shared" si="230"/>
        <v>6306</v>
      </c>
      <c r="N2994" s="7">
        <f t="shared" si="231"/>
        <v>6747</v>
      </c>
      <c r="O2994" s="2">
        <v>88</v>
      </c>
      <c r="P2994" s="8">
        <f t="shared" si="232"/>
        <v>6835</v>
      </c>
      <c r="Q2994" s="8">
        <f t="shared" si="233"/>
        <v>4645</v>
      </c>
      <c r="R2994" s="2" t="s">
        <v>28</v>
      </c>
      <c r="S2994" s="9">
        <f t="shared" si="234"/>
        <v>341.75</v>
      </c>
    </row>
    <row r="2995" spans="1:19" x14ac:dyDescent="0.3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str">
        <f>IFERROR(VLOOKUP('Customer Info'!A2987,'Customer Info'!A2987:C3486,2,FALSE),"Not Found")</f>
        <v>Not Found</v>
      </c>
      <c r="H2995" s="6" t="str">
        <f>IFERROR(VLOOKUP('Customer Info'!A2987,'Customer Info'!A2987:C3486,3,FALSE),"Not Found")</f>
        <v>Not Found</v>
      </c>
      <c r="I2995" s="6" t="str">
        <f>IFERROR(VLOOKUP('Customer Info'!A2987,'Customer Info'!A2987:E3486,5,FALSE),"Not Found")</f>
        <v>Not Found</v>
      </c>
      <c r="J2995" s="2">
        <v>5906</v>
      </c>
      <c r="K2995" s="2">
        <v>5266</v>
      </c>
      <c r="L2995" s="2">
        <v>1</v>
      </c>
      <c r="M2995" s="7">
        <f t="shared" si="230"/>
        <v>5266</v>
      </c>
      <c r="N2995" s="7">
        <f t="shared" si="231"/>
        <v>5906</v>
      </c>
      <c r="O2995" s="2">
        <v>61</v>
      </c>
      <c r="P2995" s="8">
        <f t="shared" si="232"/>
        <v>5967</v>
      </c>
      <c r="Q2995" s="8">
        <f t="shared" si="233"/>
        <v>640</v>
      </c>
      <c r="R2995" s="2" t="s">
        <v>28</v>
      </c>
      <c r="S2995" s="9">
        <f t="shared" si="234"/>
        <v>298.35000000000002</v>
      </c>
    </row>
    <row r="2996" spans="1:19" x14ac:dyDescent="0.3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str">
        <f>IFERROR(VLOOKUP('Customer Info'!A2988,'Customer Info'!A2988:C3487,2,FALSE),"Not Found")</f>
        <v>Not Found</v>
      </c>
      <c r="H2996" s="6" t="str">
        <f>IFERROR(VLOOKUP('Customer Info'!A2988,'Customer Info'!A2988:C3487,3,FALSE),"Not Found")</f>
        <v>Not Found</v>
      </c>
      <c r="I2996" s="6" t="str">
        <f>IFERROR(VLOOKUP('Customer Info'!A2988,'Customer Info'!A2988:E3487,5,FALSE),"Not Found")</f>
        <v>Not Found</v>
      </c>
      <c r="J2996" s="2">
        <v>79</v>
      </c>
      <c r="K2996" s="2">
        <v>75</v>
      </c>
      <c r="L2996" s="2">
        <v>3</v>
      </c>
      <c r="M2996" s="7">
        <f t="shared" si="230"/>
        <v>225</v>
      </c>
      <c r="N2996" s="7">
        <f t="shared" si="231"/>
        <v>237</v>
      </c>
      <c r="O2996" s="2">
        <v>10</v>
      </c>
      <c r="P2996" s="8">
        <f t="shared" si="232"/>
        <v>247</v>
      </c>
      <c r="Q2996" s="8">
        <f t="shared" si="233"/>
        <v>162</v>
      </c>
      <c r="R2996" s="2" t="s">
        <v>28</v>
      </c>
      <c r="S2996" s="9">
        <f t="shared" si="234"/>
        <v>4.9400000000000004</v>
      </c>
    </row>
    <row r="2997" spans="1:19" x14ac:dyDescent="0.3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str">
        <f>IFERROR(VLOOKUP('Customer Info'!A2989,'Customer Info'!A2989:C3488,2,FALSE),"Not Found")</f>
        <v>Not Found</v>
      </c>
      <c r="H2997" s="6" t="str">
        <f>IFERROR(VLOOKUP('Customer Info'!A2989,'Customer Info'!A2989:C3488,3,FALSE),"Not Found")</f>
        <v>Not Found</v>
      </c>
      <c r="I2997" s="6" t="str">
        <f>IFERROR(VLOOKUP('Customer Info'!A2989,'Customer Info'!A2989:E3488,5,FALSE),"Not Found")</f>
        <v>Not Found</v>
      </c>
      <c r="J2997" s="2">
        <v>2829</v>
      </c>
      <c r="K2997" s="2">
        <v>2596</v>
      </c>
      <c r="L2997" s="2">
        <v>2</v>
      </c>
      <c r="M2997" s="7">
        <f t="shared" si="230"/>
        <v>5192</v>
      </c>
      <c r="N2997" s="7">
        <f t="shared" si="231"/>
        <v>5658</v>
      </c>
      <c r="O2997" s="2">
        <v>48</v>
      </c>
      <c r="P2997" s="8">
        <f t="shared" si="232"/>
        <v>5706</v>
      </c>
      <c r="Q2997" s="8">
        <f t="shared" si="233"/>
        <v>3062</v>
      </c>
      <c r="R2997" s="2" t="s">
        <v>28</v>
      </c>
      <c r="S2997" s="9">
        <f t="shared" si="234"/>
        <v>285.3</v>
      </c>
    </row>
    <row r="2998" spans="1:19" x14ac:dyDescent="0.3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str">
        <f>IFERROR(VLOOKUP('Customer Info'!A2990,'Customer Info'!A2990:C3489,2,FALSE),"Not Found")</f>
        <v>Not Found</v>
      </c>
      <c r="H2998" s="6" t="str">
        <f>IFERROR(VLOOKUP('Customer Info'!A2990,'Customer Info'!A2990:C3489,3,FALSE),"Not Found")</f>
        <v>Not Found</v>
      </c>
      <c r="I2998" s="6" t="str">
        <f>IFERROR(VLOOKUP('Customer Info'!A2990,'Customer Info'!A2990:E3489,5,FALSE),"Not Found")</f>
        <v>Not Found</v>
      </c>
      <c r="J2998" s="2">
        <v>151</v>
      </c>
      <c r="K2998" s="2">
        <v>139</v>
      </c>
      <c r="L2998" s="2">
        <v>2</v>
      </c>
      <c r="M2998" s="7">
        <f t="shared" si="230"/>
        <v>278</v>
      </c>
      <c r="N2998" s="7">
        <f t="shared" si="231"/>
        <v>302</v>
      </c>
      <c r="O2998" s="2">
        <v>30</v>
      </c>
      <c r="P2998" s="8">
        <f t="shared" si="232"/>
        <v>332</v>
      </c>
      <c r="Q2998" s="8">
        <f t="shared" si="233"/>
        <v>163</v>
      </c>
      <c r="R2998" s="2" t="s">
        <v>50</v>
      </c>
      <c r="S2998" s="9">
        <f t="shared" si="234"/>
        <v>6.6400000000000006</v>
      </c>
    </row>
    <row r="2999" spans="1:19" x14ac:dyDescent="0.3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str">
        <f>IFERROR(VLOOKUP('Customer Info'!A2991,'Customer Info'!A2991:C3490,2,FALSE),"Not Found")</f>
        <v>Not Found</v>
      </c>
      <c r="H2999" s="6" t="str">
        <f>IFERROR(VLOOKUP('Customer Info'!A2991,'Customer Info'!A2991:C3490,3,FALSE),"Not Found")</f>
        <v>Not Found</v>
      </c>
      <c r="I2999" s="6" t="str">
        <f>IFERROR(VLOOKUP('Customer Info'!A2991,'Customer Info'!A2991:E3490,5,FALSE),"Not Found")</f>
        <v>Not Found</v>
      </c>
      <c r="J2999" s="2">
        <v>8187</v>
      </c>
      <c r="K2999" s="2">
        <v>7799</v>
      </c>
      <c r="L2999" s="2">
        <v>6</v>
      </c>
      <c r="M2999" s="7">
        <f t="shared" si="230"/>
        <v>46794</v>
      </c>
      <c r="N2999" s="7">
        <f t="shared" si="231"/>
        <v>49122</v>
      </c>
      <c r="O2999" s="2">
        <v>57</v>
      </c>
      <c r="P2999" s="8">
        <f t="shared" si="232"/>
        <v>49179</v>
      </c>
      <c r="Q2999" s="8">
        <f t="shared" si="233"/>
        <v>41323</v>
      </c>
      <c r="R2999" s="2" t="s">
        <v>28</v>
      </c>
      <c r="S2999" s="9">
        <f t="shared" si="234"/>
        <v>3442.53</v>
      </c>
    </row>
    <row r="3000" spans="1:19" x14ac:dyDescent="0.3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str">
        <f>IFERROR(VLOOKUP('Customer Info'!A2992,'Customer Info'!A2992:C3491,2,FALSE),"Not Found")</f>
        <v>Not Found</v>
      </c>
      <c r="H3000" s="6" t="str">
        <f>IFERROR(VLOOKUP('Customer Info'!A2992,'Customer Info'!A2992:C3491,3,FALSE),"Not Found")</f>
        <v>Not Found</v>
      </c>
      <c r="I3000" s="6" t="str">
        <f>IFERROR(VLOOKUP('Customer Info'!A2992,'Customer Info'!A2992:E3491,5,FALSE),"Not Found")</f>
        <v>Not Found</v>
      </c>
      <c r="J3000" s="2">
        <v>2960</v>
      </c>
      <c r="K3000" s="2">
        <v>2635</v>
      </c>
      <c r="L3000" s="2">
        <v>2</v>
      </c>
      <c r="M3000" s="7">
        <f t="shared" si="230"/>
        <v>5270</v>
      </c>
      <c r="N3000" s="7">
        <f t="shared" si="231"/>
        <v>5920</v>
      </c>
      <c r="O3000" s="2">
        <v>86</v>
      </c>
      <c r="P3000" s="8">
        <f t="shared" si="232"/>
        <v>6006</v>
      </c>
      <c r="Q3000" s="8">
        <f t="shared" si="233"/>
        <v>3285</v>
      </c>
      <c r="R3000" s="2" t="s">
        <v>28</v>
      </c>
      <c r="S3000" s="9">
        <f t="shared" si="234"/>
        <v>300.3</v>
      </c>
    </row>
    <row r="3001" spans="1:19" x14ac:dyDescent="0.3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str">
        <f>IFERROR(VLOOKUP('Customer Info'!A2993,'Customer Info'!A2993:C3492,2,FALSE),"Not Found")</f>
        <v>Not Found</v>
      </c>
      <c r="H3001" s="6" t="str">
        <f>IFERROR(VLOOKUP('Customer Info'!A2993,'Customer Info'!A2993:C3492,3,FALSE),"Not Found")</f>
        <v>Not Found</v>
      </c>
      <c r="I3001" s="6" t="str">
        <f>IFERROR(VLOOKUP('Customer Info'!A2993,'Customer Info'!A2993:E3492,5,FALSE),"Not Found")</f>
        <v>Not Found</v>
      </c>
      <c r="J3001" s="2">
        <v>829</v>
      </c>
      <c r="K3001" s="2">
        <v>761</v>
      </c>
      <c r="L3001" s="2">
        <v>6</v>
      </c>
      <c r="M3001" s="7">
        <f t="shared" si="230"/>
        <v>4566</v>
      </c>
      <c r="N3001" s="7">
        <f t="shared" si="231"/>
        <v>4974</v>
      </c>
      <c r="O3001" s="2">
        <v>67</v>
      </c>
      <c r="P3001" s="8">
        <f t="shared" si="232"/>
        <v>5041</v>
      </c>
      <c r="Q3001" s="8">
        <f t="shared" si="233"/>
        <v>4213</v>
      </c>
      <c r="R3001" s="2" t="s">
        <v>26</v>
      </c>
      <c r="S3001" s="9">
        <f t="shared" si="234"/>
        <v>252.05</v>
      </c>
    </row>
    <row r="3002" spans="1:19" x14ac:dyDescent="0.3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str">
        <f>IFERROR(VLOOKUP('Customer Info'!A2994,'Customer Info'!A2994:C3493,2,FALSE),"Not Found")</f>
        <v>Not Found</v>
      </c>
      <c r="H3002" s="6" t="str">
        <f>IFERROR(VLOOKUP('Customer Info'!A2994,'Customer Info'!A2994:C3493,3,FALSE),"Not Found")</f>
        <v>Not Found</v>
      </c>
      <c r="I3002" s="6" t="str">
        <f>IFERROR(VLOOKUP('Customer Info'!A2994,'Customer Info'!A2994:E3493,5,FALSE),"Not Found")</f>
        <v>Not Found</v>
      </c>
      <c r="J3002" s="2">
        <v>2365</v>
      </c>
      <c r="K3002" s="2">
        <v>2232</v>
      </c>
      <c r="L3002" s="2">
        <v>5</v>
      </c>
      <c r="M3002" s="7">
        <f t="shared" si="230"/>
        <v>11160</v>
      </c>
      <c r="N3002" s="7">
        <f t="shared" si="231"/>
        <v>11825</v>
      </c>
      <c r="O3002" s="2">
        <v>78</v>
      </c>
      <c r="P3002" s="8">
        <f t="shared" si="232"/>
        <v>11903</v>
      </c>
      <c r="Q3002" s="8">
        <f t="shared" si="233"/>
        <v>9593</v>
      </c>
      <c r="R3002" s="2" t="s">
        <v>50</v>
      </c>
      <c r="S3002" s="9">
        <f t="shared" si="234"/>
        <v>595.15</v>
      </c>
    </row>
    <row r="3003" spans="1:19" x14ac:dyDescent="0.3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str">
        <f>IFERROR(VLOOKUP('Customer Info'!A2995,'Customer Info'!A2995:C3494,2,FALSE),"Not Found")</f>
        <v>Not Found</v>
      </c>
      <c r="H3003" s="6" t="str">
        <f>IFERROR(VLOOKUP('Customer Info'!A2995,'Customer Info'!A2995:C3494,3,FALSE),"Not Found")</f>
        <v>Not Found</v>
      </c>
      <c r="I3003" s="6" t="str">
        <f>IFERROR(VLOOKUP('Customer Info'!A2995,'Customer Info'!A2995:E3494,5,FALSE),"Not Found")</f>
        <v>Not Found</v>
      </c>
      <c r="J3003" s="2">
        <v>1103</v>
      </c>
      <c r="K3003" s="2">
        <v>1030</v>
      </c>
      <c r="L3003" s="2">
        <v>3</v>
      </c>
      <c r="M3003" s="7">
        <f t="shared" si="230"/>
        <v>3090</v>
      </c>
      <c r="N3003" s="7">
        <f t="shared" si="231"/>
        <v>3309</v>
      </c>
      <c r="O3003" s="2">
        <v>69</v>
      </c>
      <c r="P3003" s="8">
        <f t="shared" si="232"/>
        <v>3378</v>
      </c>
      <c r="Q3003" s="8">
        <f t="shared" si="233"/>
        <v>2279</v>
      </c>
      <c r="R3003" s="2" t="s">
        <v>28</v>
      </c>
      <c r="S3003" s="9">
        <f t="shared" si="234"/>
        <v>67.56</v>
      </c>
    </row>
    <row r="3004" spans="1:19" x14ac:dyDescent="0.3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str">
        <f>IFERROR(VLOOKUP('Customer Info'!A2996,'Customer Info'!A2996:C3495,2,FALSE),"Not Found")</f>
        <v>Not Found</v>
      </c>
      <c r="H3004" s="6" t="str">
        <f>IFERROR(VLOOKUP('Customer Info'!A2996,'Customer Info'!A2996:C3495,3,FALSE),"Not Found")</f>
        <v>Not Found</v>
      </c>
      <c r="I3004" s="6" t="str">
        <f>IFERROR(VLOOKUP('Customer Info'!A2996,'Customer Info'!A2996:E3495,5,FALSE),"Not Found")</f>
        <v>Not Found</v>
      </c>
      <c r="J3004" s="2">
        <v>2453</v>
      </c>
      <c r="K3004" s="2">
        <v>2336</v>
      </c>
      <c r="L3004" s="2">
        <v>2</v>
      </c>
      <c r="M3004" s="7">
        <f t="shared" si="230"/>
        <v>4672</v>
      </c>
      <c r="N3004" s="7">
        <f t="shared" si="231"/>
        <v>4906</v>
      </c>
      <c r="O3004" s="2">
        <v>35</v>
      </c>
      <c r="P3004" s="8">
        <f t="shared" si="232"/>
        <v>4941</v>
      </c>
      <c r="Q3004" s="8">
        <f t="shared" si="233"/>
        <v>2570</v>
      </c>
      <c r="R3004" s="2" t="s">
        <v>28</v>
      </c>
      <c r="S3004" s="9">
        <f t="shared" si="234"/>
        <v>98.820000000000007</v>
      </c>
    </row>
    <row r="3005" spans="1:19" x14ac:dyDescent="0.3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str">
        <f>IFERROR(VLOOKUP('Customer Info'!A2997,'Customer Info'!A2997:C3496,2,FALSE),"Not Found")</f>
        <v>Not Found</v>
      </c>
      <c r="H3005" s="6" t="str">
        <f>IFERROR(VLOOKUP('Customer Info'!A2997,'Customer Info'!A2997:C3496,3,FALSE),"Not Found")</f>
        <v>Not Found</v>
      </c>
      <c r="I3005" s="6" t="str">
        <f>IFERROR(VLOOKUP('Customer Info'!A2997,'Customer Info'!A2997:E3496,5,FALSE),"Not Found")</f>
        <v>Not Found</v>
      </c>
      <c r="J3005" s="2">
        <v>1790</v>
      </c>
      <c r="K3005" s="2">
        <v>1706</v>
      </c>
      <c r="L3005" s="2">
        <v>6</v>
      </c>
      <c r="M3005" s="7">
        <f t="shared" si="230"/>
        <v>10236</v>
      </c>
      <c r="N3005" s="7">
        <f t="shared" si="231"/>
        <v>10740</v>
      </c>
      <c r="O3005" s="2">
        <v>20</v>
      </c>
      <c r="P3005" s="8">
        <f t="shared" si="232"/>
        <v>10760</v>
      </c>
      <c r="Q3005" s="8">
        <f t="shared" si="233"/>
        <v>9034</v>
      </c>
      <c r="R3005" s="2" t="s">
        <v>50</v>
      </c>
      <c r="S3005" s="9">
        <f t="shared" si="234"/>
        <v>538</v>
      </c>
    </row>
    <row r="3006" spans="1:19" x14ac:dyDescent="0.3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str">
        <f>IFERROR(VLOOKUP('Customer Info'!A2998,'Customer Info'!A2998:C3497,2,FALSE),"Not Found")</f>
        <v>Not Found</v>
      </c>
      <c r="H3006" s="6" t="str">
        <f>IFERROR(VLOOKUP('Customer Info'!A2998,'Customer Info'!A2998:C3497,3,FALSE),"Not Found")</f>
        <v>Not Found</v>
      </c>
      <c r="I3006" s="6" t="str">
        <f>IFERROR(VLOOKUP('Customer Info'!A2998,'Customer Info'!A2998:E3497,5,FALSE),"Not Found")</f>
        <v>Not Found</v>
      </c>
      <c r="J3006" s="2">
        <v>7474</v>
      </c>
      <c r="K3006" s="2">
        <v>6858</v>
      </c>
      <c r="L3006" s="2">
        <v>5</v>
      </c>
      <c r="M3006" s="7">
        <f t="shared" si="230"/>
        <v>34290</v>
      </c>
      <c r="N3006" s="7">
        <f t="shared" si="231"/>
        <v>37370</v>
      </c>
      <c r="O3006" s="2">
        <v>21</v>
      </c>
      <c r="P3006" s="8">
        <f t="shared" si="232"/>
        <v>37391</v>
      </c>
      <c r="Q3006" s="8">
        <f t="shared" si="233"/>
        <v>30512</v>
      </c>
      <c r="R3006" s="2" t="s">
        <v>28</v>
      </c>
      <c r="S3006" s="9">
        <f t="shared" si="234"/>
        <v>2617.3700000000003</v>
      </c>
    </row>
    <row r="3007" spans="1:19" x14ac:dyDescent="0.3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str">
        <f>IFERROR(VLOOKUP('Customer Info'!A2999,'Customer Info'!A2999:C3498,2,FALSE),"Not Found")</f>
        <v>Not Found</v>
      </c>
      <c r="H3007" s="6" t="str">
        <f>IFERROR(VLOOKUP('Customer Info'!A2999,'Customer Info'!A2999:C3498,3,FALSE),"Not Found")</f>
        <v>Not Found</v>
      </c>
      <c r="I3007" s="6" t="str">
        <f>IFERROR(VLOOKUP('Customer Info'!A2999,'Customer Info'!A2999:E3498,5,FALSE),"Not Found")</f>
        <v>Not Found</v>
      </c>
      <c r="J3007" s="2">
        <v>8399</v>
      </c>
      <c r="K3007" s="2">
        <v>8001</v>
      </c>
      <c r="L3007" s="2">
        <v>4</v>
      </c>
      <c r="M3007" s="7">
        <f t="shared" si="230"/>
        <v>32004</v>
      </c>
      <c r="N3007" s="7">
        <f t="shared" si="231"/>
        <v>33596</v>
      </c>
      <c r="O3007" s="2">
        <v>36</v>
      </c>
      <c r="P3007" s="8">
        <f t="shared" si="232"/>
        <v>33632</v>
      </c>
      <c r="Q3007" s="8">
        <f t="shared" si="233"/>
        <v>25595</v>
      </c>
      <c r="R3007" s="2" t="s">
        <v>28</v>
      </c>
      <c r="S3007" s="9">
        <f t="shared" si="234"/>
        <v>2354.2400000000002</v>
      </c>
    </row>
    <row r="3008" spans="1:19" x14ac:dyDescent="0.3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str">
        <f>IFERROR(VLOOKUP('Customer Info'!A3000,'Customer Info'!A3000:C3499,2,FALSE),"Not Found")</f>
        <v>Not Found</v>
      </c>
      <c r="H3008" s="6" t="str">
        <f>IFERROR(VLOOKUP('Customer Info'!A3000,'Customer Info'!A3000:C3499,3,FALSE),"Not Found")</f>
        <v>Not Found</v>
      </c>
      <c r="I3008" s="6" t="str">
        <f>IFERROR(VLOOKUP('Customer Info'!A3000,'Customer Info'!A3000:E3499,5,FALSE),"Not Found")</f>
        <v>Not Found</v>
      </c>
      <c r="J3008" s="2">
        <v>2088</v>
      </c>
      <c r="K3008" s="2">
        <v>1970</v>
      </c>
      <c r="L3008" s="2">
        <v>5</v>
      </c>
      <c r="M3008" s="7">
        <f t="shared" si="230"/>
        <v>9850</v>
      </c>
      <c r="N3008" s="7">
        <f t="shared" si="231"/>
        <v>10440</v>
      </c>
      <c r="O3008" s="2">
        <v>78</v>
      </c>
      <c r="P3008" s="8">
        <f t="shared" si="232"/>
        <v>10518</v>
      </c>
      <c r="Q3008" s="8">
        <f t="shared" si="233"/>
        <v>8470</v>
      </c>
      <c r="R3008" s="2" t="s">
        <v>50</v>
      </c>
      <c r="S3008" s="9">
        <f t="shared" si="234"/>
        <v>525.9</v>
      </c>
    </row>
    <row r="3009" spans="1:19" x14ac:dyDescent="0.3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str">
        <f>IFERROR(VLOOKUP('Customer Info'!A3001,'Customer Info'!A3001:C3500,2,FALSE),"Not Found")</f>
        <v>Not Found</v>
      </c>
      <c r="H3009" s="6" t="str">
        <f>IFERROR(VLOOKUP('Customer Info'!A3001,'Customer Info'!A3001:C3500,3,FALSE),"Not Found")</f>
        <v>Not Found</v>
      </c>
      <c r="I3009" s="6" t="str">
        <f>IFERROR(VLOOKUP('Customer Info'!A3001,'Customer Info'!A3001:E3500,5,FALSE),"Not Found")</f>
        <v>Not Found</v>
      </c>
      <c r="J3009" s="2">
        <v>82</v>
      </c>
      <c r="K3009" s="2">
        <v>79</v>
      </c>
      <c r="L3009" s="2">
        <v>2</v>
      </c>
      <c r="M3009" s="7">
        <f t="shared" si="230"/>
        <v>158</v>
      </c>
      <c r="N3009" s="7">
        <f t="shared" si="231"/>
        <v>164</v>
      </c>
      <c r="O3009" s="2">
        <v>10</v>
      </c>
      <c r="P3009" s="8">
        <f t="shared" si="232"/>
        <v>174</v>
      </c>
      <c r="Q3009" s="8">
        <f t="shared" si="233"/>
        <v>85</v>
      </c>
      <c r="R3009" s="2" t="s">
        <v>28</v>
      </c>
      <c r="S3009" s="9">
        <f t="shared" si="234"/>
        <v>3.48</v>
      </c>
    </row>
    <row r="3010" spans="1:19" x14ac:dyDescent="0.3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str">
        <f>IFERROR(VLOOKUP('Customer Info'!A3002,'Customer Info'!A3002:C3501,2,FALSE),"Not Found")</f>
        <v>Not Found</v>
      </c>
      <c r="H3010" s="6" t="str">
        <f>IFERROR(VLOOKUP('Customer Info'!A3002,'Customer Info'!A3002:C3501,3,FALSE),"Not Found")</f>
        <v>Not Found</v>
      </c>
      <c r="I3010" s="6" t="str">
        <f>IFERROR(VLOOKUP('Customer Info'!A3002,'Customer Info'!A3002:E3501,5,FALSE),"Not Found")</f>
        <v>Not Found</v>
      </c>
      <c r="J3010" s="2">
        <v>8878</v>
      </c>
      <c r="K3010" s="2">
        <v>7914</v>
      </c>
      <c r="L3010" s="2">
        <v>5</v>
      </c>
      <c r="M3010" s="7">
        <f t="shared" si="230"/>
        <v>39570</v>
      </c>
      <c r="N3010" s="7">
        <f t="shared" si="231"/>
        <v>44390</v>
      </c>
      <c r="O3010" s="2">
        <v>60</v>
      </c>
      <c r="P3010" s="8">
        <f t="shared" si="232"/>
        <v>44450</v>
      </c>
      <c r="Q3010" s="8">
        <f t="shared" si="233"/>
        <v>36476</v>
      </c>
      <c r="R3010" s="2" t="s">
        <v>28</v>
      </c>
      <c r="S3010" s="9">
        <f t="shared" si="234"/>
        <v>3111.5000000000005</v>
      </c>
    </row>
    <row r="3011" spans="1:19" x14ac:dyDescent="0.3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str">
        <f>IFERROR(VLOOKUP('Customer Info'!A3003,'Customer Info'!A3003:C3502,2,FALSE),"Not Found")</f>
        <v>Not Found</v>
      </c>
      <c r="H3011" s="6" t="str">
        <f>IFERROR(VLOOKUP('Customer Info'!A3003,'Customer Info'!A3003:C3502,3,FALSE),"Not Found")</f>
        <v>Not Found</v>
      </c>
      <c r="I3011" s="6" t="str">
        <f>IFERROR(VLOOKUP('Customer Info'!A3003,'Customer Info'!A3003:E3502,5,FALSE),"Not Found")</f>
        <v>Not Found</v>
      </c>
      <c r="J3011" s="2">
        <v>140</v>
      </c>
      <c r="K3011" s="2">
        <v>137</v>
      </c>
      <c r="L3011" s="2">
        <v>3</v>
      </c>
      <c r="M3011" s="7">
        <f t="shared" si="230"/>
        <v>411</v>
      </c>
      <c r="N3011" s="7">
        <f t="shared" si="231"/>
        <v>420</v>
      </c>
      <c r="O3011" s="2">
        <v>30</v>
      </c>
      <c r="P3011" s="8">
        <f t="shared" si="232"/>
        <v>450</v>
      </c>
      <c r="Q3011" s="8">
        <f t="shared" si="233"/>
        <v>283</v>
      </c>
      <c r="R3011" s="2" t="s">
        <v>26</v>
      </c>
      <c r="S3011" s="9">
        <f t="shared" si="234"/>
        <v>9</v>
      </c>
    </row>
    <row r="3012" spans="1:19" x14ac:dyDescent="0.3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str">
        <f>IFERROR(VLOOKUP('Customer Info'!A3004,'Customer Info'!A3004:C3503,2,FALSE),"Not Found")</f>
        <v>Not Found</v>
      </c>
      <c r="H3012" s="6" t="str">
        <f>IFERROR(VLOOKUP('Customer Info'!A3004,'Customer Info'!A3004:C3503,3,FALSE),"Not Found")</f>
        <v>Not Found</v>
      </c>
      <c r="I3012" s="6" t="str">
        <f>IFERROR(VLOOKUP('Customer Info'!A3004,'Customer Info'!A3004:E3503,5,FALSE),"Not Found")</f>
        <v>Not Found</v>
      </c>
      <c r="J3012" s="2">
        <v>4704</v>
      </c>
      <c r="K3012" s="2">
        <v>4361</v>
      </c>
      <c r="L3012" s="2">
        <v>2</v>
      </c>
      <c r="M3012" s="7">
        <f t="shared" si="230"/>
        <v>8722</v>
      </c>
      <c r="N3012" s="7">
        <f t="shared" si="231"/>
        <v>9408</v>
      </c>
      <c r="O3012" s="2">
        <v>43</v>
      </c>
      <c r="P3012" s="8">
        <f t="shared" si="232"/>
        <v>9451</v>
      </c>
      <c r="Q3012" s="8">
        <f t="shared" si="233"/>
        <v>5047</v>
      </c>
      <c r="R3012" s="2" t="s">
        <v>28</v>
      </c>
      <c r="S3012" s="9">
        <f t="shared" si="234"/>
        <v>472.55</v>
      </c>
    </row>
    <row r="3013" spans="1:19" x14ac:dyDescent="0.3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str">
        <f>IFERROR(VLOOKUP('Customer Info'!A3005,'Customer Info'!A3005:C3504,2,FALSE),"Not Found")</f>
        <v>Not Found</v>
      </c>
      <c r="H3013" s="6" t="str">
        <f>IFERROR(VLOOKUP('Customer Info'!A3005,'Customer Info'!A3005:C3504,3,FALSE),"Not Found")</f>
        <v>Not Found</v>
      </c>
      <c r="I3013" s="6" t="str">
        <f>IFERROR(VLOOKUP('Customer Info'!A3005,'Customer Info'!A3005:E3504,5,FALSE),"Not Found")</f>
        <v>Not Found</v>
      </c>
      <c r="J3013" s="2">
        <v>1585</v>
      </c>
      <c r="K3013" s="2">
        <v>1495</v>
      </c>
      <c r="L3013" s="2">
        <v>3</v>
      </c>
      <c r="M3013" s="7">
        <f t="shared" si="230"/>
        <v>4485</v>
      </c>
      <c r="N3013" s="7">
        <f t="shared" si="231"/>
        <v>4755</v>
      </c>
      <c r="O3013" s="2">
        <v>39</v>
      </c>
      <c r="P3013" s="8">
        <f t="shared" si="232"/>
        <v>4794</v>
      </c>
      <c r="Q3013" s="8">
        <f t="shared" si="233"/>
        <v>3260</v>
      </c>
      <c r="R3013" s="2" t="s">
        <v>50</v>
      </c>
      <c r="S3013" s="9">
        <f t="shared" si="234"/>
        <v>95.88</v>
      </c>
    </row>
    <row r="3014" spans="1:19" x14ac:dyDescent="0.3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str">
        <f>IFERROR(VLOOKUP('Customer Info'!A3006,'Customer Info'!A3006:C3505,2,FALSE),"Not Found")</f>
        <v>Not Found</v>
      </c>
      <c r="H3014" s="6" t="str">
        <f>IFERROR(VLOOKUP('Customer Info'!A3006,'Customer Info'!A3006:C3505,3,FALSE),"Not Found")</f>
        <v>Not Found</v>
      </c>
      <c r="I3014" s="6" t="str">
        <f>IFERROR(VLOOKUP('Customer Info'!A3006,'Customer Info'!A3006:E3505,5,FALSE),"Not Found")</f>
        <v>Not Found</v>
      </c>
      <c r="J3014" s="2">
        <v>1358</v>
      </c>
      <c r="K3014" s="2">
        <v>1257</v>
      </c>
      <c r="L3014" s="2">
        <v>4</v>
      </c>
      <c r="M3014" s="7">
        <f t="shared" si="230"/>
        <v>5028</v>
      </c>
      <c r="N3014" s="7">
        <f t="shared" si="231"/>
        <v>5432</v>
      </c>
      <c r="O3014" s="2">
        <v>26</v>
      </c>
      <c r="P3014" s="8">
        <f t="shared" si="232"/>
        <v>5458</v>
      </c>
      <c r="Q3014" s="8">
        <f t="shared" si="233"/>
        <v>4175</v>
      </c>
      <c r="R3014" s="2" t="s">
        <v>50</v>
      </c>
      <c r="S3014" s="9">
        <f t="shared" si="234"/>
        <v>272.90000000000003</v>
      </c>
    </row>
    <row r="3015" spans="1:19" x14ac:dyDescent="0.3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str">
        <f>IFERROR(VLOOKUP('Customer Info'!A3007,'Customer Info'!A3007:C3506,2,FALSE),"Not Found")</f>
        <v>Not Found</v>
      </c>
      <c r="H3015" s="6" t="str">
        <f>IFERROR(VLOOKUP('Customer Info'!A3007,'Customer Info'!A3007:C3506,3,FALSE),"Not Found")</f>
        <v>Not Found</v>
      </c>
      <c r="I3015" s="6" t="str">
        <f>IFERROR(VLOOKUP('Customer Info'!A3007,'Customer Info'!A3007:E3506,5,FALSE),"Not Found")</f>
        <v>Not Found</v>
      </c>
      <c r="J3015" s="2">
        <v>7922</v>
      </c>
      <c r="K3015" s="2">
        <v>7328</v>
      </c>
      <c r="L3015" s="2">
        <v>3</v>
      </c>
      <c r="M3015" s="7">
        <f t="shared" si="230"/>
        <v>21984</v>
      </c>
      <c r="N3015" s="7">
        <f t="shared" si="231"/>
        <v>23766</v>
      </c>
      <c r="O3015" s="2">
        <v>69</v>
      </c>
      <c r="P3015" s="8">
        <f t="shared" si="232"/>
        <v>23835</v>
      </c>
      <c r="Q3015" s="8">
        <f t="shared" si="233"/>
        <v>16438</v>
      </c>
      <c r="R3015" s="2" t="s">
        <v>28</v>
      </c>
      <c r="S3015" s="9">
        <f t="shared" si="234"/>
        <v>1191.75</v>
      </c>
    </row>
    <row r="3016" spans="1:19" x14ac:dyDescent="0.3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str">
        <f>IFERROR(VLOOKUP('Customer Info'!A3008,'Customer Info'!A3008:C3507,2,FALSE),"Not Found")</f>
        <v>Not Found</v>
      </c>
      <c r="H3016" s="6" t="str">
        <f>IFERROR(VLOOKUP('Customer Info'!A3008,'Customer Info'!A3008:C3507,3,FALSE),"Not Found")</f>
        <v>Not Found</v>
      </c>
      <c r="I3016" s="6" t="str">
        <f>IFERROR(VLOOKUP('Customer Info'!A3008,'Customer Info'!A3008:E3507,5,FALSE),"Not Found")</f>
        <v>Not Found</v>
      </c>
      <c r="J3016" s="2">
        <v>3288</v>
      </c>
      <c r="K3016" s="2">
        <v>3041</v>
      </c>
      <c r="L3016" s="2">
        <v>4</v>
      </c>
      <c r="M3016" s="7">
        <f t="shared" si="230"/>
        <v>12164</v>
      </c>
      <c r="N3016" s="7">
        <f t="shared" si="231"/>
        <v>13152</v>
      </c>
      <c r="O3016" s="2">
        <v>54</v>
      </c>
      <c r="P3016" s="8">
        <f t="shared" si="232"/>
        <v>13206</v>
      </c>
      <c r="Q3016" s="8">
        <f t="shared" si="233"/>
        <v>10111</v>
      </c>
      <c r="R3016" s="2" t="s">
        <v>50</v>
      </c>
      <c r="S3016" s="9">
        <f t="shared" si="234"/>
        <v>660.30000000000007</v>
      </c>
    </row>
    <row r="3017" spans="1:19" x14ac:dyDescent="0.3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str">
        <f>IFERROR(VLOOKUP('Customer Info'!A3009,'Customer Info'!A3009:C3508,2,FALSE),"Not Found")</f>
        <v>Not Found</v>
      </c>
      <c r="H3017" s="6" t="str">
        <f>IFERROR(VLOOKUP('Customer Info'!A3009,'Customer Info'!A3009:C3508,3,FALSE),"Not Found")</f>
        <v>Not Found</v>
      </c>
      <c r="I3017" s="6" t="str">
        <f>IFERROR(VLOOKUP('Customer Info'!A3009,'Customer Info'!A3009:E3508,5,FALSE),"Not Found")</f>
        <v>Not Found</v>
      </c>
      <c r="J3017" s="2">
        <v>183</v>
      </c>
      <c r="K3017" s="2">
        <v>168</v>
      </c>
      <c r="L3017" s="2">
        <v>7</v>
      </c>
      <c r="M3017" s="7">
        <f t="shared" si="230"/>
        <v>1176</v>
      </c>
      <c r="N3017" s="7">
        <f t="shared" si="231"/>
        <v>1281</v>
      </c>
      <c r="O3017" s="2">
        <v>30</v>
      </c>
      <c r="P3017" s="8">
        <f t="shared" si="232"/>
        <v>1311</v>
      </c>
      <c r="Q3017" s="8">
        <f t="shared" si="233"/>
        <v>1113</v>
      </c>
      <c r="R3017" s="2" t="s">
        <v>28</v>
      </c>
      <c r="S3017" s="9">
        <f t="shared" si="234"/>
        <v>26.22</v>
      </c>
    </row>
    <row r="3018" spans="1:19" x14ac:dyDescent="0.3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str">
        <f>IFERROR(VLOOKUP('Customer Info'!A3010,'Customer Info'!A3010:C3509,2,FALSE),"Not Found")</f>
        <v>Not Found</v>
      </c>
      <c r="H3018" s="6" t="str">
        <f>IFERROR(VLOOKUP('Customer Info'!A3010,'Customer Info'!A3010:C3509,3,FALSE),"Not Found")</f>
        <v>Not Found</v>
      </c>
      <c r="I3018" s="6" t="str">
        <f>IFERROR(VLOOKUP('Customer Info'!A3010,'Customer Info'!A3010:E3509,5,FALSE),"Not Found")</f>
        <v>Not Found</v>
      </c>
      <c r="J3018" s="2">
        <v>1718</v>
      </c>
      <c r="K3018" s="2">
        <v>1545</v>
      </c>
      <c r="L3018" s="2">
        <v>6</v>
      </c>
      <c r="M3018" s="7">
        <f t="shared" si="230"/>
        <v>9270</v>
      </c>
      <c r="N3018" s="7">
        <f t="shared" si="231"/>
        <v>10308</v>
      </c>
      <c r="O3018" s="2">
        <v>32</v>
      </c>
      <c r="P3018" s="8">
        <f t="shared" si="232"/>
        <v>10340</v>
      </c>
      <c r="Q3018" s="8">
        <f t="shared" si="233"/>
        <v>8763</v>
      </c>
      <c r="R3018" s="2" t="s">
        <v>28</v>
      </c>
      <c r="S3018" s="9">
        <f t="shared" si="234"/>
        <v>517</v>
      </c>
    </row>
    <row r="3019" spans="1:19" x14ac:dyDescent="0.3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str">
        <f>IFERROR(VLOOKUP('Customer Info'!A3011,'Customer Info'!A3011:C3510,2,FALSE),"Not Found")</f>
        <v>Not Found</v>
      </c>
      <c r="H3019" s="6" t="str">
        <f>IFERROR(VLOOKUP('Customer Info'!A3011,'Customer Info'!A3011:C3510,3,FALSE),"Not Found")</f>
        <v>Not Found</v>
      </c>
      <c r="I3019" s="6" t="str">
        <f>IFERROR(VLOOKUP('Customer Info'!A3011,'Customer Info'!A3011:E3510,5,FALSE),"Not Found")</f>
        <v>Not Found</v>
      </c>
      <c r="J3019" s="2">
        <v>1545</v>
      </c>
      <c r="K3019" s="2">
        <v>1486</v>
      </c>
      <c r="L3019" s="2">
        <v>2</v>
      </c>
      <c r="M3019" s="7">
        <f t="shared" ref="M3019:M3082" si="235">$K3019*$L3019</f>
        <v>2972</v>
      </c>
      <c r="N3019" s="7">
        <f t="shared" ref="N3019:N3082" si="236">$J3019*$L3019</f>
        <v>3090</v>
      </c>
      <c r="O3019" s="2">
        <v>92</v>
      </c>
      <c r="P3019" s="8">
        <f t="shared" ref="P3019:P3082" si="237">$N3019+$O3019</f>
        <v>3182</v>
      </c>
      <c r="Q3019" s="8">
        <f t="shared" ref="Q3019:Q3082" si="238">$N3019-$K3019</f>
        <v>1604</v>
      </c>
      <c r="R3019" s="2" t="s">
        <v>26</v>
      </c>
      <c r="S3019" s="9">
        <f t="shared" ref="S3019:S3082" si="239" xml:space="preserve"> P3019 * VLOOKUP(P3019, $T$2:$U$6, 2, TRUE)</f>
        <v>63.64</v>
      </c>
    </row>
    <row r="3020" spans="1:19" x14ac:dyDescent="0.3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str">
        <f>IFERROR(VLOOKUP('Customer Info'!A3012,'Customer Info'!A3012:C3511,2,FALSE),"Not Found")</f>
        <v>Not Found</v>
      </c>
      <c r="H3020" s="6" t="str">
        <f>IFERROR(VLOOKUP('Customer Info'!A3012,'Customer Info'!A3012:C3511,3,FALSE),"Not Found")</f>
        <v>Not Found</v>
      </c>
      <c r="I3020" s="6" t="str">
        <f>IFERROR(VLOOKUP('Customer Info'!A3012,'Customer Info'!A3012:E3511,5,FALSE),"Not Found")</f>
        <v>Not Found</v>
      </c>
      <c r="J3020" s="2">
        <v>1734</v>
      </c>
      <c r="K3020" s="2">
        <v>1702</v>
      </c>
      <c r="L3020" s="2">
        <v>1</v>
      </c>
      <c r="M3020" s="7">
        <f t="shared" si="235"/>
        <v>1702</v>
      </c>
      <c r="N3020" s="7">
        <f t="shared" si="236"/>
        <v>1734</v>
      </c>
      <c r="O3020" s="2">
        <v>21</v>
      </c>
      <c r="P3020" s="8">
        <f t="shared" si="237"/>
        <v>1755</v>
      </c>
      <c r="Q3020" s="8">
        <f t="shared" si="238"/>
        <v>32</v>
      </c>
      <c r="R3020" s="2" t="s">
        <v>28</v>
      </c>
      <c r="S3020" s="9">
        <f t="shared" si="239"/>
        <v>35.1</v>
      </c>
    </row>
    <row r="3021" spans="1:19" x14ac:dyDescent="0.3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str">
        <f>IFERROR(VLOOKUP('Customer Info'!A3013,'Customer Info'!A3013:C3512,2,FALSE),"Not Found")</f>
        <v>Not Found</v>
      </c>
      <c r="H3021" s="6" t="str">
        <f>IFERROR(VLOOKUP('Customer Info'!A3013,'Customer Info'!A3013:C3512,3,FALSE),"Not Found")</f>
        <v>Not Found</v>
      </c>
      <c r="I3021" s="6" t="str">
        <f>IFERROR(VLOOKUP('Customer Info'!A3013,'Customer Info'!A3013:E3512,5,FALSE),"Not Found")</f>
        <v>Not Found</v>
      </c>
      <c r="J3021" s="2">
        <v>456</v>
      </c>
      <c r="K3021" s="2">
        <v>430</v>
      </c>
      <c r="L3021" s="2">
        <v>7</v>
      </c>
      <c r="M3021" s="7">
        <f t="shared" si="235"/>
        <v>3010</v>
      </c>
      <c r="N3021" s="7">
        <f t="shared" si="236"/>
        <v>3192</v>
      </c>
      <c r="O3021" s="2">
        <v>78</v>
      </c>
      <c r="P3021" s="8">
        <f t="shared" si="237"/>
        <v>3270</v>
      </c>
      <c r="Q3021" s="8">
        <f t="shared" si="238"/>
        <v>2762</v>
      </c>
      <c r="R3021" s="2" t="s">
        <v>28</v>
      </c>
      <c r="S3021" s="9">
        <f t="shared" si="239"/>
        <v>65.400000000000006</v>
      </c>
    </row>
    <row r="3022" spans="1:19" x14ac:dyDescent="0.3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str">
        <f>IFERROR(VLOOKUP('Customer Info'!A3014,'Customer Info'!A3014:C3513,2,FALSE),"Not Found")</f>
        <v>Not Found</v>
      </c>
      <c r="H3022" s="6" t="str">
        <f>IFERROR(VLOOKUP('Customer Info'!A3014,'Customer Info'!A3014:C3513,3,FALSE),"Not Found")</f>
        <v>Not Found</v>
      </c>
      <c r="I3022" s="6" t="str">
        <f>IFERROR(VLOOKUP('Customer Info'!A3014,'Customer Info'!A3014:E3513,5,FALSE),"Not Found")</f>
        <v>Not Found</v>
      </c>
      <c r="J3022" s="2">
        <v>1878</v>
      </c>
      <c r="K3022" s="2">
        <v>1790</v>
      </c>
      <c r="L3022" s="2">
        <v>3</v>
      </c>
      <c r="M3022" s="7">
        <f t="shared" si="235"/>
        <v>5370</v>
      </c>
      <c r="N3022" s="7">
        <f t="shared" si="236"/>
        <v>5634</v>
      </c>
      <c r="O3022" s="2">
        <v>24</v>
      </c>
      <c r="P3022" s="8">
        <f t="shared" si="237"/>
        <v>5658</v>
      </c>
      <c r="Q3022" s="8">
        <f t="shared" si="238"/>
        <v>3844</v>
      </c>
      <c r="R3022" s="2" t="s">
        <v>28</v>
      </c>
      <c r="S3022" s="9">
        <f t="shared" si="239"/>
        <v>282.90000000000003</v>
      </c>
    </row>
    <row r="3023" spans="1:19" x14ac:dyDescent="0.3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str">
        <f>IFERROR(VLOOKUP('Customer Info'!A3015,'Customer Info'!A3015:C3514,2,FALSE),"Not Found")</f>
        <v>Not Found</v>
      </c>
      <c r="H3023" s="6" t="str">
        <f>IFERROR(VLOOKUP('Customer Info'!A3015,'Customer Info'!A3015:C3514,3,FALSE),"Not Found")</f>
        <v>Not Found</v>
      </c>
      <c r="I3023" s="6" t="str">
        <f>IFERROR(VLOOKUP('Customer Info'!A3015,'Customer Info'!A3015:E3514,5,FALSE),"Not Found")</f>
        <v>Not Found</v>
      </c>
      <c r="J3023" s="2">
        <v>6354</v>
      </c>
      <c r="K3023" s="2">
        <v>5769</v>
      </c>
      <c r="L3023" s="2">
        <v>8</v>
      </c>
      <c r="M3023" s="7">
        <f t="shared" si="235"/>
        <v>46152</v>
      </c>
      <c r="N3023" s="7">
        <f t="shared" si="236"/>
        <v>50832</v>
      </c>
      <c r="O3023" s="2">
        <v>47</v>
      </c>
      <c r="P3023" s="8">
        <f t="shared" si="237"/>
        <v>50879</v>
      </c>
      <c r="Q3023" s="8">
        <f t="shared" si="238"/>
        <v>45063</v>
      </c>
      <c r="R3023" s="2" t="s">
        <v>50</v>
      </c>
      <c r="S3023" s="9">
        <f t="shared" si="239"/>
        <v>4579.1099999999997</v>
      </c>
    </row>
    <row r="3024" spans="1:19" x14ac:dyDescent="0.3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str">
        <f>IFERROR(VLOOKUP('Customer Info'!A3016,'Customer Info'!A3016:C3515,2,FALSE),"Not Found")</f>
        <v>Not Found</v>
      </c>
      <c r="H3024" s="6" t="str">
        <f>IFERROR(VLOOKUP('Customer Info'!A3016,'Customer Info'!A3016:C3515,3,FALSE),"Not Found")</f>
        <v>Not Found</v>
      </c>
      <c r="I3024" s="6" t="str">
        <f>IFERROR(VLOOKUP('Customer Info'!A3016,'Customer Info'!A3016:E3515,5,FALSE),"Not Found")</f>
        <v>Not Found</v>
      </c>
      <c r="J3024" s="2">
        <v>2453</v>
      </c>
      <c r="K3024" s="2">
        <v>2336</v>
      </c>
      <c r="L3024" s="2">
        <v>2</v>
      </c>
      <c r="M3024" s="7">
        <f t="shared" si="235"/>
        <v>4672</v>
      </c>
      <c r="N3024" s="7">
        <f t="shared" si="236"/>
        <v>4906</v>
      </c>
      <c r="O3024" s="2">
        <v>61</v>
      </c>
      <c r="P3024" s="8">
        <f t="shared" si="237"/>
        <v>4967</v>
      </c>
      <c r="Q3024" s="8">
        <f t="shared" si="238"/>
        <v>2570</v>
      </c>
      <c r="R3024" s="2" t="s">
        <v>28</v>
      </c>
      <c r="S3024" s="9">
        <f t="shared" si="239"/>
        <v>99.34</v>
      </c>
    </row>
    <row r="3025" spans="1:19" x14ac:dyDescent="0.3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str">
        <f>IFERROR(VLOOKUP('Customer Info'!A3017,'Customer Info'!A3017:C3516,2,FALSE),"Not Found")</f>
        <v>Not Found</v>
      </c>
      <c r="H3025" s="6" t="str">
        <f>IFERROR(VLOOKUP('Customer Info'!A3017,'Customer Info'!A3017:C3516,3,FALSE),"Not Found")</f>
        <v>Not Found</v>
      </c>
      <c r="I3025" s="6" t="str">
        <f>IFERROR(VLOOKUP('Customer Info'!A3017,'Customer Info'!A3017:E3516,5,FALSE),"Not Found")</f>
        <v>Not Found</v>
      </c>
      <c r="J3025" s="2">
        <v>923</v>
      </c>
      <c r="K3025" s="2">
        <v>879</v>
      </c>
      <c r="L3025" s="2">
        <v>6</v>
      </c>
      <c r="M3025" s="7">
        <f t="shared" si="235"/>
        <v>5274</v>
      </c>
      <c r="N3025" s="7">
        <f t="shared" si="236"/>
        <v>5538</v>
      </c>
      <c r="O3025" s="2">
        <v>49</v>
      </c>
      <c r="P3025" s="8">
        <f t="shared" si="237"/>
        <v>5587</v>
      </c>
      <c r="Q3025" s="8">
        <f t="shared" si="238"/>
        <v>4659</v>
      </c>
      <c r="R3025" s="2" t="s">
        <v>50</v>
      </c>
      <c r="S3025" s="9">
        <f t="shared" si="239"/>
        <v>279.35000000000002</v>
      </c>
    </row>
    <row r="3026" spans="1:19" x14ac:dyDescent="0.3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str">
        <f>IFERROR(VLOOKUP('Customer Info'!A3018,'Customer Info'!A3018:C3517,2,FALSE),"Not Found")</f>
        <v>Not Found</v>
      </c>
      <c r="H3026" s="6" t="str">
        <f>IFERROR(VLOOKUP('Customer Info'!A3018,'Customer Info'!A3018:C3517,3,FALSE),"Not Found")</f>
        <v>Not Found</v>
      </c>
      <c r="I3026" s="6" t="str">
        <f>IFERROR(VLOOKUP('Customer Info'!A3018,'Customer Info'!A3018:E3517,5,FALSE),"Not Found")</f>
        <v>Not Found</v>
      </c>
      <c r="J3026" s="2">
        <v>7609</v>
      </c>
      <c r="K3026" s="2">
        <v>7248</v>
      </c>
      <c r="L3026" s="2">
        <v>6</v>
      </c>
      <c r="M3026" s="7">
        <f t="shared" si="235"/>
        <v>43488</v>
      </c>
      <c r="N3026" s="7">
        <f t="shared" si="236"/>
        <v>45654</v>
      </c>
      <c r="O3026" s="2">
        <v>47</v>
      </c>
      <c r="P3026" s="8">
        <f t="shared" si="237"/>
        <v>45701</v>
      </c>
      <c r="Q3026" s="8">
        <f t="shared" si="238"/>
        <v>38406</v>
      </c>
      <c r="R3026" s="2" t="s">
        <v>28</v>
      </c>
      <c r="S3026" s="9">
        <f t="shared" si="239"/>
        <v>3199.07</v>
      </c>
    </row>
    <row r="3027" spans="1:19" x14ac:dyDescent="0.3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str">
        <f>IFERROR(VLOOKUP('Customer Info'!A3019,'Customer Info'!A3019:C3518,2,FALSE),"Not Found")</f>
        <v>Not Found</v>
      </c>
      <c r="H3027" s="6" t="str">
        <f>IFERROR(VLOOKUP('Customer Info'!A3019,'Customer Info'!A3019:C3518,3,FALSE),"Not Found")</f>
        <v>Not Found</v>
      </c>
      <c r="I3027" s="6" t="str">
        <f>IFERROR(VLOOKUP('Customer Info'!A3019,'Customer Info'!A3019:E3518,5,FALSE),"Not Found")</f>
        <v>Not Found</v>
      </c>
      <c r="J3027" s="2">
        <v>164</v>
      </c>
      <c r="K3027" s="2">
        <v>152</v>
      </c>
      <c r="L3027" s="2">
        <v>2</v>
      </c>
      <c r="M3027" s="7">
        <f t="shared" si="235"/>
        <v>304</v>
      </c>
      <c r="N3027" s="7">
        <f t="shared" si="236"/>
        <v>328</v>
      </c>
      <c r="O3027" s="2">
        <v>30</v>
      </c>
      <c r="P3027" s="8">
        <f t="shared" si="237"/>
        <v>358</v>
      </c>
      <c r="Q3027" s="8">
        <f t="shared" si="238"/>
        <v>176</v>
      </c>
      <c r="R3027" s="2" t="s">
        <v>28</v>
      </c>
      <c r="S3027" s="9">
        <f t="shared" si="239"/>
        <v>7.16</v>
      </c>
    </row>
    <row r="3028" spans="1:19" x14ac:dyDescent="0.3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str">
        <f>IFERROR(VLOOKUP('Customer Info'!A3020,'Customer Info'!A3020:C3519,2,FALSE),"Not Found")</f>
        <v>Not Found</v>
      </c>
      <c r="H3028" s="6" t="str">
        <f>IFERROR(VLOOKUP('Customer Info'!A3020,'Customer Info'!A3020:C3519,3,FALSE),"Not Found")</f>
        <v>Not Found</v>
      </c>
      <c r="I3028" s="6" t="str">
        <f>IFERROR(VLOOKUP('Customer Info'!A3020,'Customer Info'!A3020:E3519,5,FALSE),"Not Found")</f>
        <v>Not Found</v>
      </c>
      <c r="J3028" s="2">
        <v>2540</v>
      </c>
      <c r="K3028" s="2">
        <v>2397</v>
      </c>
      <c r="L3028" s="2">
        <v>2</v>
      </c>
      <c r="M3028" s="7">
        <f t="shared" si="235"/>
        <v>4794</v>
      </c>
      <c r="N3028" s="7">
        <f t="shared" si="236"/>
        <v>5080</v>
      </c>
      <c r="O3028" s="2">
        <v>92</v>
      </c>
      <c r="P3028" s="8">
        <f t="shared" si="237"/>
        <v>5172</v>
      </c>
      <c r="Q3028" s="8">
        <f t="shared" si="238"/>
        <v>2683</v>
      </c>
      <c r="R3028" s="2" t="s">
        <v>56</v>
      </c>
      <c r="S3028" s="9">
        <f t="shared" si="239"/>
        <v>258.60000000000002</v>
      </c>
    </row>
    <row r="3029" spans="1:19" x14ac:dyDescent="0.3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str">
        <f>IFERROR(VLOOKUP('Customer Info'!A3021,'Customer Info'!A3021:C3520,2,FALSE),"Not Found")</f>
        <v>Not Found</v>
      </c>
      <c r="H3029" s="6" t="str">
        <f>IFERROR(VLOOKUP('Customer Info'!A3021,'Customer Info'!A3021:C3520,3,FALSE),"Not Found")</f>
        <v>Not Found</v>
      </c>
      <c r="I3029" s="6" t="str">
        <f>IFERROR(VLOOKUP('Customer Info'!A3021,'Customer Info'!A3021:E3520,5,FALSE),"Not Found")</f>
        <v>Not Found</v>
      </c>
      <c r="J3029" s="2">
        <v>87</v>
      </c>
      <c r="K3029" s="2">
        <v>80</v>
      </c>
      <c r="L3029" s="2">
        <v>1</v>
      </c>
      <c r="M3029" s="7">
        <f t="shared" si="235"/>
        <v>80</v>
      </c>
      <c r="N3029" s="7">
        <f t="shared" si="236"/>
        <v>87</v>
      </c>
      <c r="O3029" s="2">
        <v>10</v>
      </c>
      <c r="P3029" s="8">
        <f t="shared" si="237"/>
        <v>97</v>
      </c>
      <c r="Q3029" s="8">
        <f t="shared" si="238"/>
        <v>7</v>
      </c>
      <c r="R3029" s="2" t="s">
        <v>28</v>
      </c>
      <c r="S3029" s="9">
        <f t="shared" si="239"/>
        <v>1.94</v>
      </c>
    </row>
    <row r="3030" spans="1:19" x14ac:dyDescent="0.3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str">
        <f>IFERROR(VLOOKUP('Customer Info'!A3022,'Customer Info'!A3022:C3521,2,FALSE),"Not Found")</f>
        <v>Not Found</v>
      </c>
      <c r="H3030" s="6" t="str">
        <f>IFERROR(VLOOKUP('Customer Info'!A3022,'Customer Info'!A3022:C3521,3,FALSE),"Not Found")</f>
        <v>Not Found</v>
      </c>
      <c r="I3030" s="6" t="str">
        <f>IFERROR(VLOOKUP('Customer Info'!A3022,'Customer Info'!A3022:E3521,5,FALSE),"Not Found")</f>
        <v>Not Found</v>
      </c>
      <c r="J3030" s="2">
        <v>2602</v>
      </c>
      <c r="K3030" s="2">
        <v>2363</v>
      </c>
      <c r="L3030" s="2">
        <v>1</v>
      </c>
      <c r="M3030" s="7">
        <f t="shared" si="235"/>
        <v>2363</v>
      </c>
      <c r="N3030" s="7">
        <f t="shared" si="236"/>
        <v>2602</v>
      </c>
      <c r="O3030" s="2">
        <v>64</v>
      </c>
      <c r="P3030" s="8">
        <f t="shared" si="237"/>
        <v>2666</v>
      </c>
      <c r="Q3030" s="8">
        <f t="shared" si="238"/>
        <v>239</v>
      </c>
      <c r="R3030" s="2" t="s">
        <v>50</v>
      </c>
      <c r="S3030" s="9">
        <f t="shared" si="239"/>
        <v>53.32</v>
      </c>
    </row>
    <row r="3031" spans="1:19" x14ac:dyDescent="0.3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str">
        <f>IFERROR(VLOOKUP('Customer Info'!A3023,'Customer Info'!A3023:C3522,2,FALSE),"Not Found")</f>
        <v>Not Found</v>
      </c>
      <c r="H3031" s="6" t="str">
        <f>IFERROR(VLOOKUP('Customer Info'!A3023,'Customer Info'!A3023:C3522,3,FALSE),"Not Found")</f>
        <v>Not Found</v>
      </c>
      <c r="I3031" s="6" t="str">
        <f>IFERROR(VLOOKUP('Customer Info'!A3023,'Customer Info'!A3023:E3522,5,FALSE),"Not Found")</f>
        <v>Not Found</v>
      </c>
      <c r="J3031" s="2">
        <v>1637</v>
      </c>
      <c r="K3031" s="2">
        <v>1591</v>
      </c>
      <c r="L3031" s="2">
        <v>4</v>
      </c>
      <c r="M3031" s="7">
        <f t="shared" si="235"/>
        <v>6364</v>
      </c>
      <c r="N3031" s="7">
        <f t="shared" si="236"/>
        <v>6548</v>
      </c>
      <c r="O3031" s="2">
        <v>63</v>
      </c>
      <c r="P3031" s="8">
        <f t="shared" si="237"/>
        <v>6611</v>
      </c>
      <c r="Q3031" s="8">
        <f t="shared" si="238"/>
        <v>4957</v>
      </c>
      <c r="R3031" s="2" t="s">
        <v>56</v>
      </c>
      <c r="S3031" s="9">
        <f t="shared" si="239"/>
        <v>330.55</v>
      </c>
    </row>
    <row r="3032" spans="1:19" x14ac:dyDescent="0.3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str">
        <f>IFERROR(VLOOKUP('Customer Info'!A3024,'Customer Info'!A3024:C3523,2,FALSE),"Not Found")</f>
        <v>Not Found</v>
      </c>
      <c r="H3032" s="6" t="str">
        <f>IFERROR(VLOOKUP('Customer Info'!A3024,'Customer Info'!A3024:C3523,3,FALSE),"Not Found")</f>
        <v>Not Found</v>
      </c>
      <c r="I3032" s="6" t="str">
        <f>IFERROR(VLOOKUP('Customer Info'!A3024,'Customer Info'!A3024:E3523,5,FALSE),"Not Found")</f>
        <v>Not Found</v>
      </c>
      <c r="J3032" s="2">
        <v>63</v>
      </c>
      <c r="K3032" s="2">
        <v>59</v>
      </c>
      <c r="L3032" s="2">
        <v>1</v>
      </c>
      <c r="M3032" s="7">
        <f t="shared" si="235"/>
        <v>59</v>
      </c>
      <c r="N3032" s="7">
        <f t="shared" si="236"/>
        <v>63</v>
      </c>
      <c r="O3032" s="2">
        <v>10</v>
      </c>
      <c r="P3032" s="8">
        <f t="shared" si="237"/>
        <v>73</v>
      </c>
      <c r="Q3032" s="8">
        <f t="shared" si="238"/>
        <v>4</v>
      </c>
      <c r="R3032" s="2" t="s">
        <v>50</v>
      </c>
      <c r="S3032" s="9">
        <f t="shared" si="239"/>
        <v>1.46</v>
      </c>
    </row>
    <row r="3033" spans="1:19" x14ac:dyDescent="0.3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str">
        <f>IFERROR(VLOOKUP('Customer Info'!A3025,'Customer Info'!A3025:C3524,2,FALSE),"Not Found")</f>
        <v>Not Found</v>
      </c>
      <c r="H3033" s="6" t="str">
        <f>IFERROR(VLOOKUP('Customer Info'!A3025,'Customer Info'!A3025:C3524,3,FALSE),"Not Found")</f>
        <v>Not Found</v>
      </c>
      <c r="I3033" s="6" t="str">
        <f>IFERROR(VLOOKUP('Customer Info'!A3025,'Customer Info'!A3025:E3524,5,FALSE),"Not Found")</f>
        <v>Not Found</v>
      </c>
      <c r="J3033" s="2">
        <v>6768</v>
      </c>
      <c r="K3033" s="2">
        <v>6512</v>
      </c>
      <c r="L3033" s="2">
        <v>4</v>
      </c>
      <c r="M3033" s="7">
        <f t="shared" si="235"/>
        <v>26048</v>
      </c>
      <c r="N3033" s="7">
        <f t="shared" si="236"/>
        <v>27072</v>
      </c>
      <c r="O3033" s="2">
        <v>38</v>
      </c>
      <c r="P3033" s="8">
        <f t="shared" si="237"/>
        <v>27110</v>
      </c>
      <c r="Q3033" s="8">
        <f t="shared" si="238"/>
        <v>20560</v>
      </c>
      <c r="R3033" s="2" t="s">
        <v>26</v>
      </c>
      <c r="S3033" s="9">
        <f t="shared" si="239"/>
        <v>1897.7000000000003</v>
      </c>
    </row>
    <row r="3034" spans="1:19" x14ac:dyDescent="0.3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str">
        <f>IFERROR(VLOOKUP('Customer Info'!A3026,'Customer Info'!A3026:C3525,2,FALSE),"Not Found")</f>
        <v>Not Found</v>
      </c>
      <c r="H3034" s="6" t="str">
        <f>IFERROR(VLOOKUP('Customer Info'!A3026,'Customer Info'!A3026:C3525,3,FALSE),"Not Found")</f>
        <v>Not Found</v>
      </c>
      <c r="I3034" s="6" t="str">
        <f>IFERROR(VLOOKUP('Customer Info'!A3026,'Customer Info'!A3026:E3525,5,FALSE),"Not Found")</f>
        <v>Not Found</v>
      </c>
      <c r="J3034" s="2">
        <v>8781</v>
      </c>
      <c r="K3034" s="2">
        <v>7828</v>
      </c>
      <c r="L3034" s="2">
        <v>9</v>
      </c>
      <c r="M3034" s="7">
        <f t="shared" si="235"/>
        <v>70452</v>
      </c>
      <c r="N3034" s="7">
        <f t="shared" si="236"/>
        <v>79029</v>
      </c>
      <c r="O3034" s="2">
        <v>39</v>
      </c>
      <c r="P3034" s="8">
        <f t="shared" si="237"/>
        <v>79068</v>
      </c>
      <c r="Q3034" s="8">
        <f t="shared" si="238"/>
        <v>71201</v>
      </c>
      <c r="R3034" s="2" t="s">
        <v>28</v>
      </c>
      <c r="S3034" s="9">
        <f t="shared" si="239"/>
        <v>7116.12</v>
      </c>
    </row>
    <row r="3035" spans="1:19" x14ac:dyDescent="0.3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str">
        <f>IFERROR(VLOOKUP('Customer Info'!A3027,'Customer Info'!A3027:C3526,2,FALSE),"Not Found")</f>
        <v>Not Found</v>
      </c>
      <c r="H3035" s="6" t="str">
        <f>IFERROR(VLOOKUP('Customer Info'!A3027,'Customer Info'!A3027:C3526,3,FALSE),"Not Found")</f>
        <v>Not Found</v>
      </c>
      <c r="I3035" s="6" t="str">
        <f>IFERROR(VLOOKUP('Customer Info'!A3027,'Customer Info'!A3027:E3526,5,FALSE),"Not Found")</f>
        <v>Not Found</v>
      </c>
      <c r="J3035" s="2">
        <v>3256</v>
      </c>
      <c r="K3035" s="2">
        <v>3044</v>
      </c>
      <c r="L3035" s="2">
        <v>3</v>
      </c>
      <c r="M3035" s="7">
        <f t="shared" si="235"/>
        <v>9132</v>
      </c>
      <c r="N3035" s="7">
        <f t="shared" si="236"/>
        <v>9768</v>
      </c>
      <c r="O3035" s="2">
        <v>64</v>
      </c>
      <c r="P3035" s="8">
        <f t="shared" si="237"/>
        <v>9832</v>
      </c>
      <c r="Q3035" s="8">
        <f t="shared" si="238"/>
        <v>6724</v>
      </c>
      <c r="R3035" s="2" t="s">
        <v>56</v>
      </c>
      <c r="S3035" s="9">
        <f t="shared" si="239"/>
        <v>491.6</v>
      </c>
    </row>
    <row r="3036" spans="1:19" x14ac:dyDescent="0.3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str">
        <f>IFERROR(VLOOKUP('Customer Info'!A3028,'Customer Info'!A3028:C3527,2,FALSE),"Not Found")</f>
        <v>Not Found</v>
      </c>
      <c r="H3036" s="6" t="str">
        <f>IFERROR(VLOOKUP('Customer Info'!A3028,'Customer Info'!A3028:C3527,3,FALSE),"Not Found")</f>
        <v>Not Found</v>
      </c>
      <c r="I3036" s="6" t="str">
        <f>IFERROR(VLOOKUP('Customer Info'!A3028,'Customer Info'!A3028:E3527,5,FALSE),"Not Found")</f>
        <v>Not Found</v>
      </c>
      <c r="J3036" s="2">
        <v>8202</v>
      </c>
      <c r="K3036" s="2">
        <v>7594</v>
      </c>
      <c r="L3036" s="2">
        <v>9</v>
      </c>
      <c r="M3036" s="7">
        <f t="shared" si="235"/>
        <v>68346</v>
      </c>
      <c r="N3036" s="7">
        <f t="shared" si="236"/>
        <v>73818</v>
      </c>
      <c r="O3036" s="2">
        <v>57</v>
      </c>
      <c r="P3036" s="8">
        <f t="shared" si="237"/>
        <v>73875</v>
      </c>
      <c r="Q3036" s="8">
        <f t="shared" si="238"/>
        <v>66224</v>
      </c>
      <c r="R3036" s="2" t="s">
        <v>28</v>
      </c>
      <c r="S3036" s="9">
        <f t="shared" si="239"/>
        <v>6648.75</v>
      </c>
    </row>
    <row r="3037" spans="1:19" x14ac:dyDescent="0.3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str">
        <f>IFERROR(VLOOKUP('Customer Info'!A3029,'Customer Info'!A3029:C3528,2,FALSE),"Not Found")</f>
        <v>Not Found</v>
      </c>
      <c r="H3037" s="6" t="str">
        <f>IFERROR(VLOOKUP('Customer Info'!A3029,'Customer Info'!A3029:C3528,3,FALSE),"Not Found")</f>
        <v>Not Found</v>
      </c>
      <c r="I3037" s="6" t="str">
        <f>IFERROR(VLOOKUP('Customer Info'!A3029,'Customer Info'!A3029:E3528,5,FALSE),"Not Found")</f>
        <v>Not Found</v>
      </c>
      <c r="J3037" s="2">
        <v>7065</v>
      </c>
      <c r="K3037" s="2">
        <v>6545</v>
      </c>
      <c r="L3037" s="2">
        <v>5</v>
      </c>
      <c r="M3037" s="7">
        <f t="shared" si="235"/>
        <v>32725</v>
      </c>
      <c r="N3037" s="7">
        <f t="shared" si="236"/>
        <v>35325</v>
      </c>
      <c r="O3037" s="2">
        <v>65</v>
      </c>
      <c r="P3037" s="8">
        <f t="shared" si="237"/>
        <v>35390</v>
      </c>
      <c r="Q3037" s="8">
        <f t="shared" si="238"/>
        <v>28780</v>
      </c>
      <c r="R3037" s="2" t="s">
        <v>28</v>
      </c>
      <c r="S3037" s="9">
        <f t="shared" si="239"/>
        <v>2477.3000000000002</v>
      </c>
    </row>
    <row r="3038" spans="1:19" x14ac:dyDescent="0.3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str">
        <f>IFERROR(VLOOKUP('Customer Info'!A3030,'Customer Info'!A3030:C3529,2,FALSE),"Not Found")</f>
        <v>Not Found</v>
      </c>
      <c r="H3038" s="6" t="str">
        <f>IFERROR(VLOOKUP('Customer Info'!A3030,'Customer Info'!A3030:C3529,3,FALSE),"Not Found")</f>
        <v>Not Found</v>
      </c>
      <c r="I3038" s="6" t="str">
        <f>IFERROR(VLOOKUP('Customer Info'!A3030,'Customer Info'!A3030:E3529,5,FALSE),"Not Found")</f>
        <v>Not Found</v>
      </c>
      <c r="J3038" s="2">
        <v>78</v>
      </c>
      <c r="K3038" s="2">
        <v>74</v>
      </c>
      <c r="L3038" s="2">
        <v>3</v>
      </c>
      <c r="M3038" s="7">
        <f t="shared" si="235"/>
        <v>222</v>
      </c>
      <c r="N3038" s="7">
        <f t="shared" si="236"/>
        <v>234</v>
      </c>
      <c r="O3038" s="2">
        <v>10</v>
      </c>
      <c r="P3038" s="8">
        <f t="shared" si="237"/>
        <v>244</v>
      </c>
      <c r="Q3038" s="8">
        <f t="shared" si="238"/>
        <v>160</v>
      </c>
      <c r="R3038" s="2" t="s">
        <v>28</v>
      </c>
      <c r="S3038" s="9">
        <f t="shared" si="239"/>
        <v>4.88</v>
      </c>
    </row>
    <row r="3039" spans="1:19" x14ac:dyDescent="0.3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str">
        <f>IFERROR(VLOOKUP('Customer Info'!A3031,'Customer Info'!A3031:C3530,2,FALSE),"Not Found")</f>
        <v>Not Found</v>
      </c>
      <c r="H3039" s="6" t="str">
        <f>IFERROR(VLOOKUP('Customer Info'!A3031,'Customer Info'!A3031:C3530,3,FALSE),"Not Found")</f>
        <v>Not Found</v>
      </c>
      <c r="I3039" s="6" t="str">
        <f>IFERROR(VLOOKUP('Customer Info'!A3031,'Customer Info'!A3031:E3530,5,FALSE),"Not Found")</f>
        <v>Not Found</v>
      </c>
      <c r="J3039" s="2">
        <v>2310</v>
      </c>
      <c r="K3039" s="2">
        <v>2040</v>
      </c>
      <c r="L3039" s="2">
        <v>4</v>
      </c>
      <c r="M3039" s="7">
        <f t="shared" si="235"/>
        <v>8160</v>
      </c>
      <c r="N3039" s="7">
        <f t="shared" si="236"/>
        <v>9240</v>
      </c>
      <c r="O3039" s="2">
        <v>72</v>
      </c>
      <c r="P3039" s="8">
        <f t="shared" si="237"/>
        <v>9312</v>
      </c>
      <c r="Q3039" s="8">
        <f t="shared" si="238"/>
        <v>7200</v>
      </c>
      <c r="R3039" s="2" t="s">
        <v>28</v>
      </c>
      <c r="S3039" s="9">
        <f t="shared" si="239"/>
        <v>465.6</v>
      </c>
    </row>
    <row r="3040" spans="1:19" x14ac:dyDescent="0.3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str">
        <f>IFERROR(VLOOKUP('Customer Info'!A3032,'Customer Info'!A3032:C3531,2,FALSE),"Not Found")</f>
        <v>Not Found</v>
      </c>
      <c r="H3040" s="6" t="str">
        <f>IFERROR(VLOOKUP('Customer Info'!A3032,'Customer Info'!A3032:C3531,3,FALSE),"Not Found")</f>
        <v>Not Found</v>
      </c>
      <c r="I3040" s="6" t="str">
        <f>IFERROR(VLOOKUP('Customer Info'!A3032,'Customer Info'!A3032:E3531,5,FALSE),"Not Found")</f>
        <v>Not Found</v>
      </c>
      <c r="J3040" s="2">
        <v>193</v>
      </c>
      <c r="K3040" s="2">
        <v>173</v>
      </c>
      <c r="L3040" s="2">
        <v>6</v>
      </c>
      <c r="M3040" s="7">
        <f t="shared" si="235"/>
        <v>1038</v>
      </c>
      <c r="N3040" s="7">
        <f t="shared" si="236"/>
        <v>1158</v>
      </c>
      <c r="O3040" s="2">
        <v>30</v>
      </c>
      <c r="P3040" s="8">
        <f t="shared" si="237"/>
        <v>1188</v>
      </c>
      <c r="Q3040" s="8">
        <f t="shared" si="238"/>
        <v>985</v>
      </c>
      <c r="R3040" s="2" t="s">
        <v>28</v>
      </c>
      <c r="S3040" s="9">
        <f t="shared" si="239"/>
        <v>23.76</v>
      </c>
    </row>
    <row r="3041" spans="1:19" x14ac:dyDescent="0.3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str">
        <f>IFERROR(VLOOKUP('Customer Info'!A3033,'Customer Info'!A3033:C3532,2,FALSE),"Not Found")</f>
        <v>Not Found</v>
      </c>
      <c r="H3041" s="6" t="str">
        <f>IFERROR(VLOOKUP('Customer Info'!A3033,'Customer Info'!A3033:C3532,3,FALSE),"Not Found")</f>
        <v>Not Found</v>
      </c>
      <c r="I3041" s="6" t="str">
        <f>IFERROR(VLOOKUP('Customer Info'!A3033,'Customer Info'!A3033:E3532,5,FALSE),"Not Found")</f>
        <v>Not Found</v>
      </c>
      <c r="J3041" s="2">
        <v>3176</v>
      </c>
      <c r="K3041" s="2">
        <v>3116</v>
      </c>
      <c r="L3041" s="2">
        <v>8</v>
      </c>
      <c r="M3041" s="7">
        <f t="shared" si="235"/>
        <v>24928</v>
      </c>
      <c r="N3041" s="7">
        <f t="shared" si="236"/>
        <v>25408</v>
      </c>
      <c r="O3041" s="2">
        <v>70</v>
      </c>
      <c r="P3041" s="8">
        <f t="shared" si="237"/>
        <v>25478</v>
      </c>
      <c r="Q3041" s="8">
        <f t="shared" si="238"/>
        <v>22292</v>
      </c>
      <c r="R3041" s="2" t="s">
        <v>50</v>
      </c>
      <c r="S3041" s="9">
        <f t="shared" si="239"/>
        <v>1783.4600000000003</v>
      </c>
    </row>
    <row r="3042" spans="1:19" x14ac:dyDescent="0.3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str">
        <f>IFERROR(VLOOKUP('Customer Info'!A3034,'Customer Info'!A3034:C3533,2,FALSE),"Not Found")</f>
        <v>Not Found</v>
      </c>
      <c r="H3042" s="6" t="str">
        <f>IFERROR(VLOOKUP('Customer Info'!A3034,'Customer Info'!A3034:C3533,3,FALSE),"Not Found")</f>
        <v>Not Found</v>
      </c>
      <c r="I3042" s="6" t="str">
        <f>IFERROR(VLOOKUP('Customer Info'!A3034,'Customer Info'!A3034:E3533,5,FALSE),"Not Found")</f>
        <v>Not Found</v>
      </c>
      <c r="J3042" s="2">
        <v>2551</v>
      </c>
      <c r="K3042" s="2">
        <v>2456</v>
      </c>
      <c r="L3042" s="2">
        <v>3</v>
      </c>
      <c r="M3042" s="7">
        <f t="shared" si="235"/>
        <v>7368</v>
      </c>
      <c r="N3042" s="7">
        <f t="shared" si="236"/>
        <v>7653</v>
      </c>
      <c r="O3042" s="2">
        <v>35</v>
      </c>
      <c r="P3042" s="8">
        <f t="shared" si="237"/>
        <v>7688</v>
      </c>
      <c r="Q3042" s="8">
        <f t="shared" si="238"/>
        <v>5197</v>
      </c>
      <c r="R3042" s="2" t="s">
        <v>28</v>
      </c>
      <c r="S3042" s="9">
        <f t="shared" si="239"/>
        <v>384.40000000000003</v>
      </c>
    </row>
    <row r="3043" spans="1:19" x14ac:dyDescent="0.3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str">
        <f>IFERROR(VLOOKUP('Customer Info'!A3035,'Customer Info'!A3035:C3534,2,FALSE),"Not Found")</f>
        <v>Not Found</v>
      </c>
      <c r="H3043" s="6" t="str">
        <f>IFERROR(VLOOKUP('Customer Info'!A3035,'Customer Info'!A3035:C3534,3,FALSE),"Not Found")</f>
        <v>Not Found</v>
      </c>
      <c r="I3043" s="6" t="str">
        <f>IFERROR(VLOOKUP('Customer Info'!A3035,'Customer Info'!A3035:E3534,5,FALSE),"Not Found")</f>
        <v>Not Found</v>
      </c>
      <c r="J3043" s="2">
        <v>5909</v>
      </c>
      <c r="K3043" s="2">
        <v>5528</v>
      </c>
      <c r="L3043" s="2">
        <v>2</v>
      </c>
      <c r="M3043" s="7">
        <f t="shared" si="235"/>
        <v>11056</v>
      </c>
      <c r="N3043" s="7">
        <f t="shared" si="236"/>
        <v>11818</v>
      </c>
      <c r="O3043" s="2">
        <v>98</v>
      </c>
      <c r="P3043" s="8">
        <f t="shared" si="237"/>
        <v>11916</v>
      </c>
      <c r="Q3043" s="8">
        <f t="shared" si="238"/>
        <v>6290</v>
      </c>
      <c r="R3043" s="2" t="s">
        <v>50</v>
      </c>
      <c r="S3043" s="9">
        <f t="shared" si="239"/>
        <v>595.80000000000007</v>
      </c>
    </row>
    <row r="3044" spans="1:19" x14ac:dyDescent="0.3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str">
        <f>IFERROR(VLOOKUP('Customer Info'!A3036,'Customer Info'!A3036:C3535,2,FALSE),"Not Found")</f>
        <v>Not Found</v>
      </c>
      <c r="H3044" s="6" t="str">
        <f>IFERROR(VLOOKUP('Customer Info'!A3036,'Customer Info'!A3036:C3535,3,FALSE),"Not Found")</f>
        <v>Not Found</v>
      </c>
      <c r="I3044" s="6" t="str">
        <f>IFERROR(VLOOKUP('Customer Info'!A3036,'Customer Info'!A3036:E3535,5,FALSE),"Not Found")</f>
        <v>Not Found</v>
      </c>
      <c r="J3044" s="2">
        <v>1358</v>
      </c>
      <c r="K3044" s="2">
        <v>1294</v>
      </c>
      <c r="L3044" s="2">
        <v>1</v>
      </c>
      <c r="M3044" s="7">
        <f t="shared" si="235"/>
        <v>1294</v>
      </c>
      <c r="N3044" s="7">
        <f t="shared" si="236"/>
        <v>1358</v>
      </c>
      <c r="O3044" s="2">
        <v>33</v>
      </c>
      <c r="P3044" s="8">
        <f t="shared" si="237"/>
        <v>1391</v>
      </c>
      <c r="Q3044" s="8">
        <f t="shared" si="238"/>
        <v>64</v>
      </c>
      <c r="R3044" s="2" t="s">
        <v>28</v>
      </c>
      <c r="S3044" s="9">
        <f t="shared" si="239"/>
        <v>27.82</v>
      </c>
    </row>
    <row r="3045" spans="1:19" x14ac:dyDescent="0.3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str">
        <f>IFERROR(VLOOKUP('Customer Info'!A3037,'Customer Info'!A3037:C3536,2,FALSE),"Not Found")</f>
        <v>Not Found</v>
      </c>
      <c r="H3045" s="6" t="str">
        <f>IFERROR(VLOOKUP('Customer Info'!A3037,'Customer Info'!A3037:C3536,3,FALSE),"Not Found")</f>
        <v>Not Found</v>
      </c>
      <c r="I3045" s="6" t="str">
        <f>IFERROR(VLOOKUP('Customer Info'!A3037,'Customer Info'!A3037:E3536,5,FALSE),"Not Found")</f>
        <v>Not Found</v>
      </c>
      <c r="J3045" s="2">
        <v>6024</v>
      </c>
      <c r="K3045" s="2">
        <v>5424</v>
      </c>
      <c r="L3045" s="2">
        <v>9</v>
      </c>
      <c r="M3045" s="7">
        <f t="shared" si="235"/>
        <v>48816</v>
      </c>
      <c r="N3045" s="7">
        <f t="shared" si="236"/>
        <v>54216</v>
      </c>
      <c r="O3045" s="2">
        <v>78</v>
      </c>
      <c r="P3045" s="8">
        <f t="shared" si="237"/>
        <v>54294</v>
      </c>
      <c r="Q3045" s="8">
        <f t="shared" si="238"/>
        <v>48792</v>
      </c>
      <c r="R3045" s="2" t="s">
        <v>50</v>
      </c>
      <c r="S3045" s="9">
        <f t="shared" si="239"/>
        <v>4886.46</v>
      </c>
    </row>
    <row r="3046" spans="1:19" x14ac:dyDescent="0.3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str">
        <f>IFERROR(VLOOKUP('Customer Info'!A3038,'Customer Info'!A3038:C3537,2,FALSE),"Not Found")</f>
        <v>Not Found</v>
      </c>
      <c r="H3046" s="6" t="str">
        <f>IFERROR(VLOOKUP('Customer Info'!A3038,'Customer Info'!A3038:C3537,3,FALSE),"Not Found")</f>
        <v>Not Found</v>
      </c>
      <c r="I3046" s="6" t="str">
        <f>IFERROR(VLOOKUP('Customer Info'!A3038,'Customer Info'!A3038:E3537,5,FALSE),"Not Found")</f>
        <v>Not Found</v>
      </c>
      <c r="J3046" s="2">
        <v>4714</v>
      </c>
      <c r="K3046" s="2">
        <v>4323</v>
      </c>
      <c r="L3046" s="2">
        <v>2</v>
      </c>
      <c r="M3046" s="7">
        <f t="shared" si="235"/>
        <v>8646</v>
      </c>
      <c r="N3046" s="7">
        <f t="shared" si="236"/>
        <v>9428</v>
      </c>
      <c r="O3046" s="2">
        <v>25</v>
      </c>
      <c r="P3046" s="8">
        <f t="shared" si="237"/>
        <v>9453</v>
      </c>
      <c r="Q3046" s="8">
        <f t="shared" si="238"/>
        <v>5105</v>
      </c>
      <c r="R3046" s="2" t="s">
        <v>50</v>
      </c>
      <c r="S3046" s="9">
        <f t="shared" si="239"/>
        <v>472.65000000000003</v>
      </c>
    </row>
    <row r="3047" spans="1:19" x14ac:dyDescent="0.3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str">
        <f>IFERROR(VLOOKUP('Customer Info'!A3039,'Customer Info'!A3039:C3538,2,FALSE),"Not Found")</f>
        <v>Not Found</v>
      </c>
      <c r="H3047" s="6" t="str">
        <f>IFERROR(VLOOKUP('Customer Info'!A3039,'Customer Info'!A3039:C3538,3,FALSE),"Not Found")</f>
        <v>Not Found</v>
      </c>
      <c r="I3047" s="6" t="str">
        <f>IFERROR(VLOOKUP('Customer Info'!A3039,'Customer Info'!A3039:E3538,5,FALSE),"Not Found")</f>
        <v>Not Found</v>
      </c>
      <c r="J3047" s="2">
        <v>474</v>
      </c>
      <c r="K3047" s="2">
        <v>443</v>
      </c>
      <c r="L3047" s="2">
        <v>6</v>
      </c>
      <c r="M3047" s="7">
        <f t="shared" si="235"/>
        <v>2658</v>
      </c>
      <c r="N3047" s="7">
        <f t="shared" si="236"/>
        <v>2844</v>
      </c>
      <c r="O3047" s="2">
        <v>68</v>
      </c>
      <c r="P3047" s="8">
        <f t="shared" si="237"/>
        <v>2912</v>
      </c>
      <c r="Q3047" s="8">
        <f t="shared" si="238"/>
        <v>2401</v>
      </c>
      <c r="R3047" s="2" t="s">
        <v>28</v>
      </c>
      <c r="S3047" s="9">
        <f t="shared" si="239"/>
        <v>58.24</v>
      </c>
    </row>
    <row r="3048" spans="1:19" x14ac:dyDescent="0.3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str">
        <f>IFERROR(VLOOKUP('Customer Info'!A3040,'Customer Info'!A3040:C3539,2,FALSE),"Not Found")</f>
        <v>Not Found</v>
      </c>
      <c r="H3048" s="6" t="str">
        <f>IFERROR(VLOOKUP('Customer Info'!A3040,'Customer Info'!A3040:C3539,3,FALSE),"Not Found")</f>
        <v>Not Found</v>
      </c>
      <c r="I3048" s="6" t="str">
        <f>IFERROR(VLOOKUP('Customer Info'!A3040,'Customer Info'!A3040:E3539,5,FALSE),"Not Found")</f>
        <v>Not Found</v>
      </c>
      <c r="J3048" s="2">
        <v>4761</v>
      </c>
      <c r="K3048" s="2">
        <v>4368</v>
      </c>
      <c r="L3048" s="2">
        <v>4</v>
      </c>
      <c r="M3048" s="7">
        <f t="shared" si="235"/>
        <v>17472</v>
      </c>
      <c r="N3048" s="7">
        <f t="shared" si="236"/>
        <v>19044</v>
      </c>
      <c r="O3048" s="2">
        <v>71</v>
      </c>
      <c r="P3048" s="8">
        <f t="shared" si="237"/>
        <v>19115</v>
      </c>
      <c r="Q3048" s="8">
        <f t="shared" si="238"/>
        <v>14676</v>
      </c>
      <c r="R3048" s="2" t="s">
        <v>50</v>
      </c>
      <c r="S3048" s="9">
        <f t="shared" si="239"/>
        <v>955.75</v>
      </c>
    </row>
    <row r="3049" spans="1:19" x14ac:dyDescent="0.3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str">
        <f>IFERROR(VLOOKUP('Customer Info'!A3041,'Customer Info'!A3041:C3540,2,FALSE),"Not Found")</f>
        <v>Not Found</v>
      </c>
      <c r="H3049" s="6" t="str">
        <f>IFERROR(VLOOKUP('Customer Info'!A3041,'Customer Info'!A3041:C3540,3,FALSE),"Not Found")</f>
        <v>Not Found</v>
      </c>
      <c r="I3049" s="6" t="str">
        <f>IFERROR(VLOOKUP('Customer Info'!A3041,'Customer Info'!A3041:E3540,5,FALSE),"Not Found")</f>
        <v>Not Found</v>
      </c>
      <c r="J3049" s="2">
        <v>63</v>
      </c>
      <c r="K3049" s="2">
        <v>59</v>
      </c>
      <c r="L3049" s="2">
        <v>1</v>
      </c>
      <c r="M3049" s="7">
        <f t="shared" si="235"/>
        <v>59</v>
      </c>
      <c r="N3049" s="7">
        <f t="shared" si="236"/>
        <v>63</v>
      </c>
      <c r="O3049" s="2">
        <v>10</v>
      </c>
      <c r="P3049" s="8">
        <f t="shared" si="237"/>
        <v>73</v>
      </c>
      <c r="Q3049" s="8">
        <f t="shared" si="238"/>
        <v>4</v>
      </c>
      <c r="R3049" s="2" t="s">
        <v>28</v>
      </c>
      <c r="S3049" s="9">
        <f t="shared" si="239"/>
        <v>1.46</v>
      </c>
    </row>
    <row r="3050" spans="1:19" x14ac:dyDescent="0.3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str">
        <f>IFERROR(VLOOKUP('Customer Info'!A3042,'Customer Info'!A3042:C3541,2,FALSE),"Not Found")</f>
        <v>Not Found</v>
      </c>
      <c r="H3050" s="6" t="str">
        <f>IFERROR(VLOOKUP('Customer Info'!A3042,'Customer Info'!A3042:C3541,3,FALSE),"Not Found")</f>
        <v>Not Found</v>
      </c>
      <c r="I3050" s="6" t="str">
        <f>IFERROR(VLOOKUP('Customer Info'!A3042,'Customer Info'!A3042:E3541,5,FALSE),"Not Found")</f>
        <v>Not Found</v>
      </c>
      <c r="J3050" s="2">
        <v>664</v>
      </c>
      <c r="K3050" s="2">
        <v>576</v>
      </c>
      <c r="L3050" s="2">
        <v>4</v>
      </c>
      <c r="M3050" s="7">
        <f t="shared" si="235"/>
        <v>2304</v>
      </c>
      <c r="N3050" s="7">
        <f t="shared" si="236"/>
        <v>2656</v>
      </c>
      <c r="O3050" s="2">
        <v>46</v>
      </c>
      <c r="P3050" s="8">
        <f t="shared" si="237"/>
        <v>2702</v>
      </c>
      <c r="Q3050" s="8">
        <f t="shared" si="238"/>
        <v>2080</v>
      </c>
      <c r="R3050" s="2" t="s">
        <v>28</v>
      </c>
      <c r="S3050" s="9">
        <f t="shared" si="239"/>
        <v>54.04</v>
      </c>
    </row>
    <row r="3051" spans="1:19" x14ac:dyDescent="0.3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str">
        <f>IFERROR(VLOOKUP('Customer Info'!A3043,'Customer Info'!A3043:C3542,2,FALSE),"Not Found")</f>
        <v>Not Found</v>
      </c>
      <c r="H3051" s="6" t="str">
        <f>IFERROR(VLOOKUP('Customer Info'!A3043,'Customer Info'!A3043:C3542,3,FALSE),"Not Found")</f>
        <v>Not Found</v>
      </c>
      <c r="I3051" s="6" t="str">
        <f>IFERROR(VLOOKUP('Customer Info'!A3043,'Customer Info'!A3043:E3542,5,FALSE),"Not Found")</f>
        <v>Not Found</v>
      </c>
      <c r="J3051" s="2">
        <v>28522</v>
      </c>
      <c r="K3051" s="2">
        <v>26384</v>
      </c>
      <c r="L3051" s="2">
        <v>7</v>
      </c>
      <c r="M3051" s="7">
        <f t="shared" si="235"/>
        <v>184688</v>
      </c>
      <c r="N3051" s="7">
        <f t="shared" si="236"/>
        <v>199654</v>
      </c>
      <c r="O3051" s="2">
        <v>38</v>
      </c>
      <c r="P3051" s="8">
        <f t="shared" si="237"/>
        <v>199692</v>
      </c>
      <c r="Q3051" s="8">
        <f t="shared" si="238"/>
        <v>173270</v>
      </c>
      <c r="R3051" s="2" t="s">
        <v>28</v>
      </c>
      <c r="S3051" s="9">
        <f t="shared" si="239"/>
        <v>23963.040000000001</v>
      </c>
    </row>
    <row r="3052" spans="1:19" x14ac:dyDescent="0.3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str">
        <f>IFERROR(VLOOKUP('Customer Info'!A3044,'Customer Info'!A3044:C3543,2,FALSE),"Not Found")</f>
        <v>Not Found</v>
      </c>
      <c r="H3052" s="6" t="str">
        <f>IFERROR(VLOOKUP('Customer Info'!A3044,'Customer Info'!A3044:C3543,3,FALSE),"Not Found")</f>
        <v>Not Found</v>
      </c>
      <c r="I3052" s="6" t="str">
        <f>IFERROR(VLOOKUP('Customer Info'!A3044,'Customer Info'!A3044:E3543,5,FALSE),"Not Found")</f>
        <v>Not Found</v>
      </c>
      <c r="J3052" s="2">
        <v>1654</v>
      </c>
      <c r="K3052" s="2">
        <v>1577</v>
      </c>
      <c r="L3052" s="2">
        <v>1</v>
      </c>
      <c r="M3052" s="7">
        <f t="shared" si="235"/>
        <v>1577</v>
      </c>
      <c r="N3052" s="7">
        <f t="shared" si="236"/>
        <v>1654</v>
      </c>
      <c r="O3052" s="2">
        <v>78</v>
      </c>
      <c r="P3052" s="8">
        <f t="shared" si="237"/>
        <v>1732</v>
      </c>
      <c r="Q3052" s="8">
        <f t="shared" si="238"/>
        <v>77</v>
      </c>
      <c r="R3052" s="2" t="s">
        <v>50</v>
      </c>
      <c r="S3052" s="9">
        <f t="shared" si="239"/>
        <v>34.64</v>
      </c>
    </row>
    <row r="3053" spans="1:19" x14ac:dyDescent="0.3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str">
        <f>IFERROR(VLOOKUP('Customer Info'!A3045,'Customer Info'!A3045:C3544,2,FALSE),"Not Found")</f>
        <v>Not Found</v>
      </c>
      <c r="H3053" s="6" t="str">
        <f>IFERROR(VLOOKUP('Customer Info'!A3045,'Customer Info'!A3045:C3544,3,FALSE),"Not Found")</f>
        <v>Not Found</v>
      </c>
      <c r="I3053" s="6" t="str">
        <f>IFERROR(VLOOKUP('Customer Info'!A3045,'Customer Info'!A3045:E3544,5,FALSE),"Not Found")</f>
        <v>Not Found</v>
      </c>
      <c r="J3053" s="2">
        <v>691</v>
      </c>
      <c r="K3053" s="2">
        <v>627</v>
      </c>
      <c r="L3053" s="2">
        <v>5</v>
      </c>
      <c r="M3053" s="7">
        <f t="shared" si="235"/>
        <v>3135</v>
      </c>
      <c r="N3053" s="7">
        <f t="shared" si="236"/>
        <v>3455</v>
      </c>
      <c r="O3053" s="2">
        <v>79</v>
      </c>
      <c r="P3053" s="8">
        <f t="shared" si="237"/>
        <v>3534</v>
      </c>
      <c r="Q3053" s="8">
        <f t="shared" si="238"/>
        <v>2828</v>
      </c>
      <c r="R3053" s="2" t="s">
        <v>28</v>
      </c>
      <c r="S3053" s="9">
        <f t="shared" si="239"/>
        <v>70.680000000000007</v>
      </c>
    </row>
    <row r="3054" spans="1:19" x14ac:dyDescent="0.3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str">
        <f>IFERROR(VLOOKUP('Customer Info'!A3046,'Customer Info'!A3046:C3545,2,FALSE),"Not Found")</f>
        <v>Not Found</v>
      </c>
      <c r="H3054" s="6" t="str">
        <f>IFERROR(VLOOKUP('Customer Info'!A3046,'Customer Info'!A3046:C3545,3,FALSE),"Not Found")</f>
        <v>Not Found</v>
      </c>
      <c r="I3054" s="6" t="str">
        <f>IFERROR(VLOOKUP('Customer Info'!A3046,'Customer Info'!A3046:E3545,5,FALSE),"Not Found")</f>
        <v>Not Found</v>
      </c>
      <c r="J3054" s="2">
        <v>69</v>
      </c>
      <c r="K3054" s="2">
        <v>64</v>
      </c>
      <c r="L3054" s="2">
        <v>1</v>
      </c>
      <c r="M3054" s="7">
        <f t="shared" si="235"/>
        <v>64</v>
      </c>
      <c r="N3054" s="7">
        <f t="shared" si="236"/>
        <v>69</v>
      </c>
      <c r="O3054" s="2">
        <v>10</v>
      </c>
      <c r="P3054" s="8">
        <f t="shared" si="237"/>
        <v>79</v>
      </c>
      <c r="Q3054" s="8">
        <f t="shared" si="238"/>
        <v>5</v>
      </c>
      <c r="R3054" s="2" t="s">
        <v>28</v>
      </c>
      <c r="S3054" s="9">
        <f t="shared" si="239"/>
        <v>1.58</v>
      </c>
    </row>
    <row r="3055" spans="1:19" x14ac:dyDescent="0.3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str">
        <f>IFERROR(VLOOKUP('Customer Info'!A3047,'Customer Info'!A3047:C3546,2,FALSE),"Not Found")</f>
        <v>Not Found</v>
      </c>
      <c r="H3055" s="6" t="str">
        <f>IFERROR(VLOOKUP('Customer Info'!A3047,'Customer Info'!A3047:C3546,3,FALSE),"Not Found")</f>
        <v>Not Found</v>
      </c>
      <c r="I3055" s="6" t="str">
        <f>IFERROR(VLOOKUP('Customer Info'!A3047,'Customer Info'!A3047:E3546,5,FALSE),"Not Found")</f>
        <v>Not Found</v>
      </c>
      <c r="J3055" s="2">
        <v>185</v>
      </c>
      <c r="K3055" s="2">
        <v>171</v>
      </c>
      <c r="L3055" s="2">
        <v>2</v>
      </c>
      <c r="M3055" s="7">
        <f t="shared" si="235"/>
        <v>342</v>
      </c>
      <c r="N3055" s="7">
        <f t="shared" si="236"/>
        <v>370</v>
      </c>
      <c r="O3055" s="2">
        <v>30</v>
      </c>
      <c r="P3055" s="8">
        <f t="shared" si="237"/>
        <v>400</v>
      </c>
      <c r="Q3055" s="8">
        <f t="shared" si="238"/>
        <v>199</v>
      </c>
      <c r="R3055" s="2" t="s">
        <v>28</v>
      </c>
      <c r="S3055" s="9">
        <f t="shared" si="239"/>
        <v>8</v>
      </c>
    </row>
    <row r="3056" spans="1:19" x14ac:dyDescent="0.3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str">
        <f>IFERROR(VLOOKUP('Customer Info'!A3048,'Customer Info'!A3048:C3547,2,FALSE),"Not Found")</f>
        <v>Not Found</v>
      </c>
      <c r="H3056" s="6" t="str">
        <f>IFERROR(VLOOKUP('Customer Info'!A3048,'Customer Info'!A3048:C3547,3,FALSE),"Not Found")</f>
        <v>Not Found</v>
      </c>
      <c r="I3056" s="6" t="str">
        <f>IFERROR(VLOOKUP('Customer Info'!A3048,'Customer Info'!A3048:E3547,5,FALSE),"Not Found")</f>
        <v>Not Found</v>
      </c>
      <c r="J3056" s="2">
        <v>1399</v>
      </c>
      <c r="K3056" s="2">
        <v>1333</v>
      </c>
      <c r="L3056" s="2">
        <v>2</v>
      </c>
      <c r="M3056" s="7">
        <f t="shared" si="235"/>
        <v>2666</v>
      </c>
      <c r="N3056" s="7">
        <f t="shared" si="236"/>
        <v>2798</v>
      </c>
      <c r="O3056" s="2">
        <v>55</v>
      </c>
      <c r="P3056" s="8">
        <f t="shared" si="237"/>
        <v>2853</v>
      </c>
      <c r="Q3056" s="8">
        <f t="shared" si="238"/>
        <v>1465</v>
      </c>
      <c r="R3056" s="2" t="s">
        <v>28</v>
      </c>
      <c r="S3056" s="9">
        <f t="shared" si="239"/>
        <v>57.06</v>
      </c>
    </row>
    <row r="3057" spans="1:19" x14ac:dyDescent="0.3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str">
        <f>IFERROR(VLOOKUP('Customer Info'!A3049,'Customer Info'!A3049:C3548,2,FALSE),"Not Found")</f>
        <v>Not Found</v>
      </c>
      <c r="H3057" s="6" t="str">
        <f>IFERROR(VLOOKUP('Customer Info'!A3049,'Customer Info'!A3049:C3548,3,FALSE),"Not Found")</f>
        <v>Not Found</v>
      </c>
      <c r="I3057" s="6" t="str">
        <f>IFERROR(VLOOKUP('Customer Info'!A3049,'Customer Info'!A3049:E3548,5,FALSE),"Not Found")</f>
        <v>Not Found</v>
      </c>
      <c r="J3057" s="2">
        <v>4704</v>
      </c>
      <c r="K3057" s="2">
        <v>4361</v>
      </c>
      <c r="L3057" s="2">
        <v>2</v>
      </c>
      <c r="M3057" s="7">
        <f t="shared" si="235"/>
        <v>8722</v>
      </c>
      <c r="N3057" s="7">
        <f t="shared" si="236"/>
        <v>9408</v>
      </c>
      <c r="O3057" s="2">
        <v>96</v>
      </c>
      <c r="P3057" s="8">
        <f t="shared" si="237"/>
        <v>9504</v>
      </c>
      <c r="Q3057" s="8">
        <f t="shared" si="238"/>
        <v>5047</v>
      </c>
      <c r="R3057" s="2" t="s">
        <v>50</v>
      </c>
      <c r="S3057" s="9">
        <f t="shared" si="239"/>
        <v>475.20000000000005</v>
      </c>
    </row>
    <row r="3058" spans="1:19" x14ac:dyDescent="0.3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str">
        <f>IFERROR(VLOOKUP('Customer Info'!A3050,'Customer Info'!A3050:C3549,2,FALSE),"Not Found")</f>
        <v>Not Found</v>
      </c>
      <c r="H3058" s="6" t="str">
        <f>IFERROR(VLOOKUP('Customer Info'!A3050,'Customer Info'!A3050:C3549,3,FALSE),"Not Found")</f>
        <v>Not Found</v>
      </c>
      <c r="I3058" s="6" t="str">
        <f>IFERROR(VLOOKUP('Customer Info'!A3050,'Customer Info'!A3050:E3549,5,FALSE),"Not Found")</f>
        <v>Not Found</v>
      </c>
      <c r="J3058" s="2">
        <v>78</v>
      </c>
      <c r="K3058" s="2">
        <v>74</v>
      </c>
      <c r="L3058" s="2">
        <v>3</v>
      </c>
      <c r="M3058" s="7">
        <f t="shared" si="235"/>
        <v>222</v>
      </c>
      <c r="N3058" s="7">
        <f t="shared" si="236"/>
        <v>234</v>
      </c>
      <c r="O3058" s="2">
        <v>10</v>
      </c>
      <c r="P3058" s="8">
        <f t="shared" si="237"/>
        <v>244</v>
      </c>
      <c r="Q3058" s="8">
        <f t="shared" si="238"/>
        <v>160</v>
      </c>
      <c r="R3058" s="2" t="s">
        <v>28</v>
      </c>
      <c r="S3058" s="9">
        <f t="shared" si="239"/>
        <v>4.88</v>
      </c>
    </row>
    <row r="3059" spans="1:19" x14ac:dyDescent="0.3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str">
        <f>IFERROR(VLOOKUP('Customer Info'!A3051,'Customer Info'!A3051:C3550,2,FALSE),"Not Found")</f>
        <v>Not Found</v>
      </c>
      <c r="H3059" s="6" t="str">
        <f>IFERROR(VLOOKUP('Customer Info'!A3051,'Customer Info'!A3051:C3550,3,FALSE),"Not Found")</f>
        <v>Not Found</v>
      </c>
      <c r="I3059" s="6" t="str">
        <f>IFERROR(VLOOKUP('Customer Info'!A3051,'Customer Info'!A3051:E3550,5,FALSE),"Not Found")</f>
        <v>Not Found</v>
      </c>
      <c r="J3059" s="2">
        <v>1958</v>
      </c>
      <c r="K3059" s="2">
        <v>1846</v>
      </c>
      <c r="L3059" s="2">
        <v>3</v>
      </c>
      <c r="M3059" s="7">
        <f t="shared" si="235"/>
        <v>5538</v>
      </c>
      <c r="N3059" s="7">
        <f t="shared" si="236"/>
        <v>5874</v>
      </c>
      <c r="O3059" s="2">
        <v>95</v>
      </c>
      <c r="P3059" s="8">
        <f t="shared" si="237"/>
        <v>5969</v>
      </c>
      <c r="Q3059" s="8">
        <f t="shared" si="238"/>
        <v>4028</v>
      </c>
      <c r="R3059" s="2" t="s">
        <v>28</v>
      </c>
      <c r="S3059" s="9">
        <f t="shared" si="239"/>
        <v>298.45</v>
      </c>
    </row>
    <row r="3060" spans="1:19" x14ac:dyDescent="0.3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str">
        <f>IFERROR(VLOOKUP('Customer Info'!A3052,'Customer Info'!A3052:C3551,2,FALSE),"Not Found")</f>
        <v>Not Found</v>
      </c>
      <c r="H3060" s="6" t="str">
        <f>IFERROR(VLOOKUP('Customer Info'!A3052,'Customer Info'!A3052:C3551,3,FALSE),"Not Found")</f>
        <v>Not Found</v>
      </c>
      <c r="I3060" s="6" t="str">
        <f>IFERROR(VLOOKUP('Customer Info'!A3052,'Customer Info'!A3052:E3551,5,FALSE),"Not Found")</f>
        <v>Not Found</v>
      </c>
      <c r="J3060" s="2">
        <v>127</v>
      </c>
      <c r="K3060" s="2">
        <v>116</v>
      </c>
      <c r="L3060" s="2">
        <v>3</v>
      </c>
      <c r="M3060" s="7">
        <f t="shared" si="235"/>
        <v>348</v>
      </c>
      <c r="N3060" s="7">
        <f t="shared" si="236"/>
        <v>381</v>
      </c>
      <c r="O3060" s="2">
        <v>30</v>
      </c>
      <c r="P3060" s="8">
        <f t="shared" si="237"/>
        <v>411</v>
      </c>
      <c r="Q3060" s="8">
        <f t="shared" si="238"/>
        <v>265</v>
      </c>
      <c r="R3060" s="2" t="s">
        <v>50</v>
      </c>
      <c r="S3060" s="9">
        <f t="shared" si="239"/>
        <v>8.2200000000000006</v>
      </c>
    </row>
    <row r="3061" spans="1:19" x14ac:dyDescent="0.3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str">
        <f>IFERROR(VLOOKUP('Customer Info'!A3053,'Customer Info'!A3053:C3552,2,FALSE),"Not Found")</f>
        <v>Not Found</v>
      </c>
      <c r="H3061" s="6" t="str">
        <f>IFERROR(VLOOKUP('Customer Info'!A3053,'Customer Info'!A3053:C3552,3,FALSE),"Not Found")</f>
        <v>Not Found</v>
      </c>
      <c r="I3061" s="6" t="str">
        <f>IFERROR(VLOOKUP('Customer Info'!A3053,'Customer Info'!A3053:E3552,5,FALSE),"Not Found")</f>
        <v>Not Found</v>
      </c>
      <c r="J3061" s="2">
        <v>140</v>
      </c>
      <c r="K3061" s="2">
        <v>137</v>
      </c>
      <c r="L3061" s="2">
        <v>4</v>
      </c>
      <c r="M3061" s="7">
        <f t="shared" si="235"/>
        <v>548</v>
      </c>
      <c r="N3061" s="7">
        <f t="shared" si="236"/>
        <v>560</v>
      </c>
      <c r="O3061" s="2">
        <v>30</v>
      </c>
      <c r="P3061" s="8">
        <f t="shared" si="237"/>
        <v>590</v>
      </c>
      <c r="Q3061" s="8">
        <f t="shared" si="238"/>
        <v>423</v>
      </c>
      <c r="R3061" s="2" t="s">
        <v>50</v>
      </c>
      <c r="S3061" s="9">
        <f t="shared" si="239"/>
        <v>11.8</v>
      </c>
    </row>
    <row r="3062" spans="1:19" x14ac:dyDescent="0.3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str">
        <f>IFERROR(VLOOKUP('Customer Info'!A3054,'Customer Info'!A3054:C3553,2,FALSE),"Not Found")</f>
        <v>Not Found</v>
      </c>
      <c r="H3062" s="6" t="str">
        <f>IFERROR(VLOOKUP('Customer Info'!A3054,'Customer Info'!A3054:C3553,3,FALSE),"Not Found")</f>
        <v>Not Found</v>
      </c>
      <c r="I3062" s="6" t="str">
        <f>IFERROR(VLOOKUP('Customer Info'!A3054,'Customer Info'!A3054:E3553,5,FALSE),"Not Found")</f>
        <v>Not Found</v>
      </c>
      <c r="J3062" s="2">
        <v>1169</v>
      </c>
      <c r="K3062" s="2">
        <v>1072</v>
      </c>
      <c r="L3062" s="2">
        <v>8</v>
      </c>
      <c r="M3062" s="7">
        <f t="shared" si="235"/>
        <v>8576</v>
      </c>
      <c r="N3062" s="7">
        <f t="shared" si="236"/>
        <v>9352</v>
      </c>
      <c r="O3062" s="2">
        <v>47</v>
      </c>
      <c r="P3062" s="8">
        <f t="shared" si="237"/>
        <v>9399</v>
      </c>
      <c r="Q3062" s="8">
        <f t="shared" si="238"/>
        <v>8280</v>
      </c>
      <c r="R3062" s="2" t="s">
        <v>26</v>
      </c>
      <c r="S3062" s="9">
        <f t="shared" si="239"/>
        <v>469.95000000000005</v>
      </c>
    </row>
    <row r="3063" spans="1:19" x14ac:dyDescent="0.3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str">
        <f>IFERROR(VLOOKUP('Customer Info'!A3055,'Customer Info'!A3055:C3554,2,FALSE),"Not Found")</f>
        <v>Not Found</v>
      </c>
      <c r="H3063" s="6" t="str">
        <f>IFERROR(VLOOKUP('Customer Info'!A3055,'Customer Info'!A3055:C3554,3,FALSE),"Not Found")</f>
        <v>Not Found</v>
      </c>
      <c r="I3063" s="6" t="str">
        <f>IFERROR(VLOOKUP('Customer Info'!A3055,'Customer Info'!A3055:E3554,5,FALSE),"Not Found")</f>
        <v>Not Found</v>
      </c>
      <c r="J3063" s="2">
        <v>175</v>
      </c>
      <c r="K3063" s="2">
        <v>162</v>
      </c>
      <c r="L3063" s="2">
        <v>3</v>
      </c>
      <c r="M3063" s="7">
        <f t="shared" si="235"/>
        <v>486</v>
      </c>
      <c r="N3063" s="7">
        <f t="shared" si="236"/>
        <v>525</v>
      </c>
      <c r="O3063" s="2">
        <v>30</v>
      </c>
      <c r="P3063" s="8">
        <f t="shared" si="237"/>
        <v>555</v>
      </c>
      <c r="Q3063" s="8">
        <f t="shared" si="238"/>
        <v>363</v>
      </c>
      <c r="R3063" s="2" t="s">
        <v>28</v>
      </c>
      <c r="S3063" s="9">
        <f t="shared" si="239"/>
        <v>11.1</v>
      </c>
    </row>
    <row r="3064" spans="1:19" x14ac:dyDescent="0.3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str">
        <f>IFERROR(VLOOKUP('Customer Info'!A3056,'Customer Info'!A3056:C3555,2,FALSE),"Not Found")</f>
        <v>Not Found</v>
      </c>
      <c r="H3064" s="6" t="str">
        <f>IFERROR(VLOOKUP('Customer Info'!A3056,'Customer Info'!A3056:C3555,3,FALSE),"Not Found")</f>
        <v>Not Found</v>
      </c>
      <c r="I3064" s="6" t="str">
        <f>IFERROR(VLOOKUP('Customer Info'!A3056,'Customer Info'!A3056:E3555,5,FALSE),"Not Found")</f>
        <v>Not Found</v>
      </c>
      <c r="J3064" s="2">
        <v>167</v>
      </c>
      <c r="K3064" s="2">
        <v>155</v>
      </c>
      <c r="L3064" s="2">
        <v>1</v>
      </c>
      <c r="M3064" s="7">
        <f t="shared" si="235"/>
        <v>155</v>
      </c>
      <c r="N3064" s="7">
        <f t="shared" si="236"/>
        <v>167</v>
      </c>
      <c r="O3064" s="2">
        <v>30</v>
      </c>
      <c r="P3064" s="8">
        <f t="shared" si="237"/>
        <v>197</v>
      </c>
      <c r="Q3064" s="8">
        <f t="shared" si="238"/>
        <v>12</v>
      </c>
      <c r="R3064" s="2" t="s">
        <v>28</v>
      </c>
      <c r="S3064" s="9">
        <f t="shared" si="239"/>
        <v>3.94</v>
      </c>
    </row>
    <row r="3065" spans="1:19" x14ac:dyDescent="0.3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str">
        <f>IFERROR(VLOOKUP('Customer Info'!A3057,'Customer Info'!A3057:C3556,2,FALSE),"Not Found")</f>
        <v>Not Found</v>
      </c>
      <c r="H3065" s="6" t="str">
        <f>IFERROR(VLOOKUP('Customer Info'!A3057,'Customer Info'!A3057:C3556,3,FALSE),"Not Found")</f>
        <v>Not Found</v>
      </c>
      <c r="I3065" s="6" t="str">
        <f>IFERROR(VLOOKUP('Customer Info'!A3057,'Customer Info'!A3057:E3556,5,FALSE),"Not Found")</f>
        <v>Not Found</v>
      </c>
      <c r="J3065" s="2">
        <v>191</v>
      </c>
      <c r="K3065" s="2">
        <v>170</v>
      </c>
      <c r="L3065" s="2">
        <v>2</v>
      </c>
      <c r="M3065" s="7">
        <f t="shared" si="235"/>
        <v>340</v>
      </c>
      <c r="N3065" s="7">
        <f t="shared" si="236"/>
        <v>382</v>
      </c>
      <c r="O3065" s="2">
        <v>30</v>
      </c>
      <c r="P3065" s="8">
        <f t="shared" si="237"/>
        <v>412</v>
      </c>
      <c r="Q3065" s="8">
        <f t="shared" si="238"/>
        <v>212</v>
      </c>
      <c r="R3065" s="2" t="s">
        <v>28</v>
      </c>
      <c r="S3065" s="9">
        <f t="shared" si="239"/>
        <v>8.24</v>
      </c>
    </row>
    <row r="3066" spans="1:19" x14ac:dyDescent="0.3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str">
        <f>IFERROR(VLOOKUP('Customer Info'!A3058,'Customer Info'!A3058:C3557,2,FALSE),"Not Found")</f>
        <v>Not Found</v>
      </c>
      <c r="H3066" s="6" t="str">
        <f>IFERROR(VLOOKUP('Customer Info'!A3058,'Customer Info'!A3058:C3557,3,FALSE),"Not Found")</f>
        <v>Not Found</v>
      </c>
      <c r="I3066" s="6" t="str">
        <f>IFERROR(VLOOKUP('Customer Info'!A3058,'Customer Info'!A3058:E3557,5,FALSE),"Not Found")</f>
        <v>Not Found</v>
      </c>
      <c r="J3066" s="2">
        <v>8651</v>
      </c>
      <c r="K3066" s="2">
        <v>8081</v>
      </c>
      <c r="L3066" s="2">
        <v>2</v>
      </c>
      <c r="M3066" s="7">
        <f t="shared" si="235"/>
        <v>16162</v>
      </c>
      <c r="N3066" s="7">
        <f t="shared" si="236"/>
        <v>17302</v>
      </c>
      <c r="O3066" s="2">
        <v>54</v>
      </c>
      <c r="P3066" s="8">
        <f t="shared" si="237"/>
        <v>17356</v>
      </c>
      <c r="Q3066" s="8">
        <f t="shared" si="238"/>
        <v>9221</v>
      </c>
      <c r="R3066" s="2" t="s">
        <v>56</v>
      </c>
      <c r="S3066" s="9">
        <f t="shared" si="239"/>
        <v>867.80000000000007</v>
      </c>
    </row>
    <row r="3067" spans="1:19" x14ac:dyDescent="0.3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str">
        <f>IFERROR(VLOOKUP('Customer Info'!A3059,'Customer Info'!A3059:C3558,2,FALSE),"Not Found")</f>
        <v>Not Found</v>
      </c>
      <c r="H3067" s="6" t="str">
        <f>IFERROR(VLOOKUP('Customer Info'!A3059,'Customer Info'!A3059:C3558,3,FALSE),"Not Found")</f>
        <v>Not Found</v>
      </c>
      <c r="I3067" s="6" t="str">
        <f>IFERROR(VLOOKUP('Customer Info'!A3059,'Customer Info'!A3059:E3558,5,FALSE),"Not Found")</f>
        <v>Not Found</v>
      </c>
      <c r="J3067" s="2">
        <v>1916</v>
      </c>
      <c r="K3067" s="2">
        <v>1844</v>
      </c>
      <c r="L3067" s="2">
        <v>2</v>
      </c>
      <c r="M3067" s="7">
        <f t="shared" si="235"/>
        <v>3688</v>
      </c>
      <c r="N3067" s="7">
        <f t="shared" si="236"/>
        <v>3832</v>
      </c>
      <c r="O3067" s="2">
        <v>23</v>
      </c>
      <c r="P3067" s="8">
        <f t="shared" si="237"/>
        <v>3855</v>
      </c>
      <c r="Q3067" s="8">
        <f t="shared" si="238"/>
        <v>1988</v>
      </c>
      <c r="R3067" s="2" t="s">
        <v>28</v>
      </c>
      <c r="S3067" s="9">
        <f t="shared" si="239"/>
        <v>77.100000000000009</v>
      </c>
    </row>
    <row r="3068" spans="1:19" x14ac:dyDescent="0.3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str">
        <f>IFERROR(VLOOKUP('Customer Info'!A3060,'Customer Info'!A3060:C3559,2,FALSE),"Not Found")</f>
        <v>Not Found</v>
      </c>
      <c r="H3068" s="6" t="str">
        <f>IFERROR(VLOOKUP('Customer Info'!A3060,'Customer Info'!A3060:C3559,3,FALSE),"Not Found")</f>
        <v>Not Found</v>
      </c>
      <c r="I3068" s="6" t="str">
        <f>IFERROR(VLOOKUP('Customer Info'!A3060,'Customer Info'!A3060:E3559,5,FALSE),"Not Found")</f>
        <v>Not Found</v>
      </c>
      <c r="J3068" s="2">
        <v>1058</v>
      </c>
      <c r="K3068" s="2">
        <v>989</v>
      </c>
      <c r="L3068" s="2">
        <v>1</v>
      </c>
      <c r="M3068" s="7">
        <f t="shared" si="235"/>
        <v>989</v>
      </c>
      <c r="N3068" s="7">
        <f t="shared" si="236"/>
        <v>1058</v>
      </c>
      <c r="O3068" s="2">
        <v>84</v>
      </c>
      <c r="P3068" s="8">
        <f t="shared" si="237"/>
        <v>1142</v>
      </c>
      <c r="Q3068" s="8">
        <f t="shared" si="238"/>
        <v>69</v>
      </c>
      <c r="R3068" s="2" t="s">
        <v>50</v>
      </c>
      <c r="S3068" s="9">
        <f t="shared" si="239"/>
        <v>22.84</v>
      </c>
    </row>
    <row r="3069" spans="1:19" x14ac:dyDescent="0.3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str">
        <f>IFERROR(VLOOKUP('Customer Info'!A3061,'Customer Info'!A3061:C3560,2,FALSE),"Not Found")</f>
        <v>Not Found</v>
      </c>
      <c r="H3069" s="6" t="str">
        <f>IFERROR(VLOOKUP('Customer Info'!A3061,'Customer Info'!A3061:C3560,3,FALSE),"Not Found")</f>
        <v>Not Found</v>
      </c>
      <c r="I3069" s="6" t="str">
        <f>IFERROR(VLOOKUP('Customer Info'!A3061,'Customer Info'!A3061:E3560,5,FALSE),"Not Found")</f>
        <v>Not Found</v>
      </c>
      <c r="J3069" s="2">
        <v>7141</v>
      </c>
      <c r="K3069" s="2">
        <v>6541</v>
      </c>
      <c r="L3069" s="2">
        <v>13</v>
      </c>
      <c r="M3069" s="7">
        <f t="shared" si="235"/>
        <v>85033</v>
      </c>
      <c r="N3069" s="7">
        <f t="shared" si="236"/>
        <v>92833</v>
      </c>
      <c r="O3069" s="2">
        <v>65</v>
      </c>
      <c r="P3069" s="8">
        <f t="shared" si="237"/>
        <v>92898</v>
      </c>
      <c r="Q3069" s="8">
        <f t="shared" si="238"/>
        <v>86292</v>
      </c>
      <c r="R3069" s="2" t="s">
        <v>50</v>
      </c>
      <c r="S3069" s="9">
        <f t="shared" si="239"/>
        <v>8360.82</v>
      </c>
    </row>
    <row r="3070" spans="1:19" x14ac:dyDescent="0.3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str">
        <f>IFERROR(VLOOKUP('Customer Info'!A3062,'Customer Info'!A3062:C3561,2,FALSE),"Not Found")</f>
        <v>Not Found</v>
      </c>
      <c r="H3070" s="6" t="str">
        <f>IFERROR(VLOOKUP('Customer Info'!A3062,'Customer Info'!A3062:C3561,3,FALSE),"Not Found")</f>
        <v>Not Found</v>
      </c>
      <c r="I3070" s="6" t="str">
        <f>IFERROR(VLOOKUP('Customer Info'!A3062,'Customer Info'!A3062:E3561,5,FALSE),"Not Found")</f>
        <v>Not Found</v>
      </c>
      <c r="J3070" s="2">
        <v>1686</v>
      </c>
      <c r="K3070" s="2">
        <v>1591</v>
      </c>
      <c r="L3070" s="2">
        <v>1</v>
      </c>
      <c r="M3070" s="7">
        <f t="shared" si="235"/>
        <v>1591</v>
      </c>
      <c r="N3070" s="7">
        <f t="shared" si="236"/>
        <v>1686</v>
      </c>
      <c r="O3070" s="2">
        <v>79</v>
      </c>
      <c r="P3070" s="8">
        <f t="shared" si="237"/>
        <v>1765</v>
      </c>
      <c r="Q3070" s="8">
        <f t="shared" si="238"/>
        <v>95</v>
      </c>
      <c r="R3070" s="2" t="s">
        <v>50</v>
      </c>
      <c r="S3070" s="9">
        <f t="shared" si="239"/>
        <v>35.300000000000004</v>
      </c>
    </row>
    <row r="3071" spans="1:19" x14ac:dyDescent="0.3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str">
        <f>IFERROR(VLOOKUP('Customer Info'!A3063,'Customer Info'!A3063:C3562,2,FALSE),"Not Found")</f>
        <v>Not Found</v>
      </c>
      <c r="H3071" s="6" t="str">
        <f>IFERROR(VLOOKUP('Customer Info'!A3063,'Customer Info'!A3063:C3562,3,FALSE),"Not Found")</f>
        <v>Not Found</v>
      </c>
      <c r="I3071" s="6" t="str">
        <f>IFERROR(VLOOKUP('Customer Info'!A3063,'Customer Info'!A3063:E3562,5,FALSE),"Not Found")</f>
        <v>Not Found</v>
      </c>
      <c r="J3071" s="2">
        <v>1568</v>
      </c>
      <c r="K3071" s="2">
        <v>1495</v>
      </c>
      <c r="L3071" s="2">
        <v>2</v>
      </c>
      <c r="M3071" s="7">
        <f t="shared" si="235"/>
        <v>2990</v>
      </c>
      <c r="N3071" s="7">
        <f t="shared" si="236"/>
        <v>3136</v>
      </c>
      <c r="O3071" s="2">
        <v>36</v>
      </c>
      <c r="P3071" s="8">
        <f t="shared" si="237"/>
        <v>3172</v>
      </c>
      <c r="Q3071" s="8">
        <f t="shared" si="238"/>
        <v>1641</v>
      </c>
      <c r="R3071" s="2" t="s">
        <v>26</v>
      </c>
      <c r="S3071" s="9">
        <f t="shared" si="239"/>
        <v>63.440000000000005</v>
      </c>
    </row>
    <row r="3072" spans="1:19" x14ac:dyDescent="0.3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str">
        <f>IFERROR(VLOOKUP('Customer Info'!A3064,'Customer Info'!A3064:C3563,2,FALSE),"Not Found")</f>
        <v>Not Found</v>
      </c>
      <c r="H3072" s="6" t="str">
        <f>IFERROR(VLOOKUP('Customer Info'!A3064,'Customer Info'!A3064:C3563,3,FALSE),"Not Found")</f>
        <v>Not Found</v>
      </c>
      <c r="I3072" s="6" t="str">
        <f>IFERROR(VLOOKUP('Customer Info'!A3064,'Customer Info'!A3064:E3563,5,FALSE),"Not Found")</f>
        <v>Not Found</v>
      </c>
      <c r="J3072" s="2">
        <v>4846</v>
      </c>
      <c r="K3072" s="2">
        <v>4492</v>
      </c>
      <c r="L3072" s="2">
        <v>6</v>
      </c>
      <c r="M3072" s="7">
        <f t="shared" si="235"/>
        <v>26952</v>
      </c>
      <c r="N3072" s="7">
        <f t="shared" si="236"/>
        <v>29076</v>
      </c>
      <c r="O3072" s="2">
        <v>71</v>
      </c>
      <c r="P3072" s="8">
        <f t="shared" si="237"/>
        <v>29147</v>
      </c>
      <c r="Q3072" s="8">
        <f t="shared" si="238"/>
        <v>24584</v>
      </c>
      <c r="R3072" s="2" t="s">
        <v>28</v>
      </c>
      <c r="S3072" s="9">
        <f t="shared" si="239"/>
        <v>2040.2900000000002</v>
      </c>
    </row>
    <row r="3073" spans="1:19" x14ac:dyDescent="0.3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str">
        <f>IFERROR(VLOOKUP('Customer Info'!A3065,'Customer Info'!A3065:C3564,2,FALSE),"Not Found")</f>
        <v>Not Found</v>
      </c>
      <c r="H3073" s="6" t="str">
        <f>IFERROR(VLOOKUP('Customer Info'!A3065,'Customer Info'!A3065:C3564,3,FALSE),"Not Found")</f>
        <v>Not Found</v>
      </c>
      <c r="I3073" s="6" t="str">
        <f>IFERROR(VLOOKUP('Customer Info'!A3065,'Customer Info'!A3065:E3564,5,FALSE),"Not Found")</f>
        <v>Not Found</v>
      </c>
      <c r="J3073" s="2">
        <v>169</v>
      </c>
      <c r="K3073" s="2">
        <v>160</v>
      </c>
      <c r="L3073" s="2">
        <v>3</v>
      </c>
      <c r="M3073" s="7">
        <f t="shared" si="235"/>
        <v>480</v>
      </c>
      <c r="N3073" s="7">
        <f t="shared" si="236"/>
        <v>507</v>
      </c>
      <c r="O3073" s="2">
        <v>30</v>
      </c>
      <c r="P3073" s="8">
        <f t="shared" si="237"/>
        <v>537</v>
      </c>
      <c r="Q3073" s="8">
        <f t="shared" si="238"/>
        <v>347</v>
      </c>
      <c r="R3073" s="2" t="s">
        <v>26</v>
      </c>
      <c r="S3073" s="9">
        <f t="shared" si="239"/>
        <v>10.74</v>
      </c>
    </row>
    <row r="3074" spans="1:19" x14ac:dyDescent="0.3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str">
        <f>IFERROR(VLOOKUP('Customer Info'!A3066,'Customer Info'!A3066:C3565,2,FALSE),"Not Found")</f>
        <v>Not Found</v>
      </c>
      <c r="H3074" s="6" t="str">
        <f>IFERROR(VLOOKUP('Customer Info'!A3066,'Customer Info'!A3066:C3565,3,FALSE),"Not Found")</f>
        <v>Not Found</v>
      </c>
      <c r="I3074" s="6" t="str">
        <f>IFERROR(VLOOKUP('Customer Info'!A3066,'Customer Info'!A3066:E3565,5,FALSE),"Not Found")</f>
        <v>Not Found</v>
      </c>
      <c r="J3074" s="2">
        <v>1482</v>
      </c>
      <c r="K3074" s="2">
        <v>1453</v>
      </c>
      <c r="L3074" s="2">
        <v>1</v>
      </c>
      <c r="M3074" s="7">
        <f t="shared" si="235"/>
        <v>1453</v>
      </c>
      <c r="N3074" s="7">
        <f t="shared" si="236"/>
        <v>1482</v>
      </c>
      <c r="O3074" s="2">
        <v>25</v>
      </c>
      <c r="P3074" s="8">
        <f t="shared" si="237"/>
        <v>1507</v>
      </c>
      <c r="Q3074" s="8">
        <f t="shared" si="238"/>
        <v>29</v>
      </c>
      <c r="R3074" s="2" t="s">
        <v>28</v>
      </c>
      <c r="S3074" s="9">
        <f t="shared" si="239"/>
        <v>30.14</v>
      </c>
    </row>
    <row r="3075" spans="1:19" x14ac:dyDescent="0.3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str">
        <f>IFERROR(VLOOKUP('Customer Info'!A3067,'Customer Info'!A3067:C3566,2,FALSE),"Not Found")</f>
        <v>Not Found</v>
      </c>
      <c r="H3075" s="6" t="str">
        <f>IFERROR(VLOOKUP('Customer Info'!A3067,'Customer Info'!A3067:C3566,3,FALSE),"Not Found")</f>
        <v>Not Found</v>
      </c>
      <c r="I3075" s="6" t="str">
        <f>IFERROR(VLOOKUP('Customer Info'!A3067,'Customer Info'!A3067:E3566,5,FALSE),"Not Found")</f>
        <v>Not Found</v>
      </c>
      <c r="J3075" s="2">
        <v>129</v>
      </c>
      <c r="K3075" s="2">
        <v>118</v>
      </c>
      <c r="L3075" s="2">
        <v>1</v>
      </c>
      <c r="M3075" s="7">
        <f t="shared" si="235"/>
        <v>118</v>
      </c>
      <c r="N3075" s="7">
        <f t="shared" si="236"/>
        <v>129</v>
      </c>
      <c r="O3075" s="2">
        <v>30</v>
      </c>
      <c r="P3075" s="8">
        <f t="shared" si="237"/>
        <v>159</v>
      </c>
      <c r="Q3075" s="8">
        <f t="shared" si="238"/>
        <v>11</v>
      </c>
      <c r="R3075" s="2" t="s">
        <v>50</v>
      </c>
      <c r="S3075" s="9">
        <f t="shared" si="239"/>
        <v>3.18</v>
      </c>
    </row>
    <row r="3076" spans="1:19" x14ac:dyDescent="0.3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str">
        <f>IFERROR(VLOOKUP('Customer Info'!A3068,'Customer Info'!A3068:C3567,2,FALSE),"Not Found")</f>
        <v>Not Found</v>
      </c>
      <c r="H3076" s="6" t="str">
        <f>IFERROR(VLOOKUP('Customer Info'!A3068,'Customer Info'!A3068:C3567,3,FALSE),"Not Found")</f>
        <v>Not Found</v>
      </c>
      <c r="I3076" s="6" t="str">
        <f>IFERROR(VLOOKUP('Customer Info'!A3068,'Customer Info'!A3068:E3567,5,FALSE),"Not Found")</f>
        <v>Not Found</v>
      </c>
      <c r="J3076" s="2">
        <v>4487</v>
      </c>
      <c r="K3076" s="2">
        <v>4201</v>
      </c>
      <c r="L3076" s="2">
        <v>6</v>
      </c>
      <c r="M3076" s="7">
        <f t="shared" si="235"/>
        <v>25206</v>
      </c>
      <c r="N3076" s="7">
        <f t="shared" si="236"/>
        <v>26922</v>
      </c>
      <c r="O3076" s="2">
        <v>20</v>
      </c>
      <c r="P3076" s="8">
        <f t="shared" si="237"/>
        <v>26942</v>
      </c>
      <c r="Q3076" s="8">
        <f t="shared" si="238"/>
        <v>22721</v>
      </c>
      <c r="R3076" s="2" t="s">
        <v>50</v>
      </c>
      <c r="S3076" s="9">
        <f t="shared" si="239"/>
        <v>1885.9400000000003</v>
      </c>
    </row>
    <row r="3077" spans="1:19" x14ac:dyDescent="0.3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str">
        <f>IFERROR(VLOOKUP('Customer Info'!A3069,'Customer Info'!A3069:C3568,2,FALSE),"Not Found")</f>
        <v>Not Found</v>
      </c>
      <c r="H3077" s="6" t="str">
        <f>IFERROR(VLOOKUP('Customer Info'!A3069,'Customer Info'!A3069:C3568,3,FALSE),"Not Found")</f>
        <v>Not Found</v>
      </c>
      <c r="I3077" s="6" t="str">
        <f>IFERROR(VLOOKUP('Customer Info'!A3069,'Customer Info'!A3069:E3568,5,FALSE),"Not Found")</f>
        <v>Not Found</v>
      </c>
      <c r="J3077" s="2">
        <v>2027</v>
      </c>
      <c r="K3077" s="2">
        <v>1913</v>
      </c>
      <c r="L3077" s="2">
        <v>5</v>
      </c>
      <c r="M3077" s="7">
        <f t="shared" si="235"/>
        <v>9565</v>
      </c>
      <c r="N3077" s="7">
        <f t="shared" si="236"/>
        <v>10135</v>
      </c>
      <c r="O3077" s="2">
        <v>42</v>
      </c>
      <c r="P3077" s="8">
        <f t="shared" si="237"/>
        <v>10177</v>
      </c>
      <c r="Q3077" s="8">
        <f t="shared" si="238"/>
        <v>8222</v>
      </c>
      <c r="R3077" s="2" t="s">
        <v>28</v>
      </c>
      <c r="S3077" s="9">
        <f t="shared" si="239"/>
        <v>508.85</v>
      </c>
    </row>
    <row r="3078" spans="1:19" x14ac:dyDescent="0.3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str">
        <f>IFERROR(VLOOKUP('Customer Info'!A3070,'Customer Info'!A3070:C3569,2,FALSE),"Not Found")</f>
        <v>Not Found</v>
      </c>
      <c r="H3078" s="6" t="str">
        <f>IFERROR(VLOOKUP('Customer Info'!A3070,'Customer Info'!A3070:C3569,3,FALSE),"Not Found")</f>
        <v>Not Found</v>
      </c>
      <c r="I3078" s="6" t="str">
        <f>IFERROR(VLOOKUP('Customer Info'!A3070,'Customer Info'!A3070:E3569,5,FALSE),"Not Found")</f>
        <v>Not Found</v>
      </c>
      <c r="J3078" s="2">
        <v>185</v>
      </c>
      <c r="K3078" s="2">
        <v>174</v>
      </c>
      <c r="L3078" s="2">
        <v>2</v>
      </c>
      <c r="M3078" s="7">
        <f t="shared" si="235"/>
        <v>348</v>
      </c>
      <c r="N3078" s="7">
        <f t="shared" si="236"/>
        <v>370</v>
      </c>
      <c r="O3078" s="2">
        <v>30</v>
      </c>
      <c r="P3078" s="8">
        <f t="shared" si="237"/>
        <v>400</v>
      </c>
      <c r="Q3078" s="8">
        <f t="shared" si="238"/>
        <v>196</v>
      </c>
      <c r="R3078" s="2" t="s">
        <v>26</v>
      </c>
      <c r="S3078" s="9">
        <f t="shared" si="239"/>
        <v>8</v>
      </c>
    </row>
    <row r="3079" spans="1:19" x14ac:dyDescent="0.3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str">
        <f>IFERROR(VLOOKUP('Customer Info'!A3071,'Customer Info'!A3071:C3570,2,FALSE),"Not Found")</f>
        <v>Not Found</v>
      </c>
      <c r="H3079" s="6" t="str">
        <f>IFERROR(VLOOKUP('Customer Info'!A3071,'Customer Info'!A3071:C3570,3,FALSE),"Not Found")</f>
        <v>Not Found</v>
      </c>
      <c r="I3079" s="6" t="str">
        <f>IFERROR(VLOOKUP('Customer Info'!A3071,'Customer Info'!A3071:E3570,5,FALSE),"Not Found")</f>
        <v>Not Found</v>
      </c>
      <c r="J3079" s="2">
        <v>2759</v>
      </c>
      <c r="K3079" s="2">
        <v>2628</v>
      </c>
      <c r="L3079" s="2">
        <v>4</v>
      </c>
      <c r="M3079" s="7">
        <f t="shared" si="235"/>
        <v>10512</v>
      </c>
      <c r="N3079" s="7">
        <f t="shared" si="236"/>
        <v>11036</v>
      </c>
      <c r="O3079" s="2">
        <v>21</v>
      </c>
      <c r="P3079" s="8">
        <f t="shared" si="237"/>
        <v>11057</v>
      </c>
      <c r="Q3079" s="8">
        <f t="shared" si="238"/>
        <v>8408</v>
      </c>
      <c r="R3079" s="2" t="s">
        <v>28</v>
      </c>
      <c r="S3079" s="9">
        <f t="shared" si="239"/>
        <v>552.85</v>
      </c>
    </row>
    <row r="3080" spans="1:19" x14ac:dyDescent="0.3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str">
        <f>IFERROR(VLOOKUP('Customer Info'!A3072,'Customer Info'!A3072:C3571,2,FALSE),"Not Found")</f>
        <v>Not Found</v>
      </c>
      <c r="H3080" s="6" t="str">
        <f>IFERROR(VLOOKUP('Customer Info'!A3072,'Customer Info'!A3072:C3571,3,FALSE),"Not Found")</f>
        <v>Not Found</v>
      </c>
      <c r="I3080" s="6" t="str">
        <f>IFERROR(VLOOKUP('Customer Info'!A3072,'Customer Info'!A3072:E3571,5,FALSE),"Not Found")</f>
        <v>Not Found</v>
      </c>
      <c r="J3080" s="2">
        <v>4443</v>
      </c>
      <c r="K3080" s="2">
        <v>4079</v>
      </c>
      <c r="L3080" s="2">
        <v>1</v>
      </c>
      <c r="M3080" s="7">
        <f t="shared" si="235"/>
        <v>4079</v>
      </c>
      <c r="N3080" s="7">
        <f t="shared" si="236"/>
        <v>4443</v>
      </c>
      <c r="O3080" s="2">
        <v>73</v>
      </c>
      <c r="P3080" s="8">
        <f t="shared" si="237"/>
        <v>4516</v>
      </c>
      <c r="Q3080" s="8">
        <f t="shared" si="238"/>
        <v>364</v>
      </c>
      <c r="R3080" s="2" t="s">
        <v>28</v>
      </c>
      <c r="S3080" s="9">
        <f t="shared" si="239"/>
        <v>90.320000000000007</v>
      </c>
    </row>
    <row r="3081" spans="1:19" x14ac:dyDescent="0.3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str">
        <f>IFERROR(VLOOKUP('Customer Info'!A3073,'Customer Info'!A3073:C3572,2,FALSE),"Not Found")</f>
        <v>Not Found</v>
      </c>
      <c r="H3081" s="6" t="str">
        <f>IFERROR(VLOOKUP('Customer Info'!A3073,'Customer Info'!A3073:C3572,3,FALSE),"Not Found")</f>
        <v>Not Found</v>
      </c>
      <c r="I3081" s="6" t="str">
        <f>IFERROR(VLOOKUP('Customer Info'!A3073,'Customer Info'!A3073:E3572,5,FALSE),"Not Found")</f>
        <v>Not Found</v>
      </c>
      <c r="J3081" s="2">
        <v>5848</v>
      </c>
      <c r="K3081" s="2">
        <v>5214</v>
      </c>
      <c r="L3081" s="2">
        <v>6</v>
      </c>
      <c r="M3081" s="7">
        <f t="shared" si="235"/>
        <v>31284</v>
      </c>
      <c r="N3081" s="7">
        <f t="shared" si="236"/>
        <v>35088</v>
      </c>
      <c r="O3081" s="2">
        <v>55</v>
      </c>
      <c r="P3081" s="8">
        <f t="shared" si="237"/>
        <v>35143</v>
      </c>
      <c r="Q3081" s="8">
        <f t="shared" si="238"/>
        <v>29874</v>
      </c>
      <c r="R3081" s="2" t="s">
        <v>28</v>
      </c>
      <c r="S3081" s="9">
        <f t="shared" si="239"/>
        <v>2460.0100000000002</v>
      </c>
    </row>
    <row r="3082" spans="1:19" x14ac:dyDescent="0.3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str">
        <f>IFERROR(VLOOKUP('Customer Info'!A3074,'Customer Info'!A3074:C3573,2,FALSE),"Not Found")</f>
        <v>Not Found</v>
      </c>
      <c r="H3082" s="6" t="str">
        <f>IFERROR(VLOOKUP('Customer Info'!A3074,'Customer Info'!A3074:C3573,3,FALSE),"Not Found")</f>
        <v>Not Found</v>
      </c>
      <c r="I3082" s="6" t="str">
        <f>IFERROR(VLOOKUP('Customer Info'!A3074,'Customer Info'!A3074:E3573,5,FALSE),"Not Found")</f>
        <v>Not Found</v>
      </c>
      <c r="J3082" s="2">
        <v>222</v>
      </c>
      <c r="K3082" s="2">
        <v>204</v>
      </c>
      <c r="L3082" s="2">
        <v>5</v>
      </c>
      <c r="M3082" s="7">
        <f t="shared" si="235"/>
        <v>1020</v>
      </c>
      <c r="N3082" s="7">
        <f t="shared" si="236"/>
        <v>1110</v>
      </c>
      <c r="O3082" s="2">
        <v>74</v>
      </c>
      <c r="P3082" s="8">
        <f t="shared" si="237"/>
        <v>1184</v>
      </c>
      <c r="Q3082" s="8">
        <f t="shared" si="238"/>
        <v>906</v>
      </c>
      <c r="R3082" s="2" t="s">
        <v>50</v>
      </c>
      <c r="S3082" s="9">
        <f t="shared" si="239"/>
        <v>23.68</v>
      </c>
    </row>
    <row r="3083" spans="1:19" x14ac:dyDescent="0.3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str">
        <f>IFERROR(VLOOKUP('Customer Info'!A3075,'Customer Info'!A3075:C3574,2,FALSE),"Not Found")</f>
        <v>Not Found</v>
      </c>
      <c r="H3083" s="6" t="str">
        <f>IFERROR(VLOOKUP('Customer Info'!A3075,'Customer Info'!A3075:C3574,3,FALSE),"Not Found")</f>
        <v>Not Found</v>
      </c>
      <c r="I3083" s="6" t="str">
        <f>IFERROR(VLOOKUP('Customer Info'!A3075,'Customer Info'!A3075:E3574,5,FALSE),"Not Found")</f>
        <v>Not Found</v>
      </c>
      <c r="J3083" s="2">
        <v>2602</v>
      </c>
      <c r="K3083" s="2">
        <v>2363</v>
      </c>
      <c r="L3083" s="2">
        <v>7</v>
      </c>
      <c r="M3083" s="7">
        <f t="shared" ref="M3083:M3146" si="240">$K3083*$L3083</f>
        <v>16541</v>
      </c>
      <c r="N3083" s="7">
        <f t="shared" ref="N3083:N3146" si="241">$J3083*$L3083</f>
        <v>18214</v>
      </c>
      <c r="O3083" s="2">
        <v>73</v>
      </c>
      <c r="P3083" s="8">
        <f t="shared" ref="P3083:P3146" si="242">$N3083+$O3083</f>
        <v>18287</v>
      </c>
      <c r="Q3083" s="8">
        <f t="shared" ref="Q3083:Q3146" si="243">$N3083-$K3083</f>
        <v>15851</v>
      </c>
      <c r="R3083" s="2" t="s">
        <v>28</v>
      </c>
      <c r="S3083" s="9">
        <f t="shared" ref="S3083:S3146" si="244" xml:space="preserve"> P3083 * VLOOKUP(P3083, $T$2:$U$6, 2, TRUE)</f>
        <v>914.35</v>
      </c>
    </row>
    <row r="3084" spans="1:19" x14ac:dyDescent="0.3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str">
        <f>IFERROR(VLOOKUP('Customer Info'!A3076,'Customer Info'!A3076:C3575,2,FALSE),"Not Found")</f>
        <v>Not Found</v>
      </c>
      <c r="H3084" s="6" t="str">
        <f>IFERROR(VLOOKUP('Customer Info'!A3076,'Customer Info'!A3076:C3575,3,FALSE),"Not Found")</f>
        <v>Not Found</v>
      </c>
      <c r="I3084" s="6" t="str">
        <f>IFERROR(VLOOKUP('Customer Info'!A3076,'Customer Info'!A3076:E3575,5,FALSE),"Not Found")</f>
        <v>Not Found</v>
      </c>
      <c r="J3084" s="2">
        <v>645</v>
      </c>
      <c r="K3084" s="2">
        <v>565</v>
      </c>
      <c r="L3084" s="2">
        <v>4</v>
      </c>
      <c r="M3084" s="7">
        <f t="shared" si="240"/>
        <v>2260</v>
      </c>
      <c r="N3084" s="7">
        <f t="shared" si="241"/>
        <v>2580</v>
      </c>
      <c r="O3084" s="2">
        <v>68</v>
      </c>
      <c r="P3084" s="8">
        <f t="shared" si="242"/>
        <v>2648</v>
      </c>
      <c r="Q3084" s="8">
        <f t="shared" si="243"/>
        <v>2015</v>
      </c>
      <c r="R3084" s="2" t="s">
        <v>28</v>
      </c>
      <c r="S3084" s="9">
        <f t="shared" si="244"/>
        <v>52.96</v>
      </c>
    </row>
    <row r="3085" spans="1:19" x14ac:dyDescent="0.3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str">
        <f>IFERROR(VLOOKUP('Customer Info'!A3077,'Customer Info'!A3077:C3576,2,FALSE),"Not Found")</f>
        <v>Not Found</v>
      </c>
      <c r="H3085" s="6" t="str">
        <f>IFERROR(VLOOKUP('Customer Info'!A3077,'Customer Info'!A3077:C3576,3,FALSE),"Not Found")</f>
        <v>Not Found</v>
      </c>
      <c r="I3085" s="6" t="str">
        <f>IFERROR(VLOOKUP('Customer Info'!A3077,'Customer Info'!A3077:E3576,5,FALSE),"Not Found")</f>
        <v>Not Found</v>
      </c>
      <c r="J3085" s="2">
        <v>8026</v>
      </c>
      <c r="K3085" s="2">
        <v>7572</v>
      </c>
      <c r="L3085" s="2">
        <v>4</v>
      </c>
      <c r="M3085" s="7">
        <f t="shared" si="240"/>
        <v>30288</v>
      </c>
      <c r="N3085" s="7">
        <f t="shared" si="241"/>
        <v>32104</v>
      </c>
      <c r="O3085" s="2">
        <v>34</v>
      </c>
      <c r="P3085" s="8">
        <f t="shared" si="242"/>
        <v>32138</v>
      </c>
      <c r="Q3085" s="8">
        <f t="shared" si="243"/>
        <v>24532</v>
      </c>
      <c r="R3085" s="2" t="s">
        <v>56</v>
      </c>
      <c r="S3085" s="9">
        <f t="shared" si="244"/>
        <v>2249.6600000000003</v>
      </c>
    </row>
    <row r="3086" spans="1:19" x14ac:dyDescent="0.3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str">
        <f>IFERROR(VLOOKUP('Customer Info'!A3078,'Customer Info'!A3078:C3577,2,FALSE),"Not Found")</f>
        <v>Not Found</v>
      </c>
      <c r="H3086" s="6" t="str">
        <f>IFERROR(VLOOKUP('Customer Info'!A3078,'Customer Info'!A3078:C3577,3,FALSE),"Not Found")</f>
        <v>Not Found</v>
      </c>
      <c r="I3086" s="6" t="str">
        <f>IFERROR(VLOOKUP('Customer Info'!A3078,'Customer Info'!A3078:E3577,5,FALSE),"Not Found")</f>
        <v>Not Found</v>
      </c>
      <c r="J3086" s="2">
        <v>1911</v>
      </c>
      <c r="K3086" s="2">
        <v>1785</v>
      </c>
      <c r="L3086" s="2">
        <v>1</v>
      </c>
      <c r="M3086" s="7">
        <f t="shared" si="240"/>
        <v>1785</v>
      </c>
      <c r="N3086" s="7">
        <f t="shared" si="241"/>
        <v>1911</v>
      </c>
      <c r="O3086" s="2">
        <v>78</v>
      </c>
      <c r="P3086" s="8">
        <f t="shared" si="242"/>
        <v>1989</v>
      </c>
      <c r="Q3086" s="8">
        <f t="shared" si="243"/>
        <v>126</v>
      </c>
      <c r="R3086" s="2" t="s">
        <v>28</v>
      </c>
      <c r="S3086" s="9">
        <f t="shared" si="244"/>
        <v>39.78</v>
      </c>
    </row>
    <row r="3087" spans="1:19" x14ac:dyDescent="0.3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str">
        <f>IFERROR(VLOOKUP('Customer Info'!A3079,'Customer Info'!A3079:C3578,2,FALSE),"Not Found")</f>
        <v>Not Found</v>
      </c>
      <c r="H3087" s="6" t="str">
        <f>IFERROR(VLOOKUP('Customer Info'!A3079,'Customer Info'!A3079:C3578,3,FALSE),"Not Found")</f>
        <v>Not Found</v>
      </c>
      <c r="I3087" s="6" t="str">
        <f>IFERROR(VLOOKUP('Customer Info'!A3079,'Customer Info'!A3079:E3578,5,FALSE),"Not Found")</f>
        <v>Not Found</v>
      </c>
      <c r="J3087" s="2">
        <v>681</v>
      </c>
      <c r="K3087" s="2">
        <v>642</v>
      </c>
      <c r="L3087" s="2">
        <v>4</v>
      </c>
      <c r="M3087" s="7">
        <f t="shared" si="240"/>
        <v>2568</v>
      </c>
      <c r="N3087" s="7">
        <f t="shared" si="241"/>
        <v>2724</v>
      </c>
      <c r="O3087" s="2">
        <v>92</v>
      </c>
      <c r="P3087" s="8">
        <f t="shared" si="242"/>
        <v>2816</v>
      </c>
      <c r="Q3087" s="8">
        <f t="shared" si="243"/>
        <v>2082</v>
      </c>
      <c r="R3087" s="2" t="s">
        <v>28</v>
      </c>
      <c r="S3087" s="9">
        <f t="shared" si="244"/>
        <v>56.32</v>
      </c>
    </row>
    <row r="3088" spans="1:19" x14ac:dyDescent="0.3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str">
        <f>IFERROR(VLOOKUP('Customer Info'!A3080,'Customer Info'!A3080:C3579,2,FALSE),"Not Found")</f>
        <v>Not Found</v>
      </c>
      <c r="H3088" s="6" t="str">
        <f>IFERROR(VLOOKUP('Customer Info'!A3080,'Customer Info'!A3080:C3579,3,FALSE),"Not Found")</f>
        <v>Not Found</v>
      </c>
      <c r="I3088" s="6" t="str">
        <f>IFERROR(VLOOKUP('Customer Info'!A3080,'Customer Info'!A3080:E3579,5,FALSE),"Not Found")</f>
        <v>Not Found</v>
      </c>
      <c r="J3088" s="2">
        <v>69</v>
      </c>
      <c r="K3088" s="2">
        <v>64</v>
      </c>
      <c r="L3088" s="2">
        <v>1</v>
      </c>
      <c r="M3088" s="7">
        <f t="shared" si="240"/>
        <v>64</v>
      </c>
      <c r="N3088" s="7">
        <f t="shared" si="241"/>
        <v>69</v>
      </c>
      <c r="O3088" s="2">
        <v>10</v>
      </c>
      <c r="P3088" s="8">
        <f t="shared" si="242"/>
        <v>79</v>
      </c>
      <c r="Q3088" s="8">
        <f t="shared" si="243"/>
        <v>5</v>
      </c>
      <c r="R3088" s="2" t="s">
        <v>28</v>
      </c>
      <c r="S3088" s="9">
        <f t="shared" si="244"/>
        <v>1.58</v>
      </c>
    </row>
    <row r="3089" spans="1:19" x14ac:dyDescent="0.3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str">
        <f>IFERROR(VLOOKUP('Customer Info'!A3081,'Customer Info'!A3081:C3580,2,FALSE),"Not Found")</f>
        <v>Not Found</v>
      </c>
      <c r="H3089" s="6" t="str">
        <f>IFERROR(VLOOKUP('Customer Info'!A3081,'Customer Info'!A3081:C3580,3,FALSE),"Not Found")</f>
        <v>Not Found</v>
      </c>
      <c r="I3089" s="6" t="str">
        <f>IFERROR(VLOOKUP('Customer Info'!A3081,'Customer Info'!A3081:E3580,5,FALSE),"Not Found")</f>
        <v>Not Found</v>
      </c>
      <c r="J3089" s="2">
        <v>7021</v>
      </c>
      <c r="K3089" s="2">
        <v>6686</v>
      </c>
      <c r="L3089" s="2">
        <v>1</v>
      </c>
      <c r="M3089" s="7">
        <f t="shared" si="240"/>
        <v>6686</v>
      </c>
      <c r="N3089" s="7">
        <f t="shared" si="241"/>
        <v>7021</v>
      </c>
      <c r="O3089" s="2">
        <v>83</v>
      </c>
      <c r="P3089" s="8">
        <f t="shared" si="242"/>
        <v>7104</v>
      </c>
      <c r="Q3089" s="8">
        <f t="shared" si="243"/>
        <v>335</v>
      </c>
      <c r="R3089" s="2" t="s">
        <v>56</v>
      </c>
      <c r="S3089" s="9">
        <f t="shared" si="244"/>
        <v>355.20000000000005</v>
      </c>
    </row>
    <row r="3090" spans="1:19" x14ac:dyDescent="0.3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str">
        <f>IFERROR(VLOOKUP('Customer Info'!A3082,'Customer Info'!A3082:C3581,2,FALSE),"Not Found")</f>
        <v>Not Found</v>
      </c>
      <c r="H3090" s="6" t="str">
        <f>IFERROR(VLOOKUP('Customer Info'!A3082,'Customer Info'!A3082:C3581,3,FALSE),"Not Found")</f>
        <v>Not Found</v>
      </c>
      <c r="I3090" s="6" t="str">
        <f>IFERROR(VLOOKUP('Customer Info'!A3082,'Customer Info'!A3082:E3581,5,FALSE),"Not Found")</f>
        <v>Not Found</v>
      </c>
      <c r="J3090" s="2">
        <v>4832</v>
      </c>
      <c r="K3090" s="2">
        <v>4563</v>
      </c>
      <c r="L3090" s="2">
        <v>3</v>
      </c>
      <c r="M3090" s="7">
        <f t="shared" si="240"/>
        <v>13689</v>
      </c>
      <c r="N3090" s="7">
        <f t="shared" si="241"/>
        <v>14496</v>
      </c>
      <c r="O3090" s="2">
        <v>82</v>
      </c>
      <c r="P3090" s="8">
        <f t="shared" si="242"/>
        <v>14578</v>
      </c>
      <c r="Q3090" s="8">
        <f t="shared" si="243"/>
        <v>9933</v>
      </c>
      <c r="R3090" s="2" t="s">
        <v>50</v>
      </c>
      <c r="S3090" s="9">
        <f t="shared" si="244"/>
        <v>728.90000000000009</v>
      </c>
    </row>
    <row r="3091" spans="1:19" x14ac:dyDescent="0.3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str">
        <f>IFERROR(VLOOKUP('Customer Info'!A3083,'Customer Info'!A3083:C3582,2,FALSE),"Not Found")</f>
        <v>Not Found</v>
      </c>
      <c r="H3091" s="6" t="str">
        <f>IFERROR(VLOOKUP('Customer Info'!A3083,'Customer Info'!A3083:C3582,3,FALSE),"Not Found")</f>
        <v>Not Found</v>
      </c>
      <c r="I3091" s="6" t="str">
        <f>IFERROR(VLOOKUP('Customer Info'!A3083,'Customer Info'!A3083:E3582,5,FALSE),"Not Found")</f>
        <v>Not Found</v>
      </c>
      <c r="J3091" s="2">
        <v>206</v>
      </c>
      <c r="K3091" s="2">
        <v>189</v>
      </c>
      <c r="L3091" s="2">
        <v>2</v>
      </c>
      <c r="M3091" s="7">
        <f t="shared" si="240"/>
        <v>378</v>
      </c>
      <c r="N3091" s="7">
        <f t="shared" si="241"/>
        <v>412</v>
      </c>
      <c r="O3091" s="2">
        <v>30</v>
      </c>
      <c r="P3091" s="8">
        <f t="shared" si="242"/>
        <v>442</v>
      </c>
      <c r="Q3091" s="8">
        <f t="shared" si="243"/>
        <v>223</v>
      </c>
      <c r="R3091" s="2" t="s">
        <v>28</v>
      </c>
      <c r="S3091" s="9">
        <f t="shared" si="244"/>
        <v>8.84</v>
      </c>
    </row>
    <row r="3092" spans="1:19" x14ac:dyDescent="0.3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str">
        <f>IFERROR(VLOOKUP('Customer Info'!A3084,'Customer Info'!A3084:C3583,2,FALSE),"Not Found")</f>
        <v>Not Found</v>
      </c>
      <c r="H3092" s="6" t="str">
        <f>IFERROR(VLOOKUP('Customer Info'!A3084,'Customer Info'!A3084:C3583,3,FALSE),"Not Found")</f>
        <v>Not Found</v>
      </c>
      <c r="I3092" s="6" t="str">
        <f>IFERROR(VLOOKUP('Customer Info'!A3084,'Customer Info'!A3084:E3583,5,FALSE),"Not Found")</f>
        <v>Not Found</v>
      </c>
      <c r="J3092" s="2">
        <v>773</v>
      </c>
      <c r="K3092" s="2">
        <v>708</v>
      </c>
      <c r="L3092" s="2">
        <v>1</v>
      </c>
      <c r="M3092" s="7">
        <f t="shared" si="240"/>
        <v>708</v>
      </c>
      <c r="N3092" s="7">
        <f t="shared" si="241"/>
        <v>773</v>
      </c>
      <c r="O3092" s="2">
        <v>42</v>
      </c>
      <c r="P3092" s="8">
        <f t="shared" si="242"/>
        <v>815</v>
      </c>
      <c r="Q3092" s="8">
        <f t="shared" si="243"/>
        <v>65</v>
      </c>
      <c r="R3092" s="2" t="s">
        <v>50</v>
      </c>
      <c r="S3092" s="9">
        <f t="shared" si="244"/>
        <v>16.3</v>
      </c>
    </row>
    <row r="3093" spans="1:19" x14ac:dyDescent="0.3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str">
        <f>IFERROR(VLOOKUP('Customer Info'!A3085,'Customer Info'!A3085:C3584,2,FALSE),"Not Found")</f>
        <v>Not Found</v>
      </c>
      <c r="H3093" s="6" t="str">
        <f>IFERROR(VLOOKUP('Customer Info'!A3085,'Customer Info'!A3085:C3584,3,FALSE),"Not Found")</f>
        <v>Not Found</v>
      </c>
      <c r="I3093" s="6" t="str">
        <f>IFERROR(VLOOKUP('Customer Info'!A3085,'Customer Info'!A3085:E3584,5,FALSE),"Not Found")</f>
        <v>Not Found</v>
      </c>
      <c r="J3093" s="2">
        <v>4577</v>
      </c>
      <c r="K3093" s="2">
        <v>4285</v>
      </c>
      <c r="L3093" s="2">
        <v>2</v>
      </c>
      <c r="M3093" s="7">
        <f t="shared" si="240"/>
        <v>8570</v>
      </c>
      <c r="N3093" s="7">
        <f t="shared" si="241"/>
        <v>9154</v>
      </c>
      <c r="O3093" s="2">
        <v>84</v>
      </c>
      <c r="P3093" s="8">
        <f t="shared" si="242"/>
        <v>9238</v>
      </c>
      <c r="Q3093" s="8">
        <f t="shared" si="243"/>
        <v>4869</v>
      </c>
      <c r="R3093" s="2" t="s">
        <v>50</v>
      </c>
      <c r="S3093" s="9">
        <f t="shared" si="244"/>
        <v>461.90000000000003</v>
      </c>
    </row>
    <row r="3094" spans="1:19" x14ac:dyDescent="0.3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str">
        <f>IFERROR(VLOOKUP('Customer Info'!A3086,'Customer Info'!A3086:C3585,2,FALSE),"Not Found")</f>
        <v>Not Found</v>
      </c>
      <c r="H3094" s="6" t="str">
        <f>IFERROR(VLOOKUP('Customer Info'!A3086,'Customer Info'!A3086:C3585,3,FALSE),"Not Found")</f>
        <v>Not Found</v>
      </c>
      <c r="I3094" s="6" t="str">
        <f>IFERROR(VLOOKUP('Customer Info'!A3086,'Customer Info'!A3086:E3585,5,FALSE),"Not Found")</f>
        <v>Not Found</v>
      </c>
      <c r="J3094" s="2">
        <v>2083</v>
      </c>
      <c r="K3094" s="2">
        <v>2004</v>
      </c>
      <c r="L3094" s="2">
        <v>1</v>
      </c>
      <c r="M3094" s="7">
        <f t="shared" si="240"/>
        <v>2004</v>
      </c>
      <c r="N3094" s="7">
        <f t="shared" si="241"/>
        <v>2083</v>
      </c>
      <c r="O3094" s="2">
        <v>35</v>
      </c>
      <c r="P3094" s="8">
        <f t="shared" si="242"/>
        <v>2118</v>
      </c>
      <c r="Q3094" s="8">
        <f t="shared" si="243"/>
        <v>79</v>
      </c>
      <c r="R3094" s="2" t="s">
        <v>28</v>
      </c>
      <c r="S3094" s="9">
        <f t="shared" si="244"/>
        <v>42.36</v>
      </c>
    </row>
    <row r="3095" spans="1:19" x14ac:dyDescent="0.3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str">
        <f>IFERROR(VLOOKUP('Customer Info'!A3087,'Customer Info'!A3087:C3586,2,FALSE),"Not Found")</f>
        <v>Not Found</v>
      </c>
      <c r="H3095" s="6" t="str">
        <f>IFERROR(VLOOKUP('Customer Info'!A3087,'Customer Info'!A3087:C3586,3,FALSE),"Not Found")</f>
        <v>Not Found</v>
      </c>
      <c r="I3095" s="6" t="str">
        <f>IFERROR(VLOOKUP('Customer Info'!A3087,'Customer Info'!A3087:E3586,5,FALSE),"Not Found")</f>
        <v>Not Found</v>
      </c>
      <c r="J3095" s="2">
        <v>164</v>
      </c>
      <c r="K3095" s="2">
        <v>152</v>
      </c>
      <c r="L3095" s="2">
        <v>3</v>
      </c>
      <c r="M3095" s="7">
        <f t="shared" si="240"/>
        <v>456</v>
      </c>
      <c r="N3095" s="7">
        <f t="shared" si="241"/>
        <v>492</v>
      </c>
      <c r="O3095" s="2">
        <v>30</v>
      </c>
      <c r="P3095" s="8">
        <f t="shared" si="242"/>
        <v>522</v>
      </c>
      <c r="Q3095" s="8">
        <f t="shared" si="243"/>
        <v>340</v>
      </c>
      <c r="R3095" s="2" t="s">
        <v>50</v>
      </c>
      <c r="S3095" s="9">
        <f t="shared" si="244"/>
        <v>10.44</v>
      </c>
    </row>
    <row r="3096" spans="1:19" x14ac:dyDescent="0.3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str">
        <f>IFERROR(VLOOKUP('Customer Info'!A3088,'Customer Info'!A3088:C3587,2,FALSE),"Not Found")</f>
        <v>Not Found</v>
      </c>
      <c r="H3096" s="6" t="str">
        <f>IFERROR(VLOOKUP('Customer Info'!A3088,'Customer Info'!A3088:C3587,3,FALSE),"Not Found")</f>
        <v>Not Found</v>
      </c>
      <c r="I3096" s="6" t="str">
        <f>IFERROR(VLOOKUP('Customer Info'!A3088,'Customer Info'!A3088:E3587,5,FALSE),"Not Found")</f>
        <v>Not Found</v>
      </c>
      <c r="J3096" s="2">
        <v>288</v>
      </c>
      <c r="K3096" s="2">
        <v>264</v>
      </c>
      <c r="L3096" s="2">
        <v>2</v>
      </c>
      <c r="M3096" s="7">
        <f t="shared" si="240"/>
        <v>528</v>
      </c>
      <c r="N3096" s="7">
        <f t="shared" si="241"/>
        <v>576</v>
      </c>
      <c r="O3096" s="2">
        <v>64</v>
      </c>
      <c r="P3096" s="8">
        <f t="shared" si="242"/>
        <v>640</v>
      </c>
      <c r="Q3096" s="8">
        <f t="shared" si="243"/>
        <v>312</v>
      </c>
      <c r="R3096" s="2" t="s">
        <v>28</v>
      </c>
      <c r="S3096" s="9">
        <f t="shared" si="244"/>
        <v>12.8</v>
      </c>
    </row>
    <row r="3097" spans="1:19" x14ac:dyDescent="0.3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str">
        <f>IFERROR(VLOOKUP('Customer Info'!A3089,'Customer Info'!A3089:C3588,2,FALSE),"Not Found")</f>
        <v>Not Found</v>
      </c>
      <c r="H3097" s="6" t="str">
        <f>IFERROR(VLOOKUP('Customer Info'!A3089,'Customer Info'!A3089:C3588,3,FALSE),"Not Found")</f>
        <v>Not Found</v>
      </c>
      <c r="I3097" s="6" t="str">
        <f>IFERROR(VLOOKUP('Customer Info'!A3089,'Customer Info'!A3089:E3588,5,FALSE),"Not Found")</f>
        <v>Not Found</v>
      </c>
      <c r="J3097" s="2">
        <v>3408</v>
      </c>
      <c r="K3097" s="2">
        <v>3215</v>
      </c>
      <c r="L3097" s="2">
        <v>2</v>
      </c>
      <c r="M3097" s="7">
        <f t="shared" si="240"/>
        <v>6430</v>
      </c>
      <c r="N3097" s="7">
        <f t="shared" si="241"/>
        <v>6816</v>
      </c>
      <c r="O3097" s="2">
        <v>57</v>
      </c>
      <c r="P3097" s="8">
        <f t="shared" si="242"/>
        <v>6873</v>
      </c>
      <c r="Q3097" s="8">
        <f t="shared" si="243"/>
        <v>3601</v>
      </c>
      <c r="R3097" s="2" t="s">
        <v>28</v>
      </c>
      <c r="S3097" s="9">
        <f t="shared" si="244"/>
        <v>343.65000000000003</v>
      </c>
    </row>
    <row r="3098" spans="1:19" x14ac:dyDescent="0.3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str">
        <f>IFERROR(VLOOKUP('Customer Info'!A3090,'Customer Info'!A3090:C3589,2,FALSE),"Not Found")</f>
        <v>Not Found</v>
      </c>
      <c r="H3098" s="6" t="str">
        <f>IFERROR(VLOOKUP('Customer Info'!A3090,'Customer Info'!A3090:C3589,3,FALSE),"Not Found")</f>
        <v>Not Found</v>
      </c>
      <c r="I3098" s="6" t="str">
        <f>IFERROR(VLOOKUP('Customer Info'!A3090,'Customer Info'!A3090:E3589,5,FALSE),"Not Found")</f>
        <v>Not Found</v>
      </c>
      <c r="J3098" s="2">
        <v>7658</v>
      </c>
      <c r="K3098" s="2">
        <v>7026</v>
      </c>
      <c r="L3098" s="2">
        <v>2</v>
      </c>
      <c r="M3098" s="7">
        <f t="shared" si="240"/>
        <v>14052</v>
      </c>
      <c r="N3098" s="7">
        <f t="shared" si="241"/>
        <v>15316</v>
      </c>
      <c r="O3098" s="2">
        <v>23</v>
      </c>
      <c r="P3098" s="8">
        <f t="shared" si="242"/>
        <v>15339</v>
      </c>
      <c r="Q3098" s="8">
        <f t="shared" si="243"/>
        <v>8290</v>
      </c>
      <c r="R3098" s="2" t="s">
        <v>50</v>
      </c>
      <c r="S3098" s="9">
        <f t="shared" si="244"/>
        <v>766.95</v>
      </c>
    </row>
    <row r="3099" spans="1:19" x14ac:dyDescent="0.3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str">
        <f>IFERROR(VLOOKUP('Customer Info'!A3091,'Customer Info'!A3091:C3590,2,FALSE),"Not Found")</f>
        <v>Not Found</v>
      </c>
      <c r="H3099" s="6" t="str">
        <f>IFERROR(VLOOKUP('Customer Info'!A3091,'Customer Info'!A3091:C3590,3,FALSE),"Not Found")</f>
        <v>Not Found</v>
      </c>
      <c r="I3099" s="6" t="str">
        <f>IFERROR(VLOOKUP('Customer Info'!A3091,'Customer Info'!A3091:E3590,5,FALSE),"Not Found")</f>
        <v>Not Found</v>
      </c>
      <c r="J3099" s="2">
        <v>1441</v>
      </c>
      <c r="K3099" s="2">
        <v>1360</v>
      </c>
      <c r="L3099" s="2">
        <v>4</v>
      </c>
      <c r="M3099" s="7">
        <f t="shared" si="240"/>
        <v>5440</v>
      </c>
      <c r="N3099" s="7">
        <f t="shared" si="241"/>
        <v>5764</v>
      </c>
      <c r="O3099" s="2">
        <v>77</v>
      </c>
      <c r="P3099" s="8">
        <f t="shared" si="242"/>
        <v>5841</v>
      </c>
      <c r="Q3099" s="8">
        <f t="shared" si="243"/>
        <v>4404</v>
      </c>
      <c r="R3099" s="2" t="s">
        <v>28</v>
      </c>
      <c r="S3099" s="9">
        <f t="shared" si="244"/>
        <v>292.05</v>
      </c>
    </row>
    <row r="3100" spans="1:19" x14ac:dyDescent="0.3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str">
        <f>IFERROR(VLOOKUP('Customer Info'!A3092,'Customer Info'!A3092:C3591,2,FALSE),"Not Found")</f>
        <v>Not Found</v>
      </c>
      <c r="H3100" s="6" t="str">
        <f>IFERROR(VLOOKUP('Customer Info'!A3092,'Customer Info'!A3092:C3591,3,FALSE),"Not Found")</f>
        <v>Not Found</v>
      </c>
      <c r="I3100" s="6" t="str">
        <f>IFERROR(VLOOKUP('Customer Info'!A3092,'Customer Info'!A3092:E3591,5,FALSE),"Not Found")</f>
        <v>Not Found</v>
      </c>
      <c r="J3100" s="2">
        <v>2864</v>
      </c>
      <c r="K3100" s="2">
        <v>2754</v>
      </c>
      <c r="L3100" s="2">
        <v>3</v>
      </c>
      <c r="M3100" s="7">
        <f t="shared" si="240"/>
        <v>8262</v>
      </c>
      <c r="N3100" s="7">
        <f t="shared" si="241"/>
        <v>8592</v>
      </c>
      <c r="O3100" s="2">
        <v>33</v>
      </c>
      <c r="P3100" s="8">
        <f t="shared" si="242"/>
        <v>8625</v>
      </c>
      <c r="Q3100" s="8">
        <f t="shared" si="243"/>
        <v>5838</v>
      </c>
      <c r="R3100" s="2" t="s">
        <v>26</v>
      </c>
      <c r="S3100" s="9">
        <f t="shared" si="244"/>
        <v>431.25</v>
      </c>
    </row>
    <row r="3101" spans="1:19" x14ac:dyDescent="0.3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str">
        <f>IFERROR(VLOOKUP('Customer Info'!A3093,'Customer Info'!A3093:C3592,2,FALSE),"Not Found")</f>
        <v>Not Found</v>
      </c>
      <c r="H3101" s="6" t="str">
        <f>IFERROR(VLOOKUP('Customer Info'!A3093,'Customer Info'!A3093:C3592,3,FALSE),"Not Found")</f>
        <v>Not Found</v>
      </c>
      <c r="I3101" s="6" t="str">
        <f>IFERROR(VLOOKUP('Customer Info'!A3093,'Customer Info'!A3093:E3592,5,FALSE),"Not Found")</f>
        <v>Not Found</v>
      </c>
      <c r="J3101" s="2">
        <v>1545</v>
      </c>
      <c r="K3101" s="2">
        <v>1486</v>
      </c>
      <c r="L3101" s="2">
        <v>3</v>
      </c>
      <c r="M3101" s="7">
        <f t="shared" si="240"/>
        <v>4458</v>
      </c>
      <c r="N3101" s="7">
        <f t="shared" si="241"/>
        <v>4635</v>
      </c>
      <c r="O3101" s="2">
        <v>82</v>
      </c>
      <c r="P3101" s="8">
        <f t="shared" si="242"/>
        <v>4717</v>
      </c>
      <c r="Q3101" s="8">
        <f t="shared" si="243"/>
        <v>3149</v>
      </c>
      <c r="R3101" s="2" t="s">
        <v>28</v>
      </c>
      <c r="S3101" s="9">
        <f t="shared" si="244"/>
        <v>94.34</v>
      </c>
    </row>
    <row r="3102" spans="1:19" x14ac:dyDescent="0.3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str">
        <f>IFERROR(VLOOKUP('Customer Info'!A3094,'Customer Info'!A3094:C3593,2,FALSE),"Not Found")</f>
        <v>Not Found</v>
      </c>
      <c r="H3102" s="6" t="str">
        <f>IFERROR(VLOOKUP('Customer Info'!A3094,'Customer Info'!A3094:C3593,3,FALSE),"Not Found")</f>
        <v>Not Found</v>
      </c>
      <c r="I3102" s="6" t="str">
        <f>IFERROR(VLOOKUP('Customer Info'!A3094,'Customer Info'!A3094:E3593,5,FALSE),"Not Found")</f>
        <v>Not Found</v>
      </c>
      <c r="J3102" s="2">
        <v>188</v>
      </c>
      <c r="K3102" s="2">
        <v>173</v>
      </c>
      <c r="L3102" s="2">
        <v>5</v>
      </c>
      <c r="M3102" s="7">
        <f t="shared" si="240"/>
        <v>865</v>
      </c>
      <c r="N3102" s="7">
        <f t="shared" si="241"/>
        <v>940</v>
      </c>
      <c r="O3102" s="2">
        <v>30</v>
      </c>
      <c r="P3102" s="8">
        <f t="shared" si="242"/>
        <v>970</v>
      </c>
      <c r="Q3102" s="8">
        <f t="shared" si="243"/>
        <v>767</v>
      </c>
      <c r="R3102" s="2" t="s">
        <v>28</v>
      </c>
      <c r="S3102" s="9">
        <f t="shared" si="244"/>
        <v>19.400000000000002</v>
      </c>
    </row>
    <row r="3103" spans="1:19" x14ac:dyDescent="0.3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str">
        <f>IFERROR(VLOOKUP('Customer Info'!A3095,'Customer Info'!A3095:C3594,2,FALSE),"Not Found")</f>
        <v>Not Found</v>
      </c>
      <c r="H3103" s="6" t="str">
        <f>IFERROR(VLOOKUP('Customer Info'!A3095,'Customer Info'!A3095:C3594,3,FALSE),"Not Found")</f>
        <v>Not Found</v>
      </c>
      <c r="I3103" s="6" t="str">
        <f>IFERROR(VLOOKUP('Customer Info'!A3095,'Customer Info'!A3095:E3594,5,FALSE),"Not Found")</f>
        <v>Not Found</v>
      </c>
      <c r="J3103" s="2">
        <v>7691</v>
      </c>
      <c r="K3103" s="2">
        <v>7255</v>
      </c>
      <c r="L3103" s="2">
        <v>2</v>
      </c>
      <c r="M3103" s="7">
        <f t="shared" si="240"/>
        <v>14510</v>
      </c>
      <c r="N3103" s="7">
        <f t="shared" si="241"/>
        <v>15382</v>
      </c>
      <c r="O3103" s="2">
        <v>34</v>
      </c>
      <c r="P3103" s="8">
        <f t="shared" si="242"/>
        <v>15416</v>
      </c>
      <c r="Q3103" s="8">
        <f t="shared" si="243"/>
        <v>8127</v>
      </c>
      <c r="R3103" s="2" t="s">
        <v>28</v>
      </c>
      <c r="S3103" s="9">
        <f t="shared" si="244"/>
        <v>770.80000000000007</v>
      </c>
    </row>
    <row r="3104" spans="1:19" x14ac:dyDescent="0.3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str">
        <f>IFERROR(VLOOKUP('Customer Info'!A3096,'Customer Info'!A3096:C3595,2,FALSE),"Not Found")</f>
        <v>Not Found</v>
      </c>
      <c r="H3104" s="6" t="str">
        <f>IFERROR(VLOOKUP('Customer Info'!A3096,'Customer Info'!A3096:C3595,3,FALSE),"Not Found")</f>
        <v>Not Found</v>
      </c>
      <c r="I3104" s="6" t="str">
        <f>IFERROR(VLOOKUP('Customer Info'!A3096,'Customer Info'!A3096:E3595,5,FALSE),"Not Found")</f>
        <v>Not Found</v>
      </c>
      <c r="J3104" s="2">
        <v>1103</v>
      </c>
      <c r="K3104" s="2">
        <v>1030</v>
      </c>
      <c r="L3104" s="2">
        <v>4</v>
      </c>
      <c r="M3104" s="7">
        <f t="shared" si="240"/>
        <v>4120</v>
      </c>
      <c r="N3104" s="7">
        <f t="shared" si="241"/>
        <v>4412</v>
      </c>
      <c r="O3104" s="2">
        <v>65</v>
      </c>
      <c r="P3104" s="8">
        <f t="shared" si="242"/>
        <v>4477</v>
      </c>
      <c r="Q3104" s="8">
        <f t="shared" si="243"/>
        <v>3382</v>
      </c>
      <c r="R3104" s="2" t="s">
        <v>26</v>
      </c>
      <c r="S3104" s="9">
        <f t="shared" si="244"/>
        <v>89.54</v>
      </c>
    </row>
    <row r="3105" spans="1:19" x14ac:dyDescent="0.3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str">
        <f>IFERROR(VLOOKUP('Customer Info'!A3097,'Customer Info'!A3097:C3596,2,FALSE),"Not Found")</f>
        <v>Not Found</v>
      </c>
      <c r="H3105" s="6" t="str">
        <f>IFERROR(VLOOKUP('Customer Info'!A3097,'Customer Info'!A3097:C3596,3,FALSE),"Not Found")</f>
        <v>Not Found</v>
      </c>
      <c r="I3105" s="6" t="str">
        <f>IFERROR(VLOOKUP('Customer Info'!A3097,'Customer Info'!A3097:E3596,5,FALSE),"Not Found")</f>
        <v>Not Found</v>
      </c>
      <c r="J3105" s="2">
        <v>1601</v>
      </c>
      <c r="K3105" s="2">
        <v>1510</v>
      </c>
      <c r="L3105" s="2">
        <v>2</v>
      </c>
      <c r="M3105" s="7">
        <f t="shared" si="240"/>
        <v>3020</v>
      </c>
      <c r="N3105" s="7">
        <f t="shared" si="241"/>
        <v>3202</v>
      </c>
      <c r="O3105" s="2">
        <v>28</v>
      </c>
      <c r="P3105" s="8">
        <f t="shared" si="242"/>
        <v>3230</v>
      </c>
      <c r="Q3105" s="8">
        <f t="shared" si="243"/>
        <v>1692</v>
      </c>
      <c r="R3105" s="2" t="s">
        <v>50</v>
      </c>
      <c r="S3105" s="9">
        <f t="shared" si="244"/>
        <v>64.599999999999994</v>
      </c>
    </row>
    <row r="3106" spans="1:19" x14ac:dyDescent="0.3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str">
        <f>IFERROR(VLOOKUP('Customer Info'!A3098,'Customer Info'!A3098:C3597,2,FALSE),"Not Found")</f>
        <v>Not Found</v>
      </c>
      <c r="H3106" s="6" t="str">
        <f>IFERROR(VLOOKUP('Customer Info'!A3098,'Customer Info'!A3098:C3597,3,FALSE),"Not Found")</f>
        <v>Not Found</v>
      </c>
      <c r="I3106" s="6" t="str">
        <f>IFERROR(VLOOKUP('Customer Info'!A3098,'Customer Info'!A3098:E3597,5,FALSE),"Not Found")</f>
        <v>Not Found</v>
      </c>
      <c r="J3106" s="2">
        <v>147</v>
      </c>
      <c r="K3106" s="2">
        <v>138</v>
      </c>
      <c r="L3106" s="2">
        <v>2</v>
      </c>
      <c r="M3106" s="7">
        <f t="shared" si="240"/>
        <v>276</v>
      </c>
      <c r="N3106" s="7">
        <f t="shared" si="241"/>
        <v>294</v>
      </c>
      <c r="O3106" s="2">
        <v>30</v>
      </c>
      <c r="P3106" s="8">
        <f t="shared" si="242"/>
        <v>324</v>
      </c>
      <c r="Q3106" s="8">
        <f t="shared" si="243"/>
        <v>156</v>
      </c>
      <c r="R3106" s="2" t="s">
        <v>50</v>
      </c>
      <c r="S3106" s="9">
        <f t="shared" si="244"/>
        <v>6.48</v>
      </c>
    </row>
    <row r="3107" spans="1:19" x14ac:dyDescent="0.3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str">
        <f>IFERROR(VLOOKUP('Customer Info'!A3099,'Customer Info'!A3099:C3598,2,FALSE),"Not Found")</f>
        <v>Not Found</v>
      </c>
      <c r="H3107" s="6" t="str">
        <f>IFERROR(VLOOKUP('Customer Info'!A3099,'Customer Info'!A3099:C3598,3,FALSE),"Not Found")</f>
        <v>Not Found</v>
      </c>
      <c r="I3107" s="6" t="str">
        <f>IFERROR(VLOOKUP('Customer Info'!A3099,'Customer Info'!A3099:E3598,5,FALSE),"Not Found")</f>
        <v>Not Found</v>
      </c>
      <c r="J3107" s="2">
        <v>932</v>
      </c>
      <c r="K3107" s="2">
        <v>838</v>
      </c>
      <c r="L3107" s="2">
        <v>3</v>
      </c>
      <c r="M3107" s="7">
        <f t="shared" si="240"/>
        <v>2514</v>
      </c>
      <c r="N3107" s="7">
        <f t="shared" si="241"/>
        <v>2796</v>
      </c>
      <c r="O3107" s="2">
        <v>81</v>
      </c>
      <c r="P3107" s="8">
        <f t="shared" si="242"/>
        <v>2877</v>
      </c>
      <c r="Q3107" s="8">
        <f t="shared" si="243"/>
        <v>1958</v>
      </c>
      <c r="R3107" s="2" t="s">
        <v>28</v>
      </c>
      <c r="S3107" s="9">
        <f t="shared" si="244"/>
        <v>57.54</v>
      </c>
    </row>
    <row r="3108" spans="1:19" x14ac:dyDescent="0.3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str">
        <f>IFERROR(VLOOKUP('Customer Info'!A3100,'Customer Info'!A3100:C3599,2,FALSE),"Not Found")</f>
        <v>Not Found</v>
      </c>
      <c r="H3108" s="6" t="str">
        <f>IFERROR(VLOOKUP('Customer Info'!A3100,'Customer Info'!A3100:C3599,3,FALSE),"Not Found")</f>
        <v>Not Found</v>
      </c>
      <c r="I3108" s="6" t="str">
        <f>IFERROR(VLOOKUP('Customer Info'!A3100,'Customer Info'!A3100:E3599,5,FALSE),"Not Found")</f>
        <v>Not Found</v>
      </c>
      <c r="J3108" s="2">
        <v>1358</v>
      </c>
      <c r="K3108" s="2">
        <v>1294</v>
      </c>
      <c r="L3108" s="2">
        <v>1</v>
      </c>
      <c r="M3108" s="7">
        <f t="shared" si="240"/>
        <v>1294</v>
      </c>
      <c r="N3108" s="7">
        <f t="shared" si="241"/>
        <v>1358</v>
      </c>
      <c r="O3108" s="2">
        <v>56</v>
      </c>
      <c r="P3108" s="8">
        <f t="shared" si="242"/>
        <v>1414</v>
      </c>
      <c r="Q3108" s="8">
        <f t="shared" si="243"/>
        <v>64</v>
      </c>
      <c r="R3108" s="2" t="s">
        <v>28</v>
      </c>
      <c r="S3108" s="9">
        <f t="shared" si="244"/>
        <v>28.28</v>
      </c>
    </row>
    <row r="3109" spans="1:19" x14ac:dyDescent="0.3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str">
        <f>IFERROR(VLOOKUP('Customer Info'!A3101,'Customer Info'!A3101:C3600,2,FALSE),"Not Found")</f>
        <v>Not Found</v>
      </c>
      <c r="H3109" s="6" t="str">
        <f>IFERROR(VLOOKUP('Customer Info'!A3101,'Customer Info'!A3101:C3600,3,FALSE),"Not Found")</f>
        <v>Not Found</v>
      </c>
      <c r="I3109" s="6" t="str">
        <f>IFERROR(VLOOKUP('Customer Info'!A3101,'Customer Info'!A3101:E3600,5,FALSE),"Not Found")</f>
        <v>Not Found</v>
      </c>
      <c r="J3109" s="2">
        <v>1060</v>
      </c>
      <c r="K3109" s="2">
        <v>964</v>
      </c>
      <c r="L3109" s="2">
        <v>5</v>
      </c>
      <c r="M3109" s="7">
        <f t="shared" si="240"/>
        <v>4820</v>
      </c>
      <c r="N3109" s="7">
        <f t="shared" si="241"/>
        <v>5300</v>
      </c>
      <c r="O3109" s="2">
        <v>69</v>
      </c>
      <c r="P3109" s="8">
        <f t="shared" si="242"/>
        <v>5369</v>
      </c>
      <c r="Q3109" s="8">
        <f t="shared" si="243"/>
        <v>4336</v>
      </c>
      <c r="R3109" s="2" t="s">
        <v>50</v>
      </c>
      <c r="S3109" s="9">
        <f t="shared" si="244"/>
        <v>268.45</v>
      </c>
    </row>
    <row r="3110" spans="1:19" x14ac:dyDescent="0.3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str">
        <f>IFERROR(VLOOKUP('Customer Info'!A3102,'Customer Info'!A3102:C3601,2,FALSE),"Not Found")</f>
        <v>Not Found</v>
      </c>
      <c r="H3110" s="6" t="str">
        <f>IFERROR(VLOOKUP('Customer Info'!A3102,'Customer Info'!A3102:C3601,3,FALSE),"Not Found")</f>
        <v>Not Found</v>
      </c>
      <c r="I3110" s="6" t="str">
        <f>IFERROR(VLOOKUP('Customer Info'!A3102,'Customer Info'!A3102:E3601,5,FALSE),"Not Found")</f>
        <v>Not Found</v>
      </c>
      <c r="J3110" s="2">
        <v>6520</v>
      </c>
      <c r="K3110" s="2">
        <v>5985</v>
      </c>
      <c r="L3110" s="2">
        <v>4</v>
      </c>
      <c r="M3110" s="7">
        <f t="shared" si="240"/>
        <v>23940</v>
      </c>
      <c r="N3110" s="7">
        <f t="shared" si="241"/>
        <v>26080</v>
      </c>
      <c r="O3110" s="2">
        <v>21</v>
      </c>
      <c r="P3110" s="8">
        <f t="shared" si="242"/>
        <v>26101</v>
      </c>
      <c r="Q3110" s="8">
        <f t="shared" si="243"/>
        <v>20095</v>
      </c>
      <c r="R3110" s="2" t="s">
        <v>50</v>
      </c>
      <c r="S3110" s="9">
        <f t="shared" si="244"/>
        <v>1827.0700000000002</v>
      </c>
    </row>
    <row r="3111" spans="1:19" x14ac:dyDescent="0.3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str">
        <f>IFERROR(VLOOKUP('Customer Info'!A3103,'Customer Info'!A3103:C3602,2,FALSE),"Not Found")</f>
        <v>Not Found</v>
      </c>
      <c r="H3111" s="6" t="str">
        <f>IFERROR(VLOOKUP('Customer Info'!A3103,'Customer Info'!A3103:C3602,3,FALSE),"Not Found")</f>
        <v>Not Found</v>
      </c>
      <c r="I3111" s="6" t="str">
        <f>IFERROR(VLOOKUP('Customer Info'!A3103,'Customer Info'!A3103:E3602,5,FALSE),"Not Found")</f>
        <v>Not Found</v>
      </c>
      <c r="J3111" s="2">
        <v>8630</v>
      </c>
      <c r="K3111" s="2">
        <v>8303</v>
      </c>
      <c r="L3111" s="2">
        <v>2</v>
      </c>
      <c r="M3111" s="7">
        <f t="shared" si="240"/>
        <v>16606</v>
      </c>
      <c r="N3111" s="7">
        <f t="shared" si="241"/>
        <v>17260</v>
      </c>
      <c r="O3111" s="2">
        <v>98</v>
      </c>
      <c r="P3111" s="8">
        <f t="shared" si="242"/>
        <v>17358</v>
      </c>
      <c r="Q3111" s="8">
        <f t="shared" si="243"/>
        <v>8957</v>
      </c>
      <c r="R3111" s="2" t="s">
        <v>28</v>
      </c>
      <c r="S3111" s="9">
        <f t="shared" si="244"/>
        <v>867.90000000000009</v>
      </c>
    </row>
    <row r="3112" spans="1:19" x14ac:dyDescent="0.3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str">
        <f>IFERROR(VLOOKUP('Customer Info'!A3104,'Customer Info'!A3104:C3603,2,FALSE),"Not Found")</f>
        <v>Not Found</v>
      </c>
      <c r="H3112" s="6" t="str">
        <f>IFERROR(VLOOKUP('Customer Info'!A3104,'Customer Info'!A3104:C3603,3,FALSE),"Not Found")</f>
        <v>Not Found</v>
      </c>
      <c r="I3112" s="6" t="str">
        <f>IFERROR(VLOOKUP('Customer Info'!A3104,'Customer Info'!A3104:E3603,5,FALSE),"Not Found")</f>
        <v>Not Found</v>
      </c>
      <c r="J3112" s="2">
        <v>968</v>
      </c>
      <c r="K3112" s="2">
        <v>913</v>
      </c>
      <c r="L3112" s="2">
        <v>2</v>
      </c>
      <c r="M3112" s="7">
        <f t="shared" si="240"/>
        <v>1826</v>
      </c>
      <c r="N3112" s="7">
        <f t="shared" si="241"/>
        <v>1936</v>
      </c>
      <c r="O3112" s="2">
        <v>28</v>
      </c>
      <c r="P3112" s="8">
        <f t="shared" si="242"/>
        <v>1964</v>
      </c>
      <c r="Q3112" s="8">
        <f t="shared" si="243"/>
        <v>1023</v>
      </c>
      <c r="R3112" s="2" t="s">
        <v>28</v>
      </c>
      <c r="S3112" s="9">
        <f t="shared" si="244"/>
        <v>39.28</v>
      </c>
    </row>
    <row r="3113" spans="1:19" x14ac:dyDescent="0.3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str">
        <f>IFERROR(VLOOKUP('Customer Info'!A3105,'Customer Info'!A3105:C3604,2,FALSE),"Not Found")</f>
        <v>Not Found</v>
      </c>
      <c r="H3113" s="6" t="str">
        <f>IFERROR(VLOOKUP('Customer Info'!A3105,'Customer Info'!A3105:C3604,3,FALSE),"Not Found")</f>
        <v>Not Found</v>
      </c>
      <c r="I3113" s="6" t="str">
        <f>IFERROR(VLOOKUP('Customer Info'!A3105,'Customer Info'!A3105:E3604,5,FALSE),"Not Found")</f>
        <v>Not Found</v>
      </c>
      <c r="J3113" s="2">
        <v>1169</v>
      </c>
      <c r="K3113" s="2">
        <v>1072</v>
      </c>
      <c r="L3113" s="2">
        <v>2</v>
      </c>
      <c r="M3113" s="7">
        <f t="shared" si="240"/>
        <v>2144</v>
      </c>
      <c r="N3113" s="7">
        <f t="shared" si="241"/>
        <v>2338</v>
      </c>
      <c r="O3113" s="2">
        <v>87</v>
      </c>
      <c r="P3113" s="8">
        <f t="shared" si="242"/>
        <v>2425</v>
      </c>
      <c r="Q3113" s="8">
        <f t="shared" si="243"/>
        <v>1266</v>
      </c>
      <c r="R3113" s="2" t="s">
        <v>28</v>
      </c>
      <c r="S3113" s="9">
        <f t="shared" si="244"/>
        <v>48.5</v>
      </c>
    </row>
    <row r="3114" spans="1:19" x14ac:dyDescent="0.3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str">
        <f>IFERROR(VLOOKUP('Customer Info'!A3106,'Customer Info'!A3106:C3605,2,FALSE),"Not Found")</f>
        <v>Not Found</v>
      </c>
      <c r="H3114" s="6" t="str">
        <f>IFERROR(VLOOKUP('Customer Info'!A3106,'Customer Info'!A3106:C3605,3,FALSE),"Not Found")</f>
        <v>Not Found</v>
      </c>
      <c r="I3114" s="6" t="str">
        <f>IFERROR(VLOOKUP('Customer Info'!A3106,'Customer Info'!A3106:E3605,5,FALSE),"Not Found")</f>
        <v>Not Found</v>
      </c>
      <c r="J3114" s="2">
        <v>1704</v>
      </c>
      <c r="K3114" s="2">
        <v>1624</v>
      </c>
      <c r="L3114" s="2">
        <v>3</v>
      </c>
      <c r="M3114" s="7">
        <f t="shared" si="240"/>
        <v>4872</v>
      </c>
      <c r="N3114" s="7">
        <f t="shared" si="241"/>
        <v>5112</v>
      </c>
      <c r="O3114" s="2">
        <v>52</v>
      </c>
      <c r="P3114" s="8">
        <f t="shared" si="242"/>
        <v>5164</v>
      </c>
      <c r="Q3114" s="8">
        <f t="shared" si="243"/>
        <v>3488</v>
      </c>
      <c r="R3114" s="2" t="s">
        <v>28</v>
      </c>
      <c r="S3114" s="9">
        <f t="shared" si="244"/>
        <v>258.2</v>
      </c>
    </row>
    <row r="3115" spans="1:19" x14ac:dyDescent="0.3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str">
        <f>IFERROR(VLOOKUP('Customer Info'!A3107,'Customer Info'!A3107:C3606,2,FALSE),"Not Found")</f>
        <v>Not Found</v>
      </c>
      <c r="H3115" s="6" t="str">
        <f>IFERROR(VLOOKUP('Customer Info'!A3107,'Customer Info'!A3107:C3606,3,FALSE),"Not Found")</f>
        <v>Not Found</v>
      </c>
      <c r="I3115" s="6" t="str">
        <f>IFERROR(VLOOKUP('Customer Info'!A3107,'Customer Info'!A3107:E3606,5,FALSE),"Not Found")</f>
        <v>Not Found</v>
      </c>
      <c r="J3115" s="2">
        <v>1498</v>
      </c>
      <c r="K3115" s="2">
        <v>1335</v>
      </c>
      <c r="L3115" s="2">
        <v>5</v>
      </c>
      <c r="M3115" s="7">
        <f t="shared" si="240"/>
        <v>6675</v>
      </c>
      <c r="N3115" s="7">
        <f t="shared" si="241"/>
        <v>7490</v>
      </c>
      <c r="O3115" s="2">
        <v>58</v>
      </c>
      <c r="P3115" s="8">
        <f t="shared" si="242"/>
        <v>7548</v>
      </c>
      <c r="Q3115" s="8">
        <f t="shared" si="243"/>
        <v>6155</v>
      </c>
      <c r="R3115" s="2" t="s">
        <v>50</v>
      </c>
      <c r="S3115" s="9">
        <f t="shared" si="244"/>
        <v>377.40000000000003</v>
      </c>
    </row>
    <row r="3116" spans="1:19" x14ac:dyDescent="0.3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str">
        <f>IFERROR(VLOOKUP('Customer Info'!A3108,'Customer Info'!A3108:C3607,2,FALSE),"Not Found")</f>
        <v>Not Found</v>
      </c>
      <c r="H3116" s="6" t="str">
        <f>IFERROR(VLOOKUP('Customer Info'!A3108,'Customer Info'!A3108:C3607,3,FALSE),"Not Found")</f>
        <v>Not Found</v>
      </c>
      <c r="I3116" s="6" t="str">
        <f>IFERROR(VLOOKUP('Customer Info'!A3108,'Customer Info'!A3108:E3607,5,FALSE),"Not Found")</f>
        <v>Not Found</v>
      </c>
      <c r="J3116" s="2">
        <v>1060</v>
      </c>
      <c r="K3116" s="2">
        <v>964</v>
      </c>
      <c r="L3116" s="2">
        <v>1</v>
      </c>
      <c r="M3116" s="7">
        <f t="shared" si="240"/>
        <v>964</v>
      </c>
      <c r="N3116" s="7">
        <f t="shared" si="241"/>
        <v>1060</v>
      </c>
      <c r="O3116" s="2">
        <v>29</v>
      </c>
      <c r="P3116" s="8">
        <f t="shared" si="242"/>
        <v>1089</v>
      </c>
      <c r="Q3116" s="8">
        <f t="shared" si="243"/>
        <v>96</v>
      </c>
      <c r="R3116" s="2" t="s">
        <v>28</v>
      </c>
      <c r="S3116" s="9">
        <f t="shared" si="244"/>
        <v>21.78</v>
      </c>
    </row>
    <row r="3117" spans="1:19" x14ac:dyDescent="0.3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str">
        <f>IFERROR(VLOOKUP('Customer Info'!A3109,'Customer Info'!A3109:C3608,2,FALSE),"Not Found")</f>
        <v>Not Found</v>
      </c>
      <c r="H3117" s="6" t="str">
        <f>IFERROR(VLOOKUP('Customer Info'!A3109,'Customer Info'!A3109:C3608,3,FALSE),"Not Found")</f>
        <v>Not Found</v>
      </c>
      <c r="I3117" s="6" t="str">
        <f>IFERROR(VLOOKUP('Customer Info'!A3109,'Customer Info'!A3109:E3608,5,FALSE),"Not Found")</f>
        <v>Not Found</v>
      </c>
      <c r="J3117" s="2">
        <v>1413</v>
      </c>
      <c r="K3117" s="2">
        <v>1334</v>
      </c>
      <c r="L3117" s="2">
        <v>2</v>
      </c>
      <c r="M3117" s="7">
        <f t="shared" si="240"/>
        <v>2668</v>
      </c>
      <c r="N3117" s="7">
        <f t="shared" si="241"/>
        <v>2826</v>
      </c>
      <c r="O3117" s="2">
        <v>58</v>
      </c>
      <c r="P3117" s="8">
        <f t="shared" si="242"/>
        <v>2884</v>
      </c>
      <c r="Q3117" s="8">
        <f t="shared" si="243"/>
        <v>1492</v>
      </c>
      <c r="R3117" s="2" t="s">
        <v>28</v>
      </c>
      <c r="S3117" s="9">
        <f t="shared" si="244"/>
        <v>57.68</v>
      </c>
    </row>
    <row r="3118" spans="1:19" x14ac:dyDescent="0.3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str">
        <f>IFERROR(VLOOKUP('Customer Info'!A3110,'Customer Info'!A3110:C3609,2,FALSE),"Not Found")</f>
        <v>Not Found</v>
      </c>
      <c r="H3118" s="6" t="str">
        <f>IFERROR(VLOOKUP('Customer Info'!A3110,'Customer Info'!A3110:C3609,3,FALSE),"Not Found")</f>
        <v>Not Found</v>
      </c>
      <c r="I3118" s="6" t="str">
        <f>IFERROR(VLOOKUP('Customer Info'!A3110,'Customer Info'!A3110:E3609,5,FALSE),"Not Found")</f>
        <v>Not Found</v>
      </c>
      <c r="J3118" s="2">
        <v>60</v>
      </c>
      <c r="K3118" s="2">
        <v>57</v>
      </c>
      <c r="L3118" s="2">
        <v>2</v>
      </c>
      <c r="M3118" s="7">
        <f t="shared" si="240"/>
        <v>114</v>
      </c>
      <c r="N3118" s="7">
        <f t="shared" si="241"/>
        <v>120</v>
      </c>
      <c r="O3118" s="2">
        <v>10</v>
      </c>
      <c r="P3118" s="8">
        <f t="shared" si="242"/>
        <v>130</v>
      </c>
      <c r="Q3118" s="8">
        <f t="shared" si="243"/>
        <v>63</v>
      </c>
      <c r="R3118" s="2" t="s">
        <v>50</v>
      </c>
      <c r="S3118" s="9">
        <f t="shared" si="244"/>
        <v>2.6</v>
      </c>
    </row>
    <row r="3119" spans="1:19" x14ac:dyDescent="0.3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str">
        <f>IFERROR(VLOOKUP('Customer Info'!A3111,'Customer Info'!A3111:C3610,2,FALSE),"Not Found")</f>
        <v>Not Found</v>
      </c>
      <c r="H3119" s="6" t="str">
        <f>IFERROR(VLOOKUP('Customer Info'!A3111,'Customer Info'!A3111:C3610,3,FALSE),"Not Found")</f>
        <v>Not Found</v>
      </c>
      <c r="I3119" s="6" t="str">
        <f>IFERROR(VLOOKUP('Customer Info'!A3111,'Customer Info'!A3111:E3610,5,FALSE),"Not Found")</f>
        <v>Not Found</v>
      </c>
      <c r="J3119" s="2">
        <v>1654</v>
      </c>
      <c r="K3119" s="2">
        <v>1577</v>
      </c>
      <c r="L3119" s="2">
        <v>7</v>
      </c>
      <c r="M3119" s="7">
        <f t="shared" si="240"/>
        <v>11039</v>
      </c>
      <c r="N3119" s="7">
        <f t="shared" si="241"/>
        <v>11578</v>
      </c>
      <c r="O3119" s="2">
        <v>90</v>
      </c>
      <c r="P3119" s="8">
        <f t="shared" si="242"/>
        <v>11668</v>
      </c>
      <c r="Q3119" s="8">
        <f t="shared" si="243"/>
        <v>10001</v>
      </c>
      <c r="R3119" s="2" t="s">
        <v>50</v>
      </c>
      <c r="S3119" s="9">
        <f t="shared" si="244"/>
        <v>583.4</v>
      </c>
    </row>
    <row r="3120" spans="1:19" x14ac:dyDescent="0.3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str">
        <f>IFERROR(VLOOKUP('Customer Info'!A3112,'Customer Info'!A3112:C3611,2,FALSE),"Not Found")</f>
        <v>Not Found</v>
      </c>
      <c r="H3120" s="6" t="str">
        <f>IFERROR(VLOOKUP('Customer Info'!A3112,'Customer Info'!A3112:C3611,3,FALSE),"Not Found")</f>
        <v>Not Found</v>
      </c>
      <c r="I3120" s="6" t="str">
        <f>IFERROR(VLOOKUP('Customer Info'!A3112,'Customer Info'!A3112:E3611,5,FALSE),"Not Found")</f>
        <v>Not Found</v>
      </c>
      <c r="J3120" s="2">
        <v>69</v>
      </c>
      <c r="K3120" s="2">
        <v>64</v>
      </c>
      <c r="L3120" s="2">
        <v>1</v>
      </c>
      <c r="M3120" s="7">
        <f t="shared" si="240"/>
        <v>64</v>
      </c>
      <c r="N3120" s="7">
        <f t="shared" si="241"/>
        <v>69</v>
      </c>
      <c r="O3120" s="2">
        <v>10</v>
      </c>
      <c r="P3120" s="8">
        <f t="shared" si="242"/>
        <v>79</v>
      </c>
      <c r="Q3120" s="8">
        <f t="shared" si="243"/>
        <v>5</v>
      </c>
      <c r="R3120" s="2" t="s">
        <v>28</v>
      </c>
      <c r="S3120" s="9">
        <f t="shared" si="244"/>
        <v>1.58</v>
      </c>
    </row>
    <row r="3121" spans="1:19" x14ac:dyDescent="0.3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str">
        <f>IFERROR(VLOOKUP('Customer Info'!A3113,'Customer Info'!A3113:C3612,2,FALSE),"Not Found")</f>
        <v>Not Found</v>
      </c>
      <c r="H3121" s="6" t="str">
        <f>IFERROR(VLOOKUP('Customer Info'!A3113,'Customer Info'!A3113:C3612,3,FALSE),"Not Found")</f>
        <v>Not Found</v>
      </c>
      <c r="I3121" s="6" t="str">
        <f>IFERROR(VLOOKUP('Customer Info'!A3113,'Customer Info'!A3113:E3612,5,FALSE),"Not Found")</f>
        <v>Not Found</v>
      </c>
      <c r="J3121" s="2">
        <v>170</v>
      </c>
      <c r="K3121" s="2">
        <v>153</v>
      </c>
      <c r="L3121" s="2">
        <v>3</v>
      </c>
      <c r="M3121" s="7">
        <f t="shared" si="240"/>
        <v>459</v>
      </c>
      <c r="N3121" s="7">
        <f t="shared" si="241"/>
        <v>510</v>
      </c>
      <c r="O3121" s="2">
        <v>30</v>
      </c>
      <c r="P3121" s="8">
        <f t="shared" si="242"/>
        <v>540</v>
      </c>
      <c r="Q3121" s="8">
        <f t="shared" si="243"/>
        <v>357</v>
      </c>
      <c r="R3121" s="2" t="s">
        <v>28</v>
      </c>
      <c r="S3121" s="9">
        <f t="shared" si="244"/>
        <v>10.8</v>
      </c>
    </row>
    <row r="3122" spans="1:19" x14ac:dyDescent="0.3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str">
        <f>IFERROR(VLOOKUP('Customer Info'!A3114,'Customer Info'!A3114:C3613,2,FALSE),"Not Found")</f>
        <v>Not Found</v>
      </c>
      <c r="H3122" s="6" t="str">
        <f>IFERROR(VLOOKUP('Customer Info'!A3114,'Customer Info'!A3114:C3613,3,FALSE),"Not Found")</f>
        <v>Not Found</v>
      </c>
      <c r="I3122" s="6" t="str">
        <f>IFERROR(VLOOKUP('Customer Info'!A3114,'Customer Info'!A3114:E3613,5,FALSE),"Not Found")</f>
        <v>Not Found</v>
      </c>
      <c r="J3122" s="2">
        <v>36057</v>
      </c>
      <c r="K3122" s="2">
        <v>34028</v>
      </c>
      <c r="L3122" s="2">
        <v>8</v>
      </c>
      <c r="M3122" s="7">
        <f t="shared" si="240"/>
        <v>272224</v>
      </c>
      <c r="N3122" s="7">
        <f t="shared" si="241"/>
        <v>288456</v>
      </c>
      <c r="O3122" s="2">
        <v>24</v>
      </c>
      <c r="P3122" s="8">
        <f t="shared" si="242"/>
        <v>288480</v>
      </c>
      <c r="Q3122" s="8">
        <f t="shared" si="243"/>
        <v>254428</v>
      </c>
      <c r="R3122" s="2" t="s">
        <v>26</v>
      </c>
      <c r="S3122" s="9">
        <f t="shared" si="244"/>
        <v>34617.599999999999</v>
      </c>
    </row>
    <row r="3123" spans="1:19" x14ac:dyDescent="0.3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str">
        <f>IFERROR(VLOOKUP('Customer Info'!A3115,'Customer Info'!A3115:C3614,2,FALSE),"Not Found")</f>
        <v>Not Found</v>
      </c>
      <c r="H3123" s="6" t="str">
        <f>IFERROR(VLOOKUP('Customer Info'!A3115,'Customer Info'!A3115:C3614,3,FALSE),"Not Found")</f>
        <v>Not Found</v>
      </c>
      <c r="I3123" s="6" t="str">
        <f>IFERROR(VLOOKUP('Customer Info'!A3115,'Customer Info'!A3115:E3614,5,FALSE),"Not Found")</f>
        <v>Not Found</v>
      </c>
      <c r="J3123" s="2">
        <v>1901</v>
      </c>
      <c r="K3123" s="2">
        <v>1810</v>
      </c>
      <c r="L3123" s="2">
        <v>5</v>
      </c>
      <c r="M3123" s="7">
        <f t="shared" si="240"/>
        <v>9050</v>
      </c>
      <c r="N3123" s="7">
        <f t="shared" si="241"/>
        <v>9505</v>
      </c>
      <c r="O3123" s="2">
        <v>100</v>
      </c>
      <c r="P3123" s="8">
        <f t="shared" si="242"/>
        <v>9605</v>
      </c>
      <c r="Q3123" s="8">
        <f t="shared" si="243"/>
        <v>7695</v>
      </c>
      <c r="R3123" s="2" t="s">
        <v>28</v>
      </c>
      <c r="S3123" s="9">
        <f t="shared" si="244"/>
        <v>480.25</v>
      </c>
    </row>
    <row r="3124" spans="1:19" x14ac:dyDescent="0.3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str">
        <f>IFERROR(VLOOKUP('Customer Info'!A3116,'Customer Info'!A3116:C3615,2,FALSE),"Not Found")</f>
        <v>Not Found</v>
      </c>
      <c r="H3124" s="6" t="str">
        <f>IFERROR(VLOOKUP('Customer Info'!A3116,'Customer Info'!A3116:C3615,3,FALSE),"Not Found")</f>
        <v>Not Found</v>
      </c>
      <c r="I3124" s="6" t="str">
        <f>IFERROR(VLOOKUP('Customer Info'!A3116,'Customer Info'!A3116:E3615,5,FALSE),"Not Found")</f>
        <v>Not Found</v>
      </c>
      <c r="J3124" s="2">
        <v>1763</v>
      </c>
      <c r="K3124" s="2">
        <v>1602</v>
      </c>
      <c r="L3124" s="2">
        <v>3</v>
      </c>
      <c r="M3124" s="7">
        <f t="shared" si="240"/>
        <v>4806</v>
      </c>
      <c r="N3124" s="7">
        <f t="shared" si="241"/>
        <v>5289</v>
      </c>
      <c r="O3124" s="2">
        <v>44</v>
      </c>
      <c r="P3124" s="8">
        <f t="shared" si="242"/>
        <v>5333</v>
      </c>
      <c r="Q3124" s="8">
        <f t="shared" si="243"/>
        <v>3687</v>
      </c>
      <c r="R3124" s="2" t="s">
        <v>26</v>
      </c>
      <c r="S3124" s="9">
        <f t="shared" si="244"/>
        <v>266.65000000000003</v>
      </c>
    </row>
    <row r="3125" spans="1:19" x14ac:dyDescent="0.3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str">
        <f>IFERROR(VLOOKUP('Customer Info'!A3117,'Customer Info'!A3117:C3616,2,FALSE),"Not Found")</f>
        <v>Not Found</v>
      </c>
      <c r="H3125" s="6" t="str">
        <f>IFERROR(VLOOKUP('Customer Info'!A3117,'Customer Info'!A3117:C3616,3,FALSE),"Not Found")</f>
        <v>Not Found</v>
      </c>
      <c r="I3125" s="6" t="str">
        <f>IFERROR(VLOOKUP('Customer Info'!A3117,'Customer Info'!A3117:E3616,5,FALSE),"Not Found")</f>
        <v>Not Found</v>
      </c>
      <c r="J3125" s="2">
        <v>6635</v>
      </c>
      <c r="K3125" s="2">
        <v>6321</v>
      </c>
      <c r="L3125" s="2">
        <v>2</v>
      </c>
      <c r="M3125" s="7">
        <f t="shared" si="240"/>
        <v>12642</v>
      </c>
      <c r="N3125" s="7">
        <f t="shared" si="241"/>
        <v>13270</v>
      </c>
      <c r="O3125" s="2">
        <v>85</v>
      </c>
      <c r="P3125" s="8">
        <f t="shared" si="242"/>
        <v>13355</v>
      </c>
      <c r="Q3125" s="8">
        <f t="shared" si="243"/>
        <v>6949</v>
      </c>
      <c r="R3125" s="2" t="s">
        <v>50</v>
      </c>
      <c r="S3125" s="9">
        <f t="shared" si="244"/>
        <v>667.75</v>
      </c>
    </row>
    <row r="3126" spans="1:19" x14ac:dyDescent="0.3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str">
        <f>IFERROR(VLOOKUP('Customer Info'!A3118,'Customer Info'!A3118:C3617,2,FALSE),"Not Found")</f>
        <v>Not Found</v>
      </c>
      <c r="H3126" s="6" t="str">
        <f>IFERROR(VLOOKUP('Customer Info'!A3118,'Customer Info'!A3118:C3617,3,FALSE),"Not Found")</f>
        <v>Not Found</v>
      </c>
      <c r="I3126" s="6" t="str">
        <f>IFERROR(VLOOKUP('Customer Info'!A3118,'Customer Info'!A3118:E3617,5,FALSE),"Not Found")</f>
        <v>Not Found</v>
      </c>
      <c r="J3126" s="2">
        <v>62</v>
      </c>
      <c r="K3126" s="2">
        <v>58</v>
      </c>
      <c r="L3126" s="2">
        <v>6</v>
      </c>
      <c r="M3126" s="7">
        <f t="shared" si="240"/>
        <v>348</v>
      </c>
      <c r="N3126" s="7">
        <f t="shared" si="241"/>
        <v>372</v>
      </c>
      <c r="O3126" s="2">
        <v>10</v>
      </c>
      <c r="P3126" s="8">
        <f t="shared" si="242"/>
        <v>382</v>
      </c>
      <c r="Q3126" s="8">
        <f t="shared" si="243"/>
        <v>314</v>
      </c>
      <c r="R3126" s="2" t="s">
        <v>50</v>
      </c>
      <c r="S3126" s="9">
        <f t="shared" si="244"/>
        <v>7.6400000000000006</v>
      </c>
    </row>
    <row r="3127" spans="1:19" x14ac:dyDescent="0.3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str">
        <f>IFERROR(VLOOKUP('Customer Info'!A3119,'Customer Info'!A3119:C3618,2,FALSE),"Not Found")</f>
        <v>Not Found</v>
      </c>
      <c r="H3127" s="6" t="str">
        <f>IFERROR(VLOOKUP('Customer Info'!A3119,'Customer Info'!A3119:C3618,3,FALSE),"Not Found")</f>
        <v>Not Found</v>
      </c>
      <c r="I3127" s="6" t="str">
        <f>IFERROR(VLOOKUP('Customer Info'!A3119,'Customer Info'!A3119:E3618,5,FALSE),"Not Found")</f>
        <v>Not Found</v>
      </c>
      <c r="J3127" s="2">
        <v>3224</v>
      </c>
      <c r="K3127" s="2">
        <v>2901</v>
      </c>
      <c r="L3127" s="2">
        <v>8</v>
      </c>
      <c r="M3127" s="7">
        <f t="shared" si="240"/>
        <v>23208</v>
      </c>
      <c r="N3127" s="7">
        <f t="shared" si="241"/>
        <v>25792</v>
      </c>
      <c r="O3127" s="2">
        <v>26</v>
      </c>
      <c r="P3127" s="8">
        <f t="shared" si="242"/>
        <v>25818</v>
      </c>
      <c r="Q3127" s="8">
        <f t="shared" si="243"/>
        <v>22891</v>
      </c>
      <c r="R3127" s="2" t="s">
        <v>28</v>
      </c>
      <c r="S3127" s="9">
        <f t="shared" si="244"/>
        <v>1807.2600000000002</v>
      </c>
    </row>
    <row r="3128" spans="1:19" x14ac:dyDescent="0.3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str">
        <f>IFERROR(VLOOKUP('Customer Info'!A3120,'Customer Info'!A3120:C3619,2,FALSE),"Not Found")</f>
        <v>Not Found</v>
      </c>
      <c r="H3128" s="6" t="str">
        <f>IFERROR(VLOOKUP('Customer Info'!A3120,'Customer Info'!A3120:C3619,3,FALSE),"Not Found")</f>
        <v>Not Found</v>
      </c>
      <c r="I3128" s="6" t="str">
        <f>IFERROR(VLOOKUP('Customer Info'!A3120,'Customer Info'!A3120:E3619,5,FALSE),"Not Found")</f>
        <v>Not Found</v>
      </c>
      <c r="J3128" s="2">
        <v>1545</v>
      </c>
      <c r="K3128" s="2">
        <v>1486</v>
      </c>
      <c r="L3128" s="2">
        <v>5</v>
      </c>
      <c r="M3128" s="7">
        <f t="shared" si="240"/>
        <v>7430</v>
      </c>
      <c r="N3128" s="7">
        <f t="shared" si="241"/>
        <v>7725</v>
      </c>
      <c r="O3128" s="2">
        <v>29</v>
      </c>
      <c r="P3128" s="8">
        <f t="shared" si="242"/>
        <v>7754</v>
      </c>
      <c r="Q3128" s="8">
        <f t="shared" si="243"/>
        <v>6239</v>
      </c>
      <c r="R3128" s="2" t="s">
        <v>28</v>
      </c>
      <c r="S3128" s="9">
        <f t="shared" si="244"/>
        <v>387.70000000000005</v>
      </c>
    </row>
    <row r="3129" spans="1:19" x14ac:dyDescent="0.3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str">
        <f>IFERROR(VLOOKUP('Customer Info'!A3121,'Customer Info'!A3121:C3620,2,FALSE),"Not Found")</f>
        <v>Not Found</v>
      </c>
      <c r="H3129" s="6" t="str">
        <f>IFERROR(VLOOKUP('Customer Info'!A3121,'Customer Info'!A3121:C3620,3,FALSE),"Not Found")</f>
        <v>Not Found</v>
      </c>
      <c r="I3129" s="6" t="str">
        <f>IFERROR(VLOOKUP('Customer Info'!A3121,'Customer Info'!A3121:E3620,5,FALSE),"Not Found")</f>
        <v>Not Found</v>
      </c>
      <c r="J3129" s="2">
        <v>5882</v>
      </c>
      <c r="K3129" s="2">
        <v>5713</v>
      </c>
      <c r="L3129" s="2">
        <v>4</v>
      </c>
      <c r="M3129" s="7">
        <f t="shared" si="240"/>
        <v>22852</v>
      </c>
      <c r="N3129" s="7">
        <f t="shared" si="241"/>
        <v>23528</v>
      </c>
      <c r="O3129" s="2">
        <v>93</v>
      </c>
      <c r="P3129" s="8">
        <f t="shared" si="242"/>
        <v>23621</v>
      </c>
      <c r="Q3129" s="8">
        <f t="shared" si="243"/>
        <v>17815</v>
      </c>
      <c r="R3129" s="2" t="s">
        <v>28</v>
      </c>
      <c r="S3129" s="9">
        <f t="shared" si="244"/>
        <v>1181.05</v>
      </c>
    </row>
    <row r="3130" spans="1:19" x14ac:dyDescent="0.3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str">
        <f>IFERROR(VLOOKUP('Customer Info'!A3122,'Customer Info'!A3122:C3621,2,FALSE),"Not Found")</f>
        <v>Not Found</v>
      </c>
      <c r="H3130" s="6" t="str">
        <f>IFERROR(VLOOKUP('Customer Info'!A3122,'Customer Info'!A3122:C3621,3,FALSE),"Not Found")</f>
        <v>Not Found</v>
      </c>
      <c r="I3130" s="6" t="str">
        <f>IFERROR(VLOOKUP('Customer Info'!A3122,'Customer Info'!A3122:E3621,5,FALSE),"Not Found")</f>
        <v>Not Found</v>
      </c>
      <c r="J3130" s="2">
        <v>77</v>
      </c>
      <c r="K3130" s="2">
        <v>73</v>
      </c>
      <c r="L3130" s="2">
        <v>1</v>
      </c>
      <c r="M3130" s="7">
        <f t="shared" si="240"/>
        <v>73</v>
      </c>
      <c r="N3130" s="7">
        <f t="shared" si="241"/>
        <v>77</v>
      </c>
      <c r="O3130" s="2">
        <v>10</v>
      </c>
      <c r="P3130" s="8">
        <f t="shared" si="242"/>
        <v>87</v>
      </c>
      <c r="Q3130" s="8">
        <f t="shared" si="243"/>
        <v>4</v>
      </c>
      <c r="R3130" s="2" t="s">
        <v>28</v>
      </c>
      <c r="S3130" s="9">
        <f t="shared" si="244"/>
        <v>1.74</v>
      </c>
    </row>
    <row r="3131" spans="1:19" x14ac:dyDescent="0.3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str">
        <f>IFERROR(VLOOKUP('Customer Info'!A3123,'Customer Info'!A3123:C3622,2,FALSE),"Not Found")</f>
        <v>Not Found</v>
      </c>
      <c r="H3131" s="6" t="str">
        <f>IFERROR(VLOOKUP('Customer Info'!A3123,'Customer Info'!A3123:C3622,3,FALSE),"Not Found")</f>
        <v>Not Found</v>
      </c>
      <c r="I3131" s="6" t="str">
        <f>IFERROR(VLOOKUP('Customer Info'!A3123,'Customer Info'!A3123:E3622,5,FALSE),"Not Found")</f>
        <v>Not Found</v>
      </c>
      <c r="J3131" s="2">
        <v>729</v>
      </c>
      <c r="K3131" s="2">
        <v>689</v>
      </c>
      <c r="L3131" s="2">
        <v>4</v>
      </c>
      <c r="M3131" s="7">
        <f t="shared" si="240"/>
        <v>2756</v>
      </c>
      <c r="N3131" s="7">
        <f t="shared" si="241"/>
        <v>2916</v>
      </c>
      <c r="O3131" s="2">
        <v>44</v>
      </c>
      <c r="P3131" s="8">
        <f t="shared" si="242"/>
        <v>2960</v>
      </c>
      <c r="Q3131" s="8">
        <f t="shared" si="243"/>
        <v>2227</v>
      </c>
      <c r="R3131" s="2" t="s">
        <v>50</v>
      </c>
      <c r="S3131" s="9">
        <f t="shared" si="244"/>
        <v>59.2</v>
      </c>
    </row>
    <row r="3132" spans="1:19" x14ac:dyDescent="0.3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str">
        <f>IFERROR(VLOOKUP('Customer Info'!A3124,'Customer Info'!A3124:C3623,2,FALSE),"Not Found")</f>
        <v>Not Found</v>
      </c>
      <c r="H3132" s="6" t="str">
        <f>IFERROR(VLOOKUP('Customer Info'!A3124,'Customer Info'!A3124:C3623,3,FALSE),"Not Found")</f>
        <v>Not Found</v>
      </c>
      <c r="I3132" s="6" t="str">
        <f>IFERROR(VLOOKUP('Customer Info'!A3124,'Customer Info'!A3124:E3623,5,FALSE),"Not Found")</f>
        <v>Not Found</v>
      </c>
      <c r="J3132" s="2">
        <v>664</v>
      </c>
      <c r="K3132" s="2">
        <v>576</v>
      </c>
      <c r="L3132" s="2">
        <v>2</v>
      </c>
      <c r="M3132" s="7">
        <f t="shared" si="240"/>
        <v>1152</v>
      </c>
      <c r="N3132" s="7">
        <f t="shared" si="241"/>
        <v>1328</v>
      </c>
      <c r="O3132" s="2">
        <v>41</v>
      </c>
      <c r="P3132" s="8">
        <f t="shared" si="242"/>
        <v>1369</v>
      </c>
      <c r="Q3132" s="8">
        <f t="shared" si="243"/>
        <v>752</v>
      </c>
      <c r="R3132" s="2" t="s">
        <v>56</v>
      </c>
      <c r="S3132" s="9">
        <f t="shared" si="244"/>
        <v>27.38</v>
      </c>
    </row>
    <row r="3133" spans="1:19" x14ac:dyDescent="0.3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str">
        <f>IFERROR(VLOOKUP('Customer Info'!A3125,'Customer Info'!A3125:C3624,2,FALSE),"Not Found")</f>
        <v>Not Found</v>
      </c>
      <c r="H3133" s="6" t="str">
        <f>IFERROR(VLOOKUP('Customer Info'!A3125,'Customer Info'!A3125:C3624,3,FALSE),"Not Found")</f>
        <v>Not Found</v>
      </c>
      <c r="I3133" s="6" t="str">
        <f>IFERROR(VLOOKUP('Customer Info'!A3125,'Customer Info'!A3125:E3624,5,FALSE),"Not Found")</f>
        <v>Not Found</v>
      </c>
      <c r="J3133" s="2">
        <v>8665</v>
      </c>
      <c r="K3133" s="2">
        <v>7723</v>
      </c>
      <c r="L3133" s="2">
        <v>6</v>
      </c>
      <c r="M3133" s="7">
        <f t="shared" si="240"/>
        <v>46338</v>
      </c>
      <c r="N3133" s="7">
        <f t="shared" si="241"/>
        <v>51990</v>
      </c>
      <c r="O3133" s="2">
        <v>24</v>
      </c>
      <c r="P3133" s="8">
        <f t="shared" si="242"/>
        <v>52014</v>
      </c>
      <c r="Q3133" s="8">
        <f t="shared" si="243"/>
        <v>44267</v>
      </c>
      <c r="R3133" s="2" t="s">
        <v>26</v>
      </c>
      <c r="S3133" s="9">
        <f t="shared" si="244"/>
        <v>4681.26</v>
      </c>
    </row>
    <row r="3134" spans="1:19" x14ac:dyDescent="0.3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str">
        <f>IFERROR(VLOOKUP('Customer Info'!A3126,'Customer Info'!A3126:C3625,2,FALSE),"Not Found")</f>
        <v>Not Found</v>
      </c>
      <c r="H3134" s="6" t="str">
        <f>IFERROR(VLOOKUP('Customer Info'!A3126,'Customer Info'!A3126:C3625,3,FALSE),"Not Found")</f>
        <v>Not Found</v>
      </c>
      <c r="I3134" s="6" t="str">
        <f>IFERROR(VLOOKUP('Customer Info'!A3126,'Customer Info'!A3126:E3625,5,FALSE),"Not Found")</f>
        <v>Not Found</v>
      </c>
      <c r="J3134" s="2">
        <v>393</v>
      </c>
      <c r="K3134" s="2">
        <v>374</v>
      </c>
      <c r="L3134" s="2">
        <v>8</v>
      </c>
      <c r="M3134" s="7">
        <f t="shared" si="240"/>
        <v>2992</v>
      </c>
      <c r="N3134" s="7">
        <f t="shared" si="241"/>
        <v>3144</v>
      </c>
      <c r="O3134" s="2">
        <v>56</v>
      </c>
      <c r="P3134" s="8">
        <f t="shared" si="242"/>
        <v>3200</v>
      </c>
      <c r="Q3134" s="8">
        <f t="shared" si="243"/>
        <v>2770</v>
      </c>
      <c r="R3134" s="2" t="s">
        <v>50</v>
      </c>
      <c r="S3134" s="9">
        <f t="shared" si="244"/>
        <v>64</v>
      </c>
    </row>
    <row r="3135" spans="1:19" x14ac:dyDescent="0.3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str">
        <f>IFERROR(VLOOKUP('Customer Info'!A3127,'Customer Info'!A3127:C3626,2,FALSE),"Not Found")</f>
        <v>Not Found</v>
      </c>
      <c r="H3135" s="6" t="str">
        <f>IFERROR(VLOOKUP('Customer Info'!A3127,'Customer Info'!A3127:C3626,3,FALSE),"Not Found")</f>
        <v>Not Found</v>
      </c>
      <c r="I3135" s="6" t="str">
        <f>IFERROR(VLOOKUP('Customer Info'!A3127,'Customer Info'!A3127:E3626,5,FALSE),"Not Found")</f>
        <v>Not Found</v>
      </c>
      <c r="J3135" s="2">
        <v>7232</v>
      </c>
      <c r="K3135" s="2">
        <v>6753</v>
      </c>
      <c r="L3135" s="2">
        <v>2</v>
      </c>
      <c r="M3135" s="7">
        <f t="shared" si="240"/>
        <v>13506</v>
      </c>
      <c r="N3135" s="7">
        <f t="shared" si="241"/>
        <v>14464</v>
      </c>
      <c r="O3135" s="2">
        <v>90</v>
      </c>
      <c r="P3135" s="8">
        <f t="shared" si="242"/>
        <v>14554</v>
      </c>
      <c r="Q3135" s="8">
        <f t="shared" si="243"/>
        <v>7711</v>
      </c>
      <c r="R3135" s="2" t="s">
        <v>50</v>
      </c>
      <c r="S3135" s="9">
        <f t="shared" si="244"/>
        <v>727.7</v>
      </c>
    </row>
    <row r="3136" spans="1:19" x14ac:dyDescent="0.3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str">
        <f>IFERROR(VLOOKUP('Customer Info'!A3128,'Customer Info'!A3128:C3627,2,FALSE),"Not Found")</f>
        <v>Not Found</v>
      </c>
      <c r="H3136" s="6" t="str">
        <f>IFERROR(VLOOKUP('Customer Info'!A3128,'Customer Info'!A3128:C3627,3,FALSE),"Not Found")</f>
        <v>Not Found</v>
      </c>
      <c r="I3136" s="6" t="str">
        <f>IFERROR(VLOOKUP('Customer Info'!A3128,'Customer Info'!A3128:E3627,5,FALSE),"Not Found")</f>
        <v>Not Found</v>
      </c>
      <c r="J3136" s="2">
        <v>1169</v>
      </c>
      <c r="K3136" s="2">
        <v>1103</v>
      </c>
      <c r="L3136" s="2">
        <v>4</v>
      </c>
      <c r="M3136" s="7">
        <f t="shared" si="240"/>
        <v>4412</v>
      </c>
      <c r="N3136" s="7">
        <f t="shared" si="241"/>
        <v>4676</v>
      </c>
      <c r="O3136" s="2">
        <v>84</v>
      </c>
      <c r="P3136" s="8">
        <f t="shared" si="242"/>
        <v>4760</v>
      </c>
      <c r="Q3136" s="8">
        <f t="shared" si="243"/>
        <v>3573</v>
      </c>
      <c r="R3136" s="2" t="s">
        <v>28</v>
      </c>
      <c r="S3136" s="9">
        <f t="shared" si="244"/>
        <v>95.2</v>
      </c>
    </row>
    <row r="3137" spans="1:19" x14ac:dyDescent="0.3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str">
        <f>IFERROR(VLOOKUP('Customer Info'!A3129,'Customer Info'!A3129:C3628,2,FALSE),"Not Found")</f>
        <v>Not Found</v>
      </c>
      <c r="H3137" s="6" t="str">
        <f>IFERROR(VLOOKUP('Customer Info'!A3129,'Customer Info'!A3129:C3628,3,FALSE),"Not Found")</f>
        <v>Not Found</v>
      </c>
      <c r="I3137" s="6" t="str">
        <f>IFERROR(VLOOKUP('Customer Info'!A3129,'Customer Info'!A3129:E3628,5,FALSE),"Not Found")</f>
        <v>Not Found</v>
      </c>
      <c r="J3137" s="2">
        <v>8773</v>
      </c>
      <c r="K3137" s="2">
        <v>8115</v>
      </c>
      <c r="L3137" s="2">
        <v>1</v>
      </c>
      <c r="M3137" s="7">
        <f t="shared" si="240"/>
        <v>8115</v>
      </c>
      <c r="N3137" s="7">
        <f t="shared" si="241"/>
        <v>8773</v>
      </c>
      <c r="O3137" s="2">
        <v>90</v>
      </c>
      <c r="P3137" s="8">
        <f t="shared" si="242"/>
        <v>8863</v>
      </c>
      <c r="Q3137" s="8">
        <f t="shared" si="243"/>
        <v>658</v>
      </c>
      <c r="R3137" s="2" t="s">
        <v>50</v>
      </c>
      <c r="S3137" s="9">
        <f t="shared" si="244"/>
        <v>443.15000000000003</v>
      </c>
    </row>
    <row r="3138" spans="1:19" x14ac:dyDescent="0.3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str">
        <f>IFERROR(VLOOKUP('Customer Info'!A3130,'Customer Info'!A3130:C3629,2,FALSE),"Not Found")</f>
        <v>Not Found</v>
      </c>
      <c r="H3138" s="6" t="str">
        <f>IFERROR(VLOOKUP('Customer Info'!A3130,'Customer Info'!A3130:C3629,3,FALSE),"Not Found")</f>
        <v>Not Found</v>
      </c>
      <c r="I3138" s="6" t="str">
        <f>IFERROR(VLOOKUP('Customer Info'!A3130,'Customer Info'!A3130:E3629,5,FALSE),"Not Found")</f>
        <v>Not Found</v>
      </c>
      <c r="J3138" s="2">
        <v>520</v>
      </c>
      <c r="K3138" s="2">
        <v>477</v>
      </c>
      <c r="L3138" s="2">
        <v>5</v>
      </c>
      <c r="M3138" s="7">
        <f t="shared" si="240"/>
        <v>2385</v>
      </c>
      <c r="N3138" s="7">
        <f t="shared" si="241"/>
        <v>2600</v>
      </c>
      <c r="O3138" s="2">
        <v>73</v>
      </c>
      <c r="P3138" s="8">
        <f t="shared" si="242"/>
        <v>2673</v>
      </c>
      <c r="Q3138" s="8">
        <f t="shared" si="243"/>
        <v>2123</v>
      </c>
      <c r="R3138" s="2" t="s">
        <v>50</v>
      </c>
      <c r="S3138" s="9">
        <f t="shared" si="244"/>
        <v>53.46</v>
      </c>
    </row>
    <row r="3139" spans="1:19" x14ac:dyDescent="0.3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str">
        <f>IFERROR(VLOOKUP('Customer Info'!A3131,'Customer Info'!A3131:C3630,2,FALSE),"Not Found")</f>
        <v>Not Found</v>
      </c>
      <c r="H3139" s="6" t="str">
        <f>IFERROR(VLOOKUP('Customer Info'!A3131,'Customer Info'!A3131:C3630,3,FALSE),"Not Found")</f>
        <v>Not Found</v>
      </c>
      <c r="I3139" s="6" t="str">
        <f>IFERROR(VLOOKUP('Customer Info'!A3131,'Customer Info'!A3131:E3630,5,FALSE),"Not Found")</f>
        <v>Not Found</v>
      </c>
      <c r="J3139" s="2">
        <v>992</v>
      </c>
      <c r="K3139" s="2">
        <v>928</v>
      </c>
      <c r="L3139" s="2">
        <v>5</v>
      </c>
      <c r="M3139" s="7">
        <f t="shared" si="240"/>
        <v>4640</v>
      </c>
      <c r="N3139" s="7">
        <f t="shared" si="241"/>
        <v>4960</v>
      </c>
      <c r="O3139" s="2">
        <v>34</v>
      </c>
      <c r="P3139" s="8">
        <f t="shared" si="242"/>
        <v>4994</v>
      </c>
      <c r="Q3139" s="8">
        <f t="shared" si="243"/>
        <v>4032</v>
      </c>
      <c r="R3139" s="2" t="s">
        <v>28</v>
      </c>
      <c r="S3139" s="9">
        <f t="shared" si="244"/>
        <v>99.88</v>
      </c>
    </row>
    <row r="3140" spans="1:19" x14ac:dyDescent="0.3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str">
        <f>IFERROR(VLOOKUP('Customer Info'!A3132,'Customer Info'!A3132:C3631,2,FALSE),"Not Found")</f>
        <v>Not Found</v>
      </c>
      <c r="H3140" s="6" t="str">
        <f>IFERROR(VLOOKUP('Customer Info'!A3132,'Customer Info'!A3132:C3631,3,FALSE),"Not Found")</f>
        <v>Not Found</v>
      </c>
      <c r="I3140" s="6" t="str">
        <f>IFERROR(VLOOKUP('Customer Info'!A3132,'Customer Info'!A3132:E3631,5,FALSE),"Not Found")</f>
        <v>Not Found</v>
      </c>
      <c r="J3140" s="2">
        <v>932</v>
      </c>
      <c r="K3140" s="2">
        <v>838</v>
      </c>
      <c r="L3140" s="2">
        <v>5</v>
      </c>
      <c r="M3140" s="7">
        <f t="shared" si="240"/>
        <v>4190</v>
      </c>
      <c r="N3140" s="7">
        <f t="shared" si="241"/>
        <v>4660</v>
      </c>
      <c r="O3140" s="2">
        <v>96</v>
      </c>
      <c r="P3140" s="8">
        <f t="shared" si="242"/>
        <v>4756</v>
      </c>
      <c r="Q3140" s="8">
        <f t="shared" si="243"/>
        <v>3822</v>
      </c>
      <c r="R3140" s="2" t="s">
        <v>50</v>
      </c>
      <c r="S3140" s="9">
        <f t="shared" si="244"/>
        <v>95.12</v>
      </c>
    </row>
    <row r="3141" spans="1:19" x14ac:dyDescent="0.3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str">
        <f>IFERROR(VLOOKUP('Customer Info'!A3133,'Customer Info'!A3133:C3632,2,FALSE),"Not Found")</f>
        <v>Not Found</v>
      </c>
      <c r="H3141" s="6" t="str">
        <f>IFERROR(VLOOKUP('Customer Info'!A3133,'Customer Info'!A3133:C3632,3,FALSE),"Not Found")</f>
        <v>Not Found</v>
      </c>
      <c r="I3141" s="6" t="str">
        <f>IFERROR(VLOOKUP('Customer Info'!A3133,'Customer Info'!A3133:E3632,5,FALSE),"Not Found")</f>
        <v>Not Found</v>
      </c>
      <c r="J3141" s="2">
        <v>809</v>
      </c>
      <c r="K3141" s="2">
        <v>770</v>
      </c>
      <c r="L3141" s="2">
        <v>4</v>
      </c>
      <c r="M3141" s="7">
        <f t="shared" si="240"/>
        <v>3080</v>
      </c>
      <c r="N3141" s="7">
        <f t="shared" si="241"/>
        <v>3236</v>
      </c>
      <c r="O3141" s="2">
        <v>80</v>
      </c>
      <c r="P3141" s="8">
        <f t="shared" si="242"/>
        <v>3316</v>
      </c>
      <c r="Q3141" s="8">
        <f t="shared" si="243"/>
        <v>2466</v>
      </c>
      <c r="R3141" s="2" t="s">
        <v>50</v>
      </c>
      <c r="S3141" s="9">
        <f t="shared" si="244"/>
        <v>66.320000000000007</v>
      </c>
    </row>
    <row r="3142" spans="1:19" x14ac:dyDescent="0.3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str">
        <f>IFERROR(VLOOKUP('Customer Info'!A3134,'Customer Info'!A3134:C3633,2,FALSE),"Not Found")</f>
        <v>Not Found</v>
      </c>
      <c r="H3142" s="6" t="str">
        <f>IFERROR(VLOOKUP('Customer Info'!A3134,'Customer Info'!A3134:C3633,3,FALSE),"Not Found")</f>
        <v>Not Found</v>
      </c>
      <c r="I3142" s="6" t="str">
        <f>IFERROR(VLOOKUP('Customer Info'!A3134,'Customer Info'!A3134:E3633,5,FALSE),"Not Found")</f>
        <v>Not Found</v>
      </c>
      <c r="J3142" s="2">
        <v>2787</v>
      </c>
      <c r="K3142" s="2">
        <v>2681</v>
      </c>
      <c r="L3142" s="2">
        <v>3</v>
      </c>
      <c r="M3142" s="7">
        <f t="shared" si="240"/>
        <v>8043</v>
      </c>
      <c r="N3142" s="7">
        <f t="shared" si="241"/>
        <v>8361</v>
      </c>
      <c r="O3142" s="2">
        <v>82</v>
      </c>
      <c r="P3142" s="8">
        <f t="shared" si="242"/>
        <v>8443</v>
      </c>
      <c r="Q3142" s="8">
        <f t="shared" si="243"/>
        <v>5680</v>
      </c>
      <c r="R3142" s="2" t="s">
        <v>50</v>
      </c>
      <c r="S3142" s="9">
        <f t="shared" si="244"/>
        <v>422.15000000000003</v>
      </c>
    </row>
    <row r="3143" spans="1:19" x14ac:dyDescent="0.3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str">
        <f>IFERROR(VLOOKUP('Customer Info'!A3135,'Customer Info'!A3135:C3634,2,FALSE),"Not Found")</f>
        <v>Not Found</v>
      </c>
      <c r="H3143" s="6" t="str">
        <f>IFERROR(VLOOKUP('Customer Info'!A3135,'Customer Info'!A3135:C3634,3,FALSE),"Not Found")</f>
        <v>Not Found</v>
      </c>
      <c r="I3143" s="6" t="str">
        <f>IFERROR(VLOOKUP('Customer Info'!A3135,'Customer Info'!A3135:E3634,5,FALSE),"Not Found")</f>
        <v>Not Found</v>
      </c>
      <c r="J3143" s="2">
        <v>6400</v>
      </c>
      <c r="K3143" s="2">
        <v>6401</v>
      </c>
      <c r="L3143" s="2">
        <v>4</v>
      </c>
      <c r="M3143" s="7">
        <f t="shared" si="240"/>
        <v>25604</v>
      </c>
      <c r="N3143" s="7">
        <f t="shared" si="241"/>
        <v>25600</v>
      </c>
      <c r="O3143" s="2">
        <v>88</v>
      </c>
      <c r="P3143" s="8">
        <f t="shared" si="242"/>
        <v>25688</v>
      </c>
      <c r="Q3143" s="8">
        <f t="shared" si="243"/>
        <v>19199</v>
      </c>
      <c r="R3143" s="2" t="s">
        <v>28</v>
      </c>
      <c r="S3143" s="9">
        <f t="shared" si="244"/>
        <v>1798.16</v>
      </c>
    </row>
    <row r="3144" spans="1:19" x14ac:dyDescent="0.3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str">
        <f>IFERROR(VLOOKUP('Customer Info'!A3136,'Customer Info'!A3136:C3635,2,FALSE),"Not Found")</f>
        <v>Not Found</v>
      </c>
      <c r="H3144" s="6" t="str">
        <f>IFERROR(VLOOKUP('Customer Info'!A3136,'Customer Info'!A3136:C3635,3,FALSE),"Not Found")</f>
        <v>Not Found</v>
      </c>
      <c r="I3144" s="6" t="str">
        <f>IFERROR(VLOOKUP('Customer Info'!A3136,'Customer Info'!A3136:E3635,5,FALSE),"Not Found")</f>
        <v>Not Found</v>
      </c>
      <c r="J3144" s="2">
        <v>3054</v>
      </c>
      <c r="K3144" s="2">
        <v>2721</v>
      </c>
      <c r="L3144" s="2">
        <v>2</v>
      </c>
      <c r="M3144" s="7">
        <f t="shared" si="240"/>
        <v>5442</v>
      </c>
      <c r="N3144" s="7">
        <f t="shared" si="241"/>
        <v>6108</v>
      </c>
      <c r="O3144" s="2">
        <v>69</v>
      </c>
      <c r="P3144" s="8">
        <f t="shared" si="242"/>
        <v>6177</v>
      </c>
      <c r="Q3144" s="8">
        <f t="shared" si="243"/>
        <v>3387</v>
      </c>
      <c r="R3144" s="2" t="s">
        <v>50</v>
      </c>
      <c r="S3144" s="9">
        <f t="shared" si="244"/>
        <v>308.85000000000002</v>
      </c>
    </row>
    <row r="3145" spans="1:19" x14ac:dyDescent="0.3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str">
        <f>IFERROR(VLOOKUP('Customer Info'!A3137,'Customer Info'!A3137:C3636,2,FALSE),"Not Found")</f>
        <v>Not Found</v>
      </c>
      <c r="H3145" s="6" t="str">
        <f>IFERROR(VLOOKUP('Customer Info'!A3137,'Customer Info'!A3137:C3636,3,FALSE),"Not Found")</f>
        <v>Not Found</v>
      </c>
      <c r="I3145" s="6" t="str">
        <f>IFERROR(VLOOKUP('Customer Info'!A3137,'Customer Info'!A3137:E3636,5,FALSE),"Not Found")</f>
        <v>Not Found</v>
      </c>
      <c r="J3145" s="2">
        <v>3354</v>
      </c>
      <c r="K3145" s="2">
        <v>3102</v>
      </c>
      <c r="L3145" s="2">
        <v>7</v>
      </c>
      <c r="M3145" s="7">
        <f t="shared" si="240"/>
        <v>21714</v>
      </c>
      <c r="N3145" s="7">
        <f t="shared" si="241"/>
        <v>23478</v>
      </c>
      <c r="O3145" s="2">
        <v>43</v>
      </c>
      <c r="P3145" s="8">
        <f t="shared" si="242"/>
        <v>23521</v>
      </c>
      <c r="Q3145" s="8">
        <f t="shared" si="243"/>
        <v>20376</v>
      </c>
      <c r="R3145" s="2" t="s">
        <v>28</v>
      </c>
      <c r="S3145" s="9">
        <f t="shared" si="244"/>
        <v>1176.05</v>
      </c>
    </row>
    <row r="3146" spans="1:19" x14ac:dyDescent="0.3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str">
        <f>IFERROR(VLOOKUP('Customer Info'!A3138,'Customer Info'!A3138:C3637,2,FALSE),"Not Found")</f>
        <v>Not Found</v>
      </c>
      <c r="H3146" s="6" t="str">
        <f>IFERROR(VLOOKUP('Customer Info'!A3138,'Customer Info'!A3138:C3637,3,FALSE),"Not Found")</f>
        <v>Not Found</v>
      </c>
      <c r="I3146" s="6" t="str">
        <f>IFERROR(VLOOKUP('Customer Info'!A3138,'Customer Info'!A3138:E3637,5,FALSE),"Not Found")</f>
        <v>Not Found</v>
      </c>
      <c r="J3146" s="2">
        <v>7864</v>
      </c>
      <c r="K3146" s="2">
        <v>7563</v>
      </c>
      <c r="L3146" s="2">
        <v>3</v>
      </c>
      <c r="M3146" s="7">
        <f t="shared" si="240"/>
        <v>22689</v>
      </c>
      <c r="N3146" s="7">
        <f t="shared" si="241"/>
        <v>23592</v>
      </c>
      <c r="O3146" s="2">
        <v>32</v>
      </c>
      <c r="P3146" s="8">
        <f t="shared" si="242"/>
        <v>23624</v>
      </c>
      <c r="Q3146" s="8">
        <f t="shared" si="243"/>
        <v>16029</v>
      </c>
      <c r="R3146" s="2" t="s">
        <v>50</v>
      </c>
      <c r="S3146" s="9">
        <f t="shared" si="244"/>
        <v>1181.2</v>
      </c>
    </row>
    <row r="3147" spans="1:19" x14ac:dyDescent="0.3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str">
        <f>IFERROR(VLOOKUP('Customer Info'!A3139,'Customer Info'!A3139:C3638,2,FALSE),"Not Found")</f>
        <v>Not Found</v>
      </c>
      <c r="H3147" s="6" t="str">
        <f>IFERROR(VLOOKUP('Customer Info'!A3139,'Customer Info'!A3139:C3638,3,FALSE),"Not Found")</f>
        <v>Not Found</v>
      </c>
      <c r="I3147" s="6" t="str">
        <f>IFERROR(VLOOKUP('Customer Info'!A3139,'Customer Info'!A3139:E3638,5,FALSE),"Not Found")</f>
        <v>Not Found</v>
      </c>
      <c r="J3147" s="2">
        <v>224</v>
      </c>
      <c r="K3147" s="2">
        <v>210</v>
      </c>
      <c r="L3147" s="2">
        <v>3</v>
      </c>
      <c r="M3147" s="7">
        <f t="shared" ref="M3147:M3210" si="245">$K3147*$L3147</f>
        <v>630</v>
      </c>
      <c r="N3147" s="7">
        <f t="shared" ref="N3147:N3210" si="246">$J3147*$L3147</f>
        <v>672</v>
      </c>
      <c r="O3147" s="2">
        <v>41</v>
      </c>
      <c r="P3147" s="8">
        <f t="shared" ref="P3147:P3210" si="247">$N3147+$O3147</f>
        <v>713</v>
      </c>
      <c r="Q3147" s="8">
        <f t="shared" ref="Q3147:Q3210" si="248">$N3147-$K3147</f>
        <v>462</v>
      </c>
      <c r="R3147" s="2" t="s">
        <v>26</v>
      </c>
      <c r="S3147" s="9">
        <f t="shared" ref="S3147:S3210" si="249" xml:space="preserve"> P3147 * VLOOKUP(P3147, $T$2:$U$6, 2, TRUE)</f>
        <v>14.26</v>
      </c>
    </row>
    <row r="3148" spans="1:19" x14ac:dyDescent="0.3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str">
        <f>IFERROR(VLOOKUP('Customer Info'!A3140,'Customer Info'!A3140:C3639,2,FALSE),"Not Found")</f>
        <v>Not Found</v>
      </c>
      <c r="H3148" s="6" t="str">
        <f>IFERROR(VLOOKUP('Customer Info'!A3140,'Customer Info'!A3140:C3639,3,FALSE),"Not Found")</f>
        <v>Not Found</v>
      </c>
      <c r="I3148" s="6" t="str">
        <f>IFERROR(VLOOKUP('Customer Info'!A3140,'Customer Info'!A3140:E3639,5,FALSE),"Not Found")</f>
        <v>Not Found</v>
      </c>
      <c r="J3148" s="2">
        <v>130</v>
      </c>
      <c r="K3148" s="2">
        <v>122</v>
      </c>
      <c r="L3148" s="2">
        <v>2</v>
      </c>
      <c r="M3148" s="7">
        <f t="shared" si="245"/>
        <v>244</v>
      </c>
      <c r="N3148" s="7">
        <f t="shared" si="246"/>
        <v>260</v>
      </c>
      <c r="O3148" s="2">
        <v>30</v>
      </c>
      <c r="P3148" s="8">
        <f t="shared" si="247"/>
        <v>290</v>
      </c>
      <c r="Q3148" s="8">
        <f t="shared" si="248"/>
        <v>138</v>
      </c>
      <c r="R3148" s="2" t="s">
        <v>28</v>
      </c>
      <c r="S3148" s="9">
        <f t="shared" si="249"/>
        <v>5.8</v>
      </c>
    </row>
    <row r="3149" spans="1:19" x14ac:dyDescent="0.3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str">
        <f>IFERROR(VLOOKUP('Customer Info'!A3141,'Customer Info'!A3141:C3640,2,FALSE),"Not Found")</f>
        <v>Not Found</v>
      </c>
      <c r="H3149" s="6" t="str">
        <f>IFERROR(VLOOKUP('Customer Info'!A3141,'Customer Info'!A3141:C3640,3,FALSE),"Not Found")</f>
        <v>Not Found</v>
      </c>
      <c r="I3149" s="6" t="str">
        <f>IFERROR(VLOOKUP('Customer Info'!A3141,'Customer Info'!A3141:E3640,5,FALSE),"Not Found")</f>
        <v>Not Found</v>
      </c>
      <c r="J3149" s="2">
        <v>1925</v>
      </c>
      <c r="K3149" s="2">
        <v>1834</v>
      </c>
      <c r="L3149" s="2">
        <v>2</v>
      </c>
      <c r="M3149" s="7">
        <f t="shared" si="245"/>
        <v>3668</v>
      </c>
      <c r="N3149" s="7">
        <f t="shared" si="246"/>
        <v>3850</v>
      </c>
      <c r="O3149" s="2">
        <v>65</v>
      </c>
      <c r="P3149" s="8">
        <f t="shared" si="247"/>
        <v>3915</v>
      </c>
      <c r="Q3149" s="8">
        <f t="shared" si="248"/>
        <v>2016</v>
      </c>
      <c r="R3149" s="2" t="s">
        <v>26</v>
      </c>
      <c r="S3149" s="9">
        <f t="shared" si="249"/>
        <v>78.3</v>
      </c>
    </row>
    <row r="3150" spans="1:19" x14ac:dyDescent="0.3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str">
        <f>IFERROR(VLOOKUP('Customer Info'!A3142,'Customer Info'!A3142:C3641,2,FALSE),"Not Found")</f>
        <v>Not Found</v>
      </c>
      <c r="H3150" s="6" t="str">
        <f>IFERROR(VLOOKUP('Customer Info'!A3142,'Customer Info'!A3142:C3641,3,FALSE),"Not Found")</f>
        <v>Not Found</v>
      </c>
      <c r="I3150" s="6" t="str">
        <f>IFERROR(VLOOKUP('Customer Info'!A3142,'Customer Info'!A3142:E3641,5,FALSE),"Not Found")</f>
        <v>Not Found</v>
      </c>
      <c r="J3150" s="2">
        <v>210</v>
      </c>
      <c r="K3150" s="2">
        <v>193</v>
      </c>
      <c r="L3150" s="2">
        <v>1</v>
      </c>
      <c r="M3150" s="7">
        <f t="shared" si="245"/>
        <v>193</v>
      </c>
      <c r="N3150" s="7">
        <f t="shared" si="246"/>
        <v>210</v>
      </c>
      <c r="O3150" s="2">
        <v>28</v>
      </c>
      <c r="P3150" s="8">
        <f t="shared" si="247"/>
        <v>238</v>
      </c>
      <c r="Q3150" s="8">
        <f t="shared" si="248"/>
        <v>17</v>
      </c>
      <c r="R3150" s="2" t="s">
        <v>28</v>
      </c>
      <c r="S3150" s="9">
        <f t="shared" si="249"/>
        <v>4.76</v>
      </c>
    </row>
    <row r="3151" spans="1:19" x14ac:dyDescent="0.3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str">
        <f>IFERROR(VLOOKUP('Customer Info'!A3143,'Customer Info'!A3143:C3642,2,FALSE),"Not Found")</f>
        <v>Not Found</v>
      </c>
      <c r="H3151" s="6" t="str">
        <f>IFERROR(VLOOKUP('Customer Info'!A3143,'Customer Info'!A3143:C3642,3,FALSE),"Not Found")</f>
        <v>Not Found</v>
      </c>
      <c r="I3151" s="6" t="str">
        <f>IFERROR(VLOOKUP('Customer Info'!A3143,'Customer Info'!A3143:E3642,5,FALSE),"Not Found")</f>
        <v>Not Found</v>
      </c>
      <c r="J3151" s="2">
        <v>1058</v>
      </c>
      <c r="K3151" s="2">
        <v>989</v>
      </c>
      <c r="L3151" s="2">
        <v>3</v>
      </c>
      <c r="M3151" s="7">
        <f t="shared" si="245"/>
        <v>2967</v>
      </c>
      <c r="N3151" s="7">
        <f t="shared" si="246"/>
        <v>3174</v>
      </c>
      <c r="O3151" s="2">
        <v>86</v>
      </c>
      <c r="P3151" s="8">
        <f t="shared" si="247"/>
        <v>3260</v>
      </c>
      <c r="Q3151" s="8">
        <f t="shared" si="248"/>
        <v>2185</v>
      </c>
      <c r="R3151" s="2" t="s">
        <v>28</v>
      </c>
      <c r="S3151" s="9">
        <f t="shared" si="249"/>
        <v>65.2</v>
      </c>
    </row>
    <row r="3152" spans="1:19" x14ac:dyDescent="0.3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str">
        <f>IFERROR(VLOOKUP('Customer Info'!A3144,'Customer Info'!A3144:C3643,2,FALSE),"Not Found")</f>
        <v>Not Found</v>
      </c>
      <c r="H3152" s="6" t="str">
        <f>IFERROR(VLOOKUP('Customer Info'!A3144,'Customer Info'!A3144:C3643,3,FALSE),"Not Found")</f>
        <v>Not Found</v>
      </c>
      <c r="I3152" s="6" t="str">
        <f>IFERROR(VLOOKUP('Customer Info'!A3144,'Customer Info'!A3144:E3643,5,FALSE),"Not Found")</f>
        <v>Not Found</v>
      </c>
      <c r="J3152" s="2">
        <v>2088</v>
      </c>
      <c r="K3152" s="2">
        <v>1970</v>
      </c>
      <c r="L3152" s="2">
        <v>1</v>
      </c>
      <c r="M3152" s="7">
        <f t="shared" si="245"/>
        <v>1970</v>
      </c>
      <c r="N3152" s="7">
        <f t="shared" si="246"/>
        <v>2088</v>
      </c>
      <c r="O3152" s="2">
        <v>31</v>
      </c>
      <c r="P3152" s="8">
        <f t="shared" si="247"/>
        <v>2119</v>
      </c>
      <c r="Q3152" s="8">
        <f t="shared" si="248"/>
        <v>118</v>
      </c>
      <c r="R3152" s="2" t="s">
        <v>28</v>
      </c>
      <c r="S3152" s="9">
        <f t="shared" si="249"/>
        <v>42.38</v>
      </c>
    </row>
    <row r="3153" spans="1:19" x14ac:dyDescent="0.3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str">
        <f>IFERROR(VLOOKUP('Customer Info'!A3145,'Customer Info'!A3145:C3644,2,FALSE),"Not Found")</f>
        <v>Not Found</v>
      </c>
      <c r="H3153" s="6" t="str">
        <f>IFERROR(VLOOKUP('Customer Info'!A3145,'Customer Info'!A3145:C3644,3,FALSE),"Not Found")</f>
        <v>Not Found</v>
      </c>
      <c r="I3153" s="6" t="str">
        <f>IFERROR(VLOOKUP('Customer Info'!A3145,'Customer Info'!A3145:E3644,5,FALSE),"Not Found")</f>
        <v>Not Found</v>
      </c>
      <c r="J3153" s="2">
        <v>8617</v>
      </c>
      <c r="K3153" s="2">
        <v>7900</v>
      </c>
      <c r="L3153" s="2">
        <v>2</v>
      </c>
      <c r="M3153" s="7">
        <f t="shared" si="245"/>
        <v>15800</v>
      </c>
      <c r="N3153" s="7">
        <f t="shared" si="246"/>
        <v>17234</v>
      </c>
      <c r="O3153" s="2">
        <v>99</v>
      </c>
      <c r="P3153" s="8">
        <f t="shared" si="247"/>
        <v>17333</v>
      </c>
      <c r="Q3153" s="8">
        <f t="shared" si="248"/>
        <v>9334</v>
      </c>
      <c r="R3153" s="2" t="s">
        <v>28</v>
      </c>
      <c r="S3153" s="9">
        <f t="shared" si="249"/>
        <v>866.65000000000009</v>
      </c>
    </row>
    <row r="3154" spans="1:19" x14ac:dyDescent="0.3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str">
        <f>IFERROR(VLOOKUP('Customer Info'!A3146,'Customer Info'!A3146:C3645,2,FALSE),"Not Found")</f>
        <v>Not Found</v>
      </c>
      <c r="H3154" s="6" t="str">
        <f>IFERROR(VLOOKUP('Customer Info'!A3146,'Customer Info'!A3146:C3645,3,FALSE),"Not Found")</f>
        <v>Not Found</v>
      </c>
      <c r="I3154" s="6" t="str">
        <f>IFERROR(VLOOKUP('Customer Info'!A3146,'Customer Info'!A3146:E3645,5,FALSE),"Not Found")</f>
        <v>Not Found</v>
      </c>
      <c r="J3154" s="2">
        <v>789</v>
      </c>
      <c r="K3154" s="2">
        <v>739</v>
      </c>
      <c r="L3154" s="2">
        <v>2</v>
      </c>
      <c r="M3154" s="7">
        <f t="shared" si="245"/>
        <v>1478</v>
      </c>
      <c r="N3154" s="7">
        <f t="shared" si="246"/>
        <v>1578</v>
      </c>
      <c r="O3154" s="2">
        <v>76</v>
      </c>
      <c r="P3154" s="8">
        <f t="shared" si="247"/>
        <v>1654</v>
      </c>
      <c r="Q3154" s="8">
        <f t="shared" si="248"/>
        <v>839</v>
      </c>
      <c r="R3154" s="2" t="s">
        <v>26</v>
      </c>
      <c r="S3154" s="9">
        <f t="shared" si="249"/>
        <v>33.08</v>
      </c>
    </row>
    <row r="3155" spans="1:19" x14ac:dyDescent="0.3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str">
        <f>IFERROR(VLOOKUP('Customer Info'!A3147,'Customer Info'!A3147:C3646,2,FALSE),"Not Found")</f>
        <v>Not Found</v>
      </c>
      <c r="H3155" s="6" t="str">
        <f>IFERROR(VLOOKUP('Customer Info'!A3147,'Customer Info'!A3147:C3646,3,FALSE),"Not Found")</f>
        <v>Not Found</v>
      </c>
      <c r="I3155" s="6" t="str">
        <f>IFERROR(VLOOKUP('Customer Info'!A3147,'Customer Info'!A3147:E3646,5,FALSE),"Not Found")</f>
        <v>Not Found</v>
      </c>
      <c r="J3155" s="2">
        <v>658</v>
      </c>
      <c r="K3155" s="2">
        <v>615</v>
      </c>
      <c r="L3155" s="2">
        <v>2</v>
      </c>
      <c r="M3155" s="7">
        <f t="shared" si="245"/>
        <v>1230</v>
      </c>
      <c r="N3155" s="7">
        <f t="shared" si="246"/>
        <v>1316</v>
      </c>
      <c r="O3155" s="2">
        <v>51</v>
      </c>
      <c r="P3155" s="8">
        <f t="shared" si="247"/>
        <v>1367</v>
      </c>
      <c r="Q3155" s="8">
        <f t="shared" si="248"/>
        <v>701</v>
      </c>
      <c r="R3155" s="2" t="s">
        <v>50</v>
      </c>
      <c r="S3155" s="9">
        <f t="shared" si="249"/>
        <v>27.34</v>
      </c>
    </row>
    <row r="3156" spans="1:19" x14ac:dyDescent="0.3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str">
        <f>IFERROR(VLOOKUP('Customer Info'!A3148,'Customer Info'!A3148:C3647,2,FALSE),"Not Found")</f>
        <v>Not Found</v>
      </c>
      <c r="H3156" s="6" t="str">
        <f>IFERROR(VLOOKUP('Customer Info'!A3148,'Customer Info'!A3148:C3647,3,FALSE),"Not Found")</f>
        <v>Not Found</v>
      </c>
      <c r="I3156" s="6" t="str">
        <f>IFERROR(VLOOKUP('Customer Info'!A3148,'Customer Info'!A3148:E3647,5,FALSE),"Not Found")</f>
        <v>Not Found</v>
      </c>
      <c r="J3156" s="2">
        <v>2310</v>
      </c>
      <c r="K3156" s="2">
        <v>2040</v>
      </c>
      <c r="L3156" s="2">
        <v>2</v>
      </c>
      <c r="M3156" s="7">
        <f t="shared" si="245"/>
        <v>4080</v>
      </c>
      <c r="N3156" s="7">
        <f t="shared" si="246"/>
        <v>4620</v>
      </c>
      <c r="O3156" s="2">
        <v>58</v>
      </c>
      <c r="P3156" s="8">
        <f t="shared" si="247"/>
        <v>4678</v>
      </c>
      <c r="Q3156" s="8">
        <f t="shared" si="248"/>
        <v>2580</v>
      </c>
      <c r="R3156" s="2" t="s">
        <v>28</v>
      </c>
      <c r="S3156" s="9">
        <f t="shared" si="249"/>
        <v>93.56</v>
      </c>
    </row>
    <row r="3157" spans="1:19" x14ac:dyDescent="0.3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str">
        <f>IFERROR(VLOOKUP('Customer Info'!A3149,'Customer Info'!A3149:C3648,2,FALSE),"Not Found")</f>
        <v>Not Found</v>
      </c>
      <c r="H3157" s="6" t="str">
        <f>IFERROR(VLOOKUP('Customer Info'!A3149,'Customer Info'!A3149:C3648,3,FALSE),"Not Found")</f>
        <v>Not Found</v>
      </c>
      <c r="I3157" s="6" t="str">
        <f>IFERROR(VLOOKUP('Customer Info'!A3149,'Customer Info'!A3149:E3648,5,FALSE),"Not Found")</f>
        <v>Not Found</v>
      </c>
      <c r="J3157" s="2">
        <v>2965</v>
      </c>
      <c r="K3157" s="2">
        <v>2694</v>
      </c>
      <c r="L3157" s="2">
        <v>5</v>
      </c>
      <c r="M3157" s="7">
        <f t="shared" si="245"/>
        <v>13470</v>
      </c>
      <c r="N3157" s="7">
        <f t="shared" si="246"/>
        <v>14825</v>
      </c>
      <c r="O3157" s="2">
        <v>46</v>
      </c>
      <c r="P3157" s="8">
        <f t="shared" si="247"/>
        <v>14871</v>
      </c>
      <c r="Q3157" s="8">
        <f t="shared" si="248"/>
        <v>12131</v>
      </c>
      <c r="R3157" s="2" t="s">
        <v>50</v>
      </c>
      <c r="S3157" s="9">
        <f t="shared" si="249"/>
        <v>743.55000000000007</v>
      </c>
    </row>
    <row r="3158" spans="1:19" x14ac:dyDescent="0.3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str">
        <f>IFERROR(VLOOKUP('Customer Info'!A3150,'Customer Info'!A3150:C3649,2,FALSE),"Not Found")</f>
        <v>Not Found</v>
      </c>
      <c r="H3158" s="6" t="str">
        <f>IFERROR(VLOOKUP('Customer Info'!A3150,'Customer Info'!A3150:C3649,3,FALSE),"Not Found")</f>
        <v>Not Found</v>
      </c>
      <c r="I3158" s="6" t="str">
        <f>IFERROR(VLOOKUP('Customer Info'!A3150,'Customer Info'!A3150:E3649,5,FALSE),"Not Found")</f>
        <v>Not Found</v>
      </c>
      <c r="J3158" s="2">
        <v>1703</v>
      </c>
      <c r="K3158" s="2">
        <v>1639</v>
      </c>
      <c r="L3158" s="2">
        <v>4</v>
      </c>
      <c r="M3158" s="7">
        <f t="shared" si="245"/>
        <v>6556</v>
      </c>
      <c r="N3158" s="7">
        <f t="shared" si="246"/>
        <v>6812</v>
      </c>
      <c r="O3158" s="2">
        <v>24</v>
      </c>
      <c r="P3158" s="8">
        <f t="shared" si="247"/>
        <v>6836</v>
      </c>
      <c r="Q3158" s="8">
        <f t="shared" si="248"/>
        <v>5173</v>
      </c>
      <c r="R3158" s="2" t="s">
        <v>28</v>
      </c>
      <c r="S3158" s="9">
        <f t="shared" si="249"/>
        <v>341.8</v>
      </c>
    </row>
    <row r="3159" spans="1:19" x14ac:dyDescent="0.3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str">
        <f>IFERROR(VLOOKUP('Customer Info'!A3151,'Customer Info'!A3151:C3650,2,FALSE),"Not Found")</f>
        <v>Not Found</v>
      </c>
      <c r="H3159" s="6" t="str">
        <f>IFERROR(VLOOKUP('Customer Info'!A3151,'Customer Info'!A3151:C3650,3,FALSE),"Not Found")</f>
        <v>Not Found</v>
      </c>
      <c r="I3159" s="6" t="str">
        <f>IFERROR(VLOOKUP('Customer Info'!A3151,'Customer Info'!A3151:E3650,5,FALSE),"Not Found")</f>
        <v>Not Found</v>
      </c>
      <c r="J3159" s="2">
        <v>1181</v>
      </c>
      <c r="K3159" s="2">
        <v>1136</v>
      </c>
      <c r="L3159" s="2">
        <v>1</v>
      </c>
      <c r="M3159" s="7">
        <f t="shared" si="245"/>
        <v>1136</v>
      </c>
      <c r="N3159" s="7">
        <f t="shared" si="246"/>
        <v>1181</v>
      </c>
      <c r="O3159" s="2">
        <v>41</v>
      </c>
      <c r="P3159" s="8">
        <f t="shared" si="247"/>
        <v>1222</v>
      </c>
      <c r="Q3159" s="8">
        <f t="shared" si="248"/>
        <v>45</v>
      </c>
      <c r="R3159" s="2" t="s">
        <v>28</v>
      </c>
      <c r="S3159" s="9">
        <f t="shared" si="249"/>
        <v>24.44</v>
      </c>
    </row>
    <row r="3160" spans="1:19" x14ac:dyDescent="0.3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str">
        <f>IFERROR(VLOOKUP('Customer Info'!A3152,'Customer Info'!A3152:C3651,2,FALSE),"Not Found")</f>
        <v>Not Found</v>
      </c>
      <c r="H3160" s="6" t="str">
        <f>IFERROR(VLOOKUP('Customer Info'!A3152,'Customer Info'!A3152:C3651,3,FALSE),"Not Found")</f>
        <v>Not Found</v>
      </c>
      <c r="I3160" s="6" t="str">
        <f>IFERROR(VLOOKUP('Customer Info'!A3152,'Customer Info'!A3152:E3651,5,FALSE),"Not Found")</f>
        <v>Not Found</v>
      </c>
      <c r="J3160" s="2">
        <v>166</v>
      </c>
      <c r="K3160" s="2">
        <v>149</v>
      </c>
      <c r="L3160" s="2">
        <v>2</v>
      </c>
      <c r="M3160" s="7">
        <f t="shared" si="245"/>
        <v>298</v>
      </c>
      <c r="N3160" s="7">
        <f t="shared" si="246"/>
        <v>332</v>
      </c>
      <c r="O3160" s="2">
        <v>30</v>
      </c>
      <c r="P3160" s="8">
        <f t="shared" si="247"/>
        <v>362</v>
      </c>
      <c r="Q3160" s="8">
        <f t="shared" si="248"/>
        <v>183</v>
      </c>
      <c r="R3160" s="2" t="s">
        <v>26</v>
      </c>
      <c r="S3160" s="9">
        <f t="shared" si="249"/>
        <v>7.24</v>
      </c>
    </row>
    <row r="3161" spans="1:19" x14ac:dyDescent="0.3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str">
        <f>IFERROR(VLOOKUP('Customer Info'!A3153,'Customer Info'!A3153:C3652,2,FALSE),"Not Found")</f>
        <v>Not Found</v>
      </c>
      <c r="H3161" s="6" t="str">
        <f>IFERROR(VLOOKUP('Customer Info'!A3153,'Customer Info'!A3153:C3652,3,FALSE),"Not Found")</f>
        <v>Not Found</v>
      </c>
      <c r="I3161" s="6" t="str">
        <f>IFERROR(VLOOKUP('Customer Info'!A3153,'Customer Info'!A3153:E3652,5,FALSE),"Not Found")</f>
        <v>Not Found</v>
      </c>
      <c r="J3161" s="2">
        <v>7327</v>
      </c>
      <c r="K3161" s="2">
        <v>6658</v>
      </c>
      <c r="L3161" s="2">
        <v>1</v>
      </c>
      <c r="M3161" s="7">
        <f t="shared" si="245"/>
        <v>6658</v>
      </c>
      <c r="N3161" s="7">
        <f t="shared" si="246"/>
        <v>7327</v>
      </c>
      <c r="O3161" s="2">
        <v>63</v>
      </c>
      <c r="P3161" s="8">
        <f t="shared" si="247"/>
        <v>7390</v>
      </c>
      <c r="Q3161" s="8">
        <f t="shared" si="248"/>
        <v>669</v>
      </c>
      <c r="R3161" s="2" t="s">
        <v>50</v>
      </c>
      <c r="S3161" s="9">
        <f t="shared" si="249"/>
        <v>369.5</v>
      </c>
    </row>
    <row r="3162" spans="1:19" x14ac:dyDescent="0.3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str">
        <f>IFERROR(VLOOKUP('Customer Info'!A3154,'Customer Info'!A3154:C3653,2,FALSE),"Not Found")</f>
        <v>Not Found</v>
      </c>
      <c r="H3162" s="6" t="str">
        <f>IFERROR(VLOOKUP('Customer Info'!A3154,'Customer Info'!A3154:C3653,3,FALSE),"Not Found")</f>
        <v>Not Found</v>
      </c>
      <c r="I3162" s="6" t="str">
        <f>IFERROR(VLOOKUP('Customer Info'!A3154,'Customer Info'!A3154:E3653,5,FALSE),"Not Found")</f>
        <v>Not Found</v>
      </c>
      <c r="J3162" s="2">
        <v>210</v>
      </c>
      <c r="K3162" s="2">
        <v>191</v>
      </c>
      <c r="L3162" s="2">
        <v>3</v>
      </c>
      <c r="M3162" s="7">
        <f t="shared" si="245"/>
        <v>573</v>
      </c>
      <c r="N3162" s="7">
        <f t="shared" si="246"/>
        <v>630</v>
      </c>
      <c r="O3162" s="2">
        <v>56</v>
      </c>
      <c r="P3162" s="8">
        <f t="shared" si="247"/>
        <v>686</v>
      </c>
      <c r="Q3162" s="8">
        <f t="shared" si="248"/>
        <v>439</v>
      </c>
      <c r="R3162" s="2" t="s">
        <v>28</v>
      </c>
      <c r="S3162" s="9">
        <f t="shared" si="249"/>
        <v>13.72</v>
      </c>
    </row>
    <row r="3163" spans="1:19" x14ac:dyDescent="0.3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str">
        <f>IFERROR(VLOOKUP('Customer Info'!A3155,'Customer Info'!A3155:C3654,2,FALSE),"Not Found")</f>
        <v>Not Found</v>
      </c>
      <c r="H3163" s="6" t="str">
        <f>IFERROR(VLOOKUP('Customer Info'!A3155,'Customer Info'!A3155:C3654,3,FALSE),"Not Found")</f>
        <v>Not Found</v>
      </c>
      <c r="I3163" s="6" t="str">
        <f>IFERROR(VLOOKUP('Customer Info'!A3155,'Customer Info'!A3155:E3654,5,FALSE),"Not Found")</f>
        <v>Not Found</v>
      </c>
      <c r="J3163" s="2">
        <v>789</v>
      </c>
      <c r="K3163" s="2">
        <v>739</v>
      </c>
      <c r="L3163" s="2">
        <v>8</v>
      </c>
      <c r="M3163" s="7">
        <f t="shared" si="245"/>
        <v>5912</v>
      </c>
      <c r="N3163" s="7">
        <f t="shared" si="246"/>
        <v>6312</v>
      </c>
      <c r="O3163" s="2">
        <v>79</v>
      </c>
      <c r="P3163" s="8">
        <f t="shared" si="247"/>
        <v>6391</v>
      </c>
      <c r="Q3163" s="8">
        <f t="shared" si="248"/>
        <v>5573</v>
      </c>
      <c r="R3163" s="2" t="s">
        <v>28</v>
      </c>
      <c r="S3163" s="9">
        <f t="shared" si="249"/>
        <v>319.55</v>
      </c>
    </row>
    <row r="3164" spans="1:19" x14ac:dyDescent="0.3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str">
        <f>IFERROR(VLOOKUP('Customer Info'!A3156,'Customer Info'!A3156:C3655,2,FALSE),"Not Found")</f>
        <v>Not Found</v>
      </c>
      <c r="H3164" s="6" t="str">
        <f>IFERROR(VLOOKUP('Customer Info'!A3156,'Customer Info'!A3156:C3655,3,FALSE),"Not Found")</f>
        <v>Not Found</v>
      </c>
      <c r="I3164" s="6" t="str">
        <f>IFERROR(VLOOKUP('Customer Info'!A3156,'Customer Info'!A3156:E3655,5,FALSE),"Not Found")</f>
        <v>Not Found</v>
      </c>
      <c r="J3164" s="2">
        <v>6024</v>
      </c>
      <c r="K3164" s="2">
        <v>5424</v>
      </c>
      <c r="L3164" s="2">
        <v>7</v>
      </c>
      <c r="M3164" s="7">
        <f t="shared" si="245"/>
        <v>37968</v>
      </c>
      <c r="N3164" s="7">
        <f t="shared" si="246"/>
        <v>42168</v>
      </c>
      <c r="O3164" s="2">
        <v>36</v>
      </c>
      <c r="P3164" s="8">
        <f t="shared" si="247"/>
        <v>42204</v>
      </c>
      <c r="Q3164" s="8">
        <f t="shared" si="248"/>
        <v>36744</v>
      </c>
      <c r="R3164" s="2" t="s">
        <v>28</v>
      </c>
      <c r="S3164" s="9">
        <f t="shared" si="249"/>
        <v>2954.28</v>
      </c>
    </row>
    <row r="3165" spans="1:19" x14ac:dyDescent="0.3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str">
        <f>IFERROR(VLOOKUP('Customer Info'!A3157,'Customer Info'!A3157:C3656,2,FALSE),"Not Found")</f>
        <v>Not Found</v>
      </c>
      <c r="H3165" s="6" t="str">
        <f>IFERROR(VLOOKUP('Customer Info'!A3157,'Customer Info'!A3157:C3656,3,FALSE),"Not Found")</f>
        <v>Not Found</v>
      </c>
      <c r="I3165" s="6" t="str">
        <f>IFERROR(VLOOKUP('Customer Info'!A3157,'Customer Info'!A3157:E3656,5,FALSE),"Not Found")</f>
        <v>Not Found</v>
      </c>
      <c r="J3165" s="2">
        <v>1772</v>
      </c>
      <c r="K3165" s="2">
        <v>1656</v>
      </c>
      <c r="L3165" s="2">
        <v>1</v>
      </c>
      <c r="M3165" s="7">
        <f t="shared" si="245"/>
        <v>1656</v>
      </c>
      <c r="N3165" s="7">
        <f t="shared" si="246"/>
        <v>1772</v>
      </c>
      <c r="O3165" s="2">
        <v>27</v>
      </c>
      <c r="P3165" s="8">
        <f t="shared" si="247"/>
        <v>1799</v>
      </c>
      <c r="Q3165" s="8">
        <f t="shared" si="248"/>
        <v>116</v>
      </c>
      <c r="R3165" s="2" t="s">
        <v>50</v>
      </c>
      <c r="S3165" s="9">
        <f t="shared" si="249"/>
        <v>35.980000000000004</v>
      </c>
    </row>
    <row r="3166" spans="1:19" x14ac:dyDescent="0.3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str">
        <f>IFERROR(VLOOKUP('Customer Info'!A3158,'Customer Info'!A3158:C3657,2,FALSE),"Not Found")</f>
        <v>Not Found</v>
      </c>
      <c r="H3166" s="6" t="str">
        <f>IFERROR(VLOOKUP('Customer Info'!A3158,'Customer Info'!A3158:C3657,3,FALSE),"Not Found")</f>
        <v>Not Found</v>
      </c>
      <c r="I3166" s="6" t="str">
        <f>IFERROR(VLOOKUP('Customer Info'!A3158,'Customer Info'!A3158:E3657,5,FALSE),"Not Found")</f>
        <v>Not Found</v>
      </c>
      <c r="J3166" s="2">
        <v>954</v>
      </c>
      <c r="K3166" s="2">
        <v>901</v>
      </c>
      <c r="L3166" s="2">
        <v>3</v>
      </c>
      <c r="M3166" s="7">
        <f t="shared" si="245"/>
        <v>2703</v>
      </c>
      <c r="N3166" s="7">
        <f t="shared" si="246"/>
        <v>2862</v>
      </c>
      <c r="O3166" s="2">
        <v>46</v>
      </c>
      <c r="P3166" s="8">
        <f t="shared" si="247"/>
        <v>2908</v>
      </c>
      <c r="Q3166" s="8">
        <f t="shared" si="248"/>
        <v>1961</v>
      </c>
      <c r="R3166" s="2" t="s">
        <v>28</v>
      </c>
      <c r="S3166" s="9">
        <f t="shared" si="249"/>
        <v>58.160000000000004</v>
      </c>
    </row>
    <row r="3167" spans="1:19" x14ac:dyDescent="0.3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str">
        <f>IFERROR(VLOOKUP('Customer Info'!A3159,'Customer Info'!A3159:C3658,2,FALSE),"Not Found")</f>
        <v>Not Found</v>
      </c>
      <c r="H3167" s="6" t="str">
        <f>IFERROR(VLOOKUP('Customer Info'!A3159,'Customer Info'!A3159:C3658,3,FALSE),"Not Found")</f>
        <v>Not Found</v>
      </c>
      <c r="I3167" s="6" t="str">
        <f>IFERROR(VLOOKUP('Customer Info'!A3159,'Customer Info'!A3159:E3658,5,FALSE),"Not Found")</f>
        <v>Not Found</v>
      </c>
      <c r="J3167" s="2">
        <v>36057</v>
      </c>
      <c r="K3167" s="2">
        <v>34028</v>
      </c>
      <c r="L3167" s="2">
        <v>8</v>
      </c>
      <c r="M3167" s="7">
        <f t="shared" si="245"/>
        <v>272224</v>
      </c>
      <c r="N3167" s="7">
        <f t="shared" si="246"/>
        <v>288456</v>
      </c>
      <c r="O3167" s="2">
        <v>22</v>
      </c>
      <c r="P3167" s="8">
        <f t="shared" si="247"/>
        <v>288478</v>
      </c>
      <c r="Q3167" s="8">
        <f t="shared" si="248"/>
        <v>254428</v>
      </c>
      <c r="R3167" s="2" t="s">
        <v>50</v>
      </c>
      <c r="S3167" s="9">
        <f t="shared" si="249"/>
        <v>34617.360000000001</v>
      </c>
    </row>
    <row r="3168" spans="1:19" x14ac:dyDescent="0.3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str">
        <f>IFERROR(VLOOKUP('Customer Info'!A3160,'Customer Info'!A3160:C3659,2,FALSE),"Not Found")</f>
        <v>Not Found</v>
      </c>
      <c r="H3168" s="6" t="str">
        <f>IFERROR(VLOOKUP('Customer Info'!A3160,'Customer Info'!A3160:C3659,3,FALSE),"Not Found")</f>
        <v>Not Found</v>
      </c>
      <c r="I3168" s="6" t="str">
        <f>IFERROR(VLOOKUP('Customer Info'!A3160,'Customer Info'!A3160:E3659,5,FALSE),"Not Found")</f>
        <v>Not Found</v>
      </c>
      <c r="J3168" s="2">
        <v>1512</v>
      </c>
      <c r="K3168" s="2">
        <v>1497</v>
      </c>
      <c r="L3168" s="2">
        <v>9</v>
      </c>
      <c r="M3168" s="7">
        <f t="shared" si="245"/>
        <v>13473</v>
      </c>
      <c r="N3168" s="7">
        <f t="shared" si="246"/>
        <v>13608</v>
      </c>
      <c r="O3168" s="2">
        <v>64</v>
      </c>
      <c r="P3168" s="8">
        <f t="shared" si="247"/>
        <v>13672</v>
      </c>
      <c r="Q3168" s="8">
        <f t="shared" si="248"/>
        <v>12111</v>
      </c>
      <c r="R3168" s="2" t="s">
        <v>28</v>
      </c>
      <c r="S3168" s="9">
        <f t="shared" si="249"/>
        <v>683.6</v>
      </c>
    </row>
    <row r="3169" spans="1:19" x14ac:dyDescent="0.3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str">
        <f>IFERROR(VLOOKUP('Customer Info'!A3161,'Customer Info'!A3161:C3660,2,FALSE),"Not Found")</f>
        <v>Not Found</v>
      </c>
      <c r="H3169" s="6" t="str">
        <f>IFERROR(VLOOKUP('Customer Info'!A3161,'Customer Info'!A3161:C3660,3,FALSE),"Not Found")</f>
        <v>Not Found</v>
      </c>
      <c r="I3169" s="6" t="str">
        <f>IFERROR(VLOOKUP('Customer Info'!A3161,'Customer Info'!A3161:E3660,5,FALSE),"Not Found")</f>
        <v>Not Found</v>
      </c>
      <c r="J3169" s="2">
        <v>8433</v>
      </c>
      <c r="K3169" s="2">
        <v>7801</v>
      </c>
      <c r="L3169" s="2">
        <v>5</v>
      </c>
      <c r="M3169" s="7">
        <f t="shared" si="245"/>
        <v>39005</v>
      </c>
      <c r="N3169" s="7">
        <f t="shared" si="246"/>
        <v>42165</v>
      </c>
      <c r="O3169" s="2">
        <v>86</v>
      </c>
      <c r="P3169" s="8">
        <f t="shared" si="247"/>
        <v>42251</v>
      </c>
      <c r="Q3169" s="8">
        <f t="shared" si="248"/>
        <v>34364</v>
      </c>
      <c r="R3169" s="2" t="s">
        <v>50</v>
      </c>
      <c r="S3169" s="9">
        <f t="shared" si="249"/>
        <v>2957.57</v>
      </c>
    </row>
    <row r="3170" spans="1:19" x14ac:dyDescent="0.3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str">
        <f>IFERROR(VLOOKUP('Customer Info'!A3162,'Customer Info'!A3162:C3661,2,FALSE),"Not Found")</f>
        <v>Not Found</v>
      </c>
      <c r="H3170" s="6" t="str">
        <f>IFERROR(VLOOKUP('Customer Info'!A3162,'Customer Info'!A3162:C3661,3,FALSE),"Not Found")</f>
        <v>Not Found</v>
      </c>
      <c r="I3170" s="6" t="str">
        <f>IFERROR(VLOOKUP('Customer Info'!A3162,'Customer Info'!A3162:E3661,5,FALSE),"Not Found")</f>
        <v>Not Found</v>
      </c>
      <c r="J3170" s="2">
        <v>923</v>
      </c>
      <c r="K3170" s="2">
        <v>879</v>
      </c>
      <c r="L3170" s="2">
        <v>2</v>
      </c>
      <c r="M3170" s="7">
        <f t="shared" si="245"/>
        <v>1758</v>
      </c>
      <c r="N3170" s="7">
        <f t="shared" si="246"/>
        <v>1846</v>
      </c>
      <c r="O3170" s="2">
        <v>74</v>
      </c>
      <c r="P3170" s="8">
        <f t="shared" si="247"/>
        <v>1920</v>
      </c>
      <c r="Q3170" s="8">
        <f t="shared" si="248"/>
        <v>967</v>
      </c>
      <c r="R3170" s="2" t="s">
        <v>28</v>
      </c>
      <c r="S3170" s="9">
        <f t="shared" si="249"/>
        <v>38.4</v>
      </c>
    </row>
    <row r="3171" spans="1:19" x14ac:dyDescent="0.3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str">
        <f>IFERROR(VLOOKUP('Customer Info'!A3163,'Customer Info'!A3163:C3662,2,FALSE),"Not Found")</f>
        <v>Not Found</v>
      </c>
      <c r="H3171" s="6" t="str">
        <f>IFERROR(VLOOKUP('Customer Info'!A3163,'Customer Info'!A3163:C3662,3,FALSE),"Not Found")</f>
        <v>Not Found</v>
      </c>
      <c r="I3171" s="6" t="str">
        <f>IFERROR(VLOOKUP('Customer Info'!A3163,'Customer Info'!A3163:E3662,5,FALSE),"Not Found")</f>
        <v>Not Found</v>
      </c>
      <c r="J3171" s="2">
        <v>2921</v>
      </c>
      <c r="K3171" s="2">
        <v>2809</v>
      </c>
      <c r="L3171" s="2">
        <v>4</v>
      </c>
      <c r="M3171" s="7">
        <f t="shared" si="245"/>
        <v>11236</v>
      </c>
      <c r="N3171" s="7">
        <f t="shared" si="246"/>
        <v>11684</v>
      </c>
      <c r="O3171" s="2">
        <v>57</v>
      </c>
      <c r="P3171" s="8">
        <f t="shared" si="247"/>
        <v>11741</v>
      </c>
      <c r="Q3171" s="8">
        <f t="shared" si="248"/>
        <v>8875</v>
      </c>
      <c r="R3171" s="2" t="s">
        <v>28</v>
      </c>
      <c r="S3171" s="9">
        <f t="shared" si="249"/>
        <v>587.05000000000007</v>
      </c>
    </row>
    <row r="3172" spans="1:19" x14ac:dyDescent="0.3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str">
        <f>IFERROR(VLOOKUP('Customer Info'!A3164,'Customer Info'!A3164:C3663,2,FALSE),"Not Found")</f>
        <v>Not Found</v>
      </c>
      <c r="H3172" s="6" t="str">
        <f>IFERROR(VLOOKUP('Customer Info'!A3164,'Customer Info'!A3164:C3663,3,FALSE),"Not Found")</f>
        <v>Not Found</v>
      </c>
      <c r="I3172" s="6" t="str">
        <f>IFERROR(VLOOKUP('Customer Info'!A3164,'Customer Info'!A3164:E3663,5,FALSE),"Not Found")</f>
        <v>Not Found</v>
      </c>
      <c r="J3172" s="2">
        <v>2155</v>
      </c>
      <c r="K3172" s="2">
        <v>2014</v>
      </c>
      <c r="L3172" s="2">
        <v>2</v>
      </c>
      <c r="M3172" s="7">
        <f t="shared" si="245"/>
        <v>4028</v>
      </c>
      <c r="N3172" s="7">
        <f t="shared" si="246"/>
        <v>4310</v>
      </c>
      <c r="O3172" s="2">
        <v>33</v>
      </c>
      <c r="P3172" s="8">
        <f t="shared" si="247"/>
        <v>4343</v>
      </c>
      <c r="Q3172" s="8">
        <f t="shared" si="248"/>
        <v>2296</v>
      </c>
      <c r="R3172" s="2" t="s">
        <v>50</v>
      </c>
      <c r="S3172" s="9">
        <f t="shared" si="249"/>
        <v>86.86</v>
      </c>
    </row>
    <row r="3173" spans="1:19" x14ac:dyDescent="0.3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str">
        <f>IFERROR(VLOOKUP('Customer Info'!A3165,'Customer Info'!A3165:C3664,2,FALSE),"Not Found")</f>
        <v>Not Found</v>
      </c>
      <c r="H3173" s="6" t="str">
        <f>IFERROR(VLOOKUP('Customer Info'!A3165,'Customer Info'!A3165:C3664,3,FALSE),"Not Found")</f>
        <v>Not Found</v>
      </c>
      <c r="I3173" s="6" t="str">
        <f>IFERROR(VLOOKUP('Customer Info'!A3165,'Customer Info'!A3165:E3664,5,FALSE),"Not Found")</f>
        <v>Not Found</v>
      </c>
      <c r="J3173" s="2">
        <v>671</v>
      </c>
      <c r="K3173" s="2">
        <v>627</v>
      </c>
      <c r="L3173" s="2">
        <v>1</v>
      </c>
      <c r="M3173" s="7">
        <f t="shared" si="245"/>
        <v>627</v>
      </c>
      <c r="N3173" s="7">
        <f t="shared" si="246"/>
        <v>671</v>
      </c>
      <c r="O3173" s="2">
        <v>62</v>
      </c>
      <c r="P3173" s="8">
        <f t="shared" si="247"/>
        <v>733</v>
      </c>
      <c r="Q3173" s="8">
        <f t="shared" si="248"/>
        <v>44</v>
      </c>
      <c r="R3173" s="2" t="s">
        <v>28</v>
      </c>
      <c r="S3173" s="9">
        <f t="shared" si="249"/>
        <v>14.66</v>
      </c>
    </row>
    <row r="3174" spans="1:19" x14ac:dyDescent="0.3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str">
        <f>IFERROR(VLOOKUP('Customer Info'!A3166,'Customer Info'!A3166:C3665,2,FALSE),"Not Found")</f>
        <v>Not Found</v>
      </c>
      <c r="H3174" s="6" t="str">
        <f>IFERROR(VLOOKUP('Customer Info'!A3166,'Customer Info'!A3166:C3665,3,FALSE),"Not Found")</f>
        <v>Not Found</v>
      </c>
      <c r="I3174" s="6" t="str">
        <f>IFERROR(VLOOKUP('Customer Info'!A3166,'Customer Info'!A3166:E3665,5,FALSE),"Not Found")</f>
        <v>Not Found</v>
      </c>
      <c r="J3174" s="2">
        <v>4846</v>
      </c>
      <c r="K3174" s="2">
        <v>4492</v>
      </c>
      <c r="L3174" s="2">
        <v>2</v>
      </c>
      <c r="M3174" s="7">
        <f t="shared" si="245"/>
        <v>8984</v>
      </c>
      <c r="N3174" s="7">
        <f t="shared" si="246"/>
        <v>9692</v>
      </c>
      <c r="O3174" s="2">
        <v>73</v>
      </c>
      <c r="P3174" s="8">
        <f t="shared" si="247"/>
        <v>9765</v>
      </c>
      <c r="Q3174" s="8">
        <f t="shared" si="248"/>
        <v>5200</v>
      </c>
      <c r="R3174" s="2" t="s">
        <v>50</v>
      </c>
      <c r="S3174" s="9">
        <f t="shared" si="249"/>
        <v>488.25</v>
      </c>
    </row>
    <row r="3175" spans="1:19" x14ac:dyDescent="0.3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str">
        <f>IFERROR(VLOOKUP('Customer Info'!A3167,'Customer Info'!A3167:C3666,2,FALSE),"Not Found")</f>
        <v>Not Found</v>
      </c>
      <c r="H3175" s="6" t="str">
        <f>IFERROR(VLOOKUP('Customer Info'!A3167,'Customer Info'!A3167:C3666,3,FALSE),"Not Found")</f>
        <v>Not Found</v>
      </c>
      <c r="I3175" s="6" t="str">
        <f>IFERROR(VLOOKUP('Customer Info'!A3167,'Customer Info'!A3167:E3666,5,FALSE),"Not Found")</f>
        <v>Not Found</v>
      </c>
      <c r="J3175" s="2">
        <v>222</v>
      </c>
      <c r="K3175" s="2">
        <v>204</v>
      </c>
      <c r="L3175" s="2">
        <v>2</v>
      </c>
      <c r="M3175" s="7">
        <f t="shared" si="245"/>
        <v>408</v>
      </c>
      <c r="N3175" s="7">
        <f t="shared" si="246"/>
        <v>444</v>
      </c>
      <c r="O3175" s="2">
        <v>39</v>
      </c>
      <c r="P3175" s="8">
        <f t="shared" si="247"/>
        <v>483</v>
      </c>
      <c r="Q3175" s="8">
        <f t="shared" si="248"/>
        <v>240</v>
      </c>
      <c r="R3175" s="2" t="s">
        <v>50</v>
      </c>
      <c r="S3175" s="9">
        <f t="shared" si="249"/>
        <v>9.66</v>
      </c>
    </row>
    <row r="3176" spans="1:19" x14ac:dyDescent="0.3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str">
        <f>IFERROR(VLOOKUP('Customer Info'!A3168,'Customer Info'!A3168:C3667,2,FALSE),"Not Found")</f>
        <v>Not Found</v>
      </c>
      <c r="H3176" s="6" t="str">
        <f>IFERROR(VLOOKUP('Customer Info'!A3168,'Customer Info'!A3168:C3667,3,FALSE),"Not Found")</f>
        <v>Not Found</v>
      </c>
      <c r="I3176" s="6" t="str">
        <f>IFERROR(VLOOKUP('Customer Info'!A3168,'Customer Info'!A3168:E3667,5,FALSE),"Not Found")</f>
        <v>Not Found</v>
      </c>
      <c r="J3176" s="2">
        <v>119</v>
      </c>
      <c r="K3176" s="2">
        <v>112</v>
      </c>
      <c r="L3176" s="2">
        <v>1</v>
      </c>
      <c r="M3176" s="7">
        <f t="shared" si="245"/>
        <v>112</v>
      </c>
      <c r="N3176" s="7">
        <f t="shared" si="246"/>
        <v>119</v>
      </c>
      <c r="O3176" s="2">
        <v>30</v>
      </c>
      <c r="P3176" s="8">
        <f t="shared" si="247"/>
        <v>149</v>
      </c>
      <c r="Q3176" s="8">
        <f t="shared" si="248"/>
        <v>7</v>
      </c>
      <c r="R3176" s="2" t="s">
        <v>56</v>
      </c>
      <c r="S3176" s="9">
        <f t="shared" si="249"/>
        <v>2.98</v>
      </c>
    </row>
    <row r="3177" spans="1:19" x14ac:dyDescent="0.3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str">
        <f>IFERROR(VLOOKUP('Customer Info'!A3169,'Customer Info'!A3169:C3668,2,FALSE),"Not Found")</f>
        <v>Not Found</v>
      </c>
      <c r="H3177" s="6" t="str">
        <f>IFERROR(VLOOKUP('Customer Info'!A3169,'Customer Info'!A3169:C3668,3,FALSE),"Not Found")</f>
        <v>Not Found</v>
      </c>
      <c r="I3177" s="6" t="str">
        <f>IFERROR(VLOOKUP('Customer Info'!A3169,'Customer Info'!A3169:E3668,5,FALSE),"Not Found")</f>
        <v>Not Found</v>
      </c>
      <c r="J3177" s="2">
        <v>2296</v>
      </c>
      <c r="K3177" s="2">
        <v>2146</v>
      </c>
      <c r="L3177" s="2">
        <v>2</v>
      </c>
      <c r="M3177" s="7">
        <f t="shared" si="245"/>
        <v>4292</v>
      </c>
      <c r="N3177" s="7">
        <f t="shared" si="246"/>
        <v>4592</v>
      </c>
      <c r="O3177" s="2">
        <v>100</v>
      </c>
      <c r="P3177" s="8">
        <f t="shared" si="247"/>
        <v>4692</v>
      </c>
      <c r="Q3177" s="8">
        <f t="shared" si="248"/>
        <v>2446</v>
      </c>
      <c r="R3177" s="2" t="s">
        <v>50</v>
      </c>
      <c r="S3177" s="9">
        <f t="shared" si="249"/>
        <v>93.84</v>
      </c>
    </row>
    <row r="3178" spans="1:19" x14ac:dyDescent="0.3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str">
        <f>IFERROR(VLOOKUP('Customer Info'!A3170,'Customer Info'!A3170:C3669,2,FALSE),"Not Found")</f>
        <v>Not Found</v>
      </c>
      <c r="H3178" s="6" t="str">
        <f>IFERROR(VLOOKUP('Customer Info'!A3170,'Customer Info'!A3170:C3669,3,FALSE),"Not Found")</f>
        <v>Not Found</v>
      </c>
      <c r="I3178" s="6" t="str">
        <f>IFERROR(VLOOKUP('Customer Info'!A3170,'Customer Info'!A3170:E3669,5,FALSE),"Not Found")</f>
        <v>Not Found</v>
      </c>
      <c r="J3178" s="2">
        <v>6585</v>
      </c>
      <c r="K3178" s="2">
        <v>6105</v>
      </c>
      <c r="L3178" s="2">
        <v>3</v>
      </c>
      <c r="M3178" s="7">
        <f t="shared" si="245"/>
        <v>18315</v>
      </c>
      <c r="N3178" s="7">
        <f t="shared" si="246"/>
        <v>19755</v>
      </c>
      <c r="O3178" s="2">
        <v>55</v>
      </c>
      <c r="P3178" s="8">
        <f t="shared" si="247"/>
        <v>19810</v>
      </c>
      <c r="Q3178" s="8">
        <f t="shared" si="248"/>
        <v>13650</v>
      </c>
      <c r="R3178" s="2" t="s">
        <v>50</v>
      </c>
      <c r="S3178" s="9">
        <f t="shared" si="249"/>
        <v>990.5</v>
      </c>
    </row>
    <row r="3179" spans="1:19" x14ac:dyDescent="0.3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str">
        <f>IFERROR(VLOOKUP('Customer Info'!A3171,'Customer Info'!A3171:C3670,2,FALSE),"Not Found")</f>
        <v>Not Found</v>
      </c>
      <c r="H3179" s="6" t="str">
        <f>IFERROR(VLOOKUP('Customer Info'!A3171,'Customer Info'!A3171:C3670,3,FALSE),"Not Found")</f>
        <v>Not Found</v>
      </c>
      <c r="I3179" s="6" t="str">
        <f>IFERROR(VLOOKUP('Customer Info'!A3171,'Customer Info'!A3171:E3670,5,FALSE),"Not Found")</f>
        <v>Not Found</v>
      </c>
      <c r="J3179" s="2">
        <v>445</v>
      </c>
      <c r="K3179" s="2">
        <v>415</v>
      </c>
      <c r="L3179" s="2">
        <v>3</v>
      </c>
      <c r="M3179" s="7">
        <f t="shared" si="245"/>
        <v>1245</v>
      </c>
      <c r="N3179" s="7">
        <f t="shared" si="246"/>
        <v>1335</v>
      </c>
      <c r="O3179" s="2">
        <v>61</v>
      </c>
      <c r="P3179" s="8">
        <f t="shared" si="247"/>
        <v>1396</v>
      </c>
      <c r="Q3179" s="8">
        <f t="shared" si="248"/>
        <v>920</v>
      </c>
      <c r="R3179" s="2" t="s">
        <v>50</v>
      </c>
      <c r="S3179" s="9">
        <f t="shared" si="249"/>
        <v>27.92</v>
      </c>
    </row>
    <row r="3180" spans="1:19" x14ac:dyDescent="0.3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str">
        <f>IFERROR(VLOOKUP('Customer Info'!A3172,'Customer Info'!A3172:C3671,2,FALSE),"Not Found")</f>
        <v>Not Found</v>
      </c>
      <c r="H3180" s="6" t="str">
        <f>IFERROR(VLOOKUP('Customer Info'!A3172,'Customer Info'!A3172:C3671,3,FALSE),"Not Found")</f>
        <v>Not Found</v>
      </c>
      <c r="I3180" s="6" t="str">
        <f>IFERROR(VLOOKUP('Customer Info'!A3172,'Customer Info'!A3172:E3671,5,FALSE),"Not Found")</f>
        <v>Not Found</v>
      </c>
      <c r="J3180" s="2">
        <v>4904</v>
      </c>
      <c r="K3180" s="2">
        <v>4499</v>
      </c>
      <c r="L3180" s="2">
        <v>2</v>
      </c>
      <c r="M3180" s="7">
        <f t="shared" si="245"/>
        <v>8998</v>
      </c>
      <c r="N3180" s="7">
        <f t="shared" si="246"/>
        <v>9808</v>
      </c>
      <c r="O3180" s="2">
        <v>74</v>
      </c>
      <c r="P3180" s="8">
        <f t="shared" si="247"/>
        <v>9882</v>
      </c>
      <c r="Q3180" s="8">
        <f t="shared" si="248"/>
        <v>5309</v>
      </c>
      <c r="R3180" s="2" t="s">
        <v>28</v>
      </c>
      <c r="S3180" s="9">
        <f t="shared" si="249"/>
        <v>494.1</v>
      </c>
    </row>
    <row r="3181" spans="1:19" x14ac:dyDescent="0.3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str">
        <f>IFERROR(VLOOKUP('Customer Info'!A3173,'Customer Info'!A3173:C3672,2,FALSE),"Not Found")</f>
        <v>Not Found</v>
      </c>
      <c r="H3181" s="6" t="str">
        <f>IFERROR(VLOOKUP('Customer Info'!A3173,'Customer Info'!A3173:C3672,3,FALSE),"Not Found")</f>
        <v>Not Found</v>
      </c>
      <c r="I3181" s="6" t="str">
        <f>IFERROR(VLOOKUP('Customer Info'!A3173,'Customer Info'!A3173:E3672,5,FALSE),"Not Found")</f>
        <v>Not Found</v>
      </c>
      <c r="J3181" s="2">
        <v>1651</v>
      </c>
      <c r="K3181" s="2">
        <v>1604</v>
      </c>
      <c r="L3181" s="2">
        <v>4</v>
      </c>
      <c r="M3181" s="7">
        <f t="shared" si="245"/>
        <v>6416</v>
      </c>
      <c r="N3181" s="7">
        <f t="shared" si="246"/>
        <v>6604</v>
      </c>
      <c r="O3181" s="2">
        <v>42</v>
      </c>
      <c r="P3181" s="8">
        <f t="shared" si="247"/>
        <v>6646</v>
      </c>
      <c r="Q3181" s="8">
        <f t="shared" si="248"/>
        <v>5000</v>
      </c>
      <c r="R3181" s="2" t="s">
        <v>50</v>
      </c>
      <c r="S3181" s="9">
        <f t="shared" si="249"/>
        <v>332.3</v>
      </c>
    </row>
    <row r="3182" spans="1:19" x14ac:dyDescent="0.3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str">
        <f>IFERROR(VLOOKUP('Customer Info'!A3174,'Customer Info'!A3174:C3673,2,FALSE),"Not Found")</f>
        <v>Not Found</v>
      </c>
      <c r="H3182" s="6" t="str">
        <f>IFERROR(VLOOKUP('Customer Info'!A3174,'Customer Info'!A3174:C3673,3,FALSE),"Not Found")</f>
        <v>Not Found</v>
      </c>
      <c r="I3182" s="6" t="str">
        <f>IFERROR(VLOOKUP('Customer Info'!A3174,'Customer Info'!A3174:E3673,5,FALSE),"Not Found")</f>
        <v>Not Found</v>
      </c>
      <c r="J3182" s="2">
        <v>712</v>
      </c>
      <c r="K3182" s="2">
        <v>640</v>
      </c>
      <c r="L3182" s="2">
        <v>1</v>
      </c>
      <c r="M3182" s="7">
        <f t="shared" si="245"/>
        <v>640</v>
      </c>
      <c r="N3182" s="7">
        <f t="shared" si="246"/>
        <v>712</v>
      </c>
      <c r="O3182" s="2">
        <v>36</v>
      </c>
      <c r="P3182" s="8">
        <f t="shared" si="247"/>
        <v>748</v>
      </c>
      <c r="Q3182" s="8">
        <f t="shared" si="248"/>
        <v>72</v>
      </c>
      <c r="R3182" s="2" t="s">
        <v>50</v>
      </c>
      <c r="S3182" s="9">
        <f t="shared" si="249"/>
        <v>14.96</v>
      </c>
    </row>
    <row r="3183" spans="1:19" x14ac:dyDescent="0.3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str">
        <f>IFERROR(VLOOKUP('Customer Info'!A3175,'Customer Info'!A3175:C3674,2,FALSE),"Not Found")</f>
        <v>Not Found</v>
      </c>
      <c r="H3183" s="6" t="str">
        <f>IFERROR(VLOOKUP('Customer Info'!A3175,'Customer Info'!A3175:C3674,3,FALSE),"Not Found")</f>
        <v>Not Found</v>
      </c>
      <c r="I3183" s="6" t="str">
        <f>IFERROR(VLOOKUP('Customer Info'!A3175,'Customer Info'!A3175:E3674,5,FALSE),"Not Found")</f>
        <v>Not Found</v>
      </c>
      <c r="J3183" s="2">
        <v>1653</v>
      </c>
      <c r="K3183" s="2">
        <v>1560</v>
      </c>
      <c r="L3183" s="2">
        <v>4</v>
      </c>
      <c r="M3183" s="7">
        <f t="shared" si="245"/>
        <v>6240</v>
      </c>
      <c r="N3183" s="7">
        <f t="shared" si="246"/>
        <v>6612</v>
      </c>
      <c r="O3183" s="2">
        <v>93</v>
      </c>
      <c r="P3183" s="8">
        <f t="shared" si="247"/>
        <v>6705</v>
      </c>
      <c r="Q3183" s="8">
        <f t="shared" si="248"/>
        <v>5052</v>
      </c>
      <c r="R3183" s="2" t="s">
        <v>28</v>
      </c>
      <c r="S3183" s="9">
        <f t="shared" si="249"/>
        <v>335.25</v>
      </c>
    </row>
    <row r="3184" spans="1:19" x14ac:dyDescent="0.3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str">
        <f>IFERROR(VLOOKUP('Customer Info'!A3176,'Customer Info'!A3176:C3675,2,FALSE),"Not Found")</f>
        <v>Not Found</v>
      </c>
      <c r="H3184" s="6" t="str">
        <f>IFERROR(VLOOKUP('Customer Info'!A3176,'Customer Info'!A3176:C3675,3,FALSE),"Not Found")</f>
        <v>Not Found</v>
      </c>
      <c r="I3184" s="6" t="str">
        <f>IFERROR(VLOOKUP('Customer Info'!A3176,'Customer Info'!A3176:E3675,5,FALSE),"Not Found")</f>
        <v>Not Found</v>
      </c>
      <c r="J3184" s="2">
        <v>138</v>
      </c>
      <c r="K3184" s="2">
        <v>128</v>
      </c>
      <c r="L3184" s="2">
        <v>3</v>
      </c>
      <c r="M3184" s="7">
        <f t="shared" si="245"/>
        <v>384</v>
      </c>
      <c r="N3184" s="7">
        <f t="shared" si="246"/>
        <v>414</v>
      </c>
      <c r="O3184" s="2">
        <v>30</v>
      </c>
      <c r="P3184" s="8">
        <f t="shared" si="247"/>
        <v>444</v>
      </c>
      <c r="Q3184" s="8">
        <f t="shared" si="248"/>
        <v>286</v>
      </c>
      <c r="R3184" s="2" t="s">
        <v>50</v>
      </c>
      <c r="S3184" s="9">
        <f t="shared" si="249"/>
        <v>8.8800000000000008</v>
      </c>
    </row>
    <row r="3185" spans="1:19" x14ac:dyDescent="0.3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str">
        <f>IFERROR(VLOOKUP('Customer Info'!A3177,'Customer Info'!A3177:C3676,2,FALSE),"Not Found")</f>
        <v>Not Found</v>
      </c>
      <c r="H3185" s="6" t="str">
        <f>IFERROR(VLOOKUP('Customer Info'!A3177,'Customer Info'!A3177:C3676,3,FALSE),"Not Found")</f>
        <v>Not Found</v>
      </c>
      <c r="I3185" s="6" t="str">
        <f>IFERROR(VLOOKUP('Customer Info'!A3177,'Customer Info'!A3177:E3676,5,FALSE),"Not Found")</f>
        <v>Not Found</v>
      </c>
      <c r="J3185" s="2">
        <v>1125</v>
      </c>
      <c r="K3185" s="2">
        <v>1040</v>
      </c>
      <c r="L3185" s="2">
        <v>3</v>
      </c>
      <c r="M3185" s="7">
        <f t="shared" si="245"/>
        <v>3120</v>
      </c>
      <c r="N3185" s="7">
        <f t="shared" si="246"/>
        <v>3375</v>
      </c>
      <c r="O3185" s="2">
        <v>43</v>
      </c>
      <c r="P3185" s="8">
        <f t="shared" si="247"/>
        <v>3418</v>
      </c>
      <c r="Q3185" s="8">
        <f t="shared" si="248"/>
        <v>2335</v>
      </c>
      <c r="R3185" s="2" t="s">
        <v>50</v>
      </c>
      <c r="S3185" s="9">
        <f t="shared" si="249"/>
        <v>68.36</v>
      </c>
    </row>
    <row r="3186" spans="1:19" x14ac:dyDescent="0.3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str">
        <f>IFERROR(VLOOKUP('Customer Info'!A3178,'Customer Info'!A3178:C3677,2,FALSE),"Not Found")</f>
        <v>Not Found</v>
      </c>
      <c r="H3186" s="6" t="str">
        <f>IFERROR(VLOOKUP('Customer Info'!A3178,'Customer Info'!A3178:C3677,3,FALSE),"Not Found")</f>
        <v>Not Found</v>
      </c>
      <c r="I3186" s="6" t="str">
        <f>IFERROR(VLOOKUP('Customer Info'!A3178,'Customer Info'!A3178:E3677,5,FALSE),"Not Found")</f>
        <v>Not Found</v>
      </c>
      <c r="J3186" s="2">
        <v>184</v>
      </c>
      <c r="K3186" s="2">
        <v>176</v>
      </c>
      <c r="L3186" s="2">
        <v>1</v>
      </c>
      <c r="M3186" s="7">
        <f t="shared" si="245"/>
        <v>176</v>
      </c>
      <c r="N3186" s="7">
        <f t="shared" si="246"/>
        <v>184</v>
      </c>
      <c r="O3186" s="2">
        <v>30</v>
      </c>
      <c r="P3186" s="8">
        <f t="shared" si="247"/>
        <v>214</v>
      </c>
      <c r="Q3186" s="8">
        <f t="shared" si="248"/>
        <v>8</v>
      </c>
      <c r="R3186" s="2" t="s">
        <v>56</v>
      </c>
      <c r="S3186" s="9">
        <f t="shared" si="249"/>
        <v>4.28</v>
      </c>
    </row>
    <row r="3187" spans="1:19" x14ac:dyDescent="0.3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str">
        <f>IFERROR(VLOOKUP('Customer Info'!A3179,'Customer Info'!A3179:C3678,2,FALSE),"Not Found")</f>
        <v>Not Found</v>
      </c>
      <c r="H3187" s="6" t="str">
        <f>IFERROR(VLOOKUP('Customer Info'!A3179,'Customer Info'!A3179:C3678,3,FALSE),"Not Found")</f>
        <v>Not Found</v>
      </c>
      <c r="I3187" s="6" t="str">
        <f>IFERROR(VLOOKUP('Customer Info'!A3179,'Customer Info'!A3179:E3678,5,FALSE),"Not Found")</f>
        <v>Not Found</v>
      </c>
      <c r="J3187" s="2">
        <v>140</v>
      </c>
      <c r="K3187" s="2">
        <v>137</v>
      </c>
      <c r="L3187" s="2">
        <v>2</v>
      </c>
      <c r="M3187" s="7">
        <f t="shared" si="245"/>
        <v>274</v>
      </c>
      <c r="N3187" s="7">
        <f t="shared" si="246"/>
        <v>280</v>
      </c>
      <c r="O3187" s="2">
        <v>30</v>
      </c>
      <c r="P3187" s="8">
        <f t="shared" si="247"/>
        <v>310</v>
      </c>
      <c r="Q3187" s="8">
        <f t="shared" si="248"/>
        <v>143</v>
      </c>
      <c r="R3187" s="2" t="s">
        <v>28</v>
      </c>
      <c r="S3187" s="9">
        <f t="shared" si="249"/>
        <v>6.2</v>
      </c>
    </row>
    <row r="3188" spans="1:19" x14ac:dyDescent="0.3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str">
        <f>IFERROR(VLOOKUP('Customer Info'!A3180,'Customer Info'!A3180:C3679,2,FALSE),"Not Found")</f>
        <v>Not Found</v>
      </c>
      <c r="H3188" s="6" t="str">
        <f>IFERROR(VLOOKUP('Customer Info'!A3180,'Customer Info'!A3180:C3679,3,FALSE),"Not Found")</f>
        <v>Not Found</v>
      </c>
      <c r="I3188" s="6" t="str">
        <f>IFERROR(VLOOKUP('Customer Info'!A3180,'Customer Info'!A3180:E3679,5,FALSE),"Not Found")</f>
        <v>Not Found</v>
      </c>
      <c r="J3188" s="2">
        <v>8160</v>
      </c>
      <c r="K3188" s="2">
        <v>7475</v>
      </c>
      <c r="L3188" s="2">
        <v>1</v>
      </c>
      <c r="M3188" s="7">
        <f t="shared" si="245"/>
        <v>7475</v>
      </c>
      <c r="N3188" s="7">
        <f t="shared" si="246"/>
        <v>8160</v>
      </c>
      <c r="O3188" s="2">
        <v>91</v>
      </c>
      <c r="P3188" s="8">
        <f t="shared" si="247"/>
        <v>8251</v>
      </c>
      <c r="Q3188" s="8">
        <f t="shared" si="248"/>
        <v>685</v>
      </c>
      <c r="R3188" s="2" t="s">
        <v>28</v>
      </c>
      <c r="S3188" s="9">
        <f t="shared" si="249"/>
        <v>412.55</v>
      </c>
    </row>
    <row r="3189" spans="1:19" x14ac:dyDescent="0.3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str">
        <f>IFERROR(VLOOKUP('Customer Info'!A3181,'Customer Info'!A3181:C3680,2,FALSE),"Not Found")</f>
        <v>Not Found</v>
      </c>
      <c r="H3189" s="6" t="str">
        <f>IFERROR(VLOOKUP('Customer Info'!A3181,'Customer Info'!A3181:C3680,3,FALSE),"Not Found")</f>
        <v>Not Found</v>
      </c>
      <c r="I3189" s="6" t="str">
        <f>IFERROR(VLOOKUP('Customer Info'!A3181,'Customer Info'!A3181:E3680,5,FALSE),"Not Found")</f>
        <v>Not Found</v>
      </c>
      <c r="J3189" s="2">
        <v>1071</v>
      </c>
      <c r="K3189" s="2">
        <v>1010</v>
      </c>
      <c r="L3189" s="2">
        <v>5</v>
      </c>
      <c r="M3189" s="7">
        <f t="shared" si="245"/>
        <v>5050</v>
      </c>
      <c r="N3189" s="7">
        <f t="shared" si="246"/>
        <v>5355</v>
      </c>
      <c r="O3189" s="2">
        <v>30</v>
      </c>
      <c r="P3189" s="8">
        <f t="shared" si="247"/>
        <v>5385</v>
      </c>
      <c r="Q3189" s="8">
        <f t="shared" si="248"/>
        <v>4345</v>
      </c>
      <c r="R3189" s="2" t="s">
        <v>28</v>
      </c>
      <c r="S3189" s="9">
        <f t="shared" si="249"/>
        <v>269.25</v>
      </c>
    </row>
    <row r="3190" spans="1:19" x14ac:dyDescent="0.3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str">
        <f>IFERROR(VLOOKUP('Customer Info'!A3182,'Customer Info'!A3182:C3681,2,FALSE),"Not Found")</f>
        <v>Not Found</v>
      </c>
      <c r="H3190" s="6" t="str">
        <f>IFERROR(VLOOKUP('Customer Info'!A3182,'Customer Info'!A3182:C3681,3,FALSE),"Not Found")</f>
        <v>Not Found</v>
      </c>
      <c r="I3190" s="6" t="str">
        <f>IFERROR(VLOOKUP('Customer Info'!A3182,'Customer Info'!A3182:E3681,5,FALSE),"Not Found")</f>
        <v>Not Found</v>
      </c>
      <c r="J3190" s="2">
        <v>141</v>
      </c>
      <c r="K3190" s="2">
        <v>131</v>
      </c>
      <c r="L3190" s="2">
        <v>3</v>
      </c>
      <c r="M3190" s="7">
        <f t="shared" si="245"/>
        <v>393</v>
      </c>
      <c r="N3190" s="7">
        <f t="shared" si="246"/>
        <v>423</v>
      </c>
      <c r="O3190" s="2">
        <v>30</v>
      </c>
      <c r="P3190" s="8">
        <f t="shared" si="247"/>
        <v>453</v>
      </c>
      <c r="Q3190" s="8">
        <f t="shared" si="248"/>
        <v>292</v>
      </c>
      <c r="R3190" s="2" t="s">
        <v>28</v>
      </c>
      <c r="S3190" s="9">
        <f t="shared" si="249"/>
        <v>9.06</v>
      </c>
    </row>
    <row r="3191" spans="1:19" x14ac:dyDescent="0.3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str">
        <f>IFERROR(VLOOKUP('Customer Info'!A3183,'Customer Info'!A3183:C3682,2,FALSE),"Not Found")</f>
        <v>Not Found</v>
      </c>
      <c r="H3191" s="6" t="str">
        <f>IFERROR(VLOOKUP('Customer Info'!A3183,'Customer Info'!A3183:C3682,3,FALSE),"Not Found")</f>
        <v>Not Found</v>
      </c>
      <c r="I3191" s="6" t="str">
        <f>IFERROR(VLOOKUP('Customer Info'!A3183,'Customer Info'!A3183:E3682,5,FALSE),"Not Found")</f>
        <v>Not Found</v>
      </c>
      <c r="J3191" s="2">
        <v>681</v>
      </c>
      <c r="K3191" s="2">
        <v>642</v>
      </c>
      <c r="L3191" s="2">
        <v>1</v>
      </c>
      <c r="M3191" s="7">
        <f t="shared" si="245"/>
        <v>642</v>
      </c>
      <c r="N3191" s="7">
        <f t="shared" si="246"/>
        <v>681</v>
      </c>
      <c r="O3191" s="2">
        <v>53</v>
      </c>
      <c r="P3191" s="8">
        <f t="shared" si="247"/>
        <v>734</v>
      </c>
      <c r="Q3191" s="8">
        <f t="shared" si="248"/>
        <v>39</v>
      </c>
      <c r="R3191" s="2" t="s">
        <v>50</v>
      </c>
      <c r="S3191" s="9">
        <f t="shared" si="249"/>
        <v>14.68</v>
      </c>
    </row>
    <row r="3192" spans="1:19" x14ac:dyDescent="0.3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str">
        <f>IFERROR(VLOOKUP('Customer Info'!A3184,'Customer Info'!A3184:C3683,2,FALSE),"Not Found")</f>
        <v>Not Found</v>
      </c>
      <c r="H3192" s="6" t="str">
        <f>IFERROR(VLOOKUP('Customer Info'!A3184,'Customer Info'!A3184:C3683,3,FALSE),"Not Found")</f>
        <v>Not Found</v>
      </c>
      <c r="I3192" s="6" t="str">
        <f>IFERROR(VLOOKUP('Customer Info'!A3184,'Customer Info'!A3184:E3683,5,FALSE),"Not Found")</f>
        <v>Not Found</v>
      </c>
      <c r="J3192" s="2">
        <v>8022</v>
      </c>
      <c r="K3192" s="2">
        <v>7868</v>
      </c>
      <c r="L3192" s="2">
        <v>4</v>
      </c>
      <c r="M3192" s="7">
        <f t="shared" si="245"/>
        <v>31472</v>
      </c>
      <c r="N3192" s="7">
        <f t="shared" si="246"/>
        <v>32088</v>
      </c>
      <c r="O3192" s="2">
        <v>91</v>
      </c>
      <c r="P3192" s="8">
        <f t="shared" si="247"/>
        <v>32179</v>
      </c>
      <c r="Q3192" s="8">
        <f t="shared" si="248"/>
        <v>24220</v>
      </c>
      <c r="R3192" s="2" t="s">
        <v>28</v>
      </c>
      <c r="S3192" s="9">
        <f t="shared" si="249"/>
        <v>2252.5300000000002</v>
      </c>
    </row>
    <row r="3193" spans="1:19" x14ac:dyDescent="0.3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str">
        <f>IFERROR(VLOOKUP('Customer Info'!A3185,'Customer Info'!A3185:C3684,2,FALSE),"Not Found")</f>
        <v>Not Found</v>
      </c>
      <c r="H3193" s="6" t="str">
        <f>IFERROR(VLOOKUP('Customer Info'!A3185,'Customer Info'!A3185:C3684,3,FALSE),"Not Found")</f>
        <v>Not Found</v>
      </c>
      <c r="I3193" s="6" t="str">
        <f>IFERROR(VLOOKUP('Customer Info'!A3185,'Customer Info'!A3185:E3684,5,FALSE),"Not Found")</f>
        <v>Not Found</v>
      </c>
      <c r="J3193" s="2">
        <v>825</v>
      </c>
      <c r="K3193" s="2">
        <v>793</v>
      </c>
      <c r="L3193" s="2">
        <v>1</v>
      </c>
      <c r="M3193" s="7">
        <f t="shared" si="245"/>
        <v>793</v>
      </c>
      <c r="N3193" s="7">
        <f t="shared" si="246"/>
        <v>825</v>
      </c>
      <c r="O3193" s="2">
        <v>84</v>
      </c>
      <c r="P3193" s="8">
        <f t="shared" si="247"/>
        <v>909</v>
      </c>
      <c r="Q3193" s="8">
        <f t="shared" si="248"/>
        <v>32</v>
      </c>
      <c r="R3193" s="2" t="s">
        <v>28</v>
      </c>
      <c r="S3193" s="9">
        <f t="shared" si="249"/>
        <v>18.18</v>
      </c>
    </row>
    <row r="3194" spans="1:19" x14ac:dyDescent="0.3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str">
        <f>IFERROR(VLOOKUP('Customer Info'!A3186,'Customer Info'!A3186:C3685,2,FALSE),"Not Found")</f>
        <v>Not Found</v>
      </c>
      <c r="H3194" s="6" t="str">
        <f>IFERROR(VLOOKUP('Customer Info'!A3186,'Customer Info'!A3186:C3685,3,FALSE),"Not Found")</f>
        <v>Not Found</v>
      </c>
      <c r="I3194" s="6" t="str">
        <f>IFERROR(VLOOKUP('Customer Info'!A3186,'Customer Info'!A3186:E3685,5,FALSE),"Not Found")</f>
        <v>Not Found</v>
      </c>
      <c r="J3194" s="2">
        <v>1574</v>
      </c>
      <c r="K3194" s="2">
        <v>1375</v>
      </c>
      <c r="L3194" s="2">
        <v>3</v>
      </c>
      <c r="M3194" s="7">
        <f t="shared" si="245"/>
        <v>4125</v>
      </c>
      <c r="N3194" s="7">
        <f t="shared" si="246"/>
        <v>4722</v>
      </c>
      <c r="O3194" s="2">
        <v>92</v>
      </c>
      <c r="P3194" s="8">
        <f t="shared" si="247"/>
        <v>4814</v>
      </c>
      <c r="Q3194" s="8">
        <f t="shared" si="248"/>
        <v>3347</v>
      </c>
      <c r="R3194" s="2" t="s">
        <v>50</v>
      </c>
      <c r="S3194" s="9">
        <f t="shared" si="249"/>
        <v>96.28</v>
      </c>
    </row>
    <row r="3195" spans="1:19" x14ac:dyDescent="0.3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str">
        <f>IFERROR(VLOOKUP('Customer Info'!A3187,'Customer Info'!A3187:C3686,2,FALSE),"Not Found")</f>
        <v>Not Found</v>
      </c>
      <c r="H3195" s="6" t="str">
        <f>IFERROR(VLOOKUP('Customer Info'!A3187,'Customer Info'!A3187:C3686,3,FALSE),"Not Found")</f>
        <v>Not Found</v>
      </c>
      <c r="I3195" s="6" t="str">
        <f>IFERROR(VLOOKUP('Customer Info'!A3187,'Customer Info'!A3187:E3686,5,FALSE),"Not Found")</f>
        <v>Not Found</v>
      </c>
      <c r="J3195" s="2">
        <v>1405</v>
      </c>
      <c r="K3195" s="2">
        <v>1287</v>
      </c>
      <c r="L3195" s="2">
        <v>3</v>
      </c>
      <c r="M3195" s="7">
        <f t="shared" si="245"/>
        <v>3861</v>
      </c>
      <c r="N3195" s="7">
        <f t="shared" si="246"/>
        <v>4215</v>
      </c>
      <c r="O3195" s="2">
        <v>74</v>
      </c>
      <c r="P3195" s="8">
        <f t="shared" si="247"/>
        <v>4289</v>
      </c>
      <c r="Q3195" s="8">
        <f t="shared" si="248"/>
        <v>2928</v>
      </c>
      <c r="R3195" s="2" t="s">
        <v>56</v>
      </c>
      <c r="S3195" s="9">
        <f t="shared" si="249"/>
        <v>85.78</v>
      </c>
    </row>
    <row r="3196" spans="1:19" x14ac:dyDescent="0.3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str">
        <f>IFERROR(VLOOKUP('Customer Info'!A3188,'Customer Info'!A3188:C3687,2,FALSE),"Not Found")</f>
        <v>Not Found</v>
      </c>
      <c r="H3196" s="6" t="str">
        <f>IFERROR(VLOOKUP('Customer Info'!A3188,'Customer Info'!A3188:C3687,3,FALSE),"Not Found")</f>
        <v>Not Found</v>
      </c>
      <c r="I3196" s="6" t="str">
        <f>IFERROR(VLOOKUP('Customer Info'!A3188,'Customer Info'!A3188:E3687,5,FALSE),"Not Found")</f>
        <v>Not Found</v>
      </c>
      <c r="J3196" s="2">
        <v>456</v>
      </c>
      <c r="K3196" s="2">
        <v>430</v>
      </c>
      <c r="L3196" s="2">
        <v>5</v>
      </c>
      <c r="M3196" s="7">
        <f t="shared" si="245"/>
        <v>2150</v>
      </c>
      <c r="N3196" s="7">
        <f t="shared" si="246"/>
        <v>2280</v>
      </c>
      <c r="O3196" s="2">
        <v>62</v>
      </c>
      <c r="P3196" s="8">
        <f t="shared" si="247"/>
        <v>2342</v>
      </c>
      <c r="Q3196" s="8">
        <f t="shared" si="248"/>
        <v>1850</v>
      </c>
      <c r="R3196" s="2" t="s">
        <v>26</v>
      </c>
      <c r="S3196" s="9">
        <f t="shared" si="249"/>
        <v>46.84</v>
      </c>
    </row>
    <row r="3197" spans="1:19" x14ac:dyDescent="0.3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str">
        <f>IFERROR(VLOOKUP('Customer Info'!A3189,'Customer Info'!A3189:C3688,2,FALSE),"Not Found")</f>
        <v>Not Found</v>
      </c>
      <c r="H3197" s="6" t="str">
        <f>IFERROR(VLOOKUP('Customer Info'!A3189,'Customer Info'!A3189:C3688,3,FALSE),"Not Found")</f>
        <v>Not Found</v>
      </c>
      <c r="I3197" s="6" t="str">
        <f>IFERROR(VLOOKUP('Customer Info'!A3189,'Customer Info'!A3189:E3688,5,FALSE),"Not Found")</f>
        <v>Not Found</v>
      </c>
      <c r="J3197" s="2">
        <v>691</v>
      </c>
      <c r="K3197" s="2">
        <v>627</v>
      </c>
      <c r="L3197" s="2">
        <v>1</v>
      </c>
      <c r="M3197" s="7">
        <f t="shared" si="245"/>
        <v>627</v>
      </c>
      <c r="N3197" s="7">
        <f t="shared" si="246"/>
        <v>691</v>
      </c>
      <c r="O3197" s="2">
        <v>94</v>
      </c>
      <c r="P3197" s="8">
        <f t="shared" si="247"/>
        <v>785</v>
      </c>
      <c r="Q3197" s="8">
        <f t="shared" si="248"/>
        <v>64</v>
      </c>
      <c r="R3197" s="2" t="s">
        <v>50</v>
      </c>
      <c r="S3197" s="9">
        <f t="shared" si="249"/>
        <v>15.700000000000001</v>
      </c>
    </row>
    <row r="3198" spans="1:19" x14ac:dyDescent="0.3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str">
        <f>IFERROR(VLOOKUP('Customer Info'!A3190,'Customer Info'!A3190:C3689,2,FALSE),"Not Found")</f>
        <v>Not Found</v>
      </c>
      <c r="H3198" s="6" t="str">
        <f>IFERROR(VLOOKUP('Customer Info'!A3190,'Customer Info'!A3190:C3689,3,FALSE),"Not Found")</f>
        <v>Not Found</v>
      </c>
      <c r="I3198" s="6" t="str">
        <f>IFERROR(VLOOKUP('Customer Info'!A3190,'Customer Info'!A3190:E3689,5,FALSE),"Not Found")</f>
        <v>Not Found</v>
      </c>
      <c r="J3198" s="2">
        <v>900</v>
      </c>
      <c r="K3198" s="2">
        <v>834</v>
      </c>
      <c r="L3198" s="2">
        <v>3</v>
      </c>
      <c r="M3198" s="7">
        <f t="shared" si="245"/>
        <v>2502</v>
      </c>
      <c r="N3198" s="7">
        <f t="shared" si="246"/>
        <v>2700</v>
      </c>
      <c r="O3198" s="2">
        <v>87</v>
      </c>
      <c r="P3198" s="8">
        <f t="shared" si="247"/>
        <v>2787</v>
      </c>
      <c r="Q3198" s="8">
        <f t="shared" si="248"/>
        <v>1866</v>
      </c>
      <c r="R3198" s="2" t="s">
        <v>26</v>
      </c>
      <c r="S3198" s="9">
        <f t="shared" si="249"/>
        <v>55.74</v>
      </c>
    </row>
    <row r="3199" spans="1:19" x14ac:dyDescent="0.3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str">
        <f>IFERROR(VLOOKUP('Customer Info'!A3191,'Customer Info'!A3191:C3690,2,FALSE),"Not Found")</f>
        <v>Not Found</v>
      </c>
      <c r="H3199" s="6" t="str">
        <f>IFERROR(VLOOKUP('Customer Info'!A3191,'Customer Info'!A3191:C3690,3,FALSE),"Not Found")</f>
        <v>Not Found</v>
      </c>
      <c r="I3199" s="6" t="str">
        <f>IFERROR(VLOOKUP('Customer Info'!A3191,'Customer Info'!A3191:E3690,5,FALSE),"Not Found")</f>
        <v>Not Found</v>
      </c>
      <c r="J3199" s="2">
        <v>3176</v>
      </c>
      <c r="K3199" s="2">
        <v>3116</v>
      </c>
      <c r="L3199" s="2">
        <v>2</v>
      </c>
      <c r="M3199" s="7">
        <f t="shared" si="245"/>
        <v>6232</v>
      </c>
      <c r="N3199" s="7">
        <f t="shared" si="246"/>
        <v>6352</v>
      </c>
      <c r="O3199" s="2">
        <v>78</v>
      </c>
      <c r="P3199" s="8">
        <f t="shared" si="247"/>
        <v>6430</v>
      </c>
      <c r="Q3199" s="8">
        <f t="shared" si="248"/>
        <v>3236</v>
      </c>
      <c r="R3199" s="2" t="s">
        <v>28</v>
      </c>
      <c r="S3199" s="9">
        <f t="shared" si="249"/>
        <v>321.5</v>
      </c>
    </row>
    <row r="3200" spans="1:19" x14ac:dyDescent="0.3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str">
        <f>IFERROR(VLOOKUP('Customer Info'!A3192,'Customer Info'!A3192:C3691,2,FALSE),"Not Found")</f>
        <v>Not Found</v>
      </c>
      <c r="H3200" s="6" t="str">
        <f>IFERROR(VLOOKUP('Customer Info'!A3192,'Customer Info'!A3192:C3691,3,FALSE),"Not Found")</f>
        <v>Not Found</v>
      </c>
      <c r="I3200" s="6" t="str">
        <f>IFERROR(VLOOKUP('Customer Info'!A3192,'Customer Info'!A3192:E3691,5,FALSE),"Not Found")</f>
        <v>Not Found</v>
      </c>
      <c r="J3200" s="2">
        <v>1528</v>
      </c>
      <c r="K3200" s="2">
        <v>1348</v>
      </c>
      <c r="L3200" s="2">
        <v>2</v>
      </c>
      <c r="M3200" s="7">
        <f t="shared" si="245"/>
        <v>2696</v>
      </c>
      <c r="N3200" s="7">
        <f t="shared" si="246"/>
        <v>3056</v>
      </c>
      <c r="O3200" s="2">
        <v>62</v>
      </c>
      <c r="P3200" s="8">
        <f t="shared" si="247"/>
        <v>3118</v>
      </c>
      <c r="Q3200" s="8">
        <f t="shared" si="248"/>
        <v>1708</v>
      </c>
      <c r="R3200" s="2" t="s">
        <v>26</v>
      </c>
      <c r="S3200" s="9">
        <f t="shared" si="249"/>
        <v>62.36</v>
      </c>
    </row>
    <row r="3201" spans="1:19" x14ac:dyDescent="0.3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str">
        <f>IFERROR(VLOOKUP('Customer Info'!A3193,'Customer Info'!A3193:C3692,2,FALSE),"Not Found")</f>
        <v>Not Found</v>
      </c>
      <c r="H3201" s="6" t="str">
        <f>IFERROR(VLOOKUP('Customer Info'!A3193,'Customer Info'!A3193:C3692,3,FALSE),"Not Found")</f>
        <v>Not Found</v>
      </c>
      <c r="I3201" s="6" t="str">
        <f>IFERROR(VLOOKUP('Customer Info'!A3193,'Customer Info'!A3193:E3692,5,FALSE),"Not Found")</f>
        <v>Not Found</v>
      </c>
      <c r="J3201" s="2">
        <v>183</v>
      </c>
      <c r="K3201" s="2">
        <v>168</v>
      </c>
      <c r="L3201" s="2">
        <v>9</v>
      </c>
      <c r="M3201" s="7">
        <f t="shared" si="245"/>
        <v>1512</v>
      </c>
      <c r="N3201" s="7">
        <f t="shared" si="246"/>
        <v>1647</v>
      </c>
      <c r="O3201" s="2">
        <v>30</v>
      </c>
      <c r="P3201" s="8">
        <f t="shared" si="247"/>
        <v>1677</v>
      </c>
      <c r="Q3201" s="8">
        <f t="shared" si="248"/>
        <v>1479</v>
      </c>
      <c r="R3201" s="2" t="s">
        <v>50</v>
      </c>
      <c r="S3201" s="9">
        <f t="shared" si="249"/>
        <v>33.54</v>
      </c>
    </row>
    <row r="3202" spans="1:19" x14ac:dyDescent="0.3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str">
        <f>IFERROR(VLOOKUP('Customer Info'!A3194,'Customer Info'!A3194:C3693,2,FALSE),"Not Found")</f>
        <v>Not Found</v>
      </c>
      <c r="H3202" s="6" t="str">
        <f>IFERROR(VLOOKUP('Customer Info'!A3194,'Customer Info'!A3194:C3693,3,FALSE),"Not Found")</f>
        <v>Not Found</v>
      </c>
      <c r="I3202" s="6" t="str">
        <f>IFERROR(VLOOKUP('Customer Info'!A3194,'Customer Info'!A3194:E3693,5,FALSE),"Not Found")</f>
        <v>Not Found</v>
      </c>
      <c r="J3202" s="2">
        <v>1447</v>
      </c>
      <c r="K3202" s="2">
        <v>1326</v>
      </c>
      <c r="L3202" s="2">
        <v>1</v>
      </c>
      <c r="M3202" s="7">
        <f t="shared" si="245"/>
        <v>1326</v>
      </c>
      <c r="N3202" s="7">
        <f t="shared" si="246"/>
        <v>1447</v>
      </c>
      <c r="O3202" s="2">
        <v>32</v>
      </c>
      <c r="P3202" s="8">
        <f t="shared" si="247"/>
        <v>1479</v>
      </c>
      <c r="Q3202" s="8">
        <f t="shared" si="248"/>
        <v>121</v>
      </c>
      <c r="R3202" s="2" t="s">
        <v>28</v>
      </c>
      <c r="S3202" s="9">
        <f t="shared" si="249"/>
        <v>29.580000000000002</v>
      </c>
    </row>
    <row r="3203" spans="1:19" x14ac:dyDescent="0.3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str">
        <f>IFERROR(VLOOKUP('Customer Info'!A3195,'Customer Info'!A3195:C3694,2,FALSE),"Not Found")</f>
        <v>Not Found</v>
      </c>
      <c r="H3203" s="6" t="str">
        <f>IFERROR(VLOOKUP('Customer Info'!A3195,'Customer Info'!A3195:C3694,3,FALSE),"Not Found")</f>
        <v>Not Found</v>
      </c>
      <c r="I3203" s="6" t="str">
        <f>IFERROR(VLOOKUP('Customer Info'!A3195,'Customer Info'!A3195:E3694,5,FALSE),"Not Found")</f>
        <v>Not Found</v>
      </c>
      <c r="J3203" s="2">
        <v>1601</v>
      </c>
      <c r="K3203" s="2">
        <v>1510</v>
      </c>
      <c r="L3203" s="2">
        <v>1</v>
      </c>
      <c r="M3203" s="7">
        <f t="shared" si="245"/>
        <v>1510</v>
      </c>
      <c r="N3203" s="7">
        <f t="shared" si="246"/>
        <v>1601</v>
      </c>
      <c r="O3203" s="2">
        <v>29</v>
      </c>
      <c r="P3203" s="8">
        <f t="shared" si="247"/>
        <v>1630</v>
      </c>
      <c r="Q3203" s="8">
        <f t="shared" si="248"/>
        <v>91</v>
      </c>
      <c r="R3203" s="2" t="s">
        <v>28</v>
      </c>
      <c r="S3203" s="9">
        <f t="shared" si="249"/>
        <v>32.6</v>
      </c>
    </row>
    <row r="3204" spans="1:19" x14ac:dyDescent="0.3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str">
        <f>IFERROR(VLOOKUP('Customer Info'!A3196,'Customer Info'!A3196:C3695,2,FALSE),"Not Found")</f>
        <v>Not Found</v>
      </c>
      <c r="H3204" s="6" t="str">
        <f>IFERROR(VLOOKUP('Customer Info'!A3196,'Customer Info'!A3196:C3695,3,FALSE),"Not Found")</f>
        <v>Not Found</v>
      </c>
      <c r="I3204" s="6" t="str">
        <f>IFERROR(VLOOKUP('Customer Info'!A3196,'Customer Info'!A3196:E3695,5,FALSE),"Not Found")</f>
        <v>Not Found</v>
      </c>
      <c r="J3204" s="2">
        <v>695</v>
      </c>
      <c r="K3204" s="2">
        <v>661</v>
      </c>
      <c r="L3204" s="2">
        <v>3</v>
      </c>
      <c r="M3204" s="7">
        <f t="shared" si="245"/>
        <v>1983</v>
      </c>
      <c r="N3204" s="7">
        <f t="shared" si="246"/>
        <v>2085</v>
      </c>
      <c r="O3204" s="2">
        <v>38</v>
      </c>
      <c r="P3204" s="8">
        <f t="shared" si="247"/>
        <v>2123</v>
      </c>
      <c r="Q3204" s="8">
        <f t="shared" si="248"/>
        <v>1424</v>
      </c>
      <c r="R3204" s="2" t="s">
        <v>28</v>
      </c>
      <c r="S3204" s="9">
        <f t="shared" si="249"/>
        <v>42.46</v>
      </c>
    </row>
    <row r="3205" spans="1:19" x14ac:dyDescent="0.3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str">
        <f>IFERROR(VLOOKUP('Customer Info'!A3197,'Customer Info'!A3197:C3696,2,FALSE),"Not Found")</f>
        <v>Not Found</v>
      </c>
      <c r="H3205" s="6" t="str">
        <f>IFERROR(VLOOKUP('Customer Info'!A3197,'Customer Info'!A3197:C3696,3,FALSE),"Not Found")</f>
        <v>Not Found</v>
      </c>
      <c r="I3205" s="6" t="str">
        <f>IFERROR(VLOOKUP('Customer Info'!A3197,'Customer Info'!A3197:E3696,5,FALSE),"Not Found")</f>
        <v>Not Found</v>
      </c>
      <c r="J3205" s="2">
        <v>194</v>
      </c>
      <c r="K3205" s="2">
        <v>176</v>
      </c>
      <c r="L3205" s="2">
        <v>4</v>
      </c>
      <c r="M3205" s="7">
        <f t="shared" si="245"/>
        <v>704</v>
      </c>
      <c r="N3205" s="7">
        <f t="shared" si="246"/>
        <v>776</v>
      </c>
      <c r="O3205" s="2">
        <v>30</v>
      </c>
      <c r="P3205" s="8">
        <f t="shared" si="247"/>
        <v>806</v>
      </c>
      <c r="Q3205" s="8">
        <f t="shared" si="248"/>
        <v>600</v>
      </c>
      <c r="R3205" s="2" t="s">
        <v>28</v>
      </c>
      <c r="S3205" s="9">
        <f t="shared" si="249"/>
        <v>16.12</v>
      </c>
    </row>
    <row r="3206" spans="1:19" x14ac:dyDescent="0.3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str">
        <f>IFERROR(VLOOKUP('Customer Info'!A3198,'Customer Info'!A3198:C3697,2,FALSE),"Not Found")</f>
        <v>Not Found</v>
      </c>
      <c r="H3206" s="6" t="str">
        <f>IFERROR(VLOOKUP('Customer Info'!A3198,'Customer Info'!A3198:C3697,3,FALSE),"Not Found")</f>
        <v>Not Found</v>
      </c>
      <c r="I3206" s="6" t="str">
        <f>IFERROR(VLOOKUP('Customer Info'!A3198,'Customer Info'!A3198:E3697,5,FALSE),"Not Found")</f>
        <v>Not Found</v>
      </c>
      <c r="J3206" s="2">
        <v>170</v>
      </c>
      <c r="K3206" s="2">
        <v>160</v>
      </c>
      <c r="L3206" s="2">
        <v>1</v>
      </c>
      <c r="M3206" s="7">
        <f t="shared" si="245"/>
        <v>160</v>
      </c>
      <c r="N3206" s="7">
        <f t="shared" si="246"/>
        <v>170</v>
      </c>
      <c r="O3206" s="2">
        <v>30</v>
      </c>
      <c r="P3206" s="8">
        <f t="shared" si="247"/>
        <v>200</v>
      </c>
      <c r="Q3206" s="8">
        <f t="shared" si="248"/>
        <v>10</v>
      </c>
      <c r="R3206" s="2" t="s">
        <v>26</v>
      </c>
      <c r="S3206" s="9">
        <f t="shared" si="249"/>
        <v>4</v>
      </c>
    </row>
    <row r="3207" spans="1:19" x14ac:dyDescent="0.3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str">
        <f>IFERROR(VLOOKUP('Customer Info'!A3199,'Customer Info'!A3199:C3698,2,FALSE),"Not Found")</f>
        <v>Not Found</v>
      </c>
      <c r="H3207" s="6" t="str">
        <f>IFERROR(VLOOKUP('Customer Info'!A3199,'Customer Info'!A3199:C3698,3,FALSE),"Not Found")</f>
        <v>Not Found</v>
      </c>
      <c r="I3207" s="6" t="str">
        <f>IFERROR(VLOOKUP('Customer Info'!A3199,'Customer Info'!A3199:E3698,5,FALSE),"Not Found")</f>
        <v>Not Found</v>
      </c>
      <c r="J3207" s="2">
        <v>5909</v>
      </c>
      <c r="K3207" s="2">
        <v>5528</v>
      </c>
      <c r="L3207" s="2">
        <v>4</v>
      </c>
      <c r="M3207" s="7">
        <f t="shared" si="245"/>
        <v>22112</v>
      </c>
      <c r="N3207" s="7">
        <f t="shared" si="246"/>
        <v>23636</v>
      </c>
      <c r="O3207" s="2">
        <v>71</v>
      </c>
      <c r="P3207" s="8">
        <f t="shared" si="247"/>
        <v>23707</v>
      </c>
      <c r="Q3207" s="8">
        <f t="shared" si="248"/>
        <v>18108</v>
      </c>
      <c r="R3207" s="2" t="s">
        <v>28</v>
      </c>
      <c r="S3207" s="9">
        <f t="shared" si="249"/>
        <v>1185.3500000000001</v>
      </c>
    </row>
    <row r="3208" spans="1:19" x14ac:dyDescent="0.3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str">
        <f>IFERROR(VLOOKUP('Customer Info'!A3200,'Customer Info'!A3200:C3699,2,FALSE),"Not Found")</f>
        <v>Not Found</v>
      </c>
      <c r="H3208" s="6" t="str">
        <f>IFERROR(VLOOKUP('Customer Info'!A3200,'Customer Info'!A3200:C3699,3,FALSE),"Not Found")</f>
        <v>Not Found</v>
      </c>
      <c r="I3208" s="6" t="str">
        <f>IFERROR(VLOOKUP('Customer Info'!A3200,'Customer Info'!A3200:E3699,5,FALSE),"Not Found")</f>
        <v>Not Found</v>
      </c>
      <c r="J3208" s="2">
        <v>25658</v>
      </c>
      <c r="K3208" s="2">
        <v>24466</v>
      </c>
      <c r="L3208" s="2">
        <v>11</v>
      </c>
      <c r="M3208" s="7">
        <f t="shared" si="245"/>
        <v>269126</v>
      </c>
      <c r="N3208" s="7">
        <f t="shared" si="246"/>
        <v>282238</v>
      </c>
      <c r="O3208" s="2">
        <v>37</v>
      </c>
      <c r="P3208" s="8">
        <f t="shared" si="247"/>
        <v>282275</v>
      </c>
      <c r="Q3208" s="8">
        <f t="shared" si="248"/>
        <v>257772</v>
      </c>
      <c r="R3208" s="2" t="s">
        <v>28</v>
      </c>
      <c r="S3208" s="9">
        <f t="shared" si="249"/>
        <v>33873</v>
      </c>
    </row>
    <row r="3209" spans="1:19" x14ac:dyDescent="0.3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str">
        <f>IFERROR(VLOOKUP('Customer Info'!A3201,'Customer Info'!A3201:C3700,2,FALSE),"Not Found")</f>
        <v>Not Found</v>
      </c>
      <c r="H3209" s="6" t="str">
        <f>IFERROR(VLOOKUP('Customer Info'!A3201,'Customer Info'!A3201:C3700,3,FALSE),"Not Found")</f>
        <v>Not Found</v>
      </c>
      <c r="I3209" s="6" t="str">
        <f>IFERROR(VLOOKUP('Customer Info'!A3201,'Customer Info'!A3201:E3700,5,FALSE),"Not Found")</f>
        <v>Not Found</v>
      </c>
      <c r="J3209" s="2">
        <v>206</v>
      </c>
      <c r="K3209" s="2">
        <v>189</v>
      </c>
      <c r="L3209" s="2">
        <v>5</v>
      </c>
      <c r="M3209" s="7">
        <f t="shared" si="245"/>
        <v>945</v>
      </c>
      <c r="N3209" s="7">
        <f t="shared" si="246"/>
        <v>1030</v>
      </c>
      <c r="O3209" s="2">
        <v>75</v>
      </c>
      <c r="P3209" s="8">
        <f t="shared" si="247"/>
        <v>1105</v>
      </c>
      <c r="Q3209" s="8">
        <f t="shared" si="248"/>
        <v>841</v>
      </c>
      <c r="R3209" s="2" t="s">
        <v>56</v>
      </c>
      <c r="S3209" s="9">
        <f t="shared" si="249"/>
        <v>22.1</v>
      </c>
    </row>
    <row r="3210" spans="1:19" x14ac:dyDescent="0.3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str">
        <f>IFERROR(VLOOKUP('Customer Info'!A3202,'Customer Info'!A3202:C3701,2,FALSE),"Not Found")</f>
        <v>Not Found</v>
      </c>
      <c r="H3210" s="6" t="str">
        <f>IFERROR(VLOOKUP('Customer Info'!A3202,'Customer Info'!A3202:C3701,3,FALSE),"Not Found")</f>
        <v>Not Found</v>
      </c>
      <c r="I3210" s="6" t="str">
        <f>IFERROR(VLOOKUP('Customer Info'!A3202,'Customer Info'!A3202:E3701,5,FALSE),"Not Found")</f>
        <v>Not Found</v>
      </c>
      <c r="J3210" s="2">
        <v>1332</v>
      </c>
      <c r="K3210" s="2">
        <v>1209</v>
      </c>
      <c r="L3210" s="2">
        <v>4</v>
      </c>
      <c r="M3210" s="7">
        <f t="shared" si="245"/>
        <v>4836</v>
      </c>
      <c r="N3210" s="7">
        <f t="shared" si="246"/>
        <v>5328</v>
      </c>
      <c r="O3210" s="2">
        <v>84</v>
      </c>
      <c r="P3210" s="8">
        <f t="shared" si="247"/>
        <v>5412</v>
      </c>
      <c r="Q3210" s="8">
        <f t="shared" si="248"/>
        <v>4119</v>
      </c>
      <c r="R3210" s="2" t="s">
        <v>50</v>
      </c>
      <c r="S3210" s="9">
        <f t="shared" si="249"/>
        <v>270.60000000000002</v>
      </c>
    </row>
    <row r="3211" spans="1:19" x14ac:dyDescent="0.3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str">
        <f>IFERROR(VLOOKUP('Customer Info'!A3203,'Customer Info'!A3203:C3702,2,FALSE),"Not Found")</f>
        <v>Not Found</v>
      </c>
      <c r="H3211" s="6" t="str">
        <f>IFERROR(VLOOKUP('Customer Info'!A3203,'Customer Info'!A3203:C3702,3,FALSE),"Not Found")</f>
        <v>Not Found</v>
      </c>
      <c r="I3211" s="6" t="str">
        <f>IFERROR(VLOOKUP('Customer Info'!A3203,'Customer Info'!A3203:E3702,5,FALSE),"Not Found")</f>
        <v>Not Found</v>
      </c>
      <c r="J3211" s="2">
        <v>4443</v>
      </c>
      <c r="K3211" s="2">
        <v>4079</v>
      </c>
      <c r="L3211" s="2">
        <v>4</v>
      </c>
      <c r="M3211" s="7">
        <f t="shared" ref="M3211:M3274" si="250">$K3211*$L3211</f>
        <v>16316</v>
      </c>
      <c r="N3211" s="7">
        <f t="shared" ref="N3211:N3274" si="251">$J3211*$L3211</f>
        <v>17772</v>
      </c>
      <c r="O3211" s="2">
        <v>79</v>
      </c>
      <c r="P3211" s="8">
        <f t="shared" ref="P3211:P3274" si="252">$N3211+$O3211</f>
        <v>17851</v>
      </c>
      <c r="Q3211" s="8">
        <f t="shared" ref="Q3211:Q3274" si="253">$N3211-$K3211</f>
        <v>13693</v>
      </c>
      <c r="R3211" s="2" t="s">
        <v>28</v>
      </c>
      <c r="S3211" s="9">
        <f t="shared" ref="S3211:S3274" si="254" xml:space="preserve"> P3211 * VLOOKUP(P3211, $T$2:$U$6, 2, TRUE)</f>
        <v>892.55000000000007</v>
      </c>
    </row>
    <row r="3212" spans="1:19" x14ac:dyDescent="0.3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str">
        <f>IFERROR(VLOOKUP('Customer Info'!A3204,'Customer Info'!A3204:C3703,2,FALSE),"Not Found")</f>
        <v>Not Found</v>
      </c>
      <c r="H3212" s="6" t="str">
        <f>IFERROR(VLOOKUP('Customer Info'!A3204,'Customer Info'!A3204:C3703,3,FALSE),"Not Found")</f>
        <v>Not Found</v>
      </c>
      <c r="I3212" s="6" t="str">
        <f>IFERROR(VLOOKUP('Customer Info'!A3204,'Customer Info'!A3204:E3703,5,FALSE),"Not Found")</f>
        <v>Not Found</v>
      </c>
      <c r="J3212" s="2">
        <v>1017</v>
      </c>
      <c r="K3212" s="2">
        <v>950</v>
      </c>
      <c r="L3212" s="2">
        <v>4</v>
      </c>
      <c r="M3212" s="7">
        <f t="shared" si="250"/>
        <v>3800</v>
      </c>
      <c r="N3212" s="7">
        <f t="shared" si="251"/>
        <v>4068</v>
      </c>
      <c r="O3212" s="2">
        <v>41</v>
      </c>
      <c r="P3212" s="8">
        <f t="shared" si="252"/>
        <v>4109</v>
      </c>
      <c r="Q3212" s="8">
        <f t="shared" si="253"/>
        <v>3118</v>
      </c>
      <c r="R3212" s="2" t="s">
        <v>28</v>
      </c>
      <c r="S3212" s="9">
        <f t="shared" si="254"/>
        <v>82.18</v>
      </c>
    </row>
    <row r="3213" spans="1:19" x14ac:dyDescent="0.3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str">
        <f>IFERROR(VLOOKUP('Customer Info'!A3205,'Customer Info'!A3205:C3704,2,FALSE),"Not Found")</f>
        <v>Not Found</v>
      </c>
      <c r="H3213" s="6" t="str">
        <f>IFERROR(VLOOKUP('Customer Info'!A3205,'Customer Info'!A3205:C3704,3,FALSE),"Not Found")</f>
        <v>Not Found</v>
      </c>
      <c r="I3213" s="6" t="str">
        <f>IFERROR(VLOOKUP('Customer Info'!A3205,'Customer Info'!A3205:E3704,5,FALSE),"Not Found")</f>
        <v>Not Found</v>
      </c>
      <c r="J3213" s="2">
        <v>5909</v>
      </c>
      <c r="K3213" s="2">
        <v>5528</v>
      </c>
      <c r="L3213" s="2">
        <v>2</v>
      </c>
      <c r="M3213" s="7">
        <f t="shared" si="250"/>
        <v>11056</v>
      </c>
      <c r="N3213" s="7">
        <f t="shared" si="251"/>
        <v>11818</v>
      </c>
      <c r="O3213" s="2">
        <v>47</v>
      </c>
      <c r="P3213" s="8">
        <f t="shared" si="252"/>
        <v>11865</v>
      </c>
      <c r="Q3213" s="8">
        <f t="shared" si="253"/>
        <v>6290</v>
      </c>
      <c r="R3213" s="2" t="s">
        <v>28</v>
      </c>
      <c r="S3213" s="9">
        <f t="shared" si="254"/>
        <v>593.25</v>
      </c>
    </row>
    <row r="3214" spans="1:19" x14ac:dyDescent="0.3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str">
        <f>IFERROR(VLOOKUP('Customer Info'!A3206,'Customer Info'!A3206:C3705,2,FALSE),"Not Found")</f>
        <v>Not Found</v>
      </c>
      <c r="H3214" s="6" t="str">
        <f>IFERROR(VLOOKUP('Customer Info'!A3206,'Customer Info'!A3206:C3705,3,FALSE),"Not Found")</f>
        <v>Not Found</v>
      </c>
      <c r="I3214" s="6" t="str">
        <f>IFERROR(VLOOKUP('Customer Info'!A3206,'Customer Info'!A3206:E3705,5,FALSE),"Not Found")</f>
        <v>Not Found</v>
      </c>
      <c r="J3214" s="2">
        <v>2526</v>
      </c>
      <c r="K3214" s="2">
        <v>2408</v>
      </c>
      <c r="L3214" s="2">
        <v>5</v>
      </c>
      <c r="M3214" s="7">
        <f t="shared" si="250"/>
        <v>12040</v>
      </c>
      <c r="N3214" s="7">
        <f t="shared" si="251"/>
        <v>12630</v>
      </c>
      <c r="O3214" s="2">
        <v>89</v>
      </c>
      <c r="P3214" s="8">
        <f t="shared" si="252"/>
        <v>12719</v>
      </c>
      <c r="Q3214" s="8">
        <f t="shared" si="253"/>
        <v>10222</v>
      </c>
      <c r="R3214" s="2" t="s">
        <v>50</v>
      </c>
      <c r="S3214" s="9">
        <f t="shared" si="254"/>
        <v>635.95000000000005</v>
      </c>
    </row>
    <row r="3215" spans="1:19" x14ac:dyDescent="0.3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str">
        <f>IFERROR(VLOOKUP('Customer Info'!A3207,'Customer Info'!A3207:C3706,2,FALSE),"Not Found")</f>
        <v>Not Found</v>
      </c>
      <c r="H3215" s="6" t="str">
        <f>IFERROR(VLOOKUP('Customer Info'!A3207,'Customer Info'!A3207:C3706,3,FALSE),"Not Found")</f>
        <v>Not Found</v>
      </c>
      <c r="I3215" s="6" t="str">
        <f>IFERROR(VLOOKUP('Customer Info'!A3207,'Customer Info'!A3207:E3706,5,FALSE),"Not Found")</f>
        <v>Not Found</v>
      </c>
      <c r="J3215" s="2">
        <v>3256</v>
      </c>
      <c r="K3215" s="2">
        <v>3044</v>
      </c>
      <c r="L3215" s="2">
        <v>2</v>
      </c>
      <c r="M3215" s="7">
        <f t="shared" si="250"/>
        <v>6088</v>
      </c>
      <c r="N3215" s="7">
        <f t="shared" si="251"/>
        <v>6512</v>
      </c>
      <c r="O3215" s="2">
        <v>88</v>
      </c>
      <c r="P3215" s="8">
        <f t="shared" si="252"/>
        <v>6600</v>
      </c>
      <c r="Q3215" s="8">
        <f t="shared" si="253"/>
        <v>3468</v>
      </c>
      <c r="R3215" s="2" t="s">
        <v>28</v>
      </c>
      <c r="S3215" s="9">
        <f t="shared" si="254"/>
        <v>330</v>
      </c>
    </row>
    <row r="3216" spans="1:19" x14ac:dyDescent="0.3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str">
        <f>IFERROR(VLOOKUP('Customer Info'!A3208,'Customer Info'!A3208:C3707,2,FALSE),"Not Found")</f>
        <v>Not Found</v>
      </c>
      <c r="H3216" s="6" t="str">
        <f>IFERROR(VLOOKUP('Customer Info'!A3208,'Customer Info'!A3208:C3707,3,FALSE),"Not Found")</f>
        <v>Not Found</v>
      </c>
      <c r="I3216" s="6" t="str">
        <f>IFERROR(VLOOKUP('Customer Info'!A3208,'Customer Info'!A3208:E3707,5,FALSE),"Not Found")</f>
        <v>Not Found</v>
      </c>
      <c r="J3216" s="2">
        <v>7232</v>
      </c>
      <c r="K3216" s="2">
        <v>6753</v>
      </c>
      <c r="L3216" s="2">
        <v>4</v>
      </c>
      <c r="M3216" s="7">
        <f t="shared" si="250"/>
        <v>27012</v>
      </c>
      <c r="N3216" s="7">
        <f t="shared" si="251"/>
        <v>28928</v>
      </c>
      <c r="O3216" s="2">
        <v>85</v>
      </c>
      <c r="P3216" s="8">
        <f t="shared" si="252"/>
        <v>29013</v>
      </c>
      <c r="Q3216" s="8">
        <f t="shared" si="253"/>
        <v>22175</v>
      </c>
      <c r="R3216" s="2" t="s">
        <v>28</v>
      </c>
      <c r="S3216" s="9">
        <f t="shared" si="254"/>
        <v>2030.91</v>
      </c>
    </row>
    <row r="3217" spans="1:19" x14ac:dyDescent="0.3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str">
        <f>IFERROR(VLOOKUP('Customer Info'!A3209,'Customer Info'!A3209:C3708,2,FALSE),"Not Found")</f>
        <v>Not Found</v>
      </c>
      <c r="H3217" s="6" t="str">
        <f>IFERROR(VLOOKUP('Customer Info'!A3209,'Customer Info'!A3209:C3708,3,FALSE),"Not Found")</f>
        <v>Not Found</v>
      </c>
      <c r="I3217" s="6" t="str">
        <f>IFERROR(VLOOKUP('Customer Info'!A3209,'Customer Info'!A3209:E3708,5,FALSE),"Not Found")</f>
        <v>Not Found</v>
      </c>
      <c r="J3217" s="2">
        <v>2843</v>
      </c>
      <c r="K3217" s="2">
        <v>2735</v>
      </c>
      <c r="L3217" s="2">
        <v>1</v>
      </c>
      <c r="M3217" s="7">
        <f t="shared" si="250"/>
        <v>2735</v>
      </c>
      <c r="N3217" s="7">
        <f t="shared" si="251"/>
        <v>2843</v>
      </c>
      <c r="O3217" s="2">
        <v>32</v>
      </c>
      <c r="P3217" s="8">
        <f t="shared" si="252"/>
        <v>2875</v>
      </c>
      <c r="Q3217" s="8">
        <f t="shared" si="253"/>
        <v>108</v>
      </c>
      <c r="R3217" s="2" t="s">
        <v>26</v>
      </c>
      <c r="S3217" s="9">
        <f t="shared" si="254"/>
        <v>57.5</v>
      </c>
    </row>
    <row r="3218" spans="1:19" x14ac:dyDescent="0.3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str">
        <f>IFERROR(VLOOKUP('Customer Info'!A3210,'Customer Info'!A3210:C3709,2,FALSE),"Not Found")</f>
        <v>Not Found</v>
      </c>
      <c r="H3218" s="6" t="str">
        <f>IFERROR(VLOOKUP('Customer Info'!A3210,'Customer Info'!A3210:C3709,3,FALSE),"Not Found")</f>
        <v>Not Found</v>
      </c>
      <c r="I3218" s="6" t="str">
        <f>IFERROR(VLOOKUP('Customer Info'!A3210,'Customer Info'!A3210:E3709,5,FALSE),"Not Found")</f>
        <v>Not Found</v>
      </c>
      <c r="J3218" s="2">
        <v>27691</v>
      </c>
      <c r="K3218" s="2">
        <v>25616</v>
      </c>
      <c r="L3218" s="2">
        <v>2</v>
      </c>
      <c r="M3218" s="7">
        <f t="shared" si="250"/>
        <v>51232</v>
      </c>
      <c r="N3218" s="7">
        <f t="shared" si="251"/>
        <v>55382</v>
      </c>
      <c r="O3218" s="2">
        <v>56</v>
      </c>
      <c r="P3218" s="8">
        <f t="shared" si="252"/>
        <v>55438</v>
      </c>
      <c r="Q3218" s="8">
        <f t="shared" si="253"/>
        <v>29766</v>
      </c>
      <c r="R3218" s="2" t="s">
        <v>26</v>
      </c>
      <c r="S3218" s="9">
        <f t="shared" si="254"/>
        <v>4989.42</v>
      </c>
    </row>
    <row r="3219" spans="1:19" x14ac:dyDescent="0.3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str">
        <f>IFERROR(VLOOKUP('Customer Info'!A3211,'Customer Info'!A3211:C3710,2,FALSE),"Not Found")</f>
        <v>Not Found</v>
      </c>
      <c r="H3219" s="6" t="str">
        <f>IFERROR(VLOOKUP('Customer Info'!A3211,'Customer Info'!A3211:C3710,3,FALSE),"Not Found")</f>
        <v>Not Found</v>
      </c>
      <c r="I3219" s="6" t="str">
        <f>IFERROR(VLOOKUP('Customer Info'!A3211,'Customer Info'!A3211:E3710,5,FALSE),"Not Found")</f>
        <v>Not Found</v>
      </c>
      <c r="J3219" s="2">
        <v>80</v>
      </c>
      <c r="K3219" s="2">
        <v>75</v>
      </c>
      <c r="L3219" s="2">
        <v>6</v>
      </c>
      <c r="M3219" s="7">
        <f t="shared" si="250"/>
        <v>450</v>
      </c>
      <c r="N3219" s="7">
        <f t="shared" si="251"/>
        <v>480</v>
      </c>
      <c r="O3219" s="2">
        <v>10</v>
      </c>
      <c r="P3219" s="8">
        <f t="shared" si="252"/>
        <v>490</v>
      </c>
      <c r="Q3219" s="8">
        <f t="shared" si="253"/>
        <v>405</v>
      </c>
      <c r="R3219" s="2" t="s">
        <v>28</v>
      </c>
      <c r="S3219" s="9">
        <f t="shared" si="254"/>
        <v>9.8000000000000007</v>
      </c>
    </row>
    <row r="3220" spans="1:19" x14ac:dyDescent="0.3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str">
        <f>IFERROR(VLOOKUP('Customer Info'!A3212,'Customer Info'!A3212:C3711,2,FALSE),"Not Found")</f>
        <v>Not Found</v>
      </c>
      <c r="H3220" s="6" t="str">
        <f>IFERROR(VLOOKUP('Customer Info'!A3212,'Customer Info'!A3212:C3711,3,FALSE),"Not Found")</f>
        <v>Not Found</v>
      </c>
      <c r="I3220" s="6" t="str">
        <f>IFERROR(VLOOKUP('Customer Info'!A3212,'Customer Info'!A3212:E3711,5,FALSE),"Not Found")</f>
        <v>Not Found</v>
      </c>
      <c r="J3220" s="2">
        <v>918</v>
      </c>
      <c r="K3220" s="2">
        <v>859</v>
      </c>
      <c r="L3220" s="2">
        <v>1</v>
      </c>
      <c r="M3220" s="7">
        <f t="shared" si="250"/>
        <v>859</v>
      </c>
      <c r="N3220" s="7">
        <f t="shared" si="251"/>
        <v>918</v>
      </c>
      <c r="O3220" s="2">
        <v>33</v>
      </c>
      <c r="P3220" s="8">
        <f t="shared" si="252"/>
        <v>951</v>
      </c>
      <c r="Q3220" s="8">
        <f t="shared" si="253"/>
        <v>59</v>
      </c>
      <c r="R3220" s="2" t="s">
        <v>50</v>
      </c>
      <c r="S3220" s="9">
        <f t="shared" si="254"/>
        <v>19.02</v>
      </c>
    </row>
    <row r="3221" spans="1:19" x14ac:dyDescent="0.3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str">
        <f>IFERROR(VLOOKUP('Customer Info'!A3213,'Customer Info'!A3213:C3712,2,FALSE),"Not Found")</f>
        <v>Not Found</v>
      </c>
      <c r="H3221" s="6" t="str">
        <f>IFERROR(VLOOKUP('Customer Info'!A3213,'Customer Info'!A3213:C3712,3,FALSE),"Not Found")</f>
        <v>Not Found</v>
      </c>
      <c r="I3221" s="6" t="str">
        <f>IFERROR(VLOOKUP('Customer Info'!A3213,'Customer Info'!A3213:E3712,5,FALSE),"Not Found")</f>
        <v>Not Found</v>
      </c>
      <c r="J3221" s="2">
        <v>751</v>
      </c>
      <c r="K3221" s="2">
        <v>696</v>
      </c>
      <c r="L3221" s="2">
        <v>3</v>
      </c>
      <c r="M3221" s="7">
        <f t="shared" si="250"/>
        <v>2088</v>
      </c>
      <c r="N3221" s="7">
        <f t="shared" si="251"/>
        <v>2253</v>
      </c>
      <c r="O3221" s="2">
        <v>54</v>
      </c>
      <c r="P3221" s="8">
        <f t="shared" si="252"/>
        <v>2307</v>
      </c>
      <c r="Q3221" s="8">
        <f t="shared" si="253"/>
        <v>1557</v>
      </c>
      <c r="R3221" s="2" t="s">
        <v>50</v>
      </c>
      <c r="S3221" s="9">
        <f t="shared" si="254"/>
        <v>46.14</v>
      </c>
    </row>
    <row r="3222" spans="1:19" x14ac:dyDescent="0.3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str">
        <f>IFERROR(VLOOKUP('Customer Info'!A3214,'Customer Info'!A3214:C3713,2,FALSE),"Not Found")</f>
        <v>Not Found</v>
      </c>
      <c r="H3222" s="6" t="str">
        <f>IFERROR(VLOOKUP('Customer Info'!A3214,'Customer Info'!A3214:C3713,3,FALSE),"Not Found")</f>
        <v>Not Found</v>
      </c>
      <c r="I3222" s="6" t="str">
        <f>IFERROR(VLOOKUP('Customer Info'!A3214,'Customer Info'!A3214:E3713,5,FALSE),"Not Found")</f>
        <v>Not Found</v>
      </c>
      <c r="J3222" s="2">
        <v>1413</v>
      </c>
      <c r="K3222" s="2">
        <v>1334</v>
      </c>
      <c r="L3222" s="2">
        <v>9</v>
      </c>
      <c r="M3222" s="7">
        <f t="shared" si="250"/>
        <v>12006</v>
      </c>
      <c r="N3222" s="7">
        <f t="shared" si="251"/>
        <v>12717</v>
      </c>
      <c r="O3222" s="2">
        <v>22</v>
      </c>
      <c r="P3222" s="8">
        <f t="shared" si="252"/>
        <v>12739</v>
      </c>
      <c r="Q3222" s="8">
        <f t="shared" si="253"/>
        <v>11383</v>
      </c>
      <c r="R3222" s="2" t="s">
        <v>28</v>
      </c>
      <c r="S3222" s="9">
        <f t="shared" si="254"/>
        <v>636.95000000000005</v>
      </c>
    </row>
    <row r="3223" spans="1:19" x14ac:dyDescent="0.3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str">
        <f>IFERROR(VLOOKUP('Customer Info'!A3215,'Customer Info'!A3215:C3714,2,FALSE),"Not Found")</f>
        <v>Not Found</v>
      </c>
      <c r="H3223" s="6" t="str">
        <f>IFERROR(VLOOKUP('Customer Info'!A3215,'Customer Info'!A3215:C3714,3,FALSE),"Not Found")</f>
        <v>Not Found</v>
      </c>
      <c r="I3223" s="6" t="str">
        <f>IFERROR(VLOOKUP('Customer Info'!A3215,'Customer Info'!A3215:E3714,5,FALSE),"Not Found")</f>
        <v>Not Found</v>
      </c>
      <c r="J3223" s="2">
        <v>1447</v>
      </c>
      <c r="K3223" s="2">
        <v>1326</v>
      </c>
      <c r="L3223" s="2">
        <v>2</v>
      </c>
      <c r="M3223" s="7">
        <f t="shared" si="250"/>
        <v>2652</v>
      </c>
      <c r="N3223" s="7">
        <f t="shared" si="251"/>
        <v>2894</v>
      </c>
      <c r="O3223" s="2">
        <v>98</v>
      </c>
      <c r="P3223" s="8">
        <f t="shared" si="252"/>
        <v>2992</v>
      </c>
      <c r="Q3223" s="8">
        <f t="shared" si="253"/>
        <v>1568</v>
      </c>
      <c r="R3223" s="2" t="s">
        <v>50</v>
      </c>
      <c r="S3223" s="9">
        <f t="shared" si="254"/>
        <v>59.84</v>
      </c>
    </row>
    <row r="3224" spans="1:19" x14ac:dyDescent="0.3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str">
        <f>IFERROR(VLOOKUP('Customer Info'!A3216,'Customer Info'!A3216:C3715,2,FALSE),"Not Found")</f>
        <v>Not Found</v>
      </c>
      <c r="H3224" s="6" t="str">
        <f>IFERROR(VLOOKUP('Customer Info'!A3216,'Customer Info'!A3216:C3715,3,FALSE),"Not Found")</f>
        <v>Not Found</v>
      </c>
      <c r="I3224" s="6" t="str">
        <f>IFERROR(VLOOKUP('Customer Info'!A3216,'Customer Info'!A3216:E3715,5,FALSE),"Not Found")</f>
        <v>Not Found</v>
      </c>
      <c r="J3224" s="2">
        <v>36778</v>
      </c>
      <c r="K3224" s="2">
        <v>34709</v>
      </c>
      <c r="L3224" s="2">
        <v>1</v>
      </c>
      <c r="M3224" s="7">
        <f t="shared" si="250"/>
        <v>34709</v>
      </c>
      <c r="N3224" s="7">
        <f t="shared" si="251"/>
        <v>36778</v>
      </c>
      <c r="O3224" s="2">
        <v>27</v>
      </c>
      <c r="P3224" s="8">
        <f t="shared" si="252"/>
        <v>36805</v>
      </c>
      <c r="Q3224" s="8">
        <f t="shared" si="253"/>
        <v>2069</v>
      </c>
      <c r="R3224" s="2" t="s">
        <v>28</v>
      </c>
      <c r="S3224" s="9">
        <f t="shared" si="254"/>
        <v>2576.3500000000004</v>
      </c>
    </row>
    <row r="3225" spans="1:19" x14ac:dyDescent="0.3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str">
        <f>IFERROR(VLOOKUP('Customer Info'!A3217,'Customer Info'!A3217:C3716,2,FALSE),"Not Found")</f>
        <v>Not Found</v>
      </c>
      <c r="H3225" s="6" t="str">
        <f>IFERROR(VLOOKUP('Customer Info'!A3217,'Customer Info'!A3217:C3716,3,FALSE),"Not Found")</f>
        <v>Not Found</v>
      </c>
      <c r="I3225" s="6" t="str">
        <f>IFERROR(VLOOKUP('Customer Info'!A3217,'Customer Info'!A3217:E3716,5,FALSE),"Not Found")</f>
        <v>Not Found</v>
      </c>
      <c r="J3225" s="2">
        <v>4246</v>
      </c>
      <c r="K3225" s="2">
        <v>3857</v>
      </c>
      <c r="L3225" s="2">
        <v>3</v>
      </c>
      <c r="M3225" s="7">
        <f t="shared" si="250"/>
        <v>11571</v>
      </c>
      <c r="N3225" s="7">
        <f t="shared" si="251"/>
        <v>12738</v>
      </c>
      <c r="O3225" s="2">
        <v>85</v>
      </c>
      <c r="P3225" s="8">
        <f t="shared" si="252"/>
        <v>12823</v>
      </c>
      <c r="Q3225" s="8">
        <f t="shared" si="253"/>
        <v>8881</v>
      </c>
      <c r="R3225" s="2" t="s">
        <v>26</v>
      </c>
      <c r="S3225" s="9">
        <f t="shared" si="254"/>
        <v>641.15000000000009</v>
      </c>
    </row>
    <row r="3226" spans="1:19" x14ac:dyDescent="0.3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str">
        <f>IFERROR(VLOOKUP('Customer Info'!A3218,'Customer Info'!A3218:C3717,2,FALSE),"Not Found")</f>
        <v>Not Found</v>
      </c>
      <c r="H3226" s="6" t="str">
        <f>IFERROR(VLOOKUP('Customer Info'!A3218,'Customer Info'!A3218:C3717,3,FALSE),"Not Found")</f>
        <v>Not Found</v>
      </c>
      <c r="I3226" s="6" t="str">
        <f>IFERROR(VLOOKUP('Customer Info'!A3218,'Customer Info'!A3218:E3717,5,FALSE),"Not Found")</f>
        <v>Not Found</v>
      </c>
      <c r="J3226" s="2">
        <v>3354</v>
      </c>
      <c r="K3226" s="2">
        <v>3102</v>
      </c>
      <c r="L3226" s="2">
        <v>3</v>
      </c>
      <c r="M3226" s="7">
        <f t="shared" si="250"/>
        <v>9306</v>
      </c>
      <c r="N3226" s="7">
        <f t="shared" si="251"/>
        <v>10062</v>
      </c>
      <c r="O3226" s="2">
        <v>87</v>
      </c>
      <c r="P3226" s="8">
        <f t="shared" si="252"/>
        <v>10149</v>
      </c>
      <c r="Q3226" s="8">
        <f t="shared" si="253"/>
        <v>6960</v>
      </c>
      <c r="R3226" s="2" t="s">
        <v>26</v>
      </c>
      <c r="S3226" s="9">
        <f t="shared" si="254"/>
        <v>507.45000000000005</v>
      </c>
    </row>
    <row r="3227" spans="1:19" x14ac:dyDescent="0.3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str">
        <f>IFERROR(VLOOKUP('Customer Info'!A3219,'Customer Info'!A3219:C3718,2,FALSE),"Not Found")</f>
        <v>Not Found</v>
      </c>
      <c r="H3227" s="6" t="str">
        <f>IFERROR(VLOOKUP('Customer Info'!A3219,'Customer Info'!A3219:C3718,3,FALSE),"Not Found")</f>
        <v>Not Found</v>
      </c>
      <c r="I3227" s="6" t="str">
        <f>IFERROR(VLOOKUP('Customer Info'!A3219,'Customer Info'!A3219:E3718,5,FALSE),"Not Found")</f>
        <v>Not Found</v>
      </c>
      <c r="J3227" s="2">
        <v>465</v>
      </c>
      <c r="K3227" s="2">
        <v>439</v>
      </c>
      <c r="L3227" s="2">
        <v>3</v>
      </c>
      <c r="M3227" s="7">
        <f t="shared" si="250"/>
        <v>1317</v>
      </c>
      <c r="N3227" s="7">
        <f t="shared" si="251"/>
        <v>1395</v>
      </c>
      <c r="O3227" s="2">
        <v>45</v>
      </c>
      <c r="P3227" s="8">
        <f t="shared" si="252"/>
        <v>1440</v>
      </c>
      <c r="Q3227" s="8">
        <f t="shared" si="253"/>
        <v>956</v>
      </c>
      <c r="R3227" s="2" t="s">
        <v>28</v>
      </c>
      <c r="S3227" s="9">
        <f t="shared" si="254"/>
        <v>28.8</v>
      </c>
    </row>
    <row r="3228" spans="1:19" x14ac:dyDescent="0.3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str">
        <f>IFERROR(VLOOKUP('Customer Info'!A3220,'Customer Info'!A3220:C3719,2,FALSE),"Not Found")</f>
        <v>Not Found</v>
      </c>
      <c r="H3228" s="6" t="str">
        <f>IFERROR(VLOOKUP('Customer Info'!A3220,'Customer Info'!A3220:C3719,3,FALSE),"Not Found")</f>
        <v>Not Found</v>
      </c>
      <c r="I3228" s="6" t="str">
        <f>IFERROR(VLOOKUP('Customer Info'!A3220,'Customer Info'!A3220:E3719,5,FALSE),"Not Found")</f>
        <v>Not Found</v>
      </c>
      <c r="J3228" s="2">
        <v>2787</v>
      </c>
      <c r="K3228" s="2">
        <v>2681</v>
      </c>
      <c r="L3228" s="2">
        <v>9</v>
      </c>
      <c r="M3228" s="7">
        <f t="shared" si="250"/>
        <v>24129</v>
      </c>
      <c r="N3228" s="7">
        <f t="shared" si="251"/>
        <v>25083</v>
      </c>
      <c r="O3228" s="2">
        <v>97</v>
      </c>
      <c r="P3228" s="8">
        <f t="shared" si="252"/>
        <v>25180</v>
      </c>
      <c r="Q3228" s="8">
        <f t="shared" si="253"/>
        <v>22402</v>
      </c>
      <c r="R3228" s="2" t="s">
        <v>50</v>
      </c>
      <c r="S3228" s="9">
        <f t="shared" si="254"/>
        <v>1762.6000000000001</v>
      </c>
    </row>
    <row r="3229" spans="1:19" x14ac:dyDescent="0.3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str">
        <f>IFERROR(VLOOKUP('Customer Info'!A3221,'Customer Info'!A3221:C3720,2,FALSE),"Not Found")</f>
        <v>Not Found</v>
      </c>
      <c r="H3229" s="6" t="str">
        <f>IFERROR(VLOOKUP('Customer Info'!A3221,'Customer Info'!A3221:C3720,3,FALSE),"Not Found")</f>
        <v>Not Found</v>
      </c>
      <c r="I3229" s="6" t="str">
        <f>IFERROR(VLOOKUP('Customer Info'!A3221,'Customer Info'!A3221:E3720,5,FALSE),"Not Found")</f>
        <v>Not Found</v>
      </c>
      <c r="J3229" s="2">
        <v>1721</v>
      </c>
      <c r="K3229" s="2">
        <v>1640</v>
      </c>
      <c r="L3229" s="2">
        <v>5</v>
      </c>
      <c r="M3229" s="7">
        <f t="shared" si="250"/>
        <v>8200</v>
      </c>
      <c r="N3229" s="7">
        <f t="shared" si="251"/>
        <v>8605</v>
      </c>
      <c r="O3229" s="2">
        <v>49</v>
      </c>
      <c r="P3229" s="8">
        <f t="shared" si="252"/>
        <v>8654</v>
      </c>
      <c r="Q3229" s="8">
        <f t="shared" si="253"/>
        <v>6965</v>
      </c>
      <c r="R3229" s="2" t="s">
        <v>28</v>
      </c>
      <c r="S3229" s="9">
        <f t="shared" si="254"/>
        <v>432.70000000000005</v>
      </c>
    </row>
    <row r="3230" spans="1:19" x14ac:dyDescent="0.3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str">
        <f>IFERROR(VLOOKUP('Customer Info'!A3222,'Customer Info'!A3222:C3721,2,FALSE),"Not Found")</f>
        <v>Not Found</v>
      </c>
      <c r="H3230" s="6" t="str">
        <f>IFERROR(VLOOKUP('Customer Info'!A3222,'Customer Info'!A3222:C3721,3,FALSE),"Not Found")</f>
        <v>Not Found</v>
      </c>
      <c r="I3230" s="6" t="str">
        <f>IFERROR(VLOOKUP('Customer Info'!A3222,'Customer Info'!A3222:E3721,5,FALSE),"Not Found")</f>
        <v>Not Found</v>
      </c>
      <c r="J3230" s="2">
        <v>3184</v>
      </c>
      <c r="K3230" s="2">
        <v>2947</v>
      </c>
      <c r="L3230" s="2">
        <v>5</v>
      </c>
      <c r="M3230" s="7">
        <f t="shared" si="250"/>
        <v>14735</v>
      </c>
      <c r="N3230" s="7">
        <f t="shared" si="251"/>
        <v>15920</v>
      </c>
      <c r="O3230" s="2">
        <v>77</v>
      </c>
      <c r="P3230" s="8">
        <f t="shared" si="252"/>
        <v>15997</v>
      </c>
      <c r="Q3230" s="8">
        <f t="shared" si="253"/>
        <v>12973</v>
      </c>
      <c r="R3230" s="2" t="s">
        <v>28</v>
      </c>
      <c r="S3230" s="9">
        <f t="shared" si="254"/>
        <v>799.85</v>
      </c>
    </row>
    <row r="3231" spans="1:19" x14ac:dyDescent="0.3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str">
        <f>IFERROR(VLOOKUP('Customer Info'!A3223,'Customer Info'!A3223:C3722,2,FALSE),"Not Found")</f>
        <v>Not Found</v>
      </c>
      <c r="H3231" s="6" t="str">
        <f>IFERROR(VLOOKUP('Customer Info'!A3223,'Customer Info'!A3223:C3722,3,FALSE),"Not Found")</f>
        <v>Not Found</v>
      </c>
      <c r="I3231" s="6" t="str">
        <f>IFERROR(VLOOKUP('Customer Info'!A3223,'Customer Info'!A3223:E3722,5,FALSE),"Not Found")</f>
        <v>Not Found</v>
      </c>
      <c r="J3231" s="2">
        <v>918</v>
      </c>
      <c r="K3231" s="2">
        <v>859</v>
      </c>
      <c r="L3231" s="2">
        <v>1</v>
      </c>
      <c r="M3231" s="7">
        <f t="shared" si="250"/>
        <v>859</v>
      </c>
      <c r="N3231" s="7">
        <f t="shared" si="251"/>
        <v>918</v>
      </c>
      <c r="O3231" s="2">
        <v>36</v>
      </c>
      <c r="P3231" s="8">
        <f t="shared" si="252"/>
        <v>954</v>
      </c>
      <c r="Q3231" s="8">
        <f t="shared" si="253"/>
        <v>59</v>
      </c>
      <c r="R3231" s="2" t="s">
        <v>28</v>
      </c>
      <c r="S3231" s="9">
        <f t="shared" si="254"/>
        <v>19.080000000000002</v>
      </c>
    </row>
    <row r="3232" spans="1:19" x14ac:dyDescent="0.3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str">
        <f>IFERROR(VLOOKUP('Customer Info'!A3224,'Customer Info'!A3224:C3723,2,FALSE),"Not Found")</f>
        <v>Not Found</v>
      </c>
      <c r="H3232" s="6" t="str">
        <f>IFERROR(VLOOKUP('Customer Info'!A3224,'Customer Info'!A3224:C3723,3,FALSE),"Not Found")</f>
        <v>Not Found</v>
      </c>
      <c r="I3232" s="6" t="str">
        <f>IFERROR(VLOOKUP('Customer Info'!A3224,'Customer Info'!A3224:E3723,5,FALSE),"Not Found")</f>
        <v>Not Found</v>
      </c>
      <c r="J3232" s="2">
        <v>167</v>
      </c>
      <c r="K3232" s="2">
        <v>155</v>
      </c>
      <c r="L3232" s="2">
        <v>2</v>
      </c>
      <c r="M3232" s="7">
        <f t="shared" si="250"/>
        <v>310</v>
      </c>
      <c r="N3232" s="7">
        <f t="shared" si="251"/>
        <v>334</v>
      </c>
      <c r="O3232" s="2">
        <v>30</v>
      </c>
      <c r="P3232" s="8">
        <f t="shared" si="252"/>
        <v>364</v>
      </c>
      <c r="Q3232" s="8">
        <f t="shared" si="253"/>
        <v>179</v>
      </c>
      <c r="R3232" s="2" t="s">
        <v>50</v>
      </c>
      <c r="S3232" s="9">
        <f t="shared" si="254"/>
        <v>7.28</v>
      </c>
    </row>
    <row r="3233" spans="1:19" x14ac:dyDescent="0.3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str">
        <f>IFERROR(VLOOKUP('Customer Info'!A3225,'Customer Info'!A3225:C3724,2,FALSE),"Not Found")</f>
        <v>Not Found</v>
      </c>
      <c r="H3233" s="6" t="str">
        <f>IFERROR(VLOOKUP('Customer Info'!A3225,'Customer Info'!A3225:C3724,3,FALSE),"Not Found")</f>
        <v>Not Found</v>
      </c>
      <c r="I3233" s="6" t="str">
        <f>IFERROR(VLOOKUP('Customer Info'!A3225,'Customer Info'!A3225:E3724,5,FALSE),"Not Found")</f>
        <v>Not Found</v>
      </c>
      <c r="J3233" s="2">
        <v>7141</v>
      </c>
      <c r="K3233" s="2">
        <v>6541</v>
      </c>
      <c r="L3233" s="2">
        <v>3</v>
      </c>
      <c r="M3233" s="7">
        <f t="shared" si="250"/>
        <v>19623</v>
      </c>
      <c r="N3233" s="7">
        <f t="shared" si="251"/>
        <v>21423</v>
      </c>
      <c r="O3233" s="2">
        <v>34</v>
      </c>
      <c r="P3233" s="8">
        <f t="shared" si="252"/>
        <v>21457</v>
      </c>
      <c r="Q3233" s="8">
        <f t="shared" si="253"/>
        <v>14882</v>
      </c>
      <c r="R3233" s="2" t="s">
        <v>26</v>
      </c>
      <c r="S3233" s="9">
        <f t="shared" si="254"/>
        <v>1072.8500000000001</v>
      </c>
    </row>
    <row r="3234" spans="1:19" x14ac:dyDescent="0.3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str">
        <f>IFERROR(VLOOKUP('Customer Info'!A3226,'Customer Info'!A3226:C3725,2,FALSE),"Not Found")</f>
        <v>Not Found</v>
      </c>
      <c r="H3234" s="6" t="str">
        <f>IFERROR(VLOOKUP('Customer Info'!A3226,'Customer Info'!A3226:C3725,3,FALSE),"Not Found")</f>
        <v>Not Found</v>
      </c>
      <c r="I3234" s="6" t="str">
        <f>IFERROR(VLOOKUP('Customer Info'!A3226,'Customer Info'!A3226:E3725,5,FALSE),"Not Found")</f>
        <v>Not Found</v>
      </c>
      <c r="J3234" s="2">
        <v>7021</v>
      </c>
      <c r="K3234" s="2">
        <v>6686</v>
      </c>
      <c r="L3234" s="2">
        <v>3</v>
      </c>
      <c r="M3234" s="7">
        <f t="shared" si="250"/>
        <v>20058</v>
      </c>
      <c r="N3234" s="7">
        <f t="shared" si="251"/>
        <v>21063</v>
      </c>
      <c r="O3234" s="2">
        <v>86</v>
      </c>
      <c r="P3234" s="8">
        <f t="shared" si="252"/>
        <v>21149</v>
      </c>
      <c r="Q3234" s="8">
        <f t="shared" si="253"/>
        <v>14377</v>
      </c>
      <c r="R3234" s="2" t="s">
        <v>28</v>
      </c>
      <c r="S3234" s="9">
        <f t="shared" si="254"/>
        <v>1057.45</v>
      </c>
    </row>
    <row r="3235" spans="1:19" x14ac:dyDescent="0.3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str">
        <f>IFERROR(VLOOKUP('Customer Info'!A3227,'Customer Info'!A3227:C3726,2,FALSE),"Not Found")</f>
        <v>Not Found</v>
      </c>
      <c r="H3235" s="6" t="str">
        <f>IFERROR(VLOOKUP('Customer Info'!A3227,'Customer Info'!A3227:C3726,3,FALSE),"Not Found")</f>
        <v>Not Found</v>
      </c>
      <c r="I3235" s="6" t="str">
        <f>IFERROR(VLOOKUP('Customer Info'!A3227,'Customer Info'!A3227:E3726,5,FALSE),"Not Found")</f>
        <v>Not Found</v>
      </c>
      <c r="J3235" s="2">
        <v>144</v>
      </c>
      <c r="K3235" s="2">
        <v>132</v>
      </c>
      <c r="L3235" s="2">
        <v>2</v>
      </c>
      <c r="M3235" s="7">
        <f t="shared" si="250"/>
        <v>264</v>
      </c>
      <c r="N3235" s="7">
        <f t="shared" si="251"/>
        <v>288</v>
      </c>
      <c r="O3235" s="2">
        <v>30</v>
      </c>
      <c r="P3235" s="8">
        <f t="shared" si="252"/>
        <v>318</v>
      </c>
      <c r="Q3235" s="8">
        <f t="shared" si="253"/>
        <v>156</v>
      </c>
      <c r="R3235" s="2" t="s">
        <v>50</v>
      </c>
      <c r="S3235" s="9">
        <f t="shared" si="254"/>
        <v>6.36</v>
      </c>
    </row>
    <row r="3236" spans="1:19" x14ac:dyDescent="0.3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str">
        <f>IFERROR(VLOOKUP('Customer Info'!A3228,'Customer Info'!A3228:C3727,2,FALSE),"Not Found")</f>
        <v>Not Found</v>
      </c>
      <c r="H3236" s="6" t="str">
        <f>IFERROR(VLOOKUP('Customer Info'!A3228,'Customer Info'!A3228:C3727,3,FALSE),"Not Found")</f>
        <v>Not Found</v>
      </c>
      <c r="I3236" s="6" t="str">
        <f>IFERROR(VLOOKUP('Customer Info'!A3228,'Customer Info'!A3228:E3727,5,FALSE),"Not Found")</f>
        <v>Not Found</v>
      </c>
      <c r="J3236" s="2">
        <v>139</v>
      </c>
      <c r="K3236" s="2">
        <v>133</v>
      </c>
      <c r="L3236" s="2">
        <v>3</v>
      </c>
      <c r="M3236" s="7">
        <f t="shared" si="250"/>
        <v>399</v>
      </c>
      <c r="N3236" s="7">
        <f t="shared" si="251"/>
        <v>417</v>
      </c>
      <c r="O3236" s="2">
        <v>30</v>
      </c>
      <c r="P3236" s="8">
        <f t="shared" si="252"/>
        <v>447</v>
      </c>
      <c r="Q3236" s="8">
        <f t="shared" si="253"/>
        <v>284</v>
      </c>
      <c r="R3236" s="2" t="s">
        <v>26</v>
      </c>
      <c r="S3236" s="9">
        <f t="shared" si="254"/>
        <v>8.94</v>
      </c>
    </row>
    <row r="3237" spans="1:19" x14ac:dyDescent="0.3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str">
        <f>IFERROR(VLOOKUP('Customer Info'!A3229,'Customer Info'!A3229:C3728,2,FALSE),"Not Found")</f>
        <v>Not Found</v>
      </c>
      <c r="H3237" s="6" t="str">
        <f>IFERROR(VLOOKUP('Customer Info'!A3229,'Customer Info'!A3229:C3728,3,FALSE),"Not Found")</f>
        <v>Not Found</v>
      </c>
      <c r="I3237" s="6" t="str">
        <f>IFERROR(VLOOKUP('Customer Info'!A3229,'Customer Info'!A3229:E3728,5,FALSE),"Not Found")</f>
        <v>Not Found</v>
      </c>
      <c r="J3237" s="2">
        <v>2526</v>
      </c>
      <c r="K3237" s="2">
        <v>2408</v>
      </c>
      <c r="L3237" s="2">
        <v>2</v>
      </c>
      <c r="M3237" s="7">
        <f t="shared" si="250"/>
        <v>4816</v>
      </c>
      <c r="N3237" s="7">
        <f t="shared" si="251"/>
        <v>5052</v>
      </c>
      <c r="O3237" s="2">
        <v>37</v>
      </c>
      <c r="P3237" s="8">
        <f t="shared" si="252"/>
        <v>5089</v>
      </c>
      <c r="Q3237" s="8">
        <f t="shared" si="253"/>
        <v>2644</v>
      </c>
      <c r="R3237" s="2" t="s">
        <v>28</v>
      </c>
      <c r="S3237" s="9">
        <f t="shared" si="254"/>
        <v>254.45000000000002</v>
      </c>
    </row>
    <row r="3238" spans="1:19" x14ac:dyDescent="0.3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str">
        <f>IFERROR(VLOOKUP('Customer Info'!A3230,'Customer Info'!A3230:C3729,2,FALSE),"Not Found")</f>
        <v>Not Found</v>
      </c>
      <c r="H3238" s="6" t="str">
        <f>IFERROR(VLOOKUP('Customer Info'!A3230,'Customer Info'!A3230:C3729,3,FALSE),"Not Found")</f>
        <v>Not Found</v>
      </c>
      <c r="I3238" s="6" t="str">
        <f>IFERROR(VLOOKUP('Customer Info'!A3230,'Customer Info'!A3230:E3729,5,FALSE),"Not Found")</f>
        <v>Not Found</v>
      </c>
      <c r="J3238" s="2">
        <v>7350</v>
      </c>
      <c r="K3238" s="2">
        <v>6743</v>
      </c>
      <c r="L3238" s="2">
        <v>2</v>
      </c>
      <c r="M3238" s="7">
        <f t="shared" si="250"/>
        <v>13486</v>
      </c>
      <c r="N3238" s="7">
        <f t="shared" si="251"/>
        <v>14700</v>
      </c>
      <c r="O3238" s="2">
        <v>71</v>
      </c>
      <c r="P3238" s="8">
        <f t="shared" si="252"/>
        <v>14771</v>
      </c>
      <c r="Q3238" s="8">
        <f t="shared" si="253"/>
        <v>7957</v>
      </c>
      <c r="R3238" s="2" t="s">
        <v>28</v>
      </c>
      <c r="S3238" s="9">
        <f t="shared" si="254"/>
        <v>738.55000000000007</v>
      </c>
    </row>
    <row r="3239" spans="1:19" x14ac:dyDescent="0.3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str">
        <f>IFERROR(VLOOKUP('Customer Info'!A3231,'Customer Info'!A3231:C3730,2,FALSE),"Not Found")</f>
        <v>Not Found</v>
      </c>
      <c r="H3239" s="6" t="str">
        <f>IFERROR(VLOOKUP('Customer Info'!A3231,'Customer Info'!A3231:C3730,3,FALSE),"Not Found")</f>
        <v>Not Found</v>
      </c>
      <c r="I3239" s="6" t="str">
        <f>IFERROR(VLOOKUP('Customer Info'!A3231,'Customer Info'!A3231:E3730,5,FALSE),"Not Found")</f>
        <v>Not Found</v>
      </c>
      <c r="J3239" s="2">
        <v>511</v>
      </c>
      <c r="K3239" s="2">
        <v>468</v>
      </c>
      <c r="L3239" s="2">
        <v>3</v>
      </c>
      <c r="M3239" s="7">
        <f t="shared" si="250"/>
        <v>1404</v>
      </c>
      <c r="N3239" s="7">
        <f t="shared" si="251"/>
        <v>1533</v>
      </c>
      <c r="O3239" s="2">
        <v>23</v>
      </c>
      <c r="P3239" s="8">
        <f t="shared" si="252"/>
        <v>1556</v>
      </c>
      <c r="Q3239" s="8">
        <f t="shared" si="253"/>
        <v>1065</v>
      </c>
      <c r="R3239" s="2" t="s">
        <v>50</v>
      </c>
      <c r="S3239" s="9">
        <f t="shared" si="254"/>
        <v>31.12</v>
      </c>
    </row>
    <row r="3240" spans="1:19" x14ac:dyDescent="0.3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str">
        <f>IFERROR(VLOOKUP('Customer Info'!A3232,'Customer Info'!A3232:C3731,2,FALSE),"Not Found")</f>
        <v>Not Found</v>
      </c>
      <c r="H3240" s="6" t="str">
        <f>IFERROR(VLOOKUP('Customer Info'!A3232,'Customer Info'!A3232:C3731,3,FALSE),"Not Found")</f>
        <v>Not Found</v>
      </c>
      <c r="I3240" s="6" t="str">
        <f>IFERROR(VLOOKUP('Customer Info'!A3232,'Customer Info'!A3232:E3731,5,FALSE),"Not Found")</f>
        <v>Not Found</v>
      </c>
      <c r="J3240" s="2">
        <v>6087</v>
      </c>
      <c r="K3240" s="2">
        <v>5808</v>
      </c>
      <c r="L3240" s="2">
        <v>2</v>
      </c>
      <c r="M3240" s="7">
        <f t="shared" si="250"/>
        <v>11616</v>
      </c>
      <c r="N3240" s="7">
        <f t="shared" si="251"/>
        <v>12174</v>
      </c>
      <c r="O3240" s="2">
        <v>56</v>
      </c>
      <c r="P3240" s="8">
        <f t="shared" si="252"/>
        <v>12230</v>
      </c>
      <c r="Q3240" s="8">
        <f t="shared" si="253"/>
        <v>6366</v>
      </c>
      <c r="R3240" s="2" t="s">
        <v>28</v>
      </c>
      <c r="S3240" s="9">
        <f t="shared" si="254"/>
        <v>611.5</v>
      </c>
    </row>
    <row r="3241" spans="1:19" x14ac:dyDescent="0.3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str">
        <f>IFERROR(VLOOKUP('Customer Info'!A3233,'Customer Info'!A3233:C3732,2,FALSE),"Not Found")</f>
        <v>Not Found</v>
      </c>
      <c r="H3241" s="6" t="str">
        <f>IFERROR(VLOOKUP('Customer Info'!A3233,'Customer Info'!A3233:C3732,3,FALSE),"Not Found")</f>
        <v>Not Found</v>
      </c>
      <c r="I3241" s="6" t="str">
        <f>IFERROR(VLOOKUP('Customer Info'!A3233,'Customer Info'!A3233:E3732,5,FALSE),"Not Found")</f>
        <v>Not Found</v>
      </c>
      <c r="J3241" s="2">
        <v>4577</v>
      </c>
      <c r="K3241" s="2">
        <v>4280</v>
      </c>
      <c r="L3241" s="2">
        <v>3</v>
      </c>
      <c r="M3241" s="7">
        <f t="shared" si="250"/>
        <v>12840</v>
      </c>
      <c r="N3241" s="7">
        <f t="shared" si="251"/>
        <v>13731</v>
      </c>
      <c r="O3241" s="2">
        <v>91</v>
      </c>
      <c r="P3241" s="8">
        <f t="shared" si="252"/>
        <v>13822</v>
      </c>
      <c r="Q3241" s="8">
        <f t="shared" si="253"/>
        <v>9451</v>
      </c>
      <c r="R3241" s="2" t="s">
        <v>50</v>
      </c>
      <c r="S3241" s="9">
        <f t="shared" si="254"/>
        <v>691.1</v>
      </c>
    </row>
    <row r="3242" spans="1:19" x14ac:dyDescent="0.3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str">
        <f>IFERROR(VLOOKUP('Customer Info'!A3234,'Customer Info'!A3234:C3733,2,FALSE),"Not Found")</f>
        <v>Not Found</v>
      </c>
      <c r="H3242" s="6" t="str">
        <f>IFERROR(VLOOKUP('Customer Info'!A3234,'Customer Info'!A3234:C3733,3,FALSE),"Not Found")</f>
        <v>Not Found</v>
      </c>
      <c r="I3242" s="6" t="str">
        <f>IFERROR(VLOOKUP('Customer Info'!A3234,'Customer Info'!A3234:E3733,5,FALSE),"Not Found")</f>
        <v>Not Found</v>
      </c>
      <c r="J3242" s="2">
        <v>24662</v>
      </c>
      <c r="K3242" s="2">
        <v>23061</v>
      </c>
      <c r="L3242" s="2">
        <v>5</v>
      </c>
      <c r="M3242" s="7">
        <f t="shared" si="250"/>
        <v>115305</v>
      </c>
      <c r="N3242" s="7">
        <f t="shared" si="251"/>
        <v>123310</v>
      </c>
      <c r="O3242" s="2">
        <v>47</v>
      </c>
      <c r="P3242" s="8">
        <f t="shared" si="252"/>
        <v>123357</v>
      </c>
      <c r="Q3242" s="8">
        <f t="shared" si="253"/>
        <v>100249</v>
      </c>
      <c r="R3242" s="2" t="s">
        <v>28</v>
      </c>
      <c r="S3242" s="9">
        <f t="shared" si="254"/>
        <v>14802.84</v>
      </c>
    </row>
    <row r="3243" spans="1:19" x14ac:dyDescent="0.3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str">
        <f>IFERROR(VLOOKUP('Customer Info'!A3235,'Customer Info'!A3235:C3734,2,FALSE),"Not Found")</f>
        <v>Not Found</v>
      </c>
      <c r="H3243" s="6" t="str">
        <f>IFERROR(VLOOKUP('Customer Info'!A3235,'Customer Info'!A3235:C3734,3,FALSE),"Not Found")</f>
        <v>Not Found</v>
      </c>
      <c r="I3243" s="6" t="str">
        <f>IFERROR(VLOOKUP('Customer Info'!A3235,'Customer Info'!A3235:E3734,5,FALSE),"Not Found")</f>
        <v>Not Found</v>
      </c>
      <c r="J3243" s="2">
        <v>1533</v>
      </c>
      <c r="K3243" s="2">
        <v>1406</v>
      </c>
      <c r="L3243" s="2">
        <v>1</v>
      </c>
      <c r="M3243" s="7">
        <f t="shared" si="250"/>
        <v>1406</v>
      </c>
      <c r="N3243" s="7">
        <f t="shared" si="251"/>
        <v>1533</v>
      </c>
      <c r="O3243" s="2">
        <v>57</v>
      </c>
      <c r="P3243" s="8">
        <f t="shared" si="252"/>
        <v>1590</v>
      </c>
      <c r="Q3243" s="8">
        <f t="shared" si="253"/>
        <v>127</v>
      </c>
      <c r="R3243" s="2" t="s">
        <v>28</v>
      </c>
      <c r="S3243" s="9">
        <f t="shared" si="254"/>
        <v>31.8</v>
      </c>
    </row>
    <row r="3244" spans="1:19" x14ac:dyDescent="0.3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str">
        <f>IFERROR(VLOOKUP('Customer Info'!A3236,'Customer Info'!A3236:C3735,2,FALSE),"Not Found")</f>
        <v>Not Found</v>
      </c>
      <c r="H3244" s="6" t="str">
        <f>IFERROR(VLOOKUP('Customer Info'!A3236,'Customer Info'!A3236:C3735,3,FALSE),"Not Found")</f>
        <v>Not Found</v>
      </c>
      <c r="I3244" s="6" t="str">
        <f>IFERROR(VLOOKUP('Customer Info'!A3236,'Customer Info'!A3236:E3735,5,FALSE),"Not Found")</f>
        <v>Not Found</v>
      </c>
      <c r="J3244" s="2">
        <v>37949</v>
      </c>
      <c r="K3244" s="2">
        <v>34816</v>
      </c>
      <c r="L3244" s="2">
        <v>7</v>
      </c>
      <c r="M3244" s="7">
        <f t="shared" si="250"/>
        <v>243712</v>
      </c>
      <c r="N3244" s="7">
        <f t="shared" si="251"/>
        <v>265643</v>
      </c>
      <c r="O3244" s="2">
        <v>51</v>
      </c>
      <c r="P3244" s="8">
        <f t="shared" si="252"/>
        <v>265694</v>
      </c>
      <c r="Q3244" s="8">
        <f t="shared" si="253"/>
        <v>230827</v>
      </c>
      <c r="R3244" s="2" t="s">
        <v>50</v>
      </c>
      <c r="S3244" s="9">
        <f t="shared" si="254"/>
        <v>31883.279999999999</v>
      </c>
    </row>
    <row r="3245" spans="1:19" x14ac:dyDescent="0.3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str">
        <f>IFERROR(VLOOKUP('Customer Info'!A3237,'Customer Info'!A3237:C3736,2,FALSE),"Not Found")</f>
        <v>Not Found</v>
      </c>
      <c r="H3245" s="6" t="str">
        <f>IFERROR(VLOOKUP('Customer Info'!A3237,'Customer Info'!A3237:C3736,3,FALSE),"Not Found")</f>
        <v>Not Found</v>
      </c>
      <c r="I3245" s="6" t="str">
        <f>IFERROR(VLOOKUP('Customer Info'!A3237,'Customer Info'!A3237:E3736,5,FALSE),"Not Found")</f>
        <v>Not Found</v>
      </c>
      <c r="J3245" s="2">
        <v>1916</v>
      </c>
      <c r="K3245" s="2">
        <v>1844</v>
      </c>
      <c r="L3245" s="2">
        <v>3</v>
      </c>
      <c r="M3245" s="7">
        <f t="shared" si="250"/>
        <v>5532</v>
      </c>
      <c r="N3245" s="7">
        <f t="shared" si="251"/>
        <v>5748</v>
      </c>
      <c r="O3245" s="2">
        <v>60</v>
      </c>
      <c r="P3245" s="8">
        <f t="shared" si="252"/>
        <v>5808</v>
      </c>
      <c r="Q3245" s="8">
        <f t="shared" si="253"/>
        <v>3904</v>
      </c>
      <c r="R3245" s="2" t="s">
        <v>50</v>
      </c>
      <c r="S3245" s="9">
        <f t="shared" si="254"/>
        <v>290.40000000000003</v>
      </c>
    </row>
    <row r="3246" spans="1:19" x14ac:dyDescent="0.3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str">
        <f>IFERROR(VLOOKUP('Customer Info'!A3238,'Customer Info'!A3238:C3737,2,FALSE),"Not Found")</f>
        <v>Not Found</v>
      </c>
      <c r="H3246" s="6" t="str">
        <f>IFERROR(VLOOKUP('Customer Info'!A3238,'Customer Info'!A3238:C3737,3,FALSE),"Not Found")</f>
        <v>Not Found</v>
      </c>
      <c r="I3246" s="6" t="str">
        <f>IFERROR(VLOOKUP('Customer Info'!A3238,'Customer Info'!A3238:E3737,5,FALSE),"Not Found")</f>
        <v>Not Found</v>
      </c>
      <c r="J3246" s="2">
        <v>3256</v>
      </c>
      <c r="K3246" s="2">
        <v>3044</v>
      </c>
      <c r="L3246" s="2">
        <v>4</v>
      </c>
      <c r="M3246" s="7">
        <f t="shared" si="250"/>
        <v>12176</v>
      </c>
      <c r="N3246" s="7">
        <f t="shared" si="251"/>
        <v>13024</v>
      </c>
      <c r="O3246" s="2">
        <v>21</v>
      </c>
      <c r="P3246" s="8">
        <f t="shared" si="252"/>
        <v>13045</v>
      </c>
      <c r="Q3246" s="8">
        <f t="shared" si="253"/>
        <v>9980</v>
      </c>
      <c r="R3246" s="2" t="s">
        <v>26</v>
      </c>
      <c r="S3246" s="9">
        <f t="shared" si="254"/>
        <v>652.25</v>
      </c>
    </row>
    <row r="3247" spans="1:19" x14ac:dyDescent="0.3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str">
        <f>IFERROR(VLOOKUP('Customer Info'!A3239,'Customer Info'!A3239:C3738,2,FALSE),"Not Found")</f>
        <v>Not Found</v>
      </c>
      <c r="H3247" s="6" t="str">
        <f>IFERROR(VLOOKUP('Customer Info'!A3239,'Customer Info'!A3239:C3738,3,FALSE),"Not Found")</f>
        <v>Not Found</v>
      </c>
      <c r="I3247" s="6" t="str">
        <f>IFERROR(VLOOKUP('Customer Info'!A3239,'Customer Info'!A3239:E3738,5,FALSE),"Not Found")</f>
        <v>Not Found</v>
      </c>
      <c r="J3247" s="2">
        <v>2250</v>
      </c>
      <c r="K3247" s="2">
        <v>2207</v>
      </c>
      <c r="L3247" s="2">
        <v>2</v>
      </c>
      <c r="M3247" s="7">
        <f t="shared" si="250"/>
        <v>4414</v>
      </c>
      <c r="N3247" s="7">
        <f t="shared" si="251"/>
        <v>4500</v>
      </c>
      <c r="O3247" s="2">
        <v>62</v>
      </c>
      <c r="P3247" s="8">
        <f t="shared" si="252"/>
        <v>4562</v>
      </c>
      <c r="Q3247" s="8">
        <f t="shared" si="253"/>
        <v>2293</v>
      </c>
      <c r="R3247" s="2" t="s">
        <v>50</v>
      </c>
      <c r="S3247" s="9">
        <f t="shared" si="254"/>
        <v>91.24</v>
      </c>
    </row>
    <row r="3248" spans="1:19" x14ac:dyDescent="0.3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str">
        <f>IFERROR(VLOOKUP('Customer Info'!A3240,'Customer Info'!A3240:C3739,2,FALSE),"Not Found")</f>
        <v>Not Found</v>
      </c>
      <c r="H3248" s="6" t="str">
        <f>IFERROR(VLOOKUP('Customer Info'!A3240,'Customer Info'!A3240:C3739,3,FALSE),"Not Found")</f>
        <v>Not Found</v>
      </c>
      <c r="I3248" s="6" t="str">
        <f>IFERROR(VLOOKUP('Customer Info'!A3240,'Customer Info'!A3240:E3739,5,FALSE),"Not Found")</f>
        <v>Not Found</v>
      </c>
      <c r="J3248" s="2">
        <v>96</v>
      </c>
      <c r="K3248" s="2">
        <v>87</v>
      </c>
      <c r="L3248" s="2">
        <v>7</v>
      </c>
      <c r="M3248" s="7">
        <f t="shared" si="250"/>
        <v>609</v>
      </c>
      <c r="N3248" s="7">
        <f t="shared" si="251"/>
        <v>672</v>
      </c>
      <c r="O3248" s="2">
        <v>10</v>
      </c>
      <c r="P3248" s="8">
        <f t="shared" si="252"/>
        <v>682</v>
      </c>
      <c r="Q3248" s="8">
        <f t="shared" si="253"/>
        <v>585</v>
      </c>
      <c r="R3248" s="2" t="s">
        <v>28</v>
      </c>
      <c r="S3248" s="9">
        <f t="shared" si="254"/>
        <v>13.64</v>
      </c>
    </row>
    <row r="3249" spans="1:19" x14ac:dyDescent="0.3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str">
        <f>IFERROR(VLOOKUP('Customer Info'!A3241,'Customer Info'!A3241:C3740,2,FALSE),"Not Found")</f>
        <v>Not Found</v>
      </c>
      <c r="H3249" s="6" t="str">
        <f>IFERROR(VLOOKUP('Customer Info'!A3241,'Customer Info'!A3241:C3740,3,FALSE),"Not Found")</f>
        <v>Not Found</v>
      </c>
      <c r="I3249" s="6" t="str">
        <f>IFERROR(VLOOKUP('Customer Info'!A3241,'Customer Info'!A3241:E3740,5,FALSE),"Not Found")</f>
        <v>Not Found</v>
      </c>
      <c r="J3249" s="2">
        <v>4246</v>
      </c>
      <c r="K3249" s="2">
        <v>3857</v>
      </c>
      <c r="L3249" s="2">
        <v>2</v>
      </c>
      <c r="M3249" s="7">
        <f t="shared" si="250"/>
        <v>7714</v>
      </c>
      <c r="N3249" s="7">
        <f t="shared" si="251"/>
        <v>8492</v>
      </c>
      <c r="O3249" s="2">
        <v>100</v>
      </c>
      <c r="P3249" s="8">
        <f t="shared" si="252"/>
        <v>8592</v>
      </c>
      <c r="Q3249" s="8">
        <f t="shared" si="253"/>
        <v>4635</v>
      </c>
      <c r="R3249" s="2" t="s">
        <v>28</v>
      </c>
      <c r="S3249" s="9">
        <f t="shared" si="254"/>
        <v>429.6</v>
      </c>
    </row>
    <row r="3250" spans="1:19" x14ac:dyDescent="0.3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str">
        <f>IFERROR(VLOOKUP('Customer Info'!A3242,'Customer Info'!A3242:C3741,2,FALSE),"Not Found")</f>
        <v>Not Found</v>
      </c>
      <c r="H3250" s="6" t="str">
        <f>IFERROR(VLOOKUP('Customer Info'!A3242,'Customer Info'!A3242:C3741,3,FALSE),"Not Found")</f>
        <v>Not Found</v>
      </c>
      <c r="I3250" s="6" t="str">
        <f>IFERROR(VLOOKUP('Customer Info'!A3242,'Customer Info'!A3242:E3741,5,FALSE),"Not Found")</f>
        <v>Not Found</v>
      </c>
      <c r="J3250" s="2">
        <v>56</v>
      </c>
      <c r="K3250" s="2">
        <v>54</v>
      </c>
      <c r="L3250" s="2">
        <v>1</v>
      </c>
      <c r="M3250" s="7">
        <f t="shared" si="250"/>
        <v>54</v>
      </c>
      <c r="N3250" s="7">
        <f t="shared" si="251"/>
        <v>56</v>
      </c>
      <c r="O3250" s="2">
        <v>10</v>
      </c>
      <c r="P3250" s="8">
        <f t="shared" si="252"/>
        <v>66</v>
      </c>
      <c r="Q3250" s="8">
        <f t="shared" si="253"/>
        <v>2</v>
      </c>
      <c r="R3250" s="2" t="s">
        <v>28</v>
      </c>
      <c r="S3250" s="9">
        <f t="shared" si="254"/>
        <v>1.32</v>
      </c>
    </row>
    <row r="3251" spans="1:19" x14ac:dyDescent="0.3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str">
        <f>IFERROR(VLOOKUP('Customer Info'!A3243,'Customer Info'!A3243:C3742,2,FALSE),"Not Found")</f>
        <v>Not Found</v>
      </c>
      <c r="H3251" s="6" t="str">
        <f>IFERROR(VLOOKUP('Customer Info'!A3243,'Customer Info'!A3243:C3742,3,FALSE),"Not Found")</f>
        <v>Not Found</v>
      </c>
      <c r="I3251" s="6" t="str">
        <f>IFERROR(VLOOKUP('Customer Info'!A3243,'Customer Info'!A3243:E3742,5,FALSE),"Not Found")</f>
        <v>Not Found</v>
      </c>
      <c r="J3251" s="2">
        <v>825</v>
      </c>
      <c r="K3251" s="2">
        <v>793</v>
      </c>
      <c r="L3251" s="2">
        <v>2</v>
      </c>
      <c r="M3251" s="7">
        <f t="shared" si="250"/>
        <v>1586</v>
      </c>
      <c r="N3251" s="7">
        <f t="shared" si="251"/>
        <v>1650</v>
      </c>
      <c r="O3251" s="2">
        <v>30</v>
      </c>
      <c r="P3251" s="8">
        <f t="shared" si="252"/>
        <v>1680</v>
      </c>
      <c r="Q3251" s="8">
        <f t="shared" si="253"/>
        <v>857</v>
      </c>
      <c r="R3251" s="2" t="s">
        <v>50</v>
      </c>
      <c r="S3251" s="9">
        <f t="shared" si="254"/>
        <v>33.6</v>
      </c>
    </row>
    <row r="3252" spans="1:19" x14ac:dyDescent="0.3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str">
        <f>IFERROR(VLOOKUP('Customer Info'!A3244,'Customer Info'!A3244:C3743,2,FALSE),"Not Found")</f>
        <v>Not Found</v>
      </c>
      <c r="H3252" s="6" t="str">
        <f>IFERROR(VLOOKUP('Customer Info'!A3244,'Customer Info'!A3244:C3743,3,FALSE),"Not Found")</f>
        <v>Not Found</v>
      </c>
      <c r="I3252" s="6" t="str">
        <f>IFERROR(VLOOKUP('Customer Info'!A3244,'Customer Info'!A3244:E3743,5,FALSE),"Not Found")</f>
        <v>Not Found</v>
      </c>
      <c r="J3252" s="2">
        <v>7960</v>
      </c>
      <c r="K3252" s="2">
        <v>7375</v>
      </c>
      <c r="L3252" s="2">
        <v>5</v>
      </c>
      <c r="M3252" s="7">
        <f t="shared" si="250"/>
        <v>36875</v>
      </c>
      <c r="N3252" s="7">
        <f t="shared" si="251"/>
        <v>39800</v>
      </c>
      <c r="O3252" s="2">
        <v>71</v>
      </c>
      <c r="P3252" s="8">
        <f t="shared" si="252"/>
        <v>39871</v>
      </c>
      <c r="Q3252" s="8">
        <f t="shared" si="253"/>
        <v>32425</v>
      </c>
      <c r="R3252" s="2" t="s">
        <v>56</v>
      </c>
      <c r="S3252" s="9">
        <f t="shared" si="254"/>
        <v>2790.9700000000003</v>
      </c>
    </row>
    <row r="3253" spans="1:19" x14ac:dyDescent="0.3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str">
        <f>IFERROR(VLOOKUP('Customer Info'!A3245,'Customer Info'!A3245:C3744,2,FALSE),"Not Found")</f>
        <v>Not Found</v>
      </c>
      <c r="H3253" s="6" t="str">
        <f>IFERROR(VLOOKUP('Customer Info'!A3245,'Customer Info'!A3245:C3744,3,FALSE),"Not Found")</f>
        <v>Not Found</v>
      </c>
      <c r="I3253" s="6" t="str">
        <f>IFERROR(VLOOKUP('Customer Info'!A3245,'Customer Info'!A3245:E3744,5,FALSE),"Not Found")</f>
        <v>Not Found</v>
      </c>
      <c r="J3253" s="2">
        <v>8738</v>
      </c>
      <c r="K3253" s="2">
        <v>8162</v>
      </c>
      <c r="L3253" s="2">
        <v>3</v>
      </c>
      <c r="M3253" s="7">
        <f t="shared" si="250"/>
        <v>24486</v>
      </c>
      <c r="N3253" s="7">
        <f t="shared" si="251"/>
        <v>26214</v>
      </c>
      <c r="O3253" s="2">
        <v>76</v>
      </c>
      <c r="P3253" s="8">
        <f t="shared" si="252"/>
        <v>26290</v>
      </c>
      <c r="Q3253" s="8">
        <f t="shared" si="253"/>
        <v>18052</v>
      </c>
      <c r="R3253" s="2" t="s">
        <v>50</v>
      </c>
      <c r="S3253" s="9">
        <f t="shared" si="254"/>
        <v>1840.3000000000002</v>
      </c>
    </row>
    <row r="3254" spans="1:19" x14ac:dyDescent="0.3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str">
        <f>IFERROR(VLOOKUP('Customer Info'!A3246,'Customer Info'!A3246:C3745,2,FALSE),"Not Found")</f>
        <v>Not Found</v>
      </c>
      <c r="H3254" s="6" t="str">
        <f>IFERROR(VLOOKUP('Customer Info'!A3246,'Customer Info'!A3246:C3745,3,FALSE),"Not Found")</f>
        <v>Not Found</v>
      </c>
      <c r="I3254" s="6" t="str">
        <f>IFERROR(VLOOKUP('Customer Info'!A3246,'Customer Info'!A3246:E3745,5,FALSE),"Not Found")</f>
        <v>Not Found</v>
      </c>
      <c r="J3254" s="2">
        <v>789</v>
      </c>
      <c r="K3254" s="2">
        <v>739</v>
      </c>
      <c r="L3254" s="2">
        <v>3</v>
      </c>
      <c r="M3254" s="7">
        <f t="shared" si="250"/>
        <v>2217</v>
      </c>
      <c r="N3254" s="7">
        <f t="shared" si="251"/>
        <v>2367</v>
      </c>
      <c r="O3254" s="2">
        <v>60</v>
      </c>
      <c r="P3254" s="8">
        <f t="shared" si="252"/>
        <v>2427</v>
      </c>
      <c r="Q3254" s="8">
        <f t="shared" si="253"/>
        <v>1628</v>
      </c>
      <c r="R3254" s="2" t="s">
        <v>56</v>
      </c>
      <c r="S3254" s="9">
        <f t="shared" si="254"/>
        <v>48.54</v>
      </c>
    </row>
    <row r="3255" spans="1:19" x14ac:dyDescent="0.3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str">
        <f>IFERROR(VLOOKUP('Customer Info'!A3247,'Customer Info'!A3247:C3746,2,FALSE),"Not Found")</f>
        <v>Not Found</v>
      </c>
      <c r="H3255" s="6" t="str">
        <f>IFERROR(VLOOKUP('Customer Info'!A3247,'Customer Info'!A3247:C3746,3,FALSE),"Not Found")</f>
        <v>Not Found</v>
      </c>
      <c r="I3255" s="6" t="str">
        <f>IFERROR(VLOOKUP('Customer Info'!A3247,'Customer Info'!A3247:E3746,5,FALSE),"Not Found")</f>
        <v>Not Found</v>
      </c>
      <c r="J3255" s="2">
        <v>681</v>
      </c>
      <c r="K3255" s="2">
        <v>642</v>
      </c>
      <c r="L3255" s="2">
        <v>7</v>
      </c>
      <c r="M3255" s="7">
        <f t="shared" si="250"/>
        <v>4494</v>
      </c>
      <c r="N3255" s="7">
        <f t="shared" si="251"/>
        <v>4767</v>
      </c>
      <c r="O3255" s="2">
        <v>27</v>
      </c>
      <c r="P3255" s="8">
        <f t="shared" si="252"/>
        <v>4794</v>
      </c>
      <c r="Q3255" s="8">
        <f t="shared" si="253"/>
        <v>4125</v>
      </c>
      <c r="R3255" s="2" t="s">
        <v>28</v>
      </c>
      <c r="S3255" s="9">
        <f t="shared" si="254"/>
        <v>95.88</v>
      </c>
    </row>
    <row r="3256" spans="1:19" x14ac:dyDescent="0.3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str">
        <f>IFERROR(VLOOKUP('Customer Info'!A3248,'Customer Info'!A3248:C3747,2,FALSE),"Not Found")</f>
        <v>Not Found</v>
      </c>
      <c r="H3256" s="6" t="str">
        <f>IFERROR(VLOOKUP('Customer Info'!A3248,'Customer Info'!A3248:C3747,3,FALSE),"Not Found")</f>
        <v>Not Found</v>
      </c>
      <c r="I3256" s="6" t="str">
        <f>IFERROR(VLOOKUP('Customer Info'!A3248,'Customer Info'!A3248:E3747,5,FALSE),"Not Found")</f>
        <v>Not Found</v>
      </c>
      <c r="J3256" s="2">
        <v>923</v>
      </c>
      <c r="K3256" s="2">
        <v>879</v>
      </c>
      <c r="L3256" s="2">
        <v>6</v>
      </c>
      <c r="M3256" s="7">
        <f t="shared" si="250"/>
        <v>5274</v>
      </c>
      <c r="N3256" s="7">
        <f t="shared" si="251"/>
        <v>5538</v>
      </c>
      <c r="O3256" s="2">
        <v>80</v>
      </c>
      <c r="P3256" s="8">
        <f t="shared" si="252"/>
        <v>5618</v>
      </c>
      <c r="Q3256" s="8">
        <f t="shared" si="253"/>
        <v>4659</v>
      </c>
      <c r="R3256" s="2" t="s">
        <v>50</v>
      </c>
      <c r="S3256" s="9">
        <f t="shared" si="254"/>
        <v>280.90000000000003</v>
      </c>
    </row>
    <row r="3257" spans="1:19" x14ac:dyDescent="0.3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str">
        <f>IFERROR(VLOOKUP('Customer Info'!A3249,'Customer Info'!A3249:C3748,2,FALSE),"Not Found")</f>
        <v>Not Found</v>
      </c>
      <c r="H3257" s="6" t="str">
        <f>IFERROR(VLOOKUP('Customer Info'!A3249,'Customer Info'!A3249:C3748,3,FALSE),"Not Found")</f>
        <v>Not Found</v>
      </c>
      <c r="I3257" s="6" t="str">
        <f>IFERROR(VLOOKUP('Customer Info'!A3249,'Customer Info'!A3249:E3748,5,FALSE),"Not Found")</f>
        <v>Not Found</v>
      </c>
      <c r="J3257" s="2">
        <v>1704</v>
      </c>
      <c r="K3257" s="2">
        <v>1624</v>
      </c>
      <c r="L3257" s="2">
        <v>9</v>
      </c>
      <c r="M3257" s="7">
        <f t="shared" si="250"/>
        <v>14616</v>
      </c>
      <c r="N3257" s="7">
        <f t="shared" si="251"/>
        <v>15336</v>
      </c>
      <c r="O3257" s="2">
        <v>57</v>
      </c>
      <c r="P3257" s="8">
        <f t="shared" si="252"/>
        <v>15393</v>
      </c>
      <c r="Q3257" s="8">
        <f t="shared" si="253"/>
        <v>13712</v>
      </c>
      <c r="R3257" s="2" t="s">
        <v>50</v>
      </c>
      <c r="S3257" s="9">
        <f t="shared" si="254"/>
        <v>769.65000000000009</v>
      </c>
    </row>
    <row r="3258" spans="1:19" x14ac:dyDescent="0.3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str">
        <f>IFERROR(VLOOKUP('Customer Info'!A3250,'Customer Info'!A3250:C3749,2,FALSE),"Not Found")</f>
        <v>Not Found</v>
      </c>
      <c r="H3258" s="6" t="str">
        <f>IFERROR(VLOOKUP('Customer Info'!A3250,'Customer Info'!A3250:C3749,3,FALSE),"Not Found")</f>
        <v>Not Found</v>
      </c>
      <c r="I3258" s="6" t="str">
        <f>IFERROR(VLOOKUP('Customer Info'!A3250,'Customer Info'!A3250:E3749,5,FALSE),"Not Found")</f>
        <v>Not Found</v>
      </c>
      <c r="J3258" s="2">
        <v>825</v>
      </c>
      <c r="K3258" s="2">
        <v>793</v>
      </c>
      <c r="L3258" s="2">
        <v>10</v>
      </c>
      <c r="M3258" s="7">
        <f t="shared" si="250"/>
        <v>7930</v>
      </c>
      <c r="N3258" s="7">
        <f t="shared" si="251"/>
        <v>8250</v>
      </c>
      <c r="O3258" s="2">
        <v>42</v>
      </c>
      <c r="P3258" s="8">
        <f t="shared" si="252"/>
        <v>8292</v>
      </c>
      <c r="Q3258" s="8">
        <f t="shared" si="253"/>
        <v>7457</v>
      </c>
      <c r="R3258" s="2" t="s">
        <v>28</v>
      </c>
      <c r="S3258" s="9">
        <f t="shared" si="254"/>
        <v>414.6</v>
      </c>
    </row>
    <row r="3259" spans="1:19" x14ac:dyDescent="0.3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str">
        <f>IFERROR(VLOOKUP('Customer Info'!A3251,'Customer Info'!A3251:C3750,2,FALSE),"Not Found")</f>
        <v>Not Found</v>
      </c>
      <c r="H3259" s="6" t="str">
        <f>IFERROR(VLOOKUP('Customer Info'!A3251,'Customer Info'!A3251:C3750,3,FALSE),"Not Found")</f>
        <v>Not Found</v>
      </c>
      <c r="I3259" s="6" t="str">
        <f>IFERROR(VLOOKUP('Customer Info'!A3251,'Customer Info'!A3251:E3750,5,FALSE),"Not Found")</f>
        <v>Not Found</v>
      </c>
      <c r="J3259" s="2">
        <v>142</v>
      </c>
      <c r="K3259" s="2">
        <v>134</v>
      </c>
      <c r="L3259" s="2">
        <v>2</v>
      </c>
      <c r="M3259" s="7">
        <f t="shared" si="250"/>
        <v>268</v>
      </c>
      <c r="N3259" s="7">
        <f t="shared" si="251"/>
        <v>284</v>
      </c>
      <c r="O3259" s="2">
        <v>30</v>
      </c>
      <c r="P3259" s="8">
        <f t="shared" si="252"/>
        <v>314</v>
      </c>
      <c r="Q3259" s="8">
        <f t="shared" si="253"/>
        <v>150</v>
      </c>
      <c r="R3259" s="2" t="s">
        <v>50</v>
      </c>
      <c r="S3259" s="9">
        <f t="shared" si="254"/>
        <v>6.28</v>
      </c>
    </row>
    <row r="3260" spans="1:19" x14ac:dyDescent="0.3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str">
        <f>IFERROR(VLOOKUP('Customer Info'!A3252,'Customer Info'!A3252:C3751,2,FALSE),"Not Found")</f>
        <v>Not Found</v>
      </c>
      <c r="H3260" s="6" t="str">
        <f>IFERROR(VLOOKUP('Customer Info'!A3252,'Customer Info'!A3252:C3751,3,FALSE),"Not Found")</f>
        <v>Not Found</v>
      </c>
      <c r="I3260" s="6" t="str">
        <f>IFERROR(VLOOKUP('Customer Info'!A3252,'Customer Info'!A3252:E3751,5,FALSE),"Not Found")</f>
        <v>Not Found</v>
      </c>
      <c r="J3260" s="2">
        <v>96</v>
      </c>
      <c r="K3260" s="2">
        <v>87</v>
      </c>
      <c r="L3260" s="2">
        <v>2</v>
      </c>
      <c r="M3260" s="7">
        <f t="shared" si="250"/>
        <v>174</v>
      </c>
      <c r="N3260" s="7">
        <f t="shared" si="251"/>
        <v>192</v>
      </c>
      <c r="O3260" s="2">
        <v>10</v>
      </c>
      <c r="P3260" s="8">
        <f t="shared" si="252"/>
        <v>202</v>
      </c>
      <c r="Q3260" s="8">
        <f t="shared" si="253"/>
        <v>105</v>
      </c>
      <c r="R3260" s="2" t="s">
        <v>50</v>
      </c>
      <c r="S3260" s="9">
        <f t="shared" si="254"/>
        <v>4.04</v>
      </c>
    </row>
    <row r="3261" spans="1:19" x14ac:dyDescent="0.3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str">
        <f>IFERROR(VLOOKUP('Customer Info'!A3253,'Customer Info'!A3253:C3752,2,FALSE),"Not Found")</f>
        <v>Not Found</v>
      </c>
      <c r="H3261" s="6" t="str">
        <f>IFERROR(VLOOKUP('Customer Info'!A3253,'Customer Info'!A3253:C3752,3,FALSE),"Not Found")</f>
        <v>Not Found</v>
      </c>
      <c r="I3261" s="6" t="str">
        <f>IFERROR(VLOOKUP('Customer Info'!A3253,'Customer Info'!A3253:E3752,5,FALSE),"Not Found")</f>
        <v>Not Found</v>
      </c>
      <c r="J3261" s="2">
        <v>2442</v>
      </c>
      <c r="K3261" s="2">
        <v>2304</v>
      </c>
      <c r="L3261" s="2">
        <v>1</v>
      </c>
      <c r="M3261" s="7">
        <f t="shared" si="250"/>
        <v>2304</v>
      </c>
      <c r="N3261" s="7">
        <f t="shared" si="251"/>
        <v>2442</v>
      </c>
      <c r="O3261" s="2">
        <v>57</v>
      </c>
      <c r="P3261" s="8">
        <f t="shared" si="252"/>
        <v>2499</v>
      </c>
      <c r="Q3261" s="8">
        <f t="shared" si="253"/>
        <v>138</v>
      </c>
      <c r="R3261" s="2" t="s">
        <v>28</v>
      </c>
      <c r="S3261" s="9">
        <f t="shared" si="254"/>
        <v>49.980000000000004</v>
      </c>
    </row>
    <row r="3262" spans="1:19" x14ac:dyDescent="0.3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str">
        <f>IFERROR(VLOOKUP('Customer Info'!A3254,'Customer Info'!A3254:C3753,2,FALSE),"Not Found")</f>
        <v>Not Found</v>
      </c>
      <c r="H3262" s="6" t="str">
        <f>IFERROR(VLOOKUP('Customer Info'!A3254,'Customer Info'!A3254:C3753,3,FALSE),"Not Found")</f>
        <v>Not Found</v>
      </c>
      <c r="I3262" s="6" t="str">
        <f>IFERROR(VLOOKUP('Customer Info'!A3254,'Customer Info'!A3254:E3753,5,FALSE),"Not Found")</f>
        <v>Not Found</v>
      </c>
      <c r="J3262" s="2">
        <v>1798</v>
      </c>
      <c r="K3262" s="2">
        <v>1666</v>
      </c>
      <c r="L3262" s="2">
        <v>2</v>
      </c>
      <c r="M3262" s="7">
        <f t="shared" si="250"/>
        <v>3332</v>
      </c>
      <c r="N3262" s="7">
        <f t="shared" si="251"/>
        <v>3596</v>
      </c>
      <c r="O3262" s="2">
        <v>54</v>
      </c>
      <c r="P3262" s="8">
        <f t="shared" si="252"/>
        <v>3650</v>
      </c>
      <c r="Q3262" s="8">
        <f t="shared" si="253"/>
        <v>1930</v>
      </c>
      <c r="R3262" s="2" t="s">
        <v>28</v>
      </c>
      <c r="S3262" s="9">
        <f t="shared" si="254"/>
        <v>73</v>
      </c>
    </row>
    <row r="3263" spans="1:19" x14ac:dyDescent="0.3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str">
        <f>IFERROR(VLOOKUP('Customer Info'!A3255,'Customer Info'!A3255:C3754,2,FALSE),"Not Found")</f>
        <v>Not Found</v>
      </c>
      <c r="H3263" s="6" t="str">
        <f>IFERROR(VLOOKUP('Customer Info'!A3255,'Customer Info'!A3255:C3754,3,FALSE),"Not Found")</f>
        <v>Not Found</v>
      </c>
      <c r="I3263" s="6" t="str">
        <f>IFERROR(VLOOKUP('Customer Info'!A3255,'Customer Info'!A3255:E3754,5,FALSE),"Not Found")</f>
        <v>Not Found</v>
      </c>
      <c r="J3263" s="2">
        <v>1808</v>
      </c>
      <c r="K3263" s="2">
        <v>1740</v>
      </c>
      <c r="L3263" s="2">
        <v>4</v>
      </c>
      <c r="M3263" s="7">
        <f t="shared" si="250"/>
        <v>6960</v>
      </c>
      <c r="N3263" s="7">
        <f t="shared" si="251"/>
        <v>7232</v>
      </c>
      <c r="O3263" s="2">
        <v>85</v>
      </c>
      <c r="P3263" s="8">
        <f t="shared" si="252"/>
        <v>7317</v>
      </c>
      <c r="Q3263" s="8">
        <f t="shared" si="253"/>
        <v>5492</v>
      </c>
      <c r="R3263" s="2" t="s">
        <v>50</v>
      </c>
      <c r="S3263" s="9">
        <f t="shared" si="254"/>
        <v>365.85</v>
      </c>
    </row>
    <row r="3264" spans="1:19" x14ac:dyDescent="0.3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str">
        <f>IFERROR(VLOOKUP('Customer Info'!A3256,'Customer Info'!A3256:C3755,2,FALSE),"Not Found")</f>
        <v>Not Found</v>
      </c>
      <c r="H3264" s="6" t="str">
        <f>IFERROR(VLOOKUP('Customer Info'!A3256,'Customer Info'!A3256:C3755,3,FALSE),"Not Found")</f>
        <v>Not Found</v>
      </c>
      <c r="I3264" s="6" t="str">
        <f>IFERROR(VLOOKUP('Customer Info'!A3256,'Customer Info'!A3256:E3755,5,FALSE),"Not Found")</f>
        <v>Not Found</v>
      </c>
      <c r="J3264" s="2">
        <v>835</v>
      </c>
      <c r="K3264" s="2">
        <v>796</v>
      </c>
      <c r="L3264" s="2">
        <v>5</v>
      </c>
      <c r="M3264" s="7">
        <f t="shared" si="250"/>
        <v>3980</v>
      </c>
      <c r="N3264" s="7">
        <f t="shared" si="251"/>
        <v>4175</v>
      </c>
      <c r="O3264" s="2">
        <v>85</v>
      </c>
      <c r="P3264" s="8">
        <f t="shared" si="252"/>
        <v>4260</v>
      </c>
      <c r="Q3264" s="8">
        <f t="shared" si="253"/>
        <v>3379</v>
      </c>
      <c r="R3264" s="2" t="s">
        <v>56</v>
      </c>
      <c r="S3264" s="9">
        <f t="shared" si="254"/>
        <v>85.2</v>
      </c>
    </row>
    <row r="3265" spans="1:19" x14ac:dyDescent="0.3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str">
        <f>IFERROR(VLOOKUP('Customer Info'!A3257,'Customer Info'!A3257:C3756,2,FALSE),"Not Found")</f>
        <v>Not Found</v>
      </c>
      <c r="H3265" s="6" t="str">
        <f>IFERROR(VLOOKUP('Customer Info'!A3257,'Customer Info'!A3257:C3756,3,FALSE),"Not Found")</f>
        <v>Not Found</v>
      </c>
      <c r="I3265" s="6" t="str">
        <f>IFERROR(VLOOKUP('Customer Info'!A3257,'Customer Info'!A3257:E3756,5,FALSE),"Not Found")</f>
        <v>Not Found</v>
      </c>
      <c r="J3265" s="2">
        <v>96</v>
      </c>
      <c r="K3265" s="2">
        <v>87</v>
      </c>
      <c r="L3265" s="2">
        <v>12</v>
      </c>
      <c r="M3265" s="7">
        <f t="shared" si="250"/>
        <v>1044</v>
      </c>
      <c r="N3265" s="7">
        <f t="shared" si="251"/>
        <v>1152</v>
      </c>
      <c r="O3265" s="2">
        <v>10</v>
      </c>
      <c r="P3265" s="8">
        <f t="shared" si="252"/>
        <v>1162</v>
      </c>
      <c r="Q3265" s="8">
        <f t="shared" si="253"/>
        <v>1065</v>
      </c>
      <c r="R3265" s="2" t="s">
        <v>28</v>
      </c>
      <c r="S3265" s="9">
        <f t="shared" si="254"/>
        <v>23.240000000000002</v>
      </c>
    </row>
    <row r="3266" spans="1:19" x14ac:dyDescent="0.3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str">
        <f>IFERROR(VLOOKUP('Customer Info'!A3258,'Customer Info'!A3258:C3757,2,FALSE),"Not Found")</f>
        <v>Not Found</v>
      </c>
      <c r="H3266" s="6" t="str">
        <f>IFERROR(VLOOKUP('Customer Info'!A3258,'Customer Info'!A3258:C3757,3,FALSE),"Not Found")</f>
        <v>Not Found</v>
      </c>
      <c r="I3266" s="6" t="str">
        <f>IFERROR(VLOOKUP('Customer Info'!A3258,'Customer Info'!A3258:E3757,5,FALSE),"Not Found")</f>
        <v>Not Found</v>
      </c>
      <c r="J3266" s="2">
        <v>5836</v>
      </c>
      <c r="K3266" s="2">
        <v>5457</v>
      </c>
      <c r="L3266" s="2">
        <v>13</v>
      </c>
      <c r="M3266" s="7">
        <f t="shared" si="250"/>
        <v>70941</v>
      </c>
      <c r="N3266" s="7">
        <f t="shared" si="251"/>
        <v>75868</v>
      </c>
      <c r="O3266" s="2">
        <v>35</v>
      </c>
      <c r="P3266" s="8">
        <f t="shared" si="252"/>
        <v>75903</v>
      </c>
      <c r="Q3266" s="8">
        <f t="shared" si="253"/>
        <v>70411</v>
      </c>
      <c r="R3266" s="2" t="s">
        <v>28</v>
      </c>
      <c r="S3266" s="9">
        <f t="shared" si="254"/>
        <v>6831.2699999999995</v>
      </c>
    </row>
    <row r="3267" spans="1:19" x14ac:dyDescent="0.3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str">
        <f>IFERROR(VLOOKUP('Customer Info'!A3259,'Customer Info'!A3259:C3758,2,FALSE),"Not Found")</f>
        <v>Not Found</v>
      </c>
      <c r="H3267" s="6" t="str">
        <f>IFERROR(VLOOKUP('Customer Info'!A3259,'Customer Info'!A3259:C3758,3,FALSE),"Not Found")</f>
        <v>Not Found</v>
      </c>
      <c r="I3267" s="6" t="str">
        <f>IFERROR(VLOOKUP('Customer Info'!A3259,'Customer Info'!A3259:E3758,5,FALSE),"Not Found")</f>
        <v>Not Found</v>
      </c>
      <c r="J3267" s="2">
        <v>4784</v>
      </c>
      <c r="K3267" s="2">
        <v>4518</v>
      </c>
      <c r="L3267" s="2">
        <v>2</v>
      </c>
      <c r="M3267" s="7">
        <f t="shared" si="250"/>
        <v>9036</v>
      </c>
      <c r="N3267" s="7">
        <f t="shared" si="251"/>
        <v>9568</v>
      </c>
      <c r="O3267" s="2">
        <v>88</v>
      </c>
      <c r="P3267" s="8">
        <f t="shared" si="252"/>
        <v>9656</v>
      </c>
      <c r="Q3267" s="8">
        <f t="shared" si="253"/>
        <v>5050</v>
      </c>
      <c r="R3267" s="2" t="s">
        <v>50</v>
      </c>
      <c r="S3267" s="9">
        <f t="shared" si="254"/>
        <v>482.8</v>
      </c>
    </row>
    <row r="3268" spans="1:19" x14ac:dyDescent="0.3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str">
        <f>IFERROR(VLOOKUP('Customer Info'!A3260,'Customer Info'!A3260:C3759,2,FALSE),"Not Found")</f>
        <v>Not Found</v>
      </c>
      <c r="H3268" s="6" t="str">
        <f>IFERROR(VLOOKUP('Customer Info'!A3260,'Customer Info'!A3260:C3759,3,FALSE),"Not Found")</f>
        <v>Not Found</v>
      </c>
      <c r="I3268" s="6" t="str">
        <f>IFERROR(VLOOKUP('Customer Info'!A3260,'Customer Info'!A3260:E3759,5,FALSE),"Not Found")</f>
        <v>Not Found</v>
      </c>
      <c r="J3268" s="2">
        <v>7212</v>
      </c>
      <c r="K3268" s="2">
        <v>6737</v>
      </c>
      <c r="L3268" s="2">
        <v>5</v>
      </c>
      <c r="M3268" s="7">
        <f t="shared" si="250"/>
        <v>33685</v>
      </c>
      <c r="N3268" s="7">
        <f t="shared" si="251"/>
        <v>36060</v>
      </c>
      <c r="O3268" s="2">
        <v>96</v>
      </c>
      <c r="P3268" s="8">
        <f t="shared" si="252"/>
        <v>36156</v>
      </c>
      <c r="Q3268" s="8">
        <f t="shared" si="253"/>
        <v>29323</v>
      </c>
      <c r="R3268" s="2" t="s">
        <v>50</v>
      </c>
      <c r="S3268" s="9">
        <f t="shared" si="254"/>
        <v>2530.92</v>
      </c>
    </row>
    <row r="3269" spans="1:19" x14ac:dyDescent="0.3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str">
        <f>IFERROR(VLOOKUP('Customer Info'!A3261,'Customer Info'!A3261:C3760,2,FALSE),"Not Found")</f>
        <v>Not Found</v>
      </c>
      <c r="H3269" s="6" t="str">
        <f>IFERROR(VLOOKUP('Customer Info'!A3261,'Customer Info'!A3261:C3760,3,FALSE),"Not Found")</f>
        <v>Not Found</v>
      </c>
      <c r="I3269" s="6" t="str">
        <f>IFERROR(VLOOKUP('Customer Info'!A3261,'Customer Info'!A3261:E3760,5,FALSE),"Not Found")</f>
        <v>Not Found</v>
      </c>
      <c r="J3269" s="2">
        <v>505</v>
      </c>
      <c r="K3269" s="2">
        <v>463</v>
      </c>
      <c r="L3269" s="2">
        <v>2</v>
      </c>
      <c r="M3269" s="7">
        <f t="shared" si="250"/>
        <v>926</v>
      </c>
      <c r="N3269" s="7">
        <f t="shared" si="251"/>
        <v>1010</v>
      </c>
      <c r="O3269" s="2">
        <v>24</v>
      </c>
      <c r="P3269" s="8">
        <f t="shared" si="252"/>
        <v>1034</v>
      </c>
      <c r="Q3269" s="8">
        <f t="shared" si="253"/>
        <v>547</v>
      </c>
      <c r="R3269" s="2" t="s">
        <v>28</v>
      </c>
      <c r="S3269" s="9">
        <f t="shared" si="254"/>
        <v>20.68</v>
      </c>
    </row>
    <row r="3270" spans="1:19" x14ac:dyDescent="0.3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str">
        <f>IFERROR(VLOOKUP('Customer Info'!A3262,'Customer Info'!A3262:C3761,2,FALSE),"Not Found")</f>
        <v>Not Found</v>
      </c>
      <c r="H3270" s="6" t="str">
        <f>IFERROR(VLOOKUP('Customer Info'!A3262,'Customer Info'!A3262:C3761,3,FALSE),"Not Found")</f>
        <v>Not Found</v>
      </c>
      <c r="I3270" s="6" t="str">
        <f>IFERROR(VLOOKUP('Customer Info'!A3262,'Customer Info'!A3262:E3761,5,FALSE),"Not Found")</f>
        <v>Not Found</v>
      </c>
      <c r="J3270" s="2">
        <v>7065</v>
      </c>
      <c r="K3270" s="2">
        <v>6545</v>
      </c>
      <c r="L3270" s="2">
        <v>3</v>
      </c>
      <c r="M3270" s="7">
        <f t="shared" si="250"/>
        <v>19635</v>
      </c>
      <c r="N3270" s="7">
        <f t="shared" si="251"/>
        <v>21195</v>
      </c>
      <c r="O3270" s="2">
        <v>61</v>
      </c>
      <c r="P3270" s="8">
        <f t="shared" si="252"/>
        <v>21256</v>
      </c>
      <c r="Q3270" s="8">
        <f t="shared" si="253"/>
        <v>14650</v>
      </c>
      <c r="R3270" s="2" t="s">
        <v>28</v>
      </c>
      <c r="S3270" s="9">
        <f t="shared" si="254"/>
        <v>1062.8</v>
      </c>
    </row>
    <row r="3271" spans="1:19" x14ac:dyDescent="0.3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str">
        <f>IFERROR(VLOOKUP('Customer Info'!A3263,'Customer Info'!A3263:C3762,2,FALSE),"Not Found")</f>
        <v>Not Found</v>
      </c>
      <c r="H3271" s="6" t="str">
        <f>IFERROR(VLOOKUP('Customer Info'!A3263,'Customer Info'!A3263:C3762,3,FALSE),"Not Found")</f>
        <v>Not Found</v>
      </c>
      <c r="I3271" s="6" t="str">
        <f>IFERROR(VLOOKUP('Customer Info'!A3263,'Customer Info'!A3263:E3762,5,FALSE),"Not Found")</f>
        <v>Not Found</v>
      </c>
      <c r="J3271" s="2">
        <v>2042</v>
      </c>
      <c r="K3271" s="2">
        <v>1965</v>
      </c>
      <c r="L3271" s="2">
        <v>2</v>
      </c>
      <c r="M3271" s="7">
        <f t="shared" si="250"/>
        <v>3930</v>
      </c>
      <c r="N3271" s="7">
        <f t="shared" si="251"/>
        <v>4084</v>
      </c>
      <c r="O3271" s="2">
        <v>30</v>
      </c>
      <c r="P3271" s="8">
        <f t="shared" si="252"/>
        <v>4114</v>
      </c>
      <c r="Q3271" s="8">
        <f t="shared" si="253"/>
        <v>2119</v>
      </c>
      <c r="R3271" s="2" t="s">
        <v>50</v>
      </c>
      <c r="S3271" s="9">
        <f t="shared" si="254"/>
        <v>82.28</v>
      </c>
    </row>
    <row r="3272" spans="1:19" x14ac:dyDescent="0.3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str">
        <f>IFERROR(VLOOKUP('Customer Info'!A3264,'Customer Info'!A3264:C3763,2,FALSE),"Not Found")</f>
        <v>Not Found</v>
      </c>
      <c r="H3272" s="6" t="str">
        <f>IFERROR(VLOOKUP('Customer Info'!A3264,'Customer Info'!A3264:C3763,3,FALSE),"Not Found")</f>
        <v>Not Found</v>
      </c>
      <c r="I3272" s="6" t="str">
        <f>IFERROR(VLOOKUP('Customer Info'!A3264,'Customer Info'!A3264:E3763,5,FALSE),"Not Found")</f>
        <v>Not Found</v>
      </c>
      <c r="J3272" s="2">
        <v>851</v>
      </c>
      <c r="K3272" s="2">
        <v>773</v>
      </c>
      <c r="L3272" s="2">
        <v>3</v>
      </c>
      <c r="M3272" s="7">
        <f t="shared" si="250"/>
        <v>2319</v>
      </c>
      <c r="N3272" s="7">
        <f t="shared" si="251"/>
        <v>2553</v>
      </c>
      <c r="O3272" s="2">
        <v>42</v>
      </c>
      <c r="P3272" s="8">
        <f t="shared" si="252"/>
        <v>2595</v>
      </c>
      <c r="Q3272" s="8">
        <f t="shared" si="253"/>
        <v>1780</v>
      </c>
      <c r="R3272" s="2" t="s">
        <v>28</v>
      </c>
      <c r="S3272" s="9">
        <f t="shared" si="254"/>
        <v>51.9</v>
      </c>
    </row>
    <row r="3273" spans="1:19" x14ac:dyDescent="0.3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str">
        <f>IFERROR(VLOOKUP('Customer Info'!A3265,'Customer Info'!A3265:C3764,2,FALSE),"Not Found")</f>
        <v>Not Found</v>
      </c>
      <c r="H3273" s="6" t="str">
        <f>IFERROR(VLOOKUP('Customer Info'!A3265,'Customer Info'!A3265:C3764,3,FALSE),"Not Found")</f>
        <v>Not Found</v>
      </c>
      <c r="I3273" s="6" t="str">
        <f>IFERROR(VLOOKUP('Customer Info'!A3265,'Customer Info'!A3265:E3764,5,FALSE),"Not Found")</f>
        <v>Not Found</v>
      </c>
      <c r="J3273" s="2">
        <v>131</v>
      </c>
      <c r="K3273" s="2">
        <v>124</v>
      </c>
      <c r="L3273" s="2">
        <v>1</v>
      </c>
      <c r="M3273" s="7">
        <f t="shared" si="250"/>
        <v>124</v>
      </c>
      <c r="N3273" s="7">
        <f t="shared" si="251"/>
        <v>131</v>
      </c>
      <c r="O3273" s="2">
        <v>30</v>
      </c>
      <c r="P3273" s="8">
        <f t="shared" si="252"/>
        <v>161</v>
      </c>
      <c r="Q3273" s="8">
        <f t="shared" si="253"/>
        <v>7</v>
      </c>
      <c r="R3273" s="2" t="s">
        <v>28</v>
      </c>
      <c r="S3273" s="9">
        <f t="shared" si="254"/>
        <v>3.22</v>
      </c>
    </row>
    <row r="3274" spans="1:19" x14ac:dyDescent="0.3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str">
        <f>IFERROR(VLOOKUP('Customer Info'!A3266,'Customer Info'!A3266:C3765,2,FALSE),"Not Found")</f>
        <v>Not Found</v>
      </c>
      <c r="H3274" s="6" t="str">
        <f>IFERROR(VLOOKUP('Customer Info'!A3266,'Customer Info'!A3266:C3765,3,FALSE),"Not Found")</f>
        <v>Not Found</v>
      </c>
      <c r="I3274" s="6" t="str">
        <f>IFERROR(VLOOKUP('Customer Info'!A3266,'Customer Info'!A3266:E3765,5,FALSE),"Not Found")</f>
        <v>Not Found</v>
      </c>
      <c r="J3274" s="2">
        <v>9135</v>
      </c>
      <c r="K3274" s="2">
        <v>8143</v>
      </c>
      <c r="L3274" s="2">
        <v>4</v>
      </c>
      <c r="M3274" s="7">
        <f t="shared" si="250"/>
        <v>32572</v>
      </c>
      <c r="N3274" s="7">
        <f t="shared" si="251"/>
        <v>36540</v>
      </c>
      <c r="O3274" s="2">
        <v>73</v>
      </c>
      <c r="P3274" s="8">
        <f t="shared" si="252"/>
        <v>36613</v>
      </c>
      <c r="Q3274" s="8">
        <f t="shared" si="253"/>
        <v>28397</v>
      </c>
      <c r="R3274" s="2" t="s">
        <v>50</v>
      </c>
      <c r="S3274" s="9">
        <f t="shared" si="254"/>
        <v>2562.9100000000003</v>
      </c>
    </row>
    <row r="3275" spans="1:19" x14ac:dyDescent="0.3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str">
        <f>IFERROR(VLOOKUP('Customer Info'!A3267,'Customer Info'!A3267:C3766,2,FALSE),"Not Found")</f>
        <v>Not Found</v>
      </c>
      <c r="H3275" s="6" t="str">
        <f>IFERROR(VLOOKUP('Customer Info'!A3267,'Customer Info'!A3267:C3766,3,FALSE),"Not Found")</f>
        <v>Not Found</v>
      </c>
      <c r="I3275" s="6" t="str">
        <f>IFERROR(VLOOKUP('Customer Info'!A3267,'Customer Info'!A3267:E3766,5,FALSE),"Not Found")</f>
        <v>Not Found</v>
      </c>
      <c r="J3275" s="2">
        <v>3256</v>
      </c>
      <c r="K3275" s="2">
        <v>3044</v>
      </c>
      <c r="L3275" s="2">
        <v>4</v>
      </c>
      <c r="M3275" s="7">
        <f t="shared" ref="M3275:M3338" si="255">$K3275*$L3275</f>
        <v>12176</v>
      </c>
      <c r="N3275" s="7">
        <f t="shared" ref="N3275:N3338" si="256">$J3275*$L3275</f>
        <v>13024</v>
      </c>
      <c r="O3275" s="2">
        <v>31</v>
      </c>
      <c r="P3275" s="8">
        <f t="shared" ref="P3275:P3338" si="257">$N3275+$O3275</f>
        <v>13055</v>
      </c>
      <c r="Q3275" s="8">
        <f t="shared" ref="Q3275:Q3338" si="258">$N3275-$K3275</f>
        <v>9980</v>
      </c>
      <c r="R3275" s="2" t="s">
        <v>28</v>
      </c>
      <c r="S3275" s="9">
        <f t="shared" ref="S3275:S3338" si="259" xml:space="preserve"> P3275 * VLOOKUP(P3275, $T$2:$U$6, 2, TRUE)</f>
        <v>652.75</v>
      </c>
    </row>
    <row r="3276" spans="1:19" x14ac:dyDescent="0.3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str">
        <f>IFERROR(VLOOKUP('Customer Info'!A3268,'Customer Info'!A3268:C3767,2,FALSE),"Not Found")</f>
        <v>Not Found</v>
      </c>
      <c r="H3276" s="6" t="str">
        <f>IFERROR(VLOOKUP('Customer Info'!A3268,'Customer Info'!A3268:C3767,3,FALSE),"Not Found")</f>
        <v>Not Found</v>
      </c>
      <c r="I3276" s="6" t="str">
        <f>IFERROR(VLOOKUP('Customer Info'!A3268,'Customer Info'!A3268:E3767,5,FALSE),"Not Found")</f>
        <v>Not Found</v>
      </c>
      <c r="J3276" s="2">
        <v>2273</v>
      </c>
      <c r="K3276" s="2">
        <v>2229</v>
      </c>
      <c r="L3276" s="2">
        <v>4</v>
      </c>
      <c r="M3276" s="7">
        <f t="shared" si="255"/>
        <v>8916</v>
      </c>
      <c r="N3276" s="7">
        <f t="shared" si="256"/>
        <v>9092</v>
      </c>
      <c r="O3276" s="2">
        <v>95</v>
      </c>
      <c r="P3276" s="8">
        <f t="shared" si="257"/>
        <v>9187</v>
      </c>
      <c r="Q3276" s="8">
        <f t="shared" si="258"/>
        <v>6863</v>
      </c>
      <c r="R3276" s="2" t="s">
        <v>26</v>
      </c>
      <c r="S3276" s="9">
        <f t="shared" si="259"/>
        <v>459.35</v>
      </c>
    </row>
    <row r="3277" spans="1:19" x14ac:dyDescent="0.3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str">
        <f>IFERROR(VLOOKUP('Customer Info'!A3269,'Customer Info'!A3269:C3768,2,FALSE),"Not Found")</f>
        <v>Not Found</v>
      </c>
      <c r="H3277" s="6" t="str">
        <f>IFERROR(VLOOKUP('Customer Info'!A3269,'Customer Info'!A3269:C3768,3,FALSE),"Not Found")</f>
        <v>Not Found</v>
      </c>
      <c r="I3277" s="6" t="str">
        <f>IFERROR(VLOOKUP('Customer Info'!A3269,'Customer Info'!A3269:E3768,5,FALSE),"Not Found")</f>
        <v>Not Found</v>
      </c>
      <c r="J3277" s="2">
        <v>495</v>
      </c>
      <c r="K3277" s="2">
        <v>458</v>
      </c>
      <c r="L3277" s="2">
        <v>5</v>
      </c>
      <c r="M3277" s="7">
        <f t="shared" si="255"/>
        <v>2290</v>
      </c>
      <c r="N3277" s="7">
        <f t="shared" si="256"/>
        <v>2475</v>
      </c>
      <c r="O3277" s="2">
        <v>46</v>
      </c>
      <c r="P3277" s="8">
        <f t="shared" si="257"/>
        <v>2521</v>
      </c>
      <c r="Q3277" s="8">
        <f t="shared" si="258"/>
        <v>2017</v>
      </c>
      <c r="R3277" s="2" t="s">
        <v>50</v>
      </c>
      <c r="S3277" s="9">
        <f t="shared" si="259"/>
        <v>50.42</v>
      </c>
    </row>
    <row r="3278" spans="1:19" x14ac:dyDescent="0.3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str">
        <f>IFERROR(VLOOKUP('Customer Info'!A3270,'Customer Info'!A3270:C3769,2,FALSE),"Not Found")</f>
        <v>Not Found</v>
      </c>
      <c r="H3278" s="6" t="str">
        <f>IFERROR(VLOOKUP('Customer Info'!A3270,'Customer Info'!A3270:C3769,3,FALSE),"Not Found")</f>
        <v>Not Found</v>
      </c>
      <c r="I3278" s="6" t="str">
        <f>IFERROR(VLOOKUP('Customer Info'!A3270,'Customer Info'!A3270:E3769,5,FALSE),"Not Found")</f>
        <v>Not Found</v>
      </c>
      <c r="J3278" s="2">
        <v>887</v>
      </c>
      <c r="K3278" s="2">
        <v>814</v>
      </c>
      <c r="L3278" s="2">
        <v>2</v>
      </c>
      <c r="M3278" s="7">
        <f t="shared" si="255"/>
        <v>1628</v>
      </c>
      <c r="N3278" s="7">
        <f t="shared" si="256"/>
        <v>1774</v>
      </c>
      <c r="O3278" s="2">
        <v>65</v>
      </c>
      <c r="P3278" s="8">
        <f t="shared" si="257"/>
        <v>1839</v>
      </c>
      <c r="Q3278" s="8">
        <f t="shared" si="258"/>
        <v>960</v>
      </c>
      <c r="R3278" s="2" t="s">
        <v>50</v>
      </c>
      <c r="S3278" s="9">
        <f t="shared" si="259"/>
        <v>36.78</v>
      </c>
    </row>
    <row r="3279" spans="1:19" x14ac:dyDescent="0.3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str">
        <f>IFERROR(VLOOKUP('Customer Info'!A3271,'Customer Info'!A3271:C3770,2,FALSE),"Not Found")</f>
        <v>Not Found</v>
      </c>
      <c r="H3279" s="6" t="str">
        <f>IFERROR(VLOOKUP('Customer Info'!A3271,'Customer Info'!A3271:C3770,3,FALSE),"Not Found")</f>
        <v>Not Found</v>
      </c>
      <c r="I3279" s="6" t="str">
        <f>IFERROR(VLOOKUP('Customer Info'!A3271,'Customer Info'!A3271:E3770,5,FALSE),"Not Found")</f>
        <v>Not Found</v>
      </c>
      <c r="J3279" s="2">
        <v>998</v>
      </c>
      <c r="K3279" s="2">
        <v>931</v>
      </c>
      <c r="L3279" s="2">
        <v>1</v>
      </c>
      <c r="M3279" s="7">
        <f t="shared" si="255"/>
        <v>931</v>
      </c>
      <c r="N3279" s="7">
        <f t="shared" si="256"/>
        <v>998</v>
      </c>
      <c r="O3279" s="2">
        <v>37</v>
      </c>
      <c r="P3279" s="8">
        <f t="shared" si="257"/>
        <v>1035</v>
      </c>
      <c r="Q3279" s="8">
        <f t="shared" si="258"/>
        <v>67</v>
      </c>
      <c r="R3279" s="2" t="s">
        <v>50</v>
      </c>
      <c r="S3279" s="9">
        <f t="shared" si="259"/>
        <v>20.7</v>
      </c>
    </row>
    <row r="3280" spans="1:19" x14ac:dyDescent="0.3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str">
        <f>IFERROR(VLOOKUP('Customer Info'!A3272,'Customer Info'!A3272:C3771,2,FALSE),"Not Found")</f>
        <v>Not Found</v>
      </c>
      <c r="H3280" s="6" t="str">
        <f>IFERROR(VLOOKUP('Customer Info'!A3272,'Customer Info'!A3272:C3771,3,FALSE),"Not Found")</f>
        <v>Not Found</v>
      </c>
      <c r="I3280" s="6" t="str">
        <f>IFERROR(VLOOKUP('Customer Info'!A3272,'Customer Info'!A3272:E3771,5,FALSE),"Not Found")</f>
        <v>Not Found</v>
      </c>
      <c r="J3280" s="2">
        <v>220</v>
      </c>
      <c r="K3280" s="2">
        <v>206</v>
      </c>
      <c r="L3280" s="2">
        <v>1</v>
      </c>
      <c r="M3280" s="7">
        <f t="shared" si="255"/>
        <v>206</v>
      </c>
      <c r="N3280" s="7">
        <f t="shared" si="256"/>
        <v>220</v>
      </c>
      <c r="O3280" s="2">
        <v>22</v>
      </c>
      <c r="P3280" s="8">
        <f t="shared" si="257"/>
        <v>242</v>
      </c>
      <c r="Q3280" s="8">
        <f t="shared" si="258"/>
        <v>14</v>
      </c>
      <c r="R3280" s="2" t="s">
        <v>28</v>
      </c>
      <c r="S3280" s="9">
        <f t="shared" si="259"/>
        <v>4.84</v>
      </c>
    </row>
    <row r="3281" spans="1:19" x14ac:dyDescent="0.3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str">
        <f>IFERROR(VLOOKUP('Customer Info'!A3273,'Customer Info'!A3273:C3772,2,FALSE),"Not Found")</f>
        <v>Not Found</v>
      </c>
      <c r="H3281" s="6" t="str">
        <f>IFERROR(VLOOKUP('Customer Info'!A3273,'Customer Info'!A3273:C3772,3,FALSE),"Not Found")</f>
        <v>Not Found</v>
      </c>
      <c r="I3281" s="6" t="str">
        <f>IFERROR(VLOOKUP('Customer Info'!A3273,'Customer Info'!A3273:E3772,5,FALSE),"Not Found")</f>
        <v>Not Found</v>
      </c>
      <c r="J3281" s="2">
        <v>188</v>
      </c>
      <c r="K3281" s="2">
        <v>173</v>
      </c>
      <c r="L3281" s="2">
        <v>7</v>
      </c>
      <c r="M3281" s="7">
        <f t="shared" si="255"/>
        <v>1211</v>
      </c>
      <c r="N3281" s="7">
        <f t="shared" si="256"/>
        <v>1316</v>
      </c>
      <c r="O3281" s="2">
        <v>30</v>
      </c>
      <c r="P3281" s="8">
        <f t="shared" si="257"/>
        <v>1346</v>
      </c>
      <c r="Q3281" s="8">
        <f t="shared" si="258"/>
        <v>1143</v>
      </c>
      <c r="R3281" s="2" t="s">
        <v>50</v>
      </c>
      <c r="S3281" s="9">
        <f t="shared" si="259"/>
        <v>26.92</v>
      </c>
    </row>
    <row r="3282" spans="1:19" x14ac:dyDescent="0.3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str">
        <f>IFERROR(VLOOKUP('Customer Info'!A3274,'Customer Info'!A3274:C3773,2,FALSE),"Not Found")</f>
        <v>Not Found</v>
      </c>
      <c r="H3282" s="6" t="str">
        <f>IFERROR(VLOOKUP('Customer Info'!A3274,'Customer Info'!A3274:C3773,3,FALSE),"Not Found")</f>
        <v>Not Found</v>
      </c>
      <c r="I3282" s="6" t="str">
        <f>IFERROR(VLOOKUP('Customer Info'!A3274,'Customer Info'!A3274:E3773,5,FALSE),"Not Found")</f>
        <v>Not Found</v>
      </c>
      <c r="J3282" s="2">
        <v>2083</v>
      </c>
      <c r="K3282" s="2">
        <v>2004</v>
      </c>
      <c r="L3282" s="2">
        <v>10</v>
      </c>
      <c r="M3282" s="7">
        <f t="shared" si="255"/>
        <v>20040</v>
      </c>
      <c r="N3282" s="7">
        <f t="shared" si="256"/>
        <v>20830</v>
      </c>
      <c r="O3282" s="2">
        <v>71</v>
      </c>
      <c r="P3282" s="8">
        <f t="shared" si="257"/>
        <v>20901</v>
      </c>
      <c r="Q3282" s="8">
        <f t="shared" si="258"/>
        <v>18826</v>
      </c>
      <c r="R3282" s="2" t="s">
        <v>50</v>
      </c>
      <c r="S3282" s="9">
        <f t="shared" si="259"/>
        <v>1045.05</v>
      </c>
    </row>
    <row r="3283" spans="1:19" x14ac:dyDescent="0.3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str">
        <f>IFERROR(VLOOKUP('Customer Info'!A3275,'Customer Info'!A3275:C3774,2,FALSE),"Not Found")</f>
        <v>Not Found</v>
      </c>
      <c r="H3283" s="6" t="str">
        <f>IFERROR(VLOOKUP('Customer Info'!A3275,'Customer Info'!A3275:C3774,3,FALSE),"Not Found")</f>
        <v>Not Found</v>
      </c>
      <c r="I3283" s="6" t="str">
        <f>IFERROR(VLOOKUP('Customer Info'!A3275,'Customer Info'!A3275:E3774,5,FALSE),"Not Found")</f>
        <v>Not Found</v>
      </c>
      <c r="J3283" s="2">
        <v>1552</v>
      </c>
      <c r="K3283" s="2">
        <v>1466</v>
      </c>
      <c r="L3283" s="2">
        <v>1</v>
      </c>
      <c r="M3283" s="7">
        <f t="shared" si="255"/>
        <v>1466</v>
      </c>
      <c r="N3283" s="7">
        <f t="shared" si="256"/>
        <v>1552</v>
      </c>
      <c r="O3283" s="2">
        <v>89</v>
      </c>
      <c r="P3283" s="8">
        <f t="shared" si="257"/>
        <v>1641</v>
      </c>
      <c r="Q3283" s="8">
        <f t="shared" si="258"/>
        <v>86</v>
      </c>
      <c r="R3283" s="2" t="s">
        <v>28</v>
      </c>
      <c r="S3283" s="9">
        <f t="shared" si="259"/>
        <v>32.82</v>
      </c>
    </row>
    <row r="3284" spans="1:19" x14ac:dyDescent="0.3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str">
        <f>IFERROR(VLOOKUP('Customer Info'!A3276,'Customer Info'!A3276:C3775,2,FALSE),"Not Found")</f>
        <v>Not Found</v>
      </c>
      <c r="H3284" s="6" t="str">
        <f>IFERROR(VLOOKUP('Customer Info'!A3276,'Customer Info'!A3276:C3775,3,FALSE),"Not Found")</f>
        <v>Not Found</v>
      </c>
      <c r="I3284" s="6" t="str">
        <f>IFERROR(VLOOKUP('Customer Info'!A3276,'Customer Info'!A3276:E3775,5,FALSE),"Not Found")</f>
        <v>Not Found</v>
      </c>
      <c r="J3284" s="2">
        <v>166</v>
      </c>
      <c r="K3284" s="2">
        <v>149</v>
      </c>
      <c r="L3284" s="2">
        <v>3</v>
      </c>
      <c r="M3284" s="7">
        <f t="shared" si="255"/>
        <v>447</v>
      </c>
      <c r="N3284" s="7">
        <f t="shared" si="256"/>
        <v>498</v>
      </c>
      <c r="O3284" s="2">
        <v>30</v>
      </c>
      <c r="P3284" s="8">
        <f t="shared" si="257"/>
        <v>528</v>
      </c>
      <c r="Q3284" s="8">
        <f t="shared" si="258"/>
        <v>349</v>
      </c>
      <c r="R3284" s="2" t="s">
        <v>26</v>
      </c>
      <c r="S3284" s="9">
        <f t="shared" si="259"/>
        <v>10.56</v>
      </c>
    </row>
    <row r="3285" spans="1:19" x14ac:dyDescent="0.3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str">
        <f>IFERROR(VLOOKUP('Customer Info'!A3277,'Customer Info'!A3277:C3776,2,FALSE),"Not Found")</f>
        <v>Not Found</v>
      </c>
      <c r="H3285" s="6" t="str">
        <f>IFERROR(VLOOKUP('Customer Info'!A3277,'Customer Info'!A3277:C3776,3,FALSE),"Not Found")</f>
        <v>Not Found</v>
      </c>
      <c r="I3285" s="6" t="str">
        <f>IFERROR(VLOOKUP('Customer Info'!A3277,'Customer Info'!A3277:E3776,5,FALSE),"Not Found")</f>
        <v>Not Found</v>
      </c>
      <c r="J3285" s="2">
        <v>896</v>
      </c>
      <c r="K3285" s="2">
        <v>870</v>
      </c>
      <c r="L3285" s="2">
        <v>5</v>
      </c>
      <c r="M3285" s="7">
        <f t="shared" si="255"/>
        <v>4350</v>
      </c>
      <c r="N3285" s="7">
        <f t="shared" si="256"/>
        <v>4480</v>
      </c>
      <c r="O3285" s="2">
        <v>88</v>
      </c>
      <c r="P3285" s="8">
        <f t="shared" si="257"/>
        <v>4568</v>
      </c>
      <c r="Q3285" s="8">
        <f t="shared" si="258"/>
        <v>3610</v>
      </c>
      <c r="R3285" s="2" t="s">
        <v>28</v>
      </c>
      <c r="S3285" s="9">
        <f t="shared" si="259"/>
        <v>91.36</v>
      </c>
    </row>
    <row r="3286" spans="1:19" x14ac:dyDescent="0.3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str">
        <f>IFERROR(VLOOKUP('Customer Info'!A3278,'Customer Info'!A3278:C3777,2,FALSE),"Not Found")</f>
        <v>Not Found</v>
      </c>
      <c r="H3286" s="6" t="str">
        <f>IFERROR(VLOOKUP('Customer Info'!A3278,'Customer Info'!A3278:C3777,3,FALSE),"Not Found")</f>
        <v>Not Found</v>
      </c>
      <c r="I3286" s="6" t="str">
        <f>IFERROR(VLOOKUP('Customer Info'!A3278,'Customer Info'!A3278:E3777,5,FALSE),"Not Found")</f>
        <v>Not Found</v>
      </c>
      <c r="J3286" s="2">
        <v>1222</v>
      </c>
      <c r="K3286" s="2">
        <v>1187</v>
      </c>
      <c r="L3286" s="2">
        <v>12</v>
      </c>
      <c r="M3286" s="7">
        <f t="shared" si="255"/>
        <v>14244</v>
      </c>
      <c r="N3286" s="7">
        <f t="shared" si="256"/>
        <v>14664</v>
      </c>
      <c r="O3286" s="2">
        <v>75</v>
      </c>
      <c r="P3286" s="8">
        <f t="shared" si="257"/>
        <v>14739</v>
      </c>
      <c r="Q3286" s="8">
        <f t="shared" si="258"/>
        <v>13477</v>
      </c>
      <c r="R3286" s="2" t="s">
        <v>50</v>
      </c>
      <c r="S3286" s="9">
        <f t="shared" si="259"/>
        <v>736.95</v>
      </c>
    </row>
    <row r="3287" spans="1:19" x14ac:dyDescent="0.3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str">
        <f>IFERROR(VLOOKUP('Customer Info'!A3279,'Customer Info'!A3279:C3778,2,FALSE),"Not Found")</f>
        <v>Not Found</v>
      </c>
      <c r="H3287" s="6" t="str">
        <f>IFERROR(VLOOKUP('Customer Info'!A3279,'Customer Info'!A3279:C3778,3,FALSE),"Not Found")</f>
        <v>Not Found</v>
      </c>
      <c r="I3287" s="6" t="str">
        <f>IFERROR(VLOOKUP('Customer Info'!A3279,'Customer Info'!A3279:E3778,5,FALSE),"Not Found")</f>
        <v>Not Found</v>
      </c>
      <c r="J3287" s="2">
        <v>2466</v>
      </c>
      <c r="K3287" s="2">
        <v>2350</v>
      </c>
      <c r="L3287" s="2">
        <v>6</v>
      </c>
      <c r="M3287" s="7">
        <f t="shared" si="255"/>
        <v>14100</v>
      </c>
      <c r="N3287" s="7">
        <f t="shared" si="256"/>
        <v>14796</v>
      </c>
      <c r="O3287" s="2">
        <v>55</v>
      </c>
      <c r="P3287" s="8">
        <f t="shared" si="257"/>
        <v>14851</v>
      </c>
      <c r="Q3287" s="8">
        <f t="shared" si="258"/>
        <v>12446</v>
      </c>
      <c r="R3287" s="2" t="s">
        <v>28</v>
      </c>
      <c r="S3287" s="9">
        <f t="shared" si="259"/>
        <v>742.55000000000007</v>
      </c>
    </row>
    <row r="3288" spans="1:19" x14ac:dyDescent="0.3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str">
        <f>IFERROR(VLOOKUP('Customer Info'!A3280,'Customer Info'!A3280:C3779,2,FALSE),"Not Found")</f>
        <v>Not Found</v>
      </c>
      <c r="H3288" s="6" t="str">
        <f>IFERROR(VLOOKUP('Customer Info'!A3280,'Customer Info'!A3280:C3779,3,FALSE),"Not Found")</f>
        <v>Not Found</v>
      </c>
      <c r="I3288" s="6" t="str">
        <f>IFERROR(VLOOKUP('Customer Info'!A3280,'Customer Info'!A3280:E3779,5,FALSE),"Not Found")</f>
        <v>Not Found</v>
      </c>
      <c r="J3288" s="2">
        <v>9214</v>
      </c>
      <c r="K3288" s="2">
        <v>8295</v>
      </c>
      <c r="L3288" s="2">
        <v>6</v>
      </c>
      <c r="M3288" s="7">
        <f t="shared" si="255"/>
        <v>49770</v>
      </c>
      <c r="N3288" s="7">
        <f t="shared" si="256"/>
        <v>55284</v>
      </c>
      <c r="O3288" s="2">
        <v>62</v>
      </c>
      <c r="P3288" s="8">
        <f t="shared" si="257"/>
        <v>55346</v>
      </c>
      <c r="Q3288" s="8">
        <f t="shared" si="258"/>
        <v>46989</v>
      </c>
      <c r="R3288" s="2" t="s">
        <v>28</v>
      </c>
      <c r="S3288" s="9">
        <f t="shared" si="259"/>
        <v>4981.1399999999994</v>
      </c>
    </row>
    <row r="3289" spans="1:19" x14ac:dyDescent="0.3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str">
        <f>IFERROR(VLOOKUP('Customer Info'!A3281,'Customer Info'!A3281:C3780,2,FALSE),"Not Found")</f>
        <v>Not Found</v>
      </c>
      <c r="H3289" s="6" t="str">
        <f>IFERROR(VLOOKUP('Customer Info'!A3281,'Customer Info'!A3281:C3780,3,FALSE),"Not Found")</f>
        <v>Not Found</v>
      </c>
      <c r="I3289" s="6" t="str">
        <f>IFERROR(VLOOKUP('Customer Info'!A3281,'Customer Info'!A3281:E3780,5,FALSE),"Not Found")</f>
        <v>Not Found</v>
      </c>
      <c r="J3289" s="2">
        <v>729</v>
      </c>
      <c r="K3289" s="2">
        <v>689</v>
      </c>
      <c r="L3289" s="2">
        <v>7</v>
      </c>
      <c r="M3289" s="7">
        <f t="shared" si="255"/>
        <v>4823</v>
      </c>
      <c r="N3289" s="7">
        <f t="shared" si="256"/>
        <v>5103</v>
      </c>
      <c r="O3289" s="2">
        <v>56</v>
      </c>
      <c r="P3289" s="8">
        <f t="shared" si="257"/>
        <v>5159</v>
      </c>
      <c r="Q3289" s="8">
        <f t="shared" si="258"/>
        <v>4414</v>
      </c>
      <c r="R3289" s="2" t="s">
        <v>28</v>
      </c>
      <c r="S3289" s="9">
        <f t="shared" si="259"/>
        <v>257.95</v>
      </c>
    </row>
    <row r="3290" spans="1:19" x14ac:dyDescent="0.3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str">
        <f>IFERROR(VLOOKUP('Customer Info'!A3282,'Customer Info'!A3282:C3781,2,FALSE),"Not Found")</f>
        <v>Not Found</v>
      </c>
      <c r="H3290" s="6" t="str">
        <f>IFERROR(VLOOKUP('Customer Info'!A3282,'Customer Info'!A3282:C3781,3,FALSE),"Not Found")</f>
        <v>Not Found</v>
      </c>
      <c r="I3290" s="6" t="str">
        <f>IFERROR(VLOOKUP('Customer Info'!A3282,'Customer Info'!A3282:E3781,5,FALSE),"Not Found")</f>
        <v>Not Found</v>
      </c>
      <c r="J3290" s="2">
        <v>691</v>
      </c>
      <c r="K3290" s="2">
        <v>627</v>
      </c>
      <c r="L3290" s="2">
        <v>1</v>
      </c>
      <c r="M3290" s="7">
        <f t="shared" si="255"/>
        <v>627</v>
      </c>
      <c r="N3290" s="7">
        <f t="shared" si="256"/>
        <v>691</v>
      </c>
      <c r="O3290" s="2">
        <v>31</v>
      </c>
      <c r="P3290" s="8">
        <f t="shared" si="257"/>
        <v>722</v>
      </c>
      <c r="Q3290" s="8">
        <f t="shared" si="258"/>
        <v>64</v>
      </c>
      <c r="R3290" s="2" t="s">
        <v>28</v>
      </c>
      <c r="S3290" s="9">
        <f t="shared" si="259"/>
        <v>14.44</v>
      </c>
    </row>
    <row r="3291" spans="1:19" x14ac:dyDescent="0.3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str">
        <f>IFERROR(VLOOKUP('Customer Info'!A3283,'Customer Info'!A3283:C3782,2,FALSE),"Not Found")</f>
        <v>Not Found</v>
      </c>
      <c r="H3291" s="6" t="str">
        <f>IFERROR(VLOOKUP('Customer Info'!A3283,'Customer Info'!A3283:C3782,3,FALSE),"Not Found")</f>
        <v>Not Found</v>
      </c>
      <c r="I3291" s="6" t="str">
        <f>IFERROR(VLOOKUP('Customer Info'!A3283,'Customer Info'!A3283:E3782,5,FALSE),"Not Found")</f>
        <v>Not Found</v>
      </c>
      <c r="J3291" s="2">
        <v>2501</v>
      </c>
      <c r="K3291" s="2">
        <v>2361</v>
      </c>
      <c r="L3291" s="2">
        <v>2</v>
      </c>
      <c r="M3291" s="7">
        <f t="shared" si="255"/>
        <v>4722</v>
      </c>
      <c r="N3291" s="7">
        <f t="shared" si="256"/>
        <v>5002</v>
      </c>
      <c r="O3291" s="2">
        <v>96</v>
      </c>
      <c r="P3291" s="8">
        <f t="shared" si="257"/>
        <v>5098</v>
      </c>
      <c r="Q3291" s="8">
        <f t="shared" si="258"/>
        <v>2641</v>
      </c>
      <c r="R3291" s="2" t="s">
        <v>50</v>
      </c>
      <c r="S3291" s="9">
        <f t="shared" si="259"/>
        <v>254.9</v>
      </c>
    </row>
    <row r="3292" spans="1:19" x14ac:dyDescent="0.3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str">
        <f>IFERROR(VLOOKUP('Customer Info'!A3284,'Customer Info'!A3284:C3783,2,FALSE),"Not Found")</f>
        <v>Not Found</v>
      </c>
      <c r="H3292" s="6" t="str">
        <f>IFERROR(VLOOKUP('Customer Info'!A3284,'Customer Info'!A3284:C3783,3,FALSE),"Not Found")</f>
        <v>Not Found</v>
      </c>
      <c r="I3292" s="6" t="str">
        <f>IFERROR(VLOOKUP('Customer Info'!A3284,'Customer Info'!A3284:E3783,5,FALSE),"Not Found")</f>
        <v>Not Found</v>
      </c>
      <c r="J3292" s="2">
        <v>2151</v>
      </c>
      <c r="K3292" s="2">
        <v>2009</v>
      </c>
      <c r="L3292" s="2">
        <v>2</v>
      </c>
      <c r="M3292" s="7">
        <f t="shared" si="255"/>
        <v>4018</v>
      </c>
      <c r="N3292" s="7">
        <f t="shared" si="256"/>
        <v>4302</v>
      </c>
      <c r="O3292" s="2">
        <v>67</v>
      </c>
      <c r="P3292" s="8">
        <f t="shared" si="257"/>
        <v>4369</v>
      </c>
      <c r="Q3292" s="8">
        <f t="shared" si="258"/>
        <v>2293</v>
      </c>
      <c r="R3292" s="2" t="s">
        <v>28</v>
      </c>
      <c r="S3292" s="9">
        <f t="shared" si="259"/>
        <v>87.38</v>
      </c>
    </row>
    <row r="3293" spans="1:19" x14ac:dyDescent="0.3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str">
        <f>IFERROR(VLOOKUP('Customer Info'!A3285,'Customer Info'!A3285:C3784,2,FALSE),"Not Found")</f>
        <v>Not Found</v>
      </c>
      <c r="H3293" s="6" t="str">
        <f>IFERROR(VLOOKUP('Customer Info'!A3285,'Customer Info'!A3285:C3784,3,FALSE),"Not Found")</f>
        <v>Not Found</v>
      </c>
      <c r="I3293" s="6" t="str">
        <f>IFERROR(VLOOKUP('Customer Info'!A3285,'Customer Info'!A3285:E3784,5,FALSE),"Not Found")</f>
        <v>Not Found</v>
      </c>
      <c r="J3293" s="2">
        <v>526</v>
      </c>
      <c r="K3293" s="2">
        <v>487</v>
      </c>
      <c r="L3293" s="2">
        <v>13</v>
      </c>
      <c r="M3293" s="7">
        <f t="shared" si="255"/>
        <v>6331</v>
      </c>
      <c r="N3293" s="7">
        <f t="shared" si="256"/>
        <v>6838</v>
      </c>
      <c r="O3293" s="2">
        <v>71</v>
      </c>
      <c r="P3293" s="8">
        <f t="shared" si="257"/>
        <v>6909</v>
      </c>
      <c r="Q3293" s="8">
        <f t="shared" si="258"/>
        <v>6351</v>
      </c>
      <c r="R3293" s="2" t="s">
        <v>50</v>
      </c>
      <c r="S3293" s="9">
        <f t="shared" si="259"/>
        <v>345.45000000000005</v>
      </c>
    </row>
    <row r="3294" spans="1:19" x14ac:dyDescent="0.3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str">
        <f>IFERROR(VLOOKUP('Customer Info'!A3286,'Customer Info'!A3286:C3785,2,FALSE),"Not Found")</f>
        <v>Not Found</v>
      </c>
      <c r="H3294" s="6" t="str">
        <f>IFERROR(VLOOKUP('Customer Info'!A3286,'Customer Info'!A3286:C3785,3,FALSE),"Not Found")</f>
        <v>Not Found</v>
      </c>
      <c r="I3294" s="6" t="str">
        <f>IFERROR(VLOOKUP('Customer Info'!A3286,'Customer Info'!A3286:E3785,5,FALSE),"Not Found")</f>
        <v>Not Found</v>
      </c>
      <c r="J3294" s="2">
        <v>97</v>
      </c>
      <c r="K3294" s="2">
        <v>92</v>
      </c>
      <c r="L3294" s="2">
        <v>12</v>
      </c>
      <c r="M3294" s="7">
        <f t="shared" si="255"/>
        <v>1104</v>
      </c>
      <c r="N3294" s="7">
        <f t="shared" si="256"/>
        <v>1164</v>
      </c>
      <c r="O3294" s="2">
        <v>10</v>
      </c>
      <c r="P3294" s="8">
        <f t="shared" si="257"/>
        <v>1174</v>
      </c>
      <c r="Q3294" s="8">
        <f t="shared" si="258"/>
        <v>1072</v>
      </c>
      <c r="R3294" s="2" t="s">
        <v>28</v>
      </c>
      <c r="S3294" s="9">
        <f t="shared" si="259"/>
        <v>23.48</v>
      </c>
    </row>
    <row r="3295" spans="1:19" x14ac:dyDescent="0.3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str">
        <f>IFERROR(VLOOKUP('Customer Info'!A3287,'Customer Info'!A3287:C3786,2,FALSE),"Not Found")</f>
        <v>Not Found</v>
      </c>
      <c r="H3295" s="6" t="str">
        <f>IFERROR(VLOOKUP('Customer Info'!A3287,'Customer Info'!A3287:C3786,3,FALSE),"Not Found")</f>
        <v>Not Found</v>
      </c>
      <c r="I3295" s="6" t="str">
        <f>IFERROR(VLOOKUP('Customer Info'!A3287,'Customer Info'!A3287:E3786,5,FALSE),"Not Found")</f>
        <v>Not Found</v>
      </c>
      <c r="J3295" s="2">
        <v>3224</v>
      </c>
      <c r="K3295" s="2">
        <v>2984</v>
      </c>
      <c r="L3295" s="2">
        <v>2</v>
      </c>
      <c r="M3295" s="7">
        <f t="shared" si="255"/>
        <v>5968</v>
      </c>
      <c r="N3295" s="7">
        <f t="shared" si="256"/>
        <v>6448</v>
      </c>
      <c r="O3295" s="2">
        <v>99</v>
      </c>
      <c r="P3295" s="8">
        <f t="shared" si="257"/>
        <v>6547</v>
      </c>
      <c r="Q3295" s="8">
        <f t="shared" si="258"/>
        <v>3464</v>
      </c>
      <c r="R3295" s="2" t="s">
        <v>26</v>
      </c>
      <c r="S3295" s="9">
        <f t="shared" si="259"/>
        <v>327.35000000000002</v>
      </c>
    </row>
    <row r="3296" spans="1:19" x14ac:dyDescent="0.3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str">
        <f>IFERROR(VLOOKUP('Customer Info'!A3288,'Customer Info'!A3288:C3787,2,FALSE),"Not Found")</f>
        <v>Not Found</v>
      </c>
      <c r="H3296" s="6" t="str">
        <f>IFERROR(VLOOKUP('Customer Info'!A3288,'Customer Info'!A3288:C3787,3,FALSE),"Not Found")</f>
        <v>Not Found</v>
      </c>
      <c r="I3296" s="6" t="str">
        <f>IFERROR(VLOOKUP('Customer Info'!A3288,'Customer Info'!A3288:E3787,5,FALSE),"Not Found")</f>
        <v>Not Found</v>
      </c>
      <c r="J3296" s="2">
        <v>2644</v>
      </c>
      <c r="K3296" s="2">
        <v>2425</v>
      </c>
      <c r="L3296" s="2">
        <v>1</v>
      </c>
      <c r="M3296" s="7">
        <f t="shared" si="255"/>
        <v>2425</v>
      </c>
      <c r="N3296" s="7">
        <f t="shared" si="256"/>
        <v>2644</v>
      </c>
      <c r="O3296" s="2">
        <v>85</v>
      </c>
      <c r="P3296" s="8">
        <f t="shared" si="257"/>
        <v>2729</v>
      </c>
      <c r="Q3296" s="8">
        <f t="shared" si="258"/>
        <v>219</v>
      </c>
      <c r="R3296" s="2" t="s">
        <v>26</v>
      </c>
      <c r="S3296" s="9">
        <f t="shared" si="259"/>
        <v>54.58</v>
      </c>
    </row>
    <row r="3297" spans="1:19" x14ac:dyDescent="0.3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str">
        <f>IFERROR(VLOOKUP('Customer Info'!A3289,'Customer Info'!A3289:C3788,2,FALSE),"Not Found")</f>
        <v>Not Found</v>
      </c>
      <c r="H3297" s="6" t="str">
        <f>IFERROR(VLOOKUP('Customer Info'!A3289,'Customer Info'!A3289:C3788,3,FALSE),"Not Found")</f>
        <v>Not Found</v>
      </c>
      <c r="I3297" s="6" t="str">
        <f>IFERROR(VLOOKUP('Customer Info'!A3289,'Customer Info'!A3289:E3788,5,FALSE),"Not Found")</f>
        <v>Not Found</v>
      </c>
      <c r="J3297" s="2">
        <v>4487</v>
      </c>
      <c r="K3297" s="2">
        <v>4201</v>
      </c>
      <c r="L3297" s="2">
        <v>9</v>
      </c>
      <c r="M3297" s="7">
        <f t="shared" si="255"/>
        <v>37809</v>
      </c>
      <c r="N3297" s="7">
        <f t="shared" si="256"/>
        <v>40383</v>
      </c>
      <c r="O3297" s="2">
        <v>81</v>
      </c>
      <c r="P3297" s="8">
        <f t="shared" si="257"/>
        <v>40464</v>
      </c>
      <c r="Q3297" s="8">
        <f t="shared" si="258"/>
        <v>36182</v>
      </c>
      <c r="R3297" s="2" t="s">
        <v>50</v>
      </c>
      <c r="S3297" s="9">
        <f t="shared" si="259"/>
        <v>2832.4800000000005</v>
      </c>
    </row>
    <row r="3298" spans="1:19" x14ac:dyDescent="0.3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str">
        <f>IFERROR(VLOOKUP('Customer Info'!A3290,'Customer Info'!A3290:C3789,2,FALSE),"Not Found")</f>
        <v>Not Found</v>
      </c>
      <c r="H3298" s="6" t="str">
        <f>IFERROR(VLOOKUP('Customer Info'!A3290,'Customer Info'!A3290:C3789,3,FALSE),"Not Found")</f>
        <v>Not Found</v>
      </c>
      <c r="I3298" s="6" t="str">
        <f>IFERROR(VLOOKUP('Customer Info'!A3290,'Customer Info'!A3290:E3789,5,FALSE),"Not Found")</f>
        <v>Not Found</v>
      </c>
      <c r="J3298" s="2">
        <v>138</v>
      </c>
      <c r="K3298" s="2">
        <v>128</v>
      </c>
      <c r="L3298" s="2">
        <v>11</v>
      </c>
      <c r="M3298" s="7">
        <f t="shared" si="255"/>
        <v>1408</v>
      </c>
      <c r="N3298" s="7">
        <f t="shared" si="256"/>
        <v>1518</v>
      </c>
      <c r="O3298" s="2">
        <v>30</v>
      </c>
      <c r="P3298" s="8">
        <f t="shared" si="257"/>
        <v>1548</v>
      </c>
      <c r="Q3298" s="8">
        <f t="shared" si="258"/>
        <v>1390</v>
      </c>
      <c r="R3298" s="2" t="s">
        <v>28</v>
      </c>
      <c r="S3298" s="9">
        <f t="shared" si="259"/>
        <v>30.96</v>
      </c>
    </row>
    <row r="3299" spans="1:19" x14ac:dyDescent="0.3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str">
        <f>IFERROR(VLOOKUP('Customer Info'!A3291,'Customer Info'!A3291:C3790,2,FALSE),"Not Found")</f>
        <v>Not Found</v>
      </c>
      <c r="H3299" s="6" t="str">
        <f>IFERROR(VLOOKUP('Customer Info'!A3291,'Customer Info'!A3291:C3790,3,FALSE),"Not Found")</f>
        <v>Not Found</v>
      </c>
      <c r="I3299" s="6" t="str">
        <f>IFERROR(VLOOKUP('Customer Info'!A3291,'Customer Info'!A3291:E3790,5,FALSE),"Not Found")</f>
        <v>Not Found</v>
      </c>
      <c r="J3299" s="2">
        <v>5941</v>
      </c>
      <c r="K3299" s="2">
        <v>5827</v>
      </c>
      <c r="L3299" s="2">
        <v>4</v>
      </c>
      <c r="M3299" s="7">
        <f t="shared" si="255"/>
        <v>23308</v>
      </c>
      <c r="N3299" s="7">
        <f t="shared" si="256"/>
        <v>23764</v>
      </c>
      <c r="O3299" s="2">
        <v>35</v>
      </c>
      <c r="P3299" s="8">
        <f t="shared" si="257"/>
        <v>23799</v>
      </c>
      <c r="Q3299" s="8">
        <f t="shared" si="258"/>
        <v>17937</v>
      </c>
      <c r="R3299" s="2" t="s">
        <v>28</v>
      </c>
      <c r="S3299" s="9">
        <f t="shared" si="259"/>
        <v>1189.95</v>
      </c>
    </row>
    <row r="3300" spans="1:19" x14ac:dyDescent="0.3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str">
        <f>IFERROR(VLOOKUP('Customer Info'!A3292,'Customer Info'!A3292:C3791,2,FALSE),"Not Found")</f>
        <v>Not Found</v>
      </c>
      <c r="H3300" s="6" t="str">
        <f>IFERROR(VLOOKUP('Customer Info'!A3292,'Customer Info'!A3292:C3791,3,FALSE),"Not Found")</f>
        <v>Not Found</v>
      </c>
      <c r="I3300" s="6" t="str">
        <f>IFERROR(VLOOKUP('Customer Info'!A3292,'Customer Info'!A3292:E3791,5,FALSE),"Not Found")</f>
        <v>Not Found</v>
      </c>
      <c r="J3300" s="2">
        <v>1834</v>
      </c>
      <c r="K3300" s="2">
        <v>1716</v>
      </c>
      <c r="L3300" s="2">
        <v>7</v>
      </c>
      <c r="M3300" s="7">
        <f t="shared" si="255"/>
        <v>12012</v>
      </c>
      <c r="N3300" s="7">
        <f t="shared" si="256"/>
        <v>12838</v>
      </c>
      <c r="O3300" s="2">
        <v>94</v>
      </c>
      <c r="P3300" s="8">
        <f t="shared" si="257"/>
        <v>12932</v>
      </c>
      <c r="Q3300" s="8">
        <f t="shared" si="258"/>
        <v>11122</v>
      </c>
      <c r="R3300" s="2" t="s">
        <v>28</v>
      </c>
      <c r="S3300" s="9">
        <f t="shared" si="259"/>
        <v>646.6</v>
      </c>
    </row>
    <row r="3301" spans="1:19" x14ac:dyDescent="0.3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str">
        <f>IFERROR(VLOOKUP('Customer Info'!A3293,'Customer Info'!A3293:C3792,2,FALSE),"Not Found")</f>
        <v>Not Found</v>
      </c>
      <c r="H3301" s="6" t="str">
        <f>IFERROR(VLOOKUP('Customer Info'!A3293,'Customer Info'!A3293:C3792,3,FALSE),"Not Found")</f>
        <v>Not Found</v>
      </c>
      <c r="I3301" s="6" t="str">
        <f>IFERROR(VLOOKUP('Customer Info'!A3293,'Customer Info'!A3293:E3792,5,FALSE),"Not Found")</f>
        <v>Not Found</v>
      </c>
      <c r="J3301" s="2">
        <v>7691</v>
      </c>
      <c r="K3301" s="2">
        <v>7255</v>
      </c>
      <c r="L3301" s="2">
        <v>1</v>
      </c>
      <c r="M3301" s="7">
        <f t="shared" si="255"/>
        <v>7255</v>
      </c>
      <c r="N3301" s="7">
        <f t="shared" si="256"/>
        <v>7691</v>
      </c>
      <c r="O3301" s="2">
        <v>59</v>
      </c>
      <c r="P3301" s="8">
        <f t="shared" si="257"/>
        <v>7750</v>
      </c>
      <c r="Q3301" s="8">
        <f t="shared" si="258"/>
        <v>436</v>
      </c>
      <c r="R3301" s="2" t="s">
        <v>28</v>
      </c>
      <c r="S3301" s="9">
        <f t="shared" si="259"/>
        <v>387.5</v>
      </c>
    </row>
    <row r="3302" spans="1:19" x14ac:dyDescent="0.3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str">
        <f>IFERROR(VLOOKUP('Customer Info'!A3294,'Customer Info'!A3294:C3793,2,FALSE),"Not Found")</f>
        <v>Not Found</v>
      </c>
      <c r="H3302" s="6" t="str">
        <f>IFERROR(VLOOKUP('Customer Info'!A3294,'Customer Info'!A3294:C3793,3,FALSE),"Not Found")</f>
        <v>Not Found</v>
      </c>
      <c r="I3302" s="6" t="str">
        <f>IFERROR(VLOOKUP('Customer Info'!A3294,'Customer Info'!A3294:E3793,5,FALSE),"Not Found")</f>
        <v>Not Found</v>
      </c>
      <c r="J3302" s="2">
        <v>147</v>
      </c>
      <c r="K3302" s="2">
        <v>138</v>
      </c>
      <c r="L3302" s="2">
        <v>2</v>
      </c>
      <c r="M3302" s="7">
        <f t="shared" si="255"/>
        <v>276</v>
      </c>
      <c r="N3302" s="7">
        <f t="shared" si="256"/>
        <v>294</v>
      </c>
      <c r="O3302" s="2">
        <v>30</v>
      </c>
      <c r="P3302" s="8">
        <f t="shared" si="257"/>
        <v>324</v>
      </c>
      <c r="Q3302" s="8">
        <f t="shared" si="258"/>
        <v>156</v>
      </c>
      <c r="R3302" s="2" t="s">
        <v>28</v>
      </c>
      <c r="S3302" s="9">
        <f t="shared" si="259"/>
        <v>6.48</v>
      </c>
    </row>
    <row r="3303" spans="1:19" x14ac:dyDescent="0.3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str">
        <f>IFERROR(VLOOKUP('Customer Info'!A3295,'Customer Info'!A3295:C3794,2,FALSE),"Not Found")</f>
        <v>Not Found</v>
      </c>
      <c r="H3303" s="6" t="str">
        <f>IFERROR(VLOOKUP('Customer Info'!A3295,'Customer Info'!A3295:C3794,3,FALSE),"Not Found")</f>
        <v>Not Found</v>
      </c>
      <c r="I3303" s="6" t="str">
        <f>IFERROR(VLOOKUP('Customer Info'!A3295,'Customer Info'!A3295:E3794,5,FALSE),"Not Found")</f>
        <v>Not Found</v>
      </c>
      <c r="J3303" s="2">
        <v>67</v>
      </c>
      <c r="K3303" s="2">
        <v>62</v>
      </c>
      <c r="L3303" s="2">
        <v>1</v>
      </c>
      <c r="M3303" s="7">
        <f t="shared" si="255"/>
        <v>62</v>
      </c>
      <c r="N3303" s="7">
        <f t="shared" si="256"/>
        <v>67</v>
      </c>
      <c r="O3303" s="2">
        <v>10</v>
      </c>
      <c r="P3303" s="8">
        <f t="shared" si="257"/>
        <v>77</v>
      </c>
      <c r="Q3303" s="8">
        <f t="shared" si="258"/>
        <v>5</v>
      </c>
      <c r="R3303" s="2" t="s">
        <v>50</v>
      </c>
      <c r="S3303" s="9">
        <f t="shared" si="259"/>
        <v>1.54</v>
      </c>
    </row>
    <row r="3304" spans="1:19" x14ac:dyDescent="0.3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str">
        <f>IFERROR(VLOOKUP('Customer Info'!A3296,'Customer Info'!A3296:C3795,2,FALSE),"Not Found")</f>
        <v>Not Found</v>
      </c>
      <c r="H3304" s="6" t="str">
        <f>IFERROR(VLOOKUP('Customer Info'!A3296,'Customer Info'!A3296:C3795,3,FALSE),"Not Found")</f>
        <v>Not Found</v>
      </c>
      <c r="I3304" s="6" t="str">
        <f>IFERROR(VLOOKUP('Customer Info'!A3296,'Customer Info'!A3296:E3795,5,FALSE),"Not Found")</f>
        <v>Not Found</v>
      </c>
      <c r="J3304" s="2">
        <v>8889</v>
      </c>
      <c r="K3304" s="2">
        <v>8469</v>
      </c>
      <c r="L3304" s="2">
        <v>2</v>
      </c>
      <c r="M3304" s="7">
        <f t="shared" si="255"/>
        <v>16938</v>
      </c>
      <c r="N3304" s="7">
        <f t="shared" si="256"/>
        <v>17778</v>
      </c>
      <c r="O3304" s="2">
        <v>37</v>
      </c>
      <c r="P3304" s="8">
        <f t="shared" si="257"/>
        <v>17815</v>
      </c>
      <c r="Q3304" s="8">
        <f t="shared" si="258"/>
        <v>9309</v>
      </c>
      <c r="R3304" s="2" t="s">
        <v>28</v>
      </c>
      <c r="S3304" s="9">
        <f t="shared" si="259"/>
        <v>890.75</v>
      </c>
    </row>
    <row r="3305" spans="1:19" x14ac:dyDescent="0.3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str">
        <f>IFERROR(VLOOKUP('Customer Info'!A3297,'Customer Info'!A3297:C3796,2,FALSE),"Not Found")</f>
        <v>Not Found</v>
      </c>
      <c r="H3305" s="6" t="str">
        <f>IFERROR(VLOOKUP('Customer Info'!A3297,'Customer Info'!A3297:C3796,3,FALSE),"Not Found")</f>
        <v>Not Found</v>
      </c>
      <c r="I3305" s="6" t="str">
        <f>IFERROR(VLOOKUP('Customer Info'!A3297,'Customer Info'!A3297:E3796,5,FALSE),"Not Found")</f>
        <v>Not Found</v>
      </c>
      <c r="J3305" s="2">
        <v>1752</v>
      </c>
      <c r="K3305" s="2">
        <v>1576</v>
      </c>
      <c r="L3305" s="2">
        <v>6</v>
      </c>
      <c r="M3305" s="7">
        <f t="shared" si="255"/>
        <v>9456</v>
      </c>
      <c r="N3305" s="7">
        <f t="shared" si="256"/>
        <v>10512</v>
      </c>
      <c r="O3305" s="2">
        <v>84</v>
      </c>
      <c r="P3305" s="8">
        <f t="shared" si="257"/>
        <v>10596</v>
      </c>
      <c r="Q3305" s="8">
        <f t="shared" si="258"/>
        <v>8936</v>
      </c>
      <c r="R3305" s="2" t="s">
        <v>50</v>
      </c>
      <c r="S3305" s="9">
        <f t="shared" si="259"/>
        <v>529.80000000000007</v>
      </c>
    </row>
    <row r="3306" spans="1:19" x14ac:dyDescent="0.3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str">
        <f>IFERROR(VLOOKUP('Customer Info'!A3298,'Customer Info'!A3298:C3797,2,FALSE),"Not Found")</f>
        <v>Not Found</v>
      </c>
      <c r="H3306" s="6" t="str">
        <f>IFERROR(VLOOKUP('Customer Info'!A3298,'Customer Info'!A3298:C3797,3,FALSE),"Not Found")</f>
        <v>Not Found</v>
      </c>
      <c r="I3306" s="6" t="str">
        <f>IFERROR(VLOOKUP('Customer Info'!A3298,'Customer Info'!A3298:E3797,5,FALSE),"Not Found")</f>
        <v>Not Found</v>
      </c>
      <c r="J3306" s="2">
        <v>1887</v>
      </c>
      <c r="K3306" s="2">
        <v>1763</v>
      </c>
      <c r="L3306" s="2">
        <v>5</v>
      </c>
      <c r="M3306" s="7">
        <f t="shared" si="255"/>
        <v>8815</v>
      </c>
      <c r="N3306" s="7">
        <f t="shared" si="256"/>
        <v>9435</v>
      </c>
      <c r="O3306" s="2">
        <v>63</v>
      </c>
      <c r="P3306" s="8">
        <f t="shared" si="257"/>
        <v>9498</v>
      </c>
      <c r="Q3306" s="8">
        <f t="shared" si="258"/>
        <v>7672</v>
      </c>
      <c r="R3306" s="2" t="s">
        <v>28</v>
      </c>
      <c r="S3306" s="9">
        <f t="shared" si="259"/>
        <v>474.90000000000003</v>
      </c>
    </row>
    <row r="3307" spans="1:19" x14ac:dyDescent="0.3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str">
        <f>IFERROR(VLOOKUP('Customer Info'!A3299,'Customer Info'!A3299:C3798,2,FALSE),"Not Found")</f>
        <v>Not Found</v>
      </c>
      <c r="H3307" s="6" t="str">
        <f>IFERROR(VLOOKUP('Customer Info'!A3299,'Customer Info'!A3299:C3798,3,FALSE),"Not Found")</f>
        <v>Not Found</v>
      </c>
      <c r="I3307" s="6" t="str">
        <f>IFERROR(VLOOKUP('Customer Info'!A3299,'Customer Info'!A3299:E3798,5,FALSE),"Not Found")</f>
        <v>Not Found</v>
      </c>
      <c r="J3307" s="2">
        <v>6337</v>
      </c>
      <c r="K3307" s="2">
        <v>6215</v>
      </c>
      <c r="L3307" s="2">
        <v>2</v>
      </c>
      <c r="M3307" s="7">
        <f t="shared" si="255"/>
        <v>12430</v>
      </c>
      <c r="N3307" s="7">
        <f t="shared" si="256"/>
        <v>12674</v>
      </c>
      <c r="O3307" s="2">
        <v>77</v>
      </c>
      <c r="P3307" s="8">
        <f t="shared" si="257"/>
        <v>12751</v>
      </c>
      <c r="Q3307" s="8">
        <f t="shared" si="258"/>
        <v>6459</v>
      </c>
      <c r="R3307" s="2" t="s">
        <v>50</v>
      </c>
      <c r="S3307" s="9">
        <f t="shared" si="259"/>
        <v>637.55000000000007</v>
      </c>
    </row>
    <row r="3308" spans="1:19" x14ac:dyDescent="0.3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str">
        <f>IFERROR(VLOOKUP('Customer Info'!A3300,'Customer Info'!A3300:C3799,2,FALSE),"Not Found")</f>
        <v>Not Found</v>
      </c>
      <c r="H3308" s="6" t="str">
        <f>IFERROR(VLOOKUP('Customer Info'!A3300,'Customer Info'!A3300:C3799,3,FALSE),"Not Found")</f>
        <v>Not Found</v>
      </c>
      <c r="I3308" s="6" t="str">
        <f>IFERROR(VLOOKUP('Customer Info'!A3300,'Customer Info'!A3300:E3799,5,FALSE),"Not Found")</f>
        <v>Not Found</v>
      </c>
      <c r="J3308" s="2">
        <v>224</v>
      </c>
      <c r="K3308" s="2">
        <v>210</v>
      </c>
      <c r="L3308" s="2">
        <v>2</v>
      </c>
      <c r="M3308" s="7">
        <f t="shared" si="255"/>
        <v>420</v>
      </c>
      <c r="N3308" s="7">
        <f t="shared" si="256"/>
        <v>448</v>
      </c>
      <c r="O3308" s="2">
        <v>63</v>
      </c>
      <c r="P3308" s="8">
        <f t="shared" si="257"/>
        <v>511</v>
      </c>
      <c r="Q3308" s="8">
        <f t="shared" si="258"/>
        <v>238</v>
      </c>
      <c r="R3308" s="2" t="s">
        <v>28</v>
      </c>
      <c r="S3308" s="9">
        <f t="shared" si="259"/>
        <v>10.220000000000001</v>
      </c>
    </row>
    <row r="3309" spans="1:19" x14ac:dyDescent="0.3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str">
        <f>IFERROR(VLOOKUP('Customer Info'!A3301,'Customer Info'!A3301:C3800,2,FALSE),"Not Found")</f>
        <v>Not Found</v>
      </c>
      <c r="H3309" s="6" t="str">
        <f>IFERROR(VLOOKUP('Customer Info'!A3301,'Customer Info'!A3301:C3800,3,FALSE),"Not Found")</f>
        <v>Not Found</v>
      </c>
      <c r="I3309" s="6" t="str">
        <f>IFERROR(VLOOKUP('Customer Info'!A3301,'Customer Info'!A3301:E3800,5,FALSE),"Not Found")</f>
        <v>Not Found</v>
      </c>
      <c r="J3309" s="2">
        <v>4122</v>
      </c>
      <c r="K3309" s="2">
        <v>3781</v>
      </c>
      <c r="L3309" s="2">
        <v>2</v>
      </c>
      <c r="M3309" s="7">
        <f t="shared" si="255"/>
        <v>7562</v>
      </c>
      <c r="N3309" s="7">
        <f t="shared" si="256"/>
        <v>8244</v>
      </c>
      <c r="O3309" s="2">
        <v>70</v>
      </c>
      <c r="P3309" s="8">
        <f t="shared" si="257"/>
        <v>8314</v>
      </c>
      <c r="Q3309" s="8">
        <f t="shared" si="258"/>
        <v>4463</v>
      </c>
      <c r="R3309" s="2" t="s">
        <v>26</v>
      </c>
      <c r="S3309" s="9">
        <f t="shared" si="259"/>
        <v>415.70000000000005</v>
      </c>
    </row>
    <row r="3310" spans="1:19" x14ac:dyDescent="0.3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str">
        <f>IFERROR(VLOOKUP('Customer Info'!A3302,'Customer Info'!A3302:C3801,2,FALSE),"Not Found")</f>
        <v>Not Found</v>
      </c>
      <c r="H3310" s="6" t="str">
        <f>IFERROR(VLOOKUP('Customer Info'!A3302,'Customer Info'!A3302:C3801,3,FALSE),"Not Found")</f>
        <v>Not Found</v>
      </c>
      <c r="I3310" s="6" t="str">
        <f>IFERROR(VLOOKUP('Customer Info'!A3302,'Customer Info'!A3302:E3801,5,FALSE),"Not Found")</f>
        <v>Not Found</v>
      </c>
      <c r="J3310" s="2">
        <v>3145</v>
      </c>
      <c r="K3310" s="2">
        <v>3025</v>
      </c>
      <c r="L3310" s="2">
        <v>7</v>
      </c>
      <c r="M3310" s="7">
        <f t="shared" si="255"/>
        <v>21175</v>
      </c>
      <c r="N3310" s="7">
        <f t="shared" si="256"/>
        <v>22015</v>
      </c>
      <c r="O3310" s="2">
        <v>40</v>
      </c>
      <c r="P3310" s="8">
        <f t="shared" si="257"/>
        <v>22055</v>
      </c>
      <c r="Q3310" s="8">
        <f t="shared" si="258"/>
        <v>18990</v>
      </c>
      <c r="R3310" s="2" t="s">
        <v>50</v>
      </c>
      <c r="S3310" s="9">
        <f t="shared" si="259"/>
        <v>1102.75</v>
      </c>
    </row>
    <row r="3311" spans="1:19" x14ac:dyDescent="0.3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str">
        <f>IFERROR(VLOOKUP('Customer Info'!A3303,'Customer Info'!A3303:C3802,2,FALSE),"Not Found")</f>
        <v>Not Found</v>
      </c>
      <c r="H3311" s="6" t="str">
        <f>IFERROR(VLOOKUP('Customer Info'!A3303,'Customer Info'!A3303:C3802,3,FALSE),"Not Found")</f>
        <v>Not Found</v>
      </c>
      <c r="I3311" s="6" t="str">
        <f>IFERROR(VLOOKUP('Customer Info'!A3303,'Customer Info'!A3303:E3802,5,FALSE),"Not Found")</f>
        <v>Not Found</v>
      </c>
      <c r="J3311" s="2">
        <v>2790</v>
      </c>
      <c r="K3311" s="2">
        <v>2557</v>
      </c>
      <c r="L3311" s="2">
        <v>3</v>
      </c>
      <c r="M3311" s="7">
        <f t="shared" si="255"/>
        <v>7671</v>
      </c>
      <c r="N3311" s="7">
        <f t="shared" si="256"/>
        <v>8370</v>
      </c>
      <c r="O3311" s="2">
        <v>46</v>
      </c>
      <c r="P3311" s="8">
        <f t="shared" si="257"/>
        <v>8416</v>
      </c>
      <c r="Q3311" s="8">
        <f t="shared" si="258"/>
        <v>5813</v>
      </c>
      <c r="R3311" s="2" t="s">
        <v>28</v>
      </c>
      <c r="S3311" s="9">
        <f t="shared" si="259"/>
        <v>420.8</v>
      </c>
    </row>
    <row r="3312" spans="1:19" x14ac:dyDescent="0.3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str">
        <f>IFERROR(VLOOKUP('Customer Info'!A3304,'Customer Info'!A3304:C3803,2,FALSE),"Not Found")</f>
        <v>Not Found</v>
      </c>
      <c r="H3312" s="6" t="str">
        <f>IFERROR(VLOOKUP('Customer Info'!A3304,'Customer Info'!A3304:C3803,3,FALSE),"Not Found")</f>
        <v>Not Found</v>
      </c>
      <c r="I3312" s="6" t="str">
        <f>IFERROR(VLOOKUP('Customer Info'!A3304,'Customer Info'!A3304:E3803,5,FALSE),"Not Found")</f>
        <v>Not Found</v>
      </c>
      <c r="J3312" s="2">
        <v>8630</v>
      </c>
      <c r="K3312" s="2">
        <v>8303</v>
      </c>
      <c r="L3312" s="2">
        <v>4</v>
      </c>
      <c r="M3312" s="7">
        <f t="shared" si="255"/>
        <v>33212</v>
      </c>
      <c r="N3312" s="7">
        <f t="shared" si="256"/>
        <v>34520</v>
      </c>
      <c r="O3312" s="2">
        <v>63</v>
      </c>
      <c r="P3312" s="8">
        <f t="shared" si="257"/>
        <v>34583</v>
      </c>
      <c r="Q3312" s="8">
        <f t="shared" si="258"/>
        <v>26217</v>
      </c>
      <c r="R3312" s="2" t="s">
        <v>28</v>
      </c>
      <c r="S3312" s="9">
        <f t="shared" si="259"/>
        <v>2420.8100000000004</v>
      </c>
    </row>
    <row r="3313" spans="1:19" x14ac:dyDescent="0.3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str">
        <f>IFERROR(VLOOKUP('Customer Info'!A3305,'Customer Info'!A3305:C3804,2,FALSE),"Not Found")</f>
        <v>Not Found</v>
      </c>
      <c r="H3313" s="6" t="str">
        <f>IFERROR(VLOOKUP('Customer Info'!A3305,'Customer Info'!A3305:C3804,3,FALSE),"Not Found")</f>
        <v>Not Found</v>
      </c>
      <c r="I3313" s="6" t="str">
        <f>IFERROR(VLOOKUP('Customer Info'!A3305,'Customer Info'!A3305:E3804,5,FALSE),"Not Found")</f>
        <v>Not Found</v>
      </c>
      <c r="J3313" s="2">
        <v>2017</v>
      </c>
      <c r="K3313" s="2">
        <v>1834</v>
      </c>
      <c r="L3313" s="2">
        <v>2</v>
      </c>
      <c r="M3313" s="7">
        <f t="shared" si="255"/>
        <v>3668</v>
      </c>
      <c r="N3313" s="7">
        <f t="shared" si="256"/>
        <v>4034</v>
      </c>
      <c r="O3313" s="2">
        <v>88</v>
      </c>
      <c r="P3313" s="8">
        <f t="shared" si="257"/>
        <v>4122</v>
      </c>
      <c r="Q3313" s="8">
        <f t="shared" si="258"/>
        <v>2200</v>
      </c>
      <c r="R3313" s="2" t="s">
        <v>50</v>
      </c>
      <c r="S3313" s="9">
        <f t="shared" si="259"/>
        <v>82.44</v>
      </c>
    </row>
    <row r="3314" spans="1:19" x14ac:dyDescent="0.3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str">
        <f>IFERROR(VLOOKUP('Customer Info'!A3306,'Customer Info'!A3306:C3805,2,FALSE),"Not Found")</f>
        <v>Not Found</v>
      </c>
      <c r="H3314" s="6" t="str">
        <f>IFERROR(VLOOKUP('Customer Info'!A3306,'Customer Info'!A3306:C3805,3,FALSE),"Not Found")</f>
        <v>Not Found</v>
      </c>
      <c r="I3314" s="6" t="str">
        <f>IFERROR(VLOOKUP('Customer Info'!A3306,'Customer Info'!A3306:E3805,5,FALSE),"Not Found")</f>
        <v>Not Found</v>
      </c>
      <c r="J3314" s="2">
        <v>2503</v>
      </c>
      <c r="K3314" s="2">
        <v>2454</v>
      </c>
      <c r="L3314" s="2">
        <v>3</v>
      </c>
      <c r="M3314" s="7">
        <f t="shared" si="255"/>
        <v>7362</v>
      </c>
      <c r="N3314" s="7">
        <f t="shared" si="256"/>
        <v>7509</v>
      </c>
      <c r="O3314" s="2">
        <v>53</v>
      </c>
      <c r="P3314" s="8">
        <f t="shared" si="257"/>
        <v>7562</v>
      </c>
      <c r="Q3314" s="8">
        <f t="shared" si="258"/>
        <v>5055</v>
      </c>
      <c r="R3314" s="2" t="s">
        <v>50</v>
      </c>
      <c r="S3314" s="9">
        <f t="shared" si="259"/>
        <v>378.1</v>
      </c>
    </row>
    <row r="3315" spans="1:19" x14ac:dyDescent="0.3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str">
        <f>IFERROR(VLOOKUP('Customer Info'!A3307,'Customer Info'!A3307:C3806,2,FALSE),"Not Found")</f>
        <v>Not Found</v>
      </c>
      <c r="H3315" s="6" t="str">
        <f>IFERROR(VLOOKUP('Customer Info'!A3307,'Customer Info'!A3307:C3806,3,FALSE),"Not Found")</f>
        <v>Not Found</v>
      </c>
      <c r="I3315" s="6" t="str">
        <f>IFERROR(VLOOKUP('Customer Info'!A3307,'Customer Info'!A3307:E3806,5,FALSE),"Not Found")</f>
        <v>Not Found</v>
      </c>
      <c r="J3315" s="2">
        <v>465</v>
      </c>
      <c r="K3315" s="2">
        <v>439</v>
      </c>
      <c r="L3315" s="2">
        <v>3</v>
      </c>
      <c r="M3315" s="7">
        <f t="shared" si="255"/>
        <v>1317</v>
      </c>
      <c r="N3315" s="7">
        <f t="shared" si="256"/>
        <v>1395</v>
      </c>
      <c r="O3315" s="2">
        <v>94</v>
      </c>
      <c r="P3315" s="8">
        <f t="shared" si="257"/>
        <v>1489</v>
      </c>
      <c r="Q3315" s="8">
        <f t="shared" si="258"/>
        <v>956</v>
      </c>
      <c r="R3315" s="2" t="s">
        <v>28</v>
      </c>
      <c r="S3315" s="9">
        <f t="shared" si="259"/>
        <v>29.78</v>
      </c>
    </row>
    <row r="3316" spans="1:19" x14ac:dyDescent="0.3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str">
        <f>IFERROR(VLOOKUP('Customer Info'!A3308,'Customer Info'!A3308:C3807,2,FALSE),"Not Found")</f>
        <v>Not Found</v>
      </c>
      <c r="H3316" s="6" t="str">
        <f>IFERROR(VLOOKUP('Customer Info'!A3308,'Customer Info'!A3308:C3807,3,FALSE),"Not Found")</f>
        <v>Not Found</v>
      </c>
      <c r="I3316" s="6" t="str">
        <f>IFERROR(VLOOKUP('Customer Info'!A3308,'Customer Info'!A3308:E3807,5,FALSE),"Not Found")</f>
        <v>Not Found</v>
      </c>
      <c r="J3316" s="2">
        <v>56</v>
      </c>
      <c r="K3316" s="2">
        <v>54</v>
      </c>
      <c r="L3316" s="2">
        <v>2</v>
      </c>
      <c r="M3316" s="7">
        <f t="shared" si="255"/>
        <v>108</v>
      </c>
      <c r="N3316" s="7">
        <f t="shared" si="256"/>
        <v>112</v>
      </c>
      <c r="O3316" s="2">
        <v>10</v>
      </c>
      <c r="P3316" s="8">
        <f t="shared" si="257"/>
        <v>122</v>
      </c>
      <c r="Q3316" s="8">
        <f t="shared" si="258"/>
        <v>58</v>
      </c>
      <c r="R3316" s="2" t="s">
        <v>50</v>
      </c>
      <c r="S3316" s="9">
        <f t="shared" si="259"/>
        <v>2.44</v>
      </c>
    </row>
    <row r="3317" spans="1:19" x14ac:dyDescent="0.3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str">
        <f>IFERROR(VLOOKUP('Customer Info'!A3309,'Customer Info'!A3309:C3808,2,FALSE),"Not Found")</f>
        <v>Not Found</v>
      </c>
      <c r="H3317" s="6" t="str">
        <f>IFERROR(VLOOKUP('Customer Info'!A3309,'Customer Info'!A3309:C3808,3,FALSE),"Not Found")</f>
        <v>Not Found</v>
      </c>
      <c r="I3317" s="6" t="str">
        <f>IFERROR(VLOOKUP('Customer Info'!A3309,'Customer Info'!A3309:E3808,5,FALSE),"Not Found")</f>
        <v>Not Found</v>
      </c>
      <c r="J3317" s="2">
        <v>279</v>
      </c>
      <c r="K3317" s="2">
        <v>254</v>
      </c>
      <c r="L3317" s="2">
        <v>1</v>
      </c>
      <c r="M3317" s="7">
        <f t="shared" si="255"/>
        <v>254</v>
      </c>
      <c r="N3317" s="7">
        <f t="shared" si="256"/>
        <v>279</v>
      </c>
      <c r="O3317" s="2">
        <v>72</v>
      </c>
      <c r="P3317" s="8">
        <f t="shared" si="257"/>
        <v>351</v>
      </c>
      <c r="Q3317" s="8">
        <f t="shared" si="258"/>
        <v>25</v>
      </c>
      <c r="R3317" s="2" t="s">
        <v>50</v>
      </c>
      <c r="S3317" s="9">
        <f t="shared" si="259"/>
        <v>7.0200000000000005</v>
      </c>
    </row>
    <row r="3318" spans="1:19" x14ac:dyDescent="0.3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str">
        <f>IFERROR(VLOOKUP('Customer Info'!A3310,'Customer Info'!A3310:C3809,2,FALSE),"Not Found")</f>
        <v>Not Found</v>
      </c>
      <c r="H3318" s="6" t="str">
        <f>IFERROR(VLOOKUP('Customer Info'!A3310,'Customer Info'!A3310:C3809,3,FALSE),"Not Found")</f>
        <v>Not Found</v>
      </c>
      <c r="I3318" s="6" t="str">
        <f>IFERROR(VLOOKUP('Customer Info'!A3310,'Customer Info'!A3310:E3809,5,FALSE),"Not Found")</f>
        <v>Not Found</v>
      </c>
      <c r="J3318" s="2">
        <v>526</v>
      </c>
      <c r="K3318" s="2">
        <v>487</v>
      </c>
      <c r="L3318" s="2">
        <v>3</v>
      </c>
      <c r="M3318" s="7">
        <f t="shared" si="255"/>
        <v>1461</v>
      </c>
      <c r="N3318" s="7">
        <f t="shared" si="256"/>
        <v>1578</v>
      </c>
      <c r="O3318" s="2">
        <v>52</v>
      </c>
      <c r="P3318" s="8">
        <f t="shared" si="257"/>
        <v>1630</v>
      </c>
      <c r="Q3318" s="8">
        <f t="shared" si="258"/>
        <v>1091</v>
      </c>
      <c r="R3318" s="2" t="s">
        <v>28</v>
      </c>
      <c r="S3318" s="9">
        <f t="shared" si="259"/>
        <v>32.6</v>
      </c>
    </row>
    <row r="3319" spans="1:19" x14ac:dyDescent="0.3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str">
        <f>IFERROR(VLOOKUP('Customer Info'!A3311,'Customer Info'!A3311:C3810,2,FALSE),"Not Found")</f>
        <v>Not Found</v>
      </c>
      <c r="H3319" s="6" t="str">
        <f>IFERROR(VLOOKUP('Customer Info'!A3311,'Customer Info'!A3311:C3810,3,FALSE),"Not Found")</f>
        <v>Not Found</v>
      </c>
      <c r="I3319" s="6" t="str">
        <f>IFERROR(VLOOKUP('Customer Info'!A3311,'Customer Info'!A3311:E3810,5,FALSE),"Not Found")</f>
        <v>Not Found</v>
      </c>
      <c r="J3319" s="2">
        <v>472</v>
      </c>
      <c r="K3319" s="2">
        <v>432</v>
      </c>
      <c r="L3319" s="2">
        <v>1</v>
      </c>
      <c r="M3319" s="7">
        <f t="shared" si="255"/>
        <v>432</v>
      </c>
      <c r="N3319" s="7">
        <f t="shared" si="256"/>
        <v>472</v>
      </c>
      <c r="O3319" s="2">
        <v>73</v>
      </c>
      <c r="P3319" s="8">
        <f t="shared" si="257"/>
        <v>545</v>
      </c>
      <c r="Q3319" s="8">
        <f t="shared" si="258"/>
        <v>40</v>
      </c>
      <c r="R3319" s="2" t="s">
        <v>28</v>
      </c>
      <c r="S3319" s="9">
        <f t="shared" si="259"/>
        <v>10.9</v>
      </c>
    </row>
    <row r="3320" spans="1:19" x14ac:dyDescent="0.3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str">
        <f>IFERROR(VLOOKUP('Customer Info'!A3312,'Customer Info'!A3312:C3811,2,FALSE),"Not Found")</f>
        <v>Not Found</v>
      </c>
      <c r="H3320" s="6" t="str">
        <f>IFERROR(VLOOKUP('Customer Info'!A3312,'Customer Info'!A3312:C3811,3,FALSE),"Not Found")</f>
        <v>Not Found</v>
      </c>
      <c r="I3320" s="6" t="str">
        <f>IFERROR(VLOOKUP('Customer Info'!A3312,'Customer Info'!A3312:E3811,5,FALSE),"Not Found")</f>
        <v>Not Found</v>
      </c>
      <c r="J3320" s="2">
        <v>2874</v>
      </c>
      <c r="K3320" s="2">
        <v>2583</v>
      </c>
      <c r="L3320" s="2">
        <v>4</v>
      </c>
      <c r="M3320" s="7">
        <f t="shared" si="255"/>
        <v>10332</v>
      </c>
      <c r="N3320" s="7">
        <f t="shared" si="256"/>
        <v>11496</v>
      </c>
      <c r="O3320" s="2">
        <v>35</v>
      </c>
      <c r="P3320" s="8">
        <f t="shared" si="257"/>
        <v>11531</v>
      </c>
      <c r="Q3320" s="8">
        <f t="shared" si="258"/>
        <v>8913</v>
      </c>
      <c r="R3320" s="2" t="s">
        <v>28</v>
      </c>
      <c r="S3320" s="9">
        <f t="shared" si="259"/>
        <v>576.55000000000007</v>
      </c>
    </row>
    <row r="3321" spans="1:19" x14ac:dyDescent="0.3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str">
        <f>IFERROR(VLOOKUP('Customer Info'!A3313,'Customer Info'!A3313:C3812,2,FALSE),"Not Found")</f>
        <v>Not Found</v>
      </c>
      <c r="H3321" s="6" t="str">
        <f>IFERROR(VLOOKUP('Customer Info'!A3313,'Customer Info'!A3313:C3812,3,FALSE),"Not Found")</f>
        <v>Not Found</v>
      </c>
      <c r="I3321" s="6" t="str">
        <f>IFERROR(VLOOKUP('Customer Info'!A3313,'Customer Info'!A3313:E3812,5,FALSE),"Not Found")</f>
        <v>Not Found</v>
      </c>
      <c r="J3321" s="2">
        <v>1816</v>
      </c>
      <c r="K3321" s="2">
        <v>1699</v>
      </c>
      <c r="L3321" s="2">
        <v>8</v>
      </c>
      <c r="M3321" s="7">
        <f t="shared" si="255"/>
        <v>13592</v>
      </c>
      <c r="N3321" s="7">
        <f t="shared" si="256"/>
        <v>14528</v>
      </c>
      <c r="O3321" s="2">
        <v>30</v>
      </c>
      <c r="P3321" s="8">
        <f t="shared" si="257"/>
        <v>14558</v>
      </c>
      <c r="Q3321" s="8">
        <f t="shared" si="258"/>
        <v>12829</v>
      </c>
      <c r="R3321" s="2" t="s">
        <v>28</v>
      </c>
      <c r="S3321" s="9">
        <f t="shared" si="259"/>
        <v>727.90000000000009</v>
      </c>
    </row>
    <row r="3322" spans="1:19" x14ac:dyDescent="0.3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str">
        <f>IFERROR(VLOOKUP('Customer Info'!A3314,'Customer Info'!A3314:C3813,2,FALSE),"Not Found")</f>
        <v>Not Found</v>
      </c>
      <c r="H3322" s="6" t="str">
        <f>IFERROR(VLOOKUP('Customer Info'!A3314,'Customer Info'!A3314:C3813,3,FALSE),"Not Found")</f>
        <v>Not Found</v>
      </c>
      <c r="I3322" s="6" t="str">
        <f>IFERROR(VLOOKUP('Customer Info'!A3314,'Customer Info'!A3314:E3813,5,FALSE),"Not Found")</f>
        <v>Not Found</v>
      </c>
      <c r="J3322" s="2">
        <v>1668</v>
      </c>
      <c r="K3322" s="2">
        <v>1636</v>
      </c>
      <c r="L3322" s="2">
        <v>7</v>
      </c>
      <c r="M3322" s="7">
        <f t="shared" si="255"/>
        <v>11452</v>
      </c>
      <c r="N3322" s="7">
        <f t="shared" si="256"/>
        <v>11676</v>
      </c>
      <c r="O3322" s="2">
        <v>78</v>
      </c>
      <c r="P3322" s="8">
        <f t="shared" si="257"/>
        <v>11754</v>
      </c>
      <c r="Q3322" s="8">
        <f t="shared" si="258"/>
        <v>10040</v>
      </c>
      <c r="R3322" s="2" t="s">
        <v>28</v>
      </c>
      <c r="S3322" s="9">
        <f t="shared" si="259"/>
        <v>587.70000000000005</v>
      </c>
    </row>
    <row r="3323" spans="1:19" x14ac:dyDescent="0.3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str">
        <f>IFERROR(VLOOKUP('Customer Info'!A3315,'Customer Info'!A3315:C3814,2,FALSE),"Not Found")</f>
        <v>Not Found</v>
      </c>
      <c r="H3323" s="6" t="str">
        <f>IFERROR(VLOOKUP('Customer Info'!A3315,'Customer Info'!A3315:C3814,3,FALSE),"Not Found")</f>
        <v>Not Found</v>
      </c>
      <c r="I3323" s="6" t="str">
        <f>IFERROR(VLOOKUP('Customer Info'!A3315,'Customer Info'!A3315:E3814,5,FALSE),"Not Found")</f>
        <v>Not Found</v>
      </c>
      <c r="J3323" s="2">
        <v>8281</v>
      </c>
      <c r="K3323" s="2">
        <v>7673</v>
      </c>
      <c r="L3323" s="2">
        <v>6</v>
      </c>
      <c r="M3323" s="7">
        <f t="shared" si="255"/>
        <v>46038</v>
      </c>
      <c r="N3323" s="7">
        <f t="shared" si="256"/>
        <v>49686</v>
      </c>
      <c r="O3323" s="2">
        <v>30</v>
      </c>
      <c r="P3323" s="8">
        <f t="shared" si="257"/>
        <v>49716</v>
      </c>
      <c r="Q3323" s="8">
        <f t="shared" si="258"/>
        <v>42013</v>
      </c>
      <c r="R3323" s="2" t="s">
        <v>28</v>
      </c>
      <c r="S3323" s="9">
        <f t="shared" si="259"/>
        <v>3480.1200000000003</v>
      </c>
    </row>
    <row r="3324" spans="1:19" x14ac:dyDescent="0.3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str">
        <f>IFERROR(VLOOKUP('Customer Info'!A3316,'Customer Info'!A3316:C3815,2,FALSE),"Not Found")</f>
        <v>Not Found</v>
      </c>
      <c r="H3324" s="6" t="str">
        <f>IFERROR(VLOOKUP('Customer Info'!A3316,'Customer Info'!A3316:C3815,3,FALSE),"Not Found")</f>
        <v>Not Found</v>
      </c>
      <c r="I3324" s="6" t="str">
        <f>IFERROR(VLOOKUP('Customer Info'!A3316,'Customer Info'!A3316:E3815,5,FALSE),"Not Found")</f>
        <v>Not Found</v>
      </c>
      <c r="J3324" s="2">
        <v>69</v>
      </c>
      <c r="K3324" s="2">
        <v>64</v>
      </c>
      <c r="L3324" s="2">
        <v>1</v>
      </c>
      <c r="M3324" s="7">
        <f t="shared" si="255"/>
        <v>64</v>
      </c>
      <c r="N3324" s="7">
        <f t="shared" si="256"/>
        <v>69</v>
      </c>
      <c r="O3324" s="2">
        <v>10</v>
      </c>
      <c r="P3324" s="8">
        <f t="shared" si="257"/>
        <v>79</v>
      </c>
      <c r="Q3324" s="8">
        <f t="shared" si="258"/>
        <v>5</v>
      </c>
      <c r="R3324" s="2" t="s">
        <v>28</v>
      </c>
      <c r="S3324" s="9">
        <f t="shared" si="259"/>
        <v>1.58</v>
      </c>
    </row>
    <row r="3325" spans="1:19" x14ac:dyDescent="0.3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str">
        <f>IFERROR(VLOOKUP('Customer Info'!A3317,'Customer Info'!A3317:C3816,2,FALSE),"Not Found")</f>
        <v>Not Found</v>
      </c>
      <c r="H3325" s="6" t="str">
        <f>IFERROR(VLOOKUP('Customer Info'!A3317,'Customer Info'!A3317:C3816,3,FALSE),"Not Found")</f>
        <v>Not Found</v>
      </c>
      <c r="I3325" s="6" t="str">
        <f>IFERROR(VLOOKUP('Customer Info'!A3317,'Customer Info'!A3317:E3816,5,FALSE),"Not Found")</f>
        <v>Not Found</v>
      </c>
      <c r="J3325" s="2">
        <v>29378</v>
      </c>
      <c r="K3325" s="2">
        <v>26912</v>
      </c>
      <c r="L3325" s="2">
        <v>4</v>
      </c>
      <c r="M3325" s="7">
        <f t="shared" si="255"/>
        <v>107648</v>
      </c>
      <c r="N3325" s="7">
        <f t="shared" si="256"/>
        <v>117512</v>
      </c>
      <c r="O3325" s="2">
        <v>25</v>
      </c>
      <c r="P3325" s="8">
        <f t="shared" si="257"/>
        <v>117537</v>
      </c>
      <c r="Q3325" s="8">
        <f t="shared" si="258"/>
        <v>90600</v>
      </c>
      <c r="R3325" s="2" t="s">
        <v>26</v>
      </c>
      <c r="S3325" s="9">
        <f t="shared" si="259"/>
        <v>14104.439999999999</v>
      </c>
    </row>
    <row r="3326" spans="1:19" x14ac:dyDescent="0.3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str">
        <f>IFERROR(VLOOKUP('Customer Info'!A3318,'Customer Info'!A3318:C3817,2,FALSE),"Not Found")</f>
        <v>Not Found</v>
      </c>
      <c r="H3326" s="6" t="str">
        <f>IFERROR(VLOOKUP('Customer Info'!A3318,'Customer Info'!A3318:C3817,3,FALSE),"Not Found")</f>
        <v>Not Found</v>
      </c>
      <c r="I3326" s="6" t="str">
        <f>IFERROR(VLOOKUP('Customer Info'!A3318,'Customer Info'!A3318:E3817,5,FALSE),"Not Found")</f>
        <v>Not Found</v>
      </c>
      <c r="J3326" s="2">
        <v>142</v>
      </c>
      <c r="K3326" s="2">
        <v>129</v>
      </c>
      <c r="L3326" s="2">
        <v>1</v>
      </c>
      <c r="M3326" s="7">
        <f t="shared" si="255"/>
        <v>129</v>
      </c>
      <c r="N3326" s="7">
        <f t="shared" si="256"/>
        <v>142</v>
      </c>
      <c r="O3326" s="2">
        <v>30</v>
      </c>
      <c r="P3326" s="8">
        <f t="shared" si="257"/>
        <v>172</v>
      </c>
      <c r="Q3326" s="8">
        <f t="shared" si="258"/>
        <v>13</v>
      </c>
      <c r="R3326" s="2" t="s">
        <v>50</v>
      </c>
      <c r="S3326" s="9">
        <f t="shared" si="259"/>
        <v>3.44</v>
      </c>
    </row>
    <row r="3327" spans="1:19" x14ac:dyDescent="0.3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str">
        <f>IFERROR(VLOOKUP('Customer Info'!A3319,'Customer Info'!A3319:C3818,2,FALSE),"Not Found")</f>
        <v>Not Found</v>
      </c>
      <c r="H3327" s="6" t="str">
        <f>IFERROR(VLOOKUP('Customer Info'!A3319,'Customer Info'!A3319:C3818,3,FALSE),"Not Found")</f>
        <v>Not Found</v>
      </c>
      <c r="I3327" s="6" t="str">
        <f>IFERROR(VLOOKUP('Customer Info'!A3319,'Customer Info'!A3319:E3818,5,FALSE),"Not Found")</f>
        <v>Not Found</v>
      </c>
      <c r="J3327" s="2">
        <v>691</v>
      </c>
      <c r="K3327" s="2">
        <v>646</v>
      </c>
      <c r="L3327" s="2">
        <v>1</v>
      </c>
      <c r="M3327" s="7">
        <f t="shared" si="255"/>
        <v>646</v>
      </c>
      <c r="N3327" s="7">
        <f t="shared" si="256"/>
        <v>691</v>
      </c>
      <c r="O3327" s="2">
        <v>72</v>
      </c>
      <c r="P3327" s="8">
        <f t="shared" si="257"/>
        <v>763</v>
      </c>
      <c r="Q3327" s="8">
        <f t="shared" si="258"/>
        <v>45</v>
      </c>
      <c r="R3327" s="2" t="s">
        <v>28</v>
      </c>
      <c r="S3327" s="9">
        <f t="shared" si="259"/>
        <v>15.26</v>
      </c>
    </row>
    <row r="3328" spans="1:19" x14ac:dyDescent="0.3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str">
        <f>IFERROR(VLOOKUP('Customer Info'!A3320,'Customer Info'!A3320:C3819,2,FALSE),"Not Found")</f>
        <v>Not Found</v>
      </c>
      <c r="H3328" s="6" t="str">
        <f>IFERROR(VLOOKUP('Customer Info'!A3320,'Customer Info'!A3320:C3819,3,FALSE),"Not Found")</f>
        <v>Not Found</v>
      </c>
      <c r="I3328" s="6" t="str">
        <f>IFERROR(VLOOKUP('Customer Info'!A3320,'Customer Info'!A3320:E3819,5,FALSE),"Not Found")</f>
        <v>Not Found</v>
      </c>
      <c r="J3328" s="2">
        <v>1718</v>
      </c>
      <c r="K3328" s="2">
        <v>1545</v>
      </c>
      <c r="L3328" s="2">
        <v>7</v>
      </c>
      <c r="M3328" s="7">
        <f t="shared" si="255"/>
        <v>10815</v>
      </c>
      <c r="N3328" s="7">
        <f t="shared" si="256"/>
        <v>12026</v>
      </c>
      <c r="O3328" s="2">
        <v>100</v>
      </c>
      <c r="P3328" s="8">
        <f t="shared" si="257"/>
        <v>12126</v>
      </c>
      <c r="Q3328" s="8">
        <f t="shared" si="258"/>
        <v>10481</v>
      </c>
      <c r="R3328" s="2" t="s">
        <v>28</v>
      </c>
      <c r="S3328" s="9">
        <f t="shared" si="259"/>
        <v>606.30000000000007</v>
      </c>
    </row>
    <row r="3329" spans="1:19" x14ac:dyDescent="0.3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str">
        <f>IFERROR(VLOOKUP('Customer Info'!A3321,'Customer Info'!A3321:C3820,2,FALSE),"Not Found")</f>
        <v>Not Found</v>
      </c>
      <c r="H3329" s="6" t="str">
        <f>IFERROR(VLOOKUP('Customer Info'!A3321,'Customer Info'!A3321:C3820,3,FALSE),"Not Found")</f>
        <v>Not Found</v>
      </c>
      <c r="I3329" s="6" t="str">
        <f>IFERROR(VLOOKUP('Customer Info'!A3321,'Customer Info'!A3321:E3820,5,FALSE),"Not Found")</f>
        <v>Not Found</v>
      </c>
      <c r="J3329" s="2">
        <v>7327</v>
      </c>
      <c r="K3329" s="2">
        <v>6658</v>
      </c>
      <c r="L3329" s="2">
        <v>5</v>
      </c>
      <c r="M3329" s="7">
        <f t="shared" si="255"/>
        <v>33290</v>
      </c>
      <c r="N3329" s="7">
        <f t="shared" si="256"/>
        <v>36635</v>
      </c>
      <c r="O3329" s="2">
        <v>84</v>
      </c>
      <c r="P3329" s="8">
        <f t="shared" si="257"/>
        <v>36719</v>
      </c>
      <c r="Q3329" s="8">
        <f t="shared" si="258"/>
        <v>29977</v>
      </c>
      <c r="R3329" s="2" t="s">
        <v>50</v>
      </c>
      <c r="S3329" s="9">
        <f t="shared" si="259"/>
        <v>2570.3300000000004</v>
      </c>
    </row>
    <row r="3330" spans="1:19" x14ac:dyDescent="0.3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str">
        <f>IFERROR(VLOOKUP('Customer Info'!A3322,'Customer Info'!A3322:C3821,2,FALSE),"Not Found")</f>
        <v>Not Found</v>
      </c>
      <c r="H3330" s="6" t="str">
        <f>IFERROR(VLOOKUP('Customer Info'!A3322,'Customer Info'!A3322:C3821,3,FALSE),"Not Found")</f>
        <v>Not Found</v>
      </c>
      <c r="I3330" s="6" t="str">
        <f>IFERROR(VLOOKUP('Customer Info'!A3322,'Customer Info'!A3322:E3821,5,FALSE),"Not Found")</f>
        <v>Not Found</v>
      </c>
      <c r="J3330" s="2">
        <v>1125</v>
      </c>
      <c r="K3330" s="2">
        <v>1040</v>
      </c>
      <c r="L3330" s="2">
        <v>3</v>
      </c>
      <c r="M3330" s="7">
        <f t="shared" si="255"/>
        <v>3120</v>
      </c>
      <c r="N3330" s="7">
        <f t="shared" si="256"/>
        <v>3375</v>
      </c>
      <c r="O3330" s="2">
        <v>100</v>
      </c>
      <c r="P3330" s="8">
        <f t="shared" si="257"/>
        <v>3475</v>
      </c>
      <c r="Q3330" s="8">
        <f t="shared" si="258"/>
        <v>2335</v>
      </c>
      <c r="R3330" s="2" t="s">
        <v>50</v>
      </c>
      <c r="S3330" s="9">
        <f t="shared" si="259"/>
        <v>69.5</v>
      </c>
    </row>
    <row r="3331" spans="1:19" x14ac:dyDescent="0.3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str">
        <f>IFERROR(VLOOKUP('Customer Info'!A3323,'Customer Info'!A3323:C3822,2,FALSE),"Not Found")</f>
        <v>Not Found</v>
      </c>
      <c r="H3331" s="6" t="str">
        <f>IFERROR(VLOOKUP('Customer Info'!A3323,'Customer Info'!A3323:C3822,3,FALSE),"Not Found")</f>
        <v>Not Found</v>
      </c>
      <c r="I3331" s="6" t="str">
        <f>IFERROR(VLOOKUP('Customer Info'!A3323,'Customer Info'!A3323:E3822,5,FALSE),"Not Found")</f>
        <v>Not Found</v>
      </c>
      <c r="J3331" s="2">
        <v>1654</v>
      </c>
      <c r="K3331" s="2">
        <v>1577</v>
      </c>
      <c r="L3331" s="2">
        <v>3</v>
      </c>
      <c r="M3331" s="7">
        <f t="shared" si="255"/>
        <v>4731</v>
      </c>
      <c r="N3331" s="7">
        <f t="shared" si="256"/>
        <v>4962</v>
      </c>
      <c r="O3331" s="2">
        <v>79</v>
      </c>
      <c r="P3331" s="8">
        <f t="shared" si="257"/>
        <v>5041</v>
      </c>
      <c r="Q3331" s="8">
        <f t="shared" si="258"/>
        <v>3385</v>
      </c>
      <c r="R3331" s="2" t="s">
        <v>50</v>
      </c>
      <c r="S3331" s="9">
        <f t="shared" si="259"/>
        <v>252.05</v>
      </c>
    </row>
    <row r="3332" spans="1:19" x14ac:dyDescent="0.3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str">
        <f>IFERROR(VLOOKUP('Customer Info'!A3324,'Customer Info'!A3324:C3823,2,FALSE),"Not Found")</f>
        <v>Not Found</v>
      </c>
      <c r="H3332" s="6" t="str">
        <f>IFERROR(VLOOKUP('Customer Info'!A3324,'Customer Info'!A3324:C3823,3,FALSE),"Not Found")</f>
        <v>Not Found</v>
      </c>
      <c r="I3332" s="6" t="str">
        <f>IFERROR(VLOOKUP('Customer Info'!A3324,'Customer Info'!A3324:E3823,5,FALSE),"Not Found")</f>
        <v>Not Found</v>
      </c>
      <c r="J3332" s="2">
        <v>882</v>
      </c>
      <c r="K3332" s="2">
        <v>818</v>
      </c>
      <c r="L3332" s="2">
        <v>3</v>
      </c>
      <c r="M3332" s="7">
        <f t="shared" si="255"/>
        <v>2454</v>
      </c>
      <c r="N3332" s="7">
        <f t="shared" si="256"/>
        <v>2646</v>
      </c>
      <c r="O3332" s="2">
        <v>98</v>
      </c>
      <c r="P3332" s="8">
        <f t="shared" si="257"/>
        <v>2744</v>
      </c>
      <c r="Q3332" s="8">
        <f t="shared" si="258"/>
        <v>1828</v>
      </c>
      <c r="R3332" s="2" t="s">
        <v>50</v>
      </c>
      <c r="S3332" s="9">
        <f t="shared" si="259"/>
        <v>54.88</v>
      </c>
    </row>
    <row r="3333" spans="1:19" x14ac:dyDescent="0.3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str">
        <f>IFERROR(VLOOKUP('Customer Info'!A3325,'Customer Info'!A3325:C3824,2,FALSE),"Not Found")</f>
        <v>Not Found</v>
      </c>
      <c r="H3333" s="6" t="str">
        <f>IFERROR(VLOOKUP('Customer Info'!A3325,'Customer Info'!A3325:C3824,3,FALSE),"Not Found")</f>
        <v>Not Found</v>
      </c>
      <c r="I3333" s="6" t="str">
        <f>IFERROR(VLOOKUP('Customer Info'!A3325,'Customer Info'!A3325:E3824,5,FALSE),"Not Found")</f>
        <v>Not Found</v>
      </c>
      <c r="J3333" s="2">
        <v>2787</v>
      </c>
      <c r="K3333" s="2">
        <v>2681</v>
      </c>
      <c r="L3333" s="2">
        <v>2</v>
      </c>
      <c r="M3333" s="7">
        <f t="shared" si="255"/>
        <v>5362</v>
      </c>
      <c r="N3333" s="7">
        <f t="shared" si="256"/>
        <v>5574</v>
      </c>
      <c r="O3333" s="2">
        <v>56</v>
      </c>
      <c r="P3333" s="8">
        <f t="shared" si="257"/>
        <v>5630</v>
      </c>
      <c r="Q3333" s="8">
        <f t="shared" si="258"/>
        <v>2893</v>
      </c>
      <c r="R3333" s="2" t="s">
        <v>56</v>
      </c>
      <c r="S3333" s="9">
        <f t="shared" si="259"/>
        <v>281.5</v>
      </c>
    </row>
    <row r="3334" spans="1:19" x14ac:dyDescent="0.3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str">
        <f>IFERROR(VLOOKUP('Customer Info'!A3326,'Customer Info'!A3326:C3825,2,FALSE),"Not Found")</f>
        <v>Not Found</v>
      </c>
      <c r="H3334" s="6" t="str">
        <f>IFERROR(VLOOKUP('Customer Info'!A3326,'Customer Info'!A3326:C3825,3,FALSE),"Not Found")</f>
        <v>Not Found</v>
      </c>
      <c r="I3334" s="6" t="str">
        <f>IFERROR(VLOOKUP('Customer Info'!A3326,'Customer Info'!A3326:E3825,5,FALSE),"Not Found")</f>
        <v>Not Found</v>
      </c>
      <c r="J3334" s="2">
        <v>6024</v>
      </c>
      <c r="K3334" s="2">
        <v>5424</v>
      </c>
      <c r="L3334" s="2">
        <v>4</v>
      </c>
      <c r="M3334" s="7">
        <f t="shared" si="255"/>
        <v>21696</v>
      </c>
      <c r="N3334" s="7">
        <f t="shared" si="256"/>
        <v>24096</v>
      </c>
      <c r="O3334" s="2">
        <v>95</v>
      </c>
      <c r="P3334" s="8">
        <f t="shared" si="257"/>
        <v>24191</v>
      </c>
      <c r="Q3334" s="8">
        <f t="shared" si="258"/>
        <v>18672</v>
      </c>
      <c r="R3334" s="2" t="s">
        <v>28</v>
      </c>
      <c r="S3334" s="9">
        <f t="shared" si="259"/>
        <v>1209.55</v>
      </c>
    </row>
    <row r="3335" spans="1:19" x14ac:dyDescent="0.3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str">
        <f>IFERROR(VLOOKUP('Customer Info'!A3327,'Customer Info'!A3327:C3826,2,FALSE),"Not Found")</f>
        <v>Not Found</v>
      </c>
      <c r="H3335" s="6" t="str">
        <f>IFERROR(VLOOKUP('Customer Info'!A3327,'Customer Info'!A3327:C3826,3,FALSE),"Not Found")</f>
        <v>Not Found</v>
      </c>
      <c r="I3335" s="6" t="str">
        <f>IFERROR(VLOOKUP('Customer Info'!A3327,'Customer Info'!A3327:E3826,5,FALSE),"Not Found")</f>
        <v>Not Found</v>
      </c>
      <c r="J3335" s="2">
        <v>851</v>
      </c>
      <c r="K3335" s="2">
        <v>773</v>
      </c>
      <c r="L3335" s="2">
        <v>7</v>
      </c>
      <c r="M3335" s="7">
        <f t="shared" si="255"/>
        <v>5411</v>
      </c>
      <c r="N3335" s="7">
        <f t="shared" si="256"/>
        <v>5957</v>
      </c>
      <c r="O3335" s="2">
        <v>57</v>
      </c>
      <c r="P3335" s="8">
        <f t="shared" si="257"/>
        <v>6014</v>
      </c>
      <c r="Q3335" s="8">
        <f t="shared" si="258"/>
        <v>5184</v>
      </c>
      <c r="R3335" s="2" t="s">
        <v>50</v>
      </c>
      <c r="S3335" s="9">
        <f t="shared" si="259"/>
        <v>300.7</v>
      </c>
    </row>
    <row r="3336" spans="1:19" x14ac:dyDescent="0.3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str">
        <f>IFERROR(VLOOKUP('Customer Info'!A3328,'Customer Info'!A3328:C3827,2,FALSE),"Not Found")</f>
        <v>Not Found</v>
      </c>
      <c r="H3336" s="6" t="str">
        <f>IFERROR(VLOOKUP('Customer Info'!A3328,'Customer Info'!A3328:C3827,3,FALSE),"Not Found")</f>
        <v>Not Found</v>
      </c>
      <c r="I3336" s="6" t="str">
        <f>IFERROR(VLOOKUP('Customer Info'!A3328,'Customer Info'!A3328:E3827,5,FALSE),"Not Found")</f>
        <v>Not Found</v>
      </c>
      <c r="J3336" s="2">
        <v>4798</v>
      </c>
      <c r="K3336" s="2">
        <v>4448</v>
      </c>
      <c r="L3336" s="2">
        <v>6</v>
      </c>
      <c r="M3336" s="7">
        <f t="shared" si="255"/>
        <v>26688</v>
      </c>
      <c r="N3336" s="7">
        <f t="shared" si="256"/>
        <v>28788</v>
      </c>
      <c r="O3336" s="2">
        <v>84</v>
      </c>
      <c r="P3336" s="8">
        <f t="shared" si="257"/>
        <v>28872</v>
      </c>
      <c r="Q3336" s="8">
        <f t="shared" si="258"/>
        <v>24340</v>
      </c>
      <c r="R3336" s="2" t="s">
        <v>50</v>
      </c>
      <c r="S3336" s="9">
        <f t="shared" si="259"/>
        <v>2021.0400000000002</v>
      </c>
    </row>
    <row r="3337" spans="1:19" x14ac:dyDescent="0.3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str">
        <f>IFERROR(VLOOKUP('Customer Info'!A3329,'Customer Info'!A3329:C3828,2,FALSE),"Not Found")</f>
        <v>Not Found</v>
      </c>
      <c r="H3337" s="6" t="str">
        <f>IFERROR(VLOOKUP('Customer Info'!A3329,'Customer Info'!A3329:C3828,3,FALSE),"Not Found")</f>
        <v>Not Found</v>
      </c>
      <c r="I3337" s="6" t="str">
        <f>IFERROR(VLOOKUP('Customer Info'!A3329,'Customer Info'!A3329:E3828,5,FALSE),"Not Found")</f>
        <v>Not Found</v>
      </c>
      <c r="J3337" s="2">
        <v>671</v>
      </c>
      <c r="K3337" s="2">
        <v>627</v>
      </c>
      <c r="L3337" s="2">
        <v>4</v>
      </c>
      <c r="M3337" s="7">
        <f t="shared" si="255"/>
        <v>2508</v>
      </c>
      <c r="N3337" s="7">
        <f t="shared" si="256"/>
        <v>2684</v>
      </c>
      <c r="O3337" s="2">
        <v>56</v>
      </c>
      <c r="P3337" s="8">
        <f t="shared" si="257"/>
        <v>2740</v>
      </c>
      <c r="Q3337" s="8">
        <f t="shared" si="258"/>
        <v>2057</v>
      </c>
      <c r="R3337" s="2" t="s">
        <v>28</v>
      </c>
      <c r="S3337" s="9">
        <f t="shared" si="259"/>
        <v>54.800000000000004</v>
      </c>
    </row>
    <row r="3338" spans="1:19" x14ac:dyDescent="0.3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str">
        <f>IFERROR(VLOOKUP('Customer Info'!A3330,'Customer Info'!A3330:C3829,2,FALSE),"Not Found")</f>
        <v>Not Found</v>
      </c>
      <c r="H3338" s="6" t="str">
        <f>IFERROR(VLOOKUP('Customer Info'!A3330,'Customer Info'!A3330:C3829,3,FALSE),"Not Found")</f>
        <v>Not Found</v>
      </c>
      <c r="I3338" s="6" t="str">
        <f>IFERROR(VLOOKUP('Customer Info'!A3330,'Customer Info'!A3330:E3829,5,FALSE),"Not Found")</f>
        <v>Not Found</v>
      </c>
      <c r="J3338" s="2">
        <v>1997</v>
      </c>
      <c r="K3338" s="2">
        <v>1816</v>
      </c>
      <c r="L3338" s="2">
        <v>2</v>
      </c>
      <c r="M3338" s="7">
        <f t="shared" si="255"/>
        <v>3632</v>
      </c>
      <c r="N3338" s="7">
        <f t="shared" si="256"/>
        <v>3994</v>
      </c>
      <c r="O3338" s="2">
        <v>62</v>
      </c>
      <c r="P3338" s="8">
        <f t="shared" si="257"/>
        <v>4056</v>
      </c>
      <c r="Q3338" s="8">
        <f t="shared" si="258"/>
        <v>2178</v>
      </c>
      <c r="R3338" s="2" t="s">
        <v>28</v>
      </c>
      <c r="S3338" s="9">
        <f t="shared" si="259"/>
        <v>81.12</v>
      </c>
    </row>
    <row r="3339" spans="1:19" x14ac:dyDescent="0.3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str">
        <f>IFERROR(VLOOKUP('Customer Info'!A3331,'Customer Info'!A3331:C3830,2,FALSE),"Not Found")</f>
        <v>Not Found</v>
      </c>
      <c r="H3339" s="6" t="str">
        <f>IFERROR(VLOOKUP('Customer Info'!A3331,'Customer Info'!A3331:C3830,3,FALSE),"Not Found")</f>
        <v>Not Found</v>
      </c>
      <c r="I3339" s="6" t="str">
        <f>IFERROR(VLOOKUP('Customer Info'!A3331,'Customer Info'!A3331:E3830,5,FALSE),"Not Found")</f>
        <v>Not Found</v>
      </c>
      <c r="J3339" s="2">
        <v>1997</v>
      </c>
      <c r="K3339" s="2">
        <v>1816</v>
      </c>
      <c r="L3339" s="2">
        <v>1</v>
      </c>
      <c r="M3339" s="7">
        <f t="shared" ref="M3339:M3402" si="260">$K3339*$L3339</f>
        <v>1816</v>
      </c>
      <c r="N3339" s="7">
        <f t="shared" ref="N3339:N3402" si="261">$J3339*$L3339</f>
        <v>1997</v>
      </c>
      <c r="O3339" s="2">
        <v>76</v>
      </c>
      <c r="P3339" s="8">
        <f t="shared" ref="P3339:P3402" si="262">$N3339+$O3339</f>
        <v>2073</v>
      </c>
      <c r="Q3339" s="8">
        <f t="shared" ref="Q3339:Q3402" si="263">$N3339-$K3339</f>
        <v>181</v>
      </c>
      <c r="R3339" s="2" t="s">
        <v>28</v>
      </c>
      <c r="S3339" s="9">
        <f t="shared" ref="S3339:S3402" si="264" xml:space="preserve"> P3339 * VLOOKUP(P3339, $T$2:$U$6, 2, TRUE)</f>
        <v>41.46</v>
      </c>
    </row>
    <row r="3340" spans="1:19" x14ac:dyDescent="0.3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str">
        <f>IFERROR(VLOOKUP('Customer Info'!A3332,'Customer Info'!A3332:C3831,2,FALSE),"Not Found")</f>
        <v>Not Found</v>
      </c>
      <c r="H3340" s="6" t="str">
        <f>IFERROR(VLOOKUP('Customer Info'!A3332,'Customer Info'!A3332:C3831,3,FALSE),"Not Found")</f>
        <v>Not Found</v>
      </c>
      <c r="I3340" s="6" t="str">
        <f>IFERROR(VLOOKUP('Customer Info'!A3332,'Customer Info'!A3332:E3831,5,FALSE),"Not Found")</f>
        <v>Not Found</v>
      </c>
      <c r="J3340" s="2">
        <v>8351</v>
      </c>
      <c r="K3340" s="2">
        <v>8033</v>
      </c>
      <c r="L3340" s="2">
        <v>2</v>
      </c>
      <c r="M3340" s="7">
        <f t="shared" si="260"/>
        <v>16066</v>
      </c>
      <c r="N3340" s="7">
        <f t="shared" si="261"/>
        <v>16702</v>
      </c>
      <c r="O3340" s="2">
        <v>86</v>
      </c>
      <c r="P3340" s="8">
        <f t="shared" si="262"/>
        <v>16788</v>
      </c>
      <c r="Q3340" s="8">
        <f t="shared" si="263"/>
        <v>8669</v>
      </c>
      <c r="R3340" s="2" t="s">
        <v>28</v>
      </c>
      <c r="S3340" s="9">
        <f t="shared" si="264"/>
        <v>839.40000000000009</v>
      </c>
    </row>
    <row r="3341" spans="1:19" x14ac:dyDescent="0.3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str">
        <f>IFERROR(VLOOKUP('Customer Info'!A3333,'Customer Info'!A3333:C3832,2,FALSE),"Not Found")</f>
        <v>Not Found</v>
      </c>
      <c r="H3341" s="6" t="str">
        <f>IFERROR(VLOOKUP('Customer Info'!A3333,'Customer Info'!A3333:C3832,3,FALSE),"Not Found")</f>
        <v>Not Found</v>
      </c>
      <c r="I3341" s="6" t="str">
        <f>IFERROR(VLOOKUP('Customer Info'!A3333,'Customer Info'!A3333:E3832,5,FALSE),"Not Found")</f>
        <v>Not Found</v>
      </c>
      <c r="J3341" s="2">
        <v>4846</v>
      </c>
      <c r="K3341" s="2">
        <v>4492</v>
      </c>
      <c r="L3341" s="2">
        <v>7</v>
      </c>
      <c r="M3341" s="7">
        <f t="shared" si="260"/>
        <v>31444</v>
      </c>
      <c r="N3341" s="7">
        <f t="shared" si="261"/>
        <v>33922</v>
      </c>
      <c r="O3341" s="2">
        <v>34</v>
      </c>
      <c r="P3341" s="8">
        <f t="shared" si="262"/>
        <v>33956</v>
      </c>
      <c r="Q3341" s="8">
        <f t="shared" si="263"/>
        <v>29430</v>
      </c>
      <c r="R3341" s="2" t="s">
        <v>28</v>
      </c>
      <c r="S3341" s="9">
        <f t="shared" si="264"/>
        <v>2376.92</v>
      </c>
    </row>
    <row r="3342" spans="1:19" x14ac:dyDescent="0.3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str">
        <f>IFERROR(VLOOKUP('Customer Info'!A3334,'Customer Info'!A3334:C3833,2,FALSE),"Not Found")</f>
        <v>Not Found</v>
      </c>
      <c r="H3342" s="6" t="str">
        <f>IFERROR(VLOOKUP('Customer Info'!A3334,'Customer Info'!A3334:C3833,3,FALSE),"Not Found")</f>
        <v>Not Found</v>
      </c>
      <c r="I3342" s="6" t="str">
        <f>IFERROR(VLOOKUP('Customer Info'!A3334,'Customer Info'!A3334:E3833,5,FALSE),"Not Found")</f>
        <v>Not Found</v>
      </c>
      <c r="J3342" s="2">
        <v>998</v>
      </c>
      <c r="K3342" s="2">
        <v>931</v>
      </c>
      <c r="L3342" s="2">
        <v>1</v>
      </c>
      <c r="M3342" s="7">
        <f t="shared" si="260"/>
        <v>931</v>
      </c>
      <c r="N3342" s="7">
        <f t="shared" si="261"/>
        <v>998</v>
      </c>
      <c r="O3342" s="2">
        <v>46</v>
      </c>
      <c r="P3342" s="8">
        <f t="shared" si="262"/>
        <v>1044</v>
      </c>
      <c r="Q3342" s="8">
        <f t="shared" si="263"/>
        <v>67</v>
      </c>
      <c r="R3342" s="2" t="s">
        <v>28</v>
      </c>
      <c r="S3342" s="9">
        <f t="shared" si="264"/>
        <v>20.88</v>
      </c>
    </row>
    <row r="3343" spans="1:19" x14ac:dyDescent="0.3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str">
        <f>IFERROR(VLOOKUP('Customer Info'!A3335,'Customer Info'!A3335:C3834,2,FALSE),"Not Found")</f>
        <v>Not Found</v>
      </c>
      <c r="H3343" s="6" t="str">
        <f>IFERROR(VLOOKUP('Customer Info'!A3335,'Customer Info'!A3335:C3834,3,FALSE),"Not Found")</f>
        <v>Not Found</v>
      </c>
      <c r="I3343" s="6" t="str">
        <f>IFERROR(VLOOKUP('Customer Info'!A3335,'Customer Info'!A3335:E3834,5,FALSE),"Not Found")</f>
        <v>Not Found</v>
      </c>
      <c r="J3343" s="2">
        <v>674</v>
      </c>
      <c r="K3343" s="2">
        <v>629</v>
      </c>
      <c r="L3343" s="2">
        <v>2</v>
      </c>
      <c r="M3343" s="7">
        <f t="shared" si="260"/>
        <v>1258</v>
      </c>
      <c r="N3343" s="7">
        <f t="shared" si="261"/>
        <v>1348</v>
      </c>
      <c r="O3343" s="2">
        <v>25</v>
      </c>
      <c r="P3343" s="8">
        <f t="shared" si="262"/>
        <v>1373</v>
      </c>
      <c r="Q3343" s="8">
        <f t="shared" si="263"/>
        <v>719</v>
      </c>
      <c r="R3343" s="2" t="s">
        <v>28</v>
      </c>
      <c r="S3343" s="9">
        <f t="shared" si="264"/>
        <v>27.46</v>
      </c>
    </row>
    <row r="3344" spans="1:19" x14ac:dyDescent="0.3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str">
        <f>IFERROR(VLOOKUP('Customer Info'!A3336,'Customer Info'!A3336:C3835,2,FALSE),"Not Found")</f>
        <v>Not Found</v>
      </c>
      <c r="H3344" s="6" t="str">
        <f>IFERROR(VLOOKUP('Customer Info'!A3336,'Customer Info'!A3336:C3835,3,FALSE),"Not Found")</f>
        <v>Not Found</v>
      </c>
      <c r="I3344" s="6" t="str">
        <f>IFERROR(VLOOKUP('Customer Info'!A3336,'Customer Info'!A3336:E3835,5,FALSE),"Not Found")</f>
        <v>Not Found</v>
      </c>
      <c r="J3344" s="2">
        <v>148</v>
      </c>
      <c r="K3344" s="2">
        <v>136</v>
      </c>
      <c r="L3344" s="2">
        <v>2</v>
      </c>
      <c r="M3344" s="7">
        <f t="shared" si="260"/>
        <v>272</v>
      </c>
      <c r="N3344" s="7">
        <f t="shared" si="261"/>
        <v>296</v>
      </c>
      <c r="O3344" s="2">
        <v>30</v>
      </c>
      <c r="P3344" s="8">
        <f t="shared" si="262"/>
        <v>326</v>
      </c>
      <c r="Q3344" s="8">
        <f t="shared" si="263"/>
        <v>160</v>
      </c>
      <c r="R3344" s="2" t="s">
        <v>28</v>
      </c>
      <c r="S3344" s="9">
        <f t="shared" si="264"/>
        <v>6.5200000000000005</v>
      </c>
    </row>
    <row r="3345" spans="1:19" x14ac:dyDescent="0.3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str">
        <f>IFERROR(VLOOKUP('Customer Info'!A3337,'Customer Info'!A3337:C3836,2,FALSE),"Not Found")</f>
        <v>Not Found</v>
      </c>
      <c r="H3345" s="6" t="str">
        <f>IFERROR(VLOOKUP('Customer Info'!A3337,'Customer Info'!A3337:C3836,3,FALSE),"Not Found")</f>
        <v>Not Found</v>
      </c>
      <c r="I3345" s="6" t="str">
        <f>IFERROR(VLOOKUP('Customer Info'!A3337,'Customer Info'!A3337:E3836,5,FALSE),"Not Found")</f>
        <v>Not Found</v>
      </c>
      <c r="J3345" s="2">
        <v>743</v>
      </c>
      <c r="K3345" s="2">
        <v>694</v>
      </c>
      <c r="L3345" s="2">
        <v>2</v>
      </c>
      <c r="M3345" s="7">
        <f t="shared" si="260"/>
        <v>1388</v>
      </c>
      <c r="N3345" s="7">
        <f t="shared" si="261"/>
        <v>1486</v>
      </c>
      <c r="O3345" s="2">
        <v>60</v>
      </c>
      <c r="P3345" s="8">
        <f t="shared" si="262"/>
        <v>1546</v>
      </c>
      <c r="Q3345" s="8">
        <f t="shared" si="263"/>
        <v>792</v>
      </c>
      <c r="R3345" s="2" t="s">
        <v>28</v>
      </c>
      <c r="S3345" s="9">
        <f t="shared" si="264"/>
        <v>30.92</v>
      </c>
    </row>
    <row r="3346" spans="1:19" x14ac:dyDescent="0.3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str">
        <f>IFERROR(VLOOKUP('Customer Info'!A3338,'Customer Info'!A3338:C3837,2,FALSE),"Not Found")</f>
        <v>Not Found</v>
      </c>
      <c r="H3346" s="6" t="str">
        <f>IFERROR(VLOOKUP('Customer Info'!A3338,'Customer Info'!A3338:C3837,3,FALSE),"Not Found")</f>
        <v>Not Found</v>
      </c>
      <c r="I3346" s="6" t="str">
        <f>IFERROR(VLOOKUP('Customer Info'!A3338,'Customer Info'!A3338:E3837,5,FALSE),"Not Found")</f>
        <v>Not Found</v>
      </c>
      <c r="J3346" s="2">
        <v>69</v>
      </c>
      <c r="K3346" s="2">
        <v>64</v>
      </c>
      <c r="L3346" s="2">
        <v>1</v>
      </c>
      <c r="M3346" s="7">
        <f t="shared" si="260"/>
        <v>64</v>
      </c>
      <c r="N3346" s="7">
        <f t="shared" si="261"/>
        <v>69</v>
      </c>
      <c r="O3346" s="2">
        <v>10</v>
      </c>
      <c r="P3346" s="8">
        <f t="shared" si="262"/>
        <v>79</v>
      </c>
      <c r="Q3346" s="8">
        <f t="shared" si="263"/>
        <v>5</v>
      </c>
      <c r="R3346" s="2" t="s">
        <v>26</v>
      </c>
      <c r="S3346" s="9">
        <f t="shared" si="264"/>
        <v>1.58</v>
      </c>
    </row>
    <row r="3347" spans="1:19" x14ac:dyDescent="0.3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str">
        <f>IFERROR(VLOOKUP('Customer Info'!A3339,'Customer Info'!A3339:C3838,2,FALSE),"Not Found")</f>
        <v>Not Found</v>
      </c>
      <c r="H3347" s="6" t="str">
        <f>IFERROR(VLOOKUP('Customer Info'!A3339,'Customer Info'!A3339:C3838,3,FALSE),"Not Found")</f>
        <v>Not Found</v>
      </c>
      <c r="I3347" s="6" t="str">
        <f>IFERROR(VLOOKUP('Customer Info'!A3339,'Customer Info'!A3339:E3838,5,FALSE),"Not Found")</f>
        <v>Not Found</v>
      </c>
      <c r="J3347" s="2">
        <v>4577</v>
      </c>
      <c r="K3347" s="2">
        <v>4280</v>
      </c>
      <c r="L3347" s="2">
        <v>2</v>
      </c>
      <c r="M3347" s="7">
        <f t="shared" si="260"/>
        <v>8560</v>
      </c>
      <c r="N3347" s="7">
        <f t="shared" si="261"/>
        <v>9154</v>
      </c>
      <c r="O3347" s="2">
        <v>71</v>
      </c>
      <c r="P3347" s="8">
        <f t="shared" si="262"/>
        <v>9225</v>
      </c>
      <c r="Q3347" s="8">
        <f t="shared" si="263"/>
        <v>4874</v>
      </c>
      <c r="R3347" s="2" t="s">
        <v>28</v>
      </c>
      <c r="S3347" s="9">
        <f t="shared" si="264"/>
        <v>461.25</v>
      </c>
    </row>
    <row r="3348" spans="1:19" x14ac:dyDescent="0.3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str">
        <f>IFERROR(VLOOKUP('Customer Info'!A3340,'Customer Info'!A3340:C3839,2,FALSE),"Not Found")</f>
        <v>Not Found</v>
      </c>
      <c r="H3348" s="6" t="str">
        <f>IFERROR(VLOOKUP('Customer Info'!A3340,'Customer Info'!A3340:C3839,3,FALSE),"Not Found")</f>
        <v>Not Found</v>
      </c>
      <c r="I3348" s="6" t="str">
        <f>IFERROR(VLOOKUP('Customer Info'!A3340,'Customer Info'!A3340:E3839,5,FALSE),"Not Found")</f>
        <v>Not Found</v>
      </c>
      <c r="J3348" s="2">
        <v>526</v>
      </c>
      <c r="K3348" s="2">
        <v>487</v>
      </c>
      <c r="L3348" s="2">
        <v>2</v>
      </c>
      <c r="M3348" s="7">
        <f t="shared" si="260"/>
        <v>974</v>
      </c>
      <c r="N3348" s="7">
        <f t="shared" si="261"/>
        <v>1052</v>
      </c>
      <c r="O3348" s="2">
        <v>80</v>
      </c>
      <c r="P3348" s="8">
        <f t="shared" si="262"/>
        <v>1132</v>
      </c>
      <c r="Q3348" s="8">
        <f t="shared" si="263"/>
        <v>565</v>
      </c>
      <c r="R3348" s="2" t="s">
        <v>50</v>
      </c>
      <c r="S3348" s="9">
        <f t="shared" si="264"/>
        <v>22.64</v>
      </c>
    </row>
    <row r="3349" spans="1:19" x14ac:dyDescent="0.3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str">
        <f>IFERROR(VLOOKUP('Customer Info'!A3341,'Customer Info'!A3341:C3840,2,FALSE),"Not Found")</f>
        <v>Not Found</v>
      </c>
      <c r="H3349" s="6" t="str">
        <f>IFERROR(VLOOKUP('Customer Info'!A3341,'Customer Info'!A3341:C3840,3,FALSE),"Not Found")</f>
        <v>Not Found</v>
      </c>
      <c r="I3349" s="6" t="str">
        <f>IFERROR(VLOOKUP('Customer Info'!A3341,'Customer Info'!A3341:E3840,5,FALSE),"Not Found")</f>
        <v>Not Found</v>
      </c>
      <c r="J3349" s="2">
        <v>2787</v>
      </c>
      <c r="K3349" s="2">
        <v>2681</v>
      </c>
      <c r="L3349" s="2">
        <v>2</v>
      </c>
      <c r="M3349" s="7">
        <f t="shared" si="260"/>
        <v>5362</v>
      </c>
      <c r="N3349" s="7">
        <f t="shared" si="261"/>
        <v>5574</v>
      </c>
      <c r="O3349" s="2">
        <v>62</v>
      </c>
      <c r="P3349" s="8">
        <f t="shared" si="262"/>
        <v>5636</v>
      </c>
      <c r="Q3349" s="8">
        <f t="shared" si="263"/>
        <v>2893</v>
      </c>
      <c r="R3349" s="2" t="s">
        <v>28</v>
      </c>
      <c r="S3349" s="9">
        <f t="shared" si="264"/>
        <v>281.8</v>
      </c>
    </row>
    <row r="3350" spans="1:19" x14ac:dyDescent="0.3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str">
        <f>IFERROR(VLOOKUP('Customer Info'!A3342,'Customer Info'!A3342:C3841,2,FALSE),"Not Found")</f>
        <v>Not Found</v>
      </c>
      <c r="H3350" s="6" t="str">
        <f>IFERROR(VLOOKUP('Customer Info'!A3342,'Customer Info'!A3342:C3841,3,FALSE),"Not Found")</f>
        <v>Not Found</v>
      </c>
      <c r="I3350" s="6" t="str">
        <f>IFERROR(VLOOKUP('Customer Info'!A3342,'Customer Info'!A3342:E3841,5,FALSE),"Not Found")</f>
        <v>Not Found</v>
      </c>
      <c r="J3350" s="2">
        <v>8752</v>
      </c>
      <c r="K3350" s="2">
        <v>7877</v>
      </c>
      <c r="L3350" s="2">
        <v>2</v>
      </c>
      <c r="M3350" s="7">
        <f t="shared" si="260"/>
        <v>15754</v>
      </c>
      <c r="N3350" s="7">
        <f t="shared" si="261"/>
        <v>17504</v>
      </c>
      <c r="O3350" s="2">
        <v>27</v>
      </c>
      <c r="P3350" s="8">
        <f t="shared" si="262"/>
        <v>17531</v>
      </c>
      <c r="Q3350" s="8">
        <f t="shared" si="263"/>
        <v>9627</v>
      </c>
      <c r="R3350" s="2" t="s">
        <v>28</v>
      </c>
      <c r="S3350" s="9">
        <f t="shared" si="264"/>
        <v>876.55000000000007</v>
      </c>
    </row>
    <row r="3351" spans="1:19" x14ac:dyDescent="0.3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str">
        <f>IFERROR(VLOOKUP('Customer Info'!A3343,'Customer Info'!A3343:C3842,2,FALSE),"Not Found")</f>
        <v>Not Found</v>
      </c>
      <c r="H3351" s="6" t="str">
        <f>IFERROR(VLOOKUP('Customer Info'!A3343,'Customer Info'!A3343:C3842,3,FALSE),"Not Found")</f>
        <v>Not Found</v>
      </c>
      <c r="I3351" s="6" t="str">
        <f>IFERROR(VLOOKUP('Customer Info'!A3343,'Customer Info'!A3343:E3842,5,FALSE),"Not Found")</f>
        <v>Not Found</v>
      </c>
      <c r="J3351" s="2">
        <v>765</v>
      </c>
      <c r="K3351" s="2">
        <v>701</v>
      </c>
      <c r="L3351" s="2">
        <v>2</v>
      </c>
      <c r="M3351" s="7">
        <f t="shared" si="260"/>
        <v>1402</v>
      </c>
      <c r="N3351" s="7">
        <f t="shared" si="261"/>
        <v>1530</v>
      </c>
      <c r="O3351" s="2">
        <v>33</v>
      </c>
      <c r="P3351" s="8">
        <f t="shared" si="262"/>
        <v>1563</v>
      </c>
      <c r="Q3351" s="8">
        <f t="shared" si="263"/>
        <v>829</v>
      </c>
      <c r="R3351" s="2" t="s">
        <v>28</v>
      </c>
      <c r="S3351" s="9">
        <f t="shared" si="264"/>
        <v>31.26</v>
      </c>
    </row>
    <row r="3352" spans="1:19" x14ac:dyDescent="0.3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str">
        <f>IFERROR(VLOOKUP('Customer Info'!A3344,'Customer Info'!A3344:C3843,2,FALSE),"Not Found")</f>
        <v>Not Found</v>
      </c>
      <c r="H3352" s="6" t="str">
        <f>IFERROR(VLOOKUP('Customer Info'!A3344,'Customer Info'!A3344:C3843,3,FALSE),"Not Found")</f>
        <v>Not Found</v>
      </c>
      <c r="I3352" s="6" t="str">
        <f>IFERROR(VLOOKUP('Customer Info'!A3344,'Customer Info'!A3344:E3843,5,FALSE),"Not Found")</f>
        <v>Not Found</v>
      </c>
      <c r="J3352" s="2">
        <v>998</v>
      </c>
      <c r="K3352" s="2">
        <v>931</v>
      </c>
      <c r="L3352" s="2">
        <v>2</v>
      </c>
      <c r="M3352" s="7">
        <f t="shared" si="260"/>
        <v>1862</v>
      </c>
      <c r="N3352" s="7">
        <f t="shared" si="261"/>
        <v>1996</v>
      </c>
      <c r="O3352" s="2">
        <v>66</v>
      </c>
      <c r="P3352" s="8">
        <f t="shared" si="262"/>
        <v>2062</v>
      </c>
      <c r="Q3352" s="8">
        <f t="shared" si="263"/>
        <v>1065</v>
      </c>
      <c r="R3352" s="2" t="s">
        <v>26</v>
      </c>
      <c r="S3352" s="9">
        <f t="shared" si="264"/>
        <v>41.24</v>
      </c>
    </row>
    <row r="3353" spans="1:19" x14ac:dyDescent="0.3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str">
        <f>IFERROR(VLOOKUP('Customer Info'!A3345,'Customer Info'!A3345:C3844,2,FALSE),"Not Found")</f>
        <v>Not Found</v>
      </c>
      <c r="H3353" s="6" t="str">
        <f>IFERROR(VLOOKUP('Customer Info'!A3345,'Customer Info'!A3345:C3844,3,FALSE),"Not Found")</f>
        <v>Not Found</v>
      </c>
      <c r="I3353" s="6" t="str">
        <f>IFERROR(VLOOKUP('Customer Info'!A3345,'Customer Info'!A3345:E3844,5,FALSE),"Not Found")</f>
        <v>Not Found</v>
      </c>
      <c r="J3353" s="2">
        <v>2654</v>
      </c>
      <c r="K3353" s="2">
        <v>2410</v>
      </c>
      <c r="L3353" s="2">
        <v>8</v>
      </c>
      <c r="M3353" s="7">
        <f t="shared" si="260"/>
        <v>19280</v>
      </c>
      <c r="N3353" s="7">
        <f t="shared" si="261"/>
        <v>21232</v>
      </c>
      <c r="O3353" s="2">
        <v>80</v>
      </c>
      <c r="P3353" s="8">
        <f t="shared" si="262"/>
        <v>21312</v>
      </c>
      <c r="Q3353" s="8">
        <f t="shared" si="263"/>
        <v>18822</v>
      </c>
      <c r="R3353" s="2" t="s">
        <v>28</v>
      </c>
      <c r="S3353" s="9">
        <f t="shared" si="264"/>
        <v>1065.6000000000001</v>
      </c>
    </row>
    <row r="3354" spans="1:19" x14ac:dyDescent="0.3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str">
        <f>IFERROR(VLOOKUP('Customer Info'!A3346,'Customer Info'!A3346:C3845,2,FALSE),"Not Found")</f>
        <v>Not Found</v>
      </c>
      <c r="H3354" s="6" t="str">
        <f>IFERROR(VLOOKUP('Customer Info'!A3346,'Customer Info'!A3346:C3845,3,FALSE),"Not Found")</f>
        <v>Not Found</v>
      </c>
      <c r="I3354" s="6" t="str">
        <f>IFERROR(VLOOKUP('Customer Info'!A3346,'Customer Info'!A3346:E3845,5,FALSE),"Not Found")</f>
        <v>Not Found</v>
      </c>
      <c r="J3354" s="2">
        <v>1887</v>
      </c>
      <c r="K3354" s="2">
        <v>1763</v>
      </c>
      <c r="L3354" s="2">
        <v>3</v>
      </c>
      <c r="M3354" s="7">
        <f t="shared" si="260"/>
        <v>5289</v>
      </c>
      <c r="N3354" s="7">
        <f t="shared" si="261"/>
        <v>5661</v>
      </c>
      <c r="O3354" s="2">
        <v>27</v>
      </c>
      <c r="P3354" s="8">
        <f t="shared" si="262"/>
        <v>5688</v>
      </c>
      <c r="Q3354" s="8">
        <f t="shared" si="263"/>
        <v>3898</v>
      </c>
      <c r="R3354" s="2" t="s">
        <v>28</v>
      </c>
      <c r="S3354" s="9">
        <f t="shared" si="264"/>
        <v>284.40000000000003</v>
      </c>
    </row>
    <row r="3355" spans="1:19" x14ac:dyDescent="0.3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str">
        <f>IFERROR(VLOOKUP('Customer Info'!A3347,'Customer Info'!A3347:C3846,2,FALSE),"Not Found")</f>
        <v>Not Found</v>
      </c>
      <c r="H3355" s="6" t="str">
        <f>IFERROR(VLOOKUP('Customer Info'!A3347,'Customer Info'!A3347:C3846,3,FALSE),"Not Found")</f>
        <v>Not Found</v>
      </c>
      <c r="I3355" s="6" t="str">
        <f>IFERROR(VLOOKUP('Customer Info'!A3347,'Customer Info'!A3347:E3846,5,FALSE),"Not Found")</f>
        <v>Not Found</v>
      </c>
      <c r="J3355" s="2">
        <v>8160</v>
      </c>
      <c r="K3355" s="2">
        <v>7475</v>
      </c>
      <c r="L3355" s="2">
        <v>2</v>
      </c>
      <c r="M3355" s="7">
        <f t="shared" si="260"/>
        <v>14950</v>
      </c>
      <c r="N3355" s="7">
        <f t="shared" si="261"/>
        <v>16320</v>
      </c>
      <c r="O3355" s="2">
        <v>29</v>
      </c>
      <c r="P3355" s="8">
        <f t="shared" si="262"/>
        <v>16349</v>
      </c>
      <c r="Q3355" s="8">
        <f t="shared" si="263"/>
        <v>8845</v>
      </c>
      <c r="R3355" s="2" t="s">
        <v>50</v>
      </c>
      <c r="S3355" s="9">
        <f t="shared" si="264"/>
        <v>817.45</v>
      </c>
    </row>
    <row r="3356" spans="1:19" x14ac:dyDescent="0.3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str">
        <f>IFERROR(VLOOKUP('Customer Info'!A3348,'Customer Info'!A3348:C3847,2,FALSE),"Not Found")</f>
        <v>Not Found</v>
      </c>
      <c r="H3356" s="6" t="str">
        <f>IFERROR(VLOOKUP('Customer Info'!A3348,'Customer Info'!A3348:C3847,3,FALSE),"Not Found")</f>
        <v>Not Found</v>
      </c>
      <c r="I3356" s="6" t="str">
        <f>IFERROR(VLOOKUP('Customer Info'!A3348,'Customer Info'!A3348:E3847,5,FALSE),"Not Found")</f>
        <v>Not Found</v>
      </c>
      <c r="J3356" s="2">
        <v>2078</v>
      </c>
      <c r="K3356" s="2">
        <v>1871</v>
      </c>
      <c r="L3356" s="2">
        <v>1</v>
      </c>
      <c r="M3356" s="7">
        <f t="shared" si="260"/>
        <v>1871</v>
      </c>
      <c r="N3356" s="7">
        <f t="shared" si="261"/>
        <v>2078</v>
      </c>
      <c r="O3356" s="2">
        <v>51</v>
      </c>
      <c r="P3356" s="8">
        <f t="shared" si="262"/>
        <v>2129</v>
      </c>
      <c r="Q3356" s="8">
        <f t="shared" si="263"/>
        <v>207</v>
      </c>
      <c r="R3356" s="2" t="s">
        <v>28</v>
      </c>
      <c r="S3356" s="9">
        <f t="shared" si="264"/>
        <v>42.58</v>
      </c>
    </row>
    <row r="3357" spans="1:19" x14ac:dyDescent="0.3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str">
        <f>IFERROR(VLOOKUP('Customer Info'!A3349,'Customer Info'!A3349:C3848,2,FALSE),"Not Found")</f>
        <v>Not Found</v>
      </c>
      <c r="H3357" s="6" t="str">
        <f>IFERROR(VLOOKUP('Customer Info'!A3349,'Customer Info'!A3349:C3848,3,FALSE),"Not Found")</f>
        <v>Not Found</v>
      </c>
      <c r="I3357" s="6" t="str">
        <f>IFERROR(VLOOKUP('Customer Info'!A3349,'Customer Info'!A3349:E3848,5,FALSE),"Not Found")</f>
        <v>Not Found</v>
      </c>
      <c r="J3357" s="2">
        <v>92</v>
      </c>
      <c r="K3357" s="2">
        <v>85</v>
      </c>
      <c r="L3357" s="2">
        <v>2</v>
      </c>
      <c r="M3357" s="7">
        <f t="shared" si="260"/>
        <v>170</v>
      </c>
      <c r="N3357" s="7">
        <f t="shared" si="261"/>
        <v>184</v>
      </c>
      <c r="O3357" s="2">
        <v>10</v>
      </c>
      <c r="P3357" s="8">
        <f t="shared" si="262"/>
        <v>194</v>
      </c>
      <c r="Q3357" s="8">
        <f t="shared" si="263"/>
        <v>99</v>
      </c>
      <c r="R3357" s="2" t="s">
        <v>28</v>
      </c>
      <c r="S3357" s="9">
        <f t="shared" si="264"/>
        <v>3.88</v>
      </c>
    </row>
    <row r="3358" spans="1:19" x14ac:dyDescent="0.3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str">
        <f>IFERROR(VLOOKUP('Customer Info'!A3350,'Customer Info'!A3350:C3849,2,FALSE),"Not Found")</f>
        <v>Not Found</v>
      </c>
      <c r="H3358" s="6" t="str">
        <f>IFERROR(VLOOKUP('Customer Info'!A3350,'Customer Info'!A3350:C3849,3,FALSE),"Not Found")</f>
        <v>Not Found</v>
      </c>
      <c r="I3358" s="6" t="str">
        <f>IFERROR(VLOOKUP('Customer Info'!A3350,'Customer Info'!A3350:E3849,5,FALSE),"Not Found")</f>
        <v>Not Found</v>
      </c>
      <c r="J3358" s="2">
        <v>147</v>
      </c>
      <c r="K3358" s="2">
        <v>138</v>
      </c>
      <c r="L3358" s="2">
        <v>2</v>
      </c>
      <c r="M3358" s="7">
        <f t="shared" si="260"/>
        <v>276</v>
      </c>
      <c r="N3358" s="7">
        <f t="shared" si="261"/>
        <v>294</v>
      </c>
      <c r="O3358" s="2">
        <v>30</v>
      </c>
      <c r="P3358" s="8">
        <f t="shared" si="262"/>
        <v>324</v>
      </c>
      <c r="Q3358" s="8">
        <f t="shared" si="263"/>
        <v>156</v>
      </c>
      <c r="R3358" s="2" t="s">
        <v>28</v>
      </c>
      <c r="S3358" s="9">
        <f t="shared" si="264"/>
        <v>6.48</v>
      </c>
    </row>
    <row r="3359" spans="1:19" x14ac:dyDescent="0.3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str">
        <f>IFERROR(VLOOKUP('Customer Info'!A3351,'Customer Info'!A3351:C3850,2,FALSE),"Not Found")</f>
        <v>Not Found</v>
      </c>
      <c r="H3359" s="6" t="str">
        <f>IFERROR(VLOOKUP('Customer Info'!A3351,'Customer Info'!A3351:C3850,3,FALSE),"Not Found")</f>
        <v>Not Found</v>
      </c>
      <c r="I3359" s="6" t="str">
        <f>IFERROR(VLOOKUP('Customer Info'!A3351,'Customer Info'!A3351:E3850,5,FALSE),"Not Found")</f>
        <v>Not Found</v>
      </c>
      <c r="J3359" s="2">
        <v>759</v>
      </c>
      <c r="K3359" s="2">
        <v>703</v>
      </c>
      <c r="L3359" s="2">
        <v>4</v>
      </c>
      <c r="M3359" s="7">
        <f t="shared" si="260"/>
        <v>2812</v>
      </c>
      <c r="N3359" s="7">
        <f t="shared" si="261"/>
        <v>3036</v>
      </c>
      <c r="O3359" s="2">
        <v>46</v>
      </c>
      <c r="P3359" s="8">
        <f t="shared" si="262"/>
        <v>3082</v>
      </c>
      <c r="Q3359" s="8">
        <f t="shared" si="263"/>
        <v>2333</v>
      </c>
      <c r="R3359" s="2" t="s">
        <v>28</v>
      </c>
      <c r="S3359" s="9">
        <f t="shared" si="264"/>
        <v>61.64</v>
      </c>
    </row>
    <row r="3360" spans="1:19" x14ac:dyDescent="0.3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str">
        <f>IFERROR(VLOOKUP('Customer Info'!A3352,'Customer Info'!A3352:C3851,2,FALSE),"Not Found")</f>
        <v>Not Found</v>
      </c>
      <c r="H3360" s="6" t="str">
        <f>IFERROR(VLOOKUP('Customer Info'!A3352,'Customer Info'!A3352:C3851,3,FALSE),"Not Found")</f>
        <v>Not Found</v>
      </c>
      <c r="I3360" s="6" t="str">
        <f>IFERROR(VLOOKUP('Customer Info'!A3352,'Customer Info'!A3352:E3851,5,FALSE),"Not Found")</f>
        <v>Not Found</v>
      </c>
      <c r="J3360" s="2">
        <v>60</v>
      </c>
      <c r="K3360" s="2">
        <v>55</v>
      </c>
      <c r="L3360" s="2">
        <v>3</v>
      </c>
      <c r="M3360" s="7">
        <f t="shared" si="260"/>
        <v>165</v>
      </c>
      <c r="N3360" s="7">
        <f t="shared" si="261"/>
        <v>180</v>
      </c>
      <c r="O3360" s="2">
        <v>10</v>
      </c>
      <c r="P3360" s="8">
        <f t="shared" si="262"/>
        <v>190</v>
      </c>
      <c r="Q3360" s="8">
        <f t="shared" si="263"/>
        <v>125</v>
      </c>
      <c r="R3360" s="2" t="s">
        <v>28</v>
      </c>
      <c r="S3360" s="9">
        <f t="shared" si="264"/>
        <v>3.8000000000000003</v>
      </c>
    </row>
    <row r="3361" spans="1:19" x14ac:dyDescent="0.3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str">
        <f>IFERROR(VLOOKUP('Customer Info'!A3353,'Customer Info'!A3353:C3852,2,FALSE),"Not Found")</f>
        <v>Not Found</v>
      </c>
      <c r="H3361" s="6" t="str">
        <f>IFERROR(VLOOKUP('Customer Info'!A3353,'Customer Info'!A3353:C3852,3,FALSE),"Not Found")</f>
        <v>Not Found</v>
      </c>
      <c r="I3361" s="6" t="str">
        <f>IFERROR(VLOOKUP('Customer Info'!A3353,'Customer Info'!A3353:E3852,5,FALSE),"Not Found")</f>
        <v>Not Found</v>
      </c>
      <c r="J3361" s="2">
        <v>169</v>
      </c>
      <c r="K3361" s="2">
        <v>154</v>
      </c>
      <c r="L3361" s="2">
        <v>2</v>
      </c>
      <c r="M3361" s="7">
        <f t="shared" si="260"/>
        <v>308</v>
      </c>
      <c r="N3361" s="7">
        <f t="shared" si="261"/>
        <v>338</v>
      </c>
      <c r="O3361" s="2">
        <v>30</v>
      </c>
      <c r="P3361" s="8">
        <f t="shared" si="262"/>
        <v>368</v>
      </c>
      <c r="Q3361" s="8">
        <f t="shared" si="263"/>
        <v>184</v>
      </c>
      <c r="R3361" s="2" t="s">
        <v>28</v>
      </c>
      <c r="S3361" s="9">
        <f t="shared" si="264"/>
        <v>7.36</v>
      </c>
    </row>
    <row r="3362" spans="1:19" x14ac:dyDescent="0.3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str">
        <f>IFERROR(VLOOKUP('Customer Info'!A3354,'Customer Info'!A3354:C3853,2,FALSE),"Not Found")</f>
        <v>Not Found</v>
      </c>
      <c r="H3362" s="6" t="str">
        <f>IFERROR(VLOOKUP('Customer Info'!A3354,'Customer Info'!A3354:C3853,3,FALSE),"Not Found")</f>
        <v>Not Found</v>
      </c>
      <c r="I3362" s="6" t="str">
        <f>IFERROR(VLOOKUP('Customer Info'!A3354,'Customer Info'!A3354:E3853,5,FALSE),"Not Found")</f>
        <v>Not Found</v>
      </c>
      <c r="J3362" s="2">
        <v>90</v>
      </c>
      <c r="K3362" s="2">
        <v>81</v>
      </c>
      <c r="L3362" s="2">
        <v>4</v>
      </c>
      <c r="M3362" s="7">
        <f t="shared" si="260"/>
        <v>324</v>
      </c>
      <c r="N3362" s="7">
        <f t="shared" si="261"/>
        <v>360</v>
      </c>
      <c r="O3362" s="2">
        <v>10</v>
      </c>
      <c r="P3362" s="8">
        <f t="shared" si="262"/>
        <v>370</v>
      </c>
      <c r="Q3362" s="8">
        <f t="shared" si="263"/>
        <v>279</v>
      </c>
      <c r="R3362" s="2" t="s">
        <v>50</v>
      </c>
      <c r="S3362" s="9">
        <f t="shared" si="264"/>
        <v>7.4</v>
      </c>
    </row>
    <row r="3363" spans="1:19" x14ac:dyDescent="0.3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str">
        <f>IFERROR(VLOOKUP('Customer Info'!A3355,'Customer Info'!A3355:C3854,2,FALSE),"Not Found")</f>
        <v>Not Found</v>
      </c>
      <c r="H3363" s="6" t="str">
        <f>IFERROR(VLOOKUP('Customer Info'!A3355,'Customer Info'!A3355:C3854,3,FALSE),"Not Found")</f>
        <v>Not Found</v>
      </c>
      <c r="I3363" s="6" t="str">
        <f>IFERROR(VLOOKUP('Customer Info'!A3355,'Customer Info'!A3355:E3854,5,FALSE),"Not Found")</f>
        <v>Not Found</v>
      </c>
      <c r="J3363" s="2">
        <v>4122</v>
      </c>
      <c r="K3363" s="2">
        <v>3781</v>
      </c>
      <c r="L3363" s="2">
        <v>3</v>
      </c>
      <c r="M3363" s="7">
        <f t="shared" si="260"/>
        <v>11343</v>
      </c>
      <c r="N3363" s="7">
        <f t="shared" si="261"/>
        <v>12366</v>
      </c>
      <c r="O3363" s="2">
        <v>47</v>
      </c>
      <c r="P3363" s="8">
        <f t="shared" si="262"/>
        <v>12413</v>
      </c>
      <c r="Q3363" s="8">
        <f t="shared" si="263"/>
        <v>8585</v>
      </c>
      <c r="R3363" s="2" t="s">
        <v>28</v>
      </c>
      <c r="S3363" s="9">
        <f t="shared" si="264"/>
        <v>620.65000000000009</v>
      </c>
    </row>
    <row r="3364" spans="1:19" x14ac:dyDescent="0.3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str">
        <f>IFERROR(VLOOKUP('Customer Info'!A3356,'Customer Info'!A3356:C3855,2,FALSE),"Not Found")</f>
        <v>Not Found</v>
      </c>
      <c r="H3364" s="6" t="str">
        <f>IFERROR(VLOOKUP('Customer Info'!A3356,'Customer Info'!A3356:C3855,3,FALSE),"Not Found")</f>
        <v>Not Found</v>
      </c>
      <c r="I3364" s="6" t="str">
        <f>IFERROR(VLOOKUP('Customer Info'!A3356,'Customer Info'!A3356:E3855,5,FALSE),"Not Found")</f>
        <v>Not Found</v>
      </c>
      <c r="J3364" s="2">
        <v>7623</v>
      </c>
      <c r="K3364" s="2">
        <v>7064</v>
      </c>
      <c r="L3364" s="2">
        <v>2</v>
      </c>
      <c r="M3364" s="7">
        <f t="shared" si="260"/>
        <v>14128</v>
      </c>
      <c r="N3364" s="7">
        <f t="shared" si="261"/>
        <v>15246</v>
      </c>
      <c r="O3364" s="2">
        <v>23</v>
      </c>
      <c r="P3364" s="8">
        <f t="shared" si="262"/>
        <v>15269</v>
      </c>
      <c r="Q3364" s="8">
        <f t="shared" si="263"/>
        <v>8182</v>
      </c>
      <c r="R3364" s="2" t="s">
        <v>28</v>
      </c>
      <c r="S3364" s="9">
        <f t="shared" si="264"/>
        <v>763.45</v>
      </c>
    </row>
    <row r="3365" spans="1:19" x14ac:dyDescent="0.3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str">
        <f>IFERROR(VLOOKUP('Customer Info'!A3357,'Customer Info'!A3357:C3856,2,FALSE),"Not Found")</f>
        <v>Not Found</v>
      </c>
      <c r="H3365" s="6" t="str">
        <f>IFERROR(VLOOKUP('Customer Info'!A3357,'Customer Info'!A3357:C3856,3,FALSE),"Not Found")</f>
        <v>Not Found</v>
      </c>
      <c r="I3365" s="6" t="str">
        <f>IFERROR(VLOOKUP('Customer Info'!A3357,'Customer Info'!A3357:E3856,5,FALSE),"Not Found")</f>
        <v>Not Found</v>
      </c>
      <c r="J3365" s="2">
        <v>27691</v>
      </c>
      <c r="K3365" s="2">
        <v>25616</v>
      </c>
      <c r="L3365" s="2">
        <v>1</v>
      </c>
      <c r="M3365" s="7">
        <f t="shared" si="260"/>
        <v>25616</v>
      </c>
      <c r="N3365" s="7">
        <f t="shared" si="261"/>
        <v>27691</v>
      </c>
      <c r="O3365" s="2">
        <v>74</v>
      </c>
      <c r="P3365" s="8">
        <f t="shared" si="262"/>
        <v>27765</v>
      </c>
      <c r="Q3365" s="8">
        <f t="shared" si="263"/>
        <v>2075</v>
      </c>
      <c r="R3365" s="2" t="s">
        <v>26</v>
      </c>
      <c r="S3365" s="9">
        <f t="shared" si="264"/>
        <v>1943.5500000000002</v>
      </c>
    </row>
    <row r="3366" spans="1:19" x14ac:dyDescent="0.3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str">
        <f>IFERROR(VLOOKUP('Customer Info'!A3358,'Customer Info'!A3358:C3857,2,FALSE),"Not Found")</f>
        <v>Not Found</v>
      </c>
      <c r="H3366" s="6" t="str">
        <f>IFERROR(VLOOKUP('Customer Info'!A3358,'Customer Info'!A3358:C3857,3,FALSE),"Not Found")</f>
        <v>Not Found</v>
      </c>
      <c r="I3366" s="6" t="str">
        <f>IFERROR(VLOOKUP('Customer Info'!A3358,'Customer Info'!A3358:E3857,5,FALSE),"Not Found")</f>
        <v>Not Found</v>
      </c>
      <c r="J3366" s="2">
        <v>1635</v>
      </c>
      <c r="K3366" s="2">
        <v>1573</v>
      </c>
      <c r="L3366" s="2">
        <v>3</v>
      </c>
      <c r="M3366" s="7">
        <f t="shared" si="260"/>
        <v>4719</v>
      </c>
      <c r="N3366" s="7">
        <f t="shared" si="261"/>
        <v>4905</v>
      </c>
      <c r="O3366" s="2">
        <v>88</v>
      </c>
      <c r="P3366" s="8">
        <f t="shared" si="262"/>
        <v>4993</v>
      </c>
      <c r="Q3366" s="8">
        <f t="shared" si="263"/>
        <v>3332</v>
      </c>
      <c r="R3366" s="2" t="s">
        <v>56</v>
      </c>
      <c r="S3366" s="9">
        <f t="shared" si="264"/>
        <v>99.86</v>
      </c>
    </row>
    <row r="3367" spans="1:19" x14ac:dyDescent="0.3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str">
        <f>IFERROR(VLOOKUP('Customer Info'!A3359,'Customer Info'!A3359:C3858,2,FALSE),"Not Found")</f>
        <v>Not Found</v>
      </c>
      <c r="H3367" s="6" t="str">
        <f>IFERROR(VLOOKUP('Customer Info'!A3359,'Customer Info'!A3359:C3858,3,FALSE),"Not Found")</f>
        <v>Not Found</v>
      </c>
      <c r="I3367" s="6" t="str">
        <f>IFERROR(VLOOKUP('Customer Info'!A3359,'Customer Info'!A3359:E3858,5,FALSE),"Not Found")</f>
        <v>Not Found</v>
      </c>
      <c r="J3367" s="2">
        <v>417</v>
      </c>
      <c r="K3367" s="2">
        <v>392</v>
      </c>
      <c r="L3367" s="2">
        <v>2</v>
      </c>
      <c r="M3367" s="7">
        <f t="shared" si="260"/>
        <v>784</v>
      </c>
      <c r="N3367" s="7">
        <f t="shared" si="261"/>
        <v>834</v>
      </c>
      <c r="O3367" s="2">
        <v>57</v>
      </c>
      <c r="P3367" s="8">
        <f t="shared" si="262"/>
        <v>891</v>
      </c>
      <c r="Q3367" s="8">
        <f t="shared" si="263"/>
        <v>442</v>
      </c>
      <c r="R3367" s="2" t="s">
        <v>56</v>
      </c>
      <c r="S3367" s="9">
        <f t="shared" si="264"/>
        <v>17.82</v>
      </c>
    </row>
    <row r="3368" spans="1:19" x14ac:dyDescent="0.3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str">
        <f>IFERROR(VLOOKUP('Customer Info'!A3360,'Customer Info'!A3360:C3859,2,FALSE),"Not Found")</f>
        <v>Not Found</v>
      </c>
      <c r="H3368" s="6" t="str">
        <f>IFERROR(VLOOKUP('Customer Info'!A3360,'Customer Info'!A3360:C3859,3,FALSE),"Not Found")</f>
        <v>Not Found</v>
      </c>
      <c r="I3368" s="6" t="str">
        <f>IFERROR(VLOOKUP('Customer Info'!A3360,'Customer Info'!A3360:E3859,5,FALSE),"Not Found")</f>
        <v>Not Found</v>
      </c>
      <c r="J3368" s="2">
        <v>9033</v>
      </c>
      <c r="K3368" s="2">
        <v>8132</v>
      </c>
      <c r="L3368" s="2">
        <v>2</v>
      </c>
      <c r="M3368" s="7">
        <f t="shared" si="260"/>
        <v>16264</v>
      </c>
      <c r="N3368" s="7">
        <f t="shared" si="261"/>
        <v>18066</v>
      </c>
      <c r="O3368" s="2">
        <v>65</v>
      </c>
      <c r="P3368" s="8">
        <f t="shared" si="262"/>
        <v>18131</v>
      </c>
      <c r="Q3368" s="8">
        <f t="shared" si="263"/>
        <v>9934</v>
      </c>
      <c r="R3368" s="2" t="s">
        <v>50</v>
      </c>
      <c r="S3368" s="9">
        <f t="shared" si="264"/>
        <v>906.55000000000007</v>
      </c>
    </row>
    <row r="3369" spans="1:19" x14ac:dyDescent="0.3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str">
        <f>IFERROR(VLOOKUP('Customer Info'!A3361,'Customer Info'!A3361:C3860,2,FALSE),"Not Found")</f>
        <v>Not Found</v>
      </c>
      <c r="H3369" s="6" t="str">
        <f>IFERROR(VLOOKUP('Customer Info'!A3361,'Customer Info'!A3361:C3860,3,FALSE),"Not Found")</f>
        <v>Not Found</v>
      </c>
      <c r="I3369" s="6" t="str">
        <f>IFERROR(VLOOKUP('Customer Info'!A3361,'Customer Info'!A3361:E3860,5,FALSE),"Not Found")</f>
        <v>Not Found</v>
      </c>
      <c r="J3369" s="2">
        <v>9214</v>
      </c>
      <c r="K3369" s="2">
        <v>8295</v>
      </c>
      <c r="L3369" s="2">
        <v>6</v>
      </c>
      <c r="M3369" s="7">
        <f t="shared" si="260"/>
        <v>49770</v>
      </c>
      <c r="N3369" s="7">
        <f t="shared" si="261"/>
        <v>55284</v>
      </c>
      <c r="O3369" s="2">
        <v>70</v>
      </c>
      <c r="P3369" s="8">
        <f t="shared" si="262"/>
        <v>55354</v>
      </c>
      <c r="Q3369" s="8">
        <f t="shared" si="263"/>
        <v>46989</v>
      </c>
      <c r="R3369" s="2" t="s">
        <v>56</v>
      </c>
      <c r="S3369" s="9">
        <f t="shared" si="264"/>
        <v>4981.8599999999997</v>
      </c>
    </row>
    <row r="3370" spans="1:19" x14ac:dyDescent="0.3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str">
        <f>IFERROR(VLOOKUP('Customer Info'!A3362,'Customer Info'!A3362:C3861,2,FALSE),"Not Found")</f>
        <v>Not Found</v>
      </c>
      <c r="H3370" s="6" t="str">
        <f>IFERROR(VLOOKUP('Customer Info'!A3362,'Customer Info'!A3362:C3861,3,FALSE),"Not Found")</f>
        <v>Not Found</v>
      </c>
      <c r="I3370" s="6" t="str">
        <f>IFERROR(VLOOKUP('Customer Info'!A3362,'Customer Info'!A3362:E3861,5,FALSE),"Not Found")</f>
        <v>Not Found</v>
      </c>
      <c r="J3370" s="2">
        <v>1556</v>
      </c>
      <c r="K3370" s="2">
        <v>1414</v>
      </c>
      <c r="L3370" s="2">
        <v>3</v>
      </c>
      <c r="M3370" s="7">
        <f t="shared" si="260"/>
        <v>4242</v>
      </c>
      <c r="N3370" s="7">
        <f t="shared" si="261"/>
        <v>4668</v>
      </c>
      <c r="O3370" s="2">
        <v>86</v>
      </c>
      <c r="P3370" s="8">
        <f t="shared" si="262"/>
        <v>4754</v>
      </c>
      <c r="Q3370" s="8">
        <f t="shared" si="263"/>
        <v>3254</v>
      </c>
      <c r="R3370" s="2" t="s">
        <v>28</v>
      </c>
      <c r="S3370" s="9">
        <f t="shared" si="264"/>
        <v>95.08</v>
      </c>
    </row>
    <row r="3371" spans="1:19" x14ac:dyDescent="0.3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str">
        <f>IFERROR(VLOOKUP('Customer Info'!A3363,'Customer Info'!A3363:C3862,2,FALSE),"Not Found")</f>
        <v>Not Found</v>
      </c>
      <c r="H3371" s="6" t="str">
        <f>IFERROR(VLOOKUP('Customer Info'!A3363,'Customer Info'!A3363:C3862,3,FALSE),"Not Found")</f>
        <v>Not Found</v>
      </c>
      <c r="I3371" s="6" t="str">
        <f>IFERROR(VLOOKUP('Customer Info'!A3363,'Customer Info'!A3363:E3862,5,FALSE),"Not Found")</f>
        <v>Not Found</v>
      </c>
      <c r="J3371" s="2">
        <v>1752</v>
      </c>
      <c r="K3371" s="2">
        <v>1576</v>
      </c>
      <c r="L3371" s="2">
        <v>4</v>
      </c>
      <c r="M3371" s="7">
        <f t="shared" si="260"/>
        <v>6304</v>
      </c>
      <c r="N3371" s="7">
        <f t="shared" si="261"/>
        <v>7008</v>
      </c>
      <c r="O3371" s="2">
        <v>86</v>
      </c>
      <c r="P3371" s="8">
        <f t="shared" si="262"/>
        <v>7094</v>
      </c>
      <c r="Q3371" s="8">
        <f t="shared" si="263"/>
        <v>5432</v>
      </c>
      <c r="R3371" s="2" t="s">
        <v>56</v>
      </c>
      <c r="S3371" s="9">
        <f t="shared" si="264"/>
        <v>354.70000000000005</v>
      </c>
    </row>
    <row r="3372" spans="1:19" x14ac:dyDescent="0.3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str">
        <f>IFERROR(VLOOKUP('Customer Info'!A3364,'Customer Info'!A3364:C3863,2,FALSE),"Not Found")</f>
        <v>Not Found</v>
      </c>
      <c r="H3372" s="6" t="str">
        <f>IFERROR(VLOOKUP('Customer Info'!A3364,'Customer Info'!A3364:C3863,3,FALSE),"Not Found")</f>
        <v>Not Found</v>
      </c>
      <c r="I3372" s="6" t="str">
        <f>IFERROR(VLOOKUP('Customer Info'!A3364,'Customer Info'!A3364:E3863,5,FALSE),"Not Found")</f>
        <v>Not Found</v>
      </c>
      <c r="J3372" s="2">
        <v>5836</v>
      </c>
      <c r="K3372" s="2">
        <v>5457</v>
      </c>
      <c r="L3372" s="2">
        <v>3</v>
      </c>
      <c r="M3372" s="7">
        <f t="shared" si="260"/>
        <v>16371</v>
      </c>
      <c r="N3372" s="7">
        <f t="shared" si="261"/>
        <v>17508</v>
      </c>
      <c r="O3372" s="2">
        <v>85</v>
      </c>
      <c r="P3372" s="8">
        <f t="shared" si="262"/>
        <v>17593</v>
      </c>
      <c r="Q3372" s="8">
        <f t="shared" si="263"/>
        <v>12051</v>
      </c>
      <c r="R3372" s="2" t="s">
        <v>50</v>
      </c>
      <c r="S3372" s="9">
        <f t="shared" si="264"/>
        <v>879.65000000000009</v>
      </c>
    </row>
    <row r="3373" spans="1:19" x14ac:dyDescent="0.3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str">
        <f>IFERROR(VLOOKUP('Customer Info'!A3365,'Customer Info'!A3365:C3864,2,FALSE),"Not Found")</f>
        <v>Not Found</v>
      </c>
      <c r="H3373" s="6" t="str">
        <f>IFERROR(VLOOKUP('Customer Info'!A3365,'Customer Info'!A3365:C3864,3,FALSE),"Not Found")</f>
        <v>Not Found</v>
      </c>
      <c r="I3373" s="6" t="str">
        <f>IFERROR(VLOOKUP('Customer Info'!A3365,'Customer Info'!A3365:E3864,5,FALSE),"Not Found")</f>
        <v>Not Found</v>
      </c>
      <c r="J3373" s="2">
        <v>2088</v>
      </c>
      <c r="K3373" s="2">
        <v>1970</v>
      </c>
      <c r="L3373" s="2">
        <v>2</v>
      </c>
      <c r="M3373" s="7">
        <f t="shared" si="260"/>
        <v>3940</v>
      </c>
      <c r="N3373" s="7">
        <f t="shared" si="261"/>
        <v>4176</v>
      </c>
      <c r="O3373" s="2">
        <v>40</v>
      </c>
      <c r="P3373" s="8">
        <f t="shared" si="262"/>
        <v>4216</v>
      </c>
      <c r="Q3373" s="8">
        <f t="shared" si="263"/>
        <v>2206</v>
      </c>
      <c r="R3373" s="2" t="s">
        <v>50</v>
      </c>
      <c r="S3373" s="9">
        <f t="shared" si="264"/>
        <v>84.320000000000007</v>
      </c>
    </row>
    <row r="3374" spans="1:19" x14ac:dyDescent="0.3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str">
        <f>IFERROR(VLOOKUP('Customer Info'!A3366,'Customer Info'!A3366:C3865,2,FALSE),"Not Found")</f>
        <v>Not Found</v>
      </c>
      <c r="H3374" s="6" t="str">
        <f>IFERROR(VLOOKUP('Customer Info'!A3366,'Customer Info'!A3366:C3865,3,FALSE),"Not Found")</f>
        <v>Not Found</v>
      </c>
      <c r="I3374" s="6" t="str">
        <f>IFERROR(VLOOKUP('Customer Info'!A3366,'Customer Info'!A3366:E3865,5,FALSE),"Not Found")</f>
        <v>Not Found</v>
      </c>
      <c r="J3374" s="2">
        <v>4577</v>
      </c>
      <c r="K3374" s="2">
        <v>4280</v>
      </c>
      <c r="L3374" s="2">
        <v>6</v>
      </c>
      <c r="M3374" s="7">
        <f t="shared" si="260"/>
        <v>25680</v>
      </c>
      <c r="N3374" s="7">
        <f t="shared" si="261"/>
        <v>27462</v>
      </c>
      <c r="O3374" s="2">
        <v>34</v>
      </c>
      <c r="P3374" s="8">
        <f t="shared" si="262"/>
        <v>27496</v>
      </c>
      <c r="Q3374" s="8">
        <f t="shared" si="263"/>
        <v>23182</v>
      </c>
      <c r="R3374" s="2" t="s">
        <v>50</v>
      </c>
      <c r="S3374" s="9">
        <f t="shared" si="264"/>
        <v>1924.7200000000003</v>
      </c>
    </row>
    <row r="3375" spans="1:19" x14ac:dyDescent="0.3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str">
        <f>IFERROR(VLOOKUP('Customer Info'!A3367,'Customer Info'!A3367:C3866,2,FALSE),"Not Found")</f>
        <v>Not Found</v>
      </c>
      <c r="H3375" s="6" t="str">
        <f>IFERROR(VLOOKUP('Customer Info'!A3367,'Customer Info'!A3367:C3866,3,FALSE),"Not Found")</f>
        <v>Not Found</v>
      </c>
      <c r="I3375" s="6" t="str">
        <f>IFERROR(VLOOKUP('Customer Info'!A3367,'Customer Info'!A3367:E3866,5,FALSE),"Not Found")</f>
        <v>Not Found</v>
      </c>
      <c r="J3375" s="2">
        <v>206</v>
      </c>
      <c r="K3375" s="2">
        <v>189</v>
      </c>
      <c r="L3375" s="2">
        <v>5</v>
      </c>
      <c r="M3375" s="7">
        <f t="shared" si="260"/>
        <v>945</v>
      </c>
      <c r="N3375" s="7">
        <f t="shared" si="261"/>
        <v>1030</v>
      </c>
      <c r="O3375" s="2">
        <v>80</v>
      </c>
      <c r="P3375" s="8">
        <f t="shared" si="262"/>
        <v>1110</v>
      </c>
      <c r="Q3375" s="8">
        <f t="shared" si="263"/>
        <v>841</v>
      </c>
      <c r="R3375" s="2" t="s">
        <v>50</v>
      </c>
      <c r="S3375" s="9">
        <f t="shared" si="264"/>
        <v>22.2</v>
      </c>
    </row>
    <row r="3376" spans="1:19" x14ac:dyDescent="0.3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str">
        <f>IFERROR(VLOOKUP('Customer Info'!A3368,'Customer Info'!A3368:C3867,2,FALSE),"Not Found")</f>
        <v>Not Found</v>
      </c>
      <c r="H3376" s="6" t="str">
        <f>IFERROR(VLOOKUP('Customer Info'!A3368,'Customer Info'!A3368:C3867,3,FALSE),"Not Found")</f>
        <v>Not Found</v>
      </c>
      <c r="I3376" s="6" t="str">
        <f>IFERROR(VLOOKUP('Customer Info'!A3368,'Customer Info'!A3368:E3867,5,FALSE),"Not Found")</f>
        <v>Not Found</v>
      </c>
      <c r="J3376" s="2">
        <v>1552</v>
      </c>
      <c r="K3376" s="2">
        <v>1466</v>
      </c>
      <c r="L3376" s="2">
        <v>5</v>
      </c>
      <c r="M3376" s="7">
        <f t="shared" si="260"/>
        <v>7330</v>
      </c>
      <c r="N3376" s="7">
        <f t="shared" si="261"/>
        <v>7760</v>
      </c>
      <c r="O3376" s="2">
        <v>57</v>
      </c>
      <c r="P3376" s="8">
        <f t="shared" si="262"/>
        <v>7817</v>
      </c>
      <c r="Q3376" s="8">
        <f t="shared" si="263"/>
        <v>6294</v>
      </c>
      <c r="R3376" s="2" t="s">
        <v>50</v>
      </c>
      <c r="S3376" s="9">
        <f t="shared" si="264"/>
        <v>390.85</v>
      </c>
    </row>
    <row r="3377" spans="1:19" x14ac:dyDescent="0.3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str">
        <f>IFERROR(VLOOKUP('Customer Info'!A3369,'Customer Info'!A3369:C3868,2,FALSE),"Not Found")</f>
        <v>Not Found</v>
      </c>
      <c r="H3377" s="6" t="str">
        <f>IFERROR(VLOOKUP('Customer Info'!A3369,'Customer Info'!A3369:C3868,3,FALSE),"Not Found")</f>
        <v>Not Found</v>
      </c>
      <c r="I3377" s="6" t="str">
        <f>IFERROR(VLOOKUP('Customer Info'!A3369,'Customer Info'!A3369:E3868,5,FALSE),"Not Found")</f>
        <v>Not Found</v>
      </c>
      <c r="J3377" s="2">
        <v>7691</v>
      </c>
      <c r="K3377" s="2">
        <v>7255</v>
      </c>
      <c r="L3377" s="2">
        <v>4</v>
      </c>
      <c r="M3377" s="7">
        <f t="shared" si="260"/>
        <v>29020</v>
      </c>
      <c r="N3377" s="7">
        <f t="shared" si="261"/>
        <v>30764</v>
      </c>
      <c r="O3377" s="2">
        <v>48</v>
      </c>
      <c r="P3377" s="8">
        <f t="shared" si="262"/>
        <v>30812</v>
      </c>
      <c r="Q3377" s="8">
        <f t="shared" si="263"/>
        <v>23509</v>
      </c>
      <c r="R3377" s="2" t="s">
        <v>26</v>
      </c>
      <c r="S3377" s="9">
        <f t="shared" si="264"/>
        <v>2156.84</v>
      </c>
    </row>
    <row r="3378" spans="1:19" x14ac:dyDescent="0.3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str">
        <f>IFERROR(VLOOKUP('Customer Info'!A3370,'Customer Info'!A3370:C3869,2,FALSE),"Not Found")</f>
        <v>Not Found</v>
      </c>
      <c r="H3378" s="6" t="str">
        <f>IFERROR(VLOOKUP('Customer Info'!A3370,'Customer Info'!A3370:C3869,3,FALSE),"Not Found")</f>
        <v>Not Found</v>
      </c>
      <c r="I3378" s="6" t="str">
        <f>IFERROR(VLOOKUP('Customer Info'!A3370,'Customer Info'!A3370:E3869,5,FALSE),"Not Found")</f>
        <v>Not Found</v>
      </c>
      <c r="J3378" s="2">
        <v>7508</v>
      </c>
      <c r="K3378" s="2">
        <v>6956</v>
      </c>
      <c r="L3378" s="2">
        <v>6</v>
      </c>
      <c r="M3378" s="7">
        <f t="shared" si="260"/>
        <v>41736</v>
      </c>
      <c r="N3378" s="7">
        <f t="shared" si="261"/>
        <v>45048</v>
      </c>
      <c r="O3378" s="2">
        <v>34</v>
      </c>
      <c r="P3378" s="8">
        <f t="shared" si="262"/>
        <v>45082</v>
      </c>
      <c r="Q3378" s="8">
        <f t="shared" si="263"/>
        <v>38092</v>
      </c>
      <c r="R3378" s="2" t="s">
        <v>50</v>
      </c>
      <c r="S3378" s="9">
        <f t="shared" si="264"/>
        <v>3155.7400000000002</v>
      </c>
    </row>
    <row r="3379" spans="1:19" x14ac:dyDescent="0.3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str">
        <f>IFERROR(VLOOKUP('Customer Info'!A3371,'Customer Info'!A3371:C3870,2,FALSE),"Not Found")</f>
        <v>Not Found</v>
      </c>
      <c r="H3379" s="6" t="str">
        <f>IFERROR(VLOOKUP('Customer Info'!A3371,'Customer Info'!A3371:C3870,3,FALSE),"Not Found")</f>
        <v>Not Found</v>
      </c>
      <c r="I3379" s="6" t="str">
        <f>IFERROR(VLOOKUP('Customer Info'!A3371,'Customer Info'!A3371:E3870,5,FALSE),"Not Found")</f>
        <v>Not Found</v>
      </c>
      <c r="J3379" s="2">
        <v>1071</v>
      </c>
      <c r="K3379" s="2">
        <v>1010</v>
      </c>
      <c r="L3379" s="2">
        <v>5</v>
      </c>
      <c r="M3379" s="7">
        <f t="shared" si="260"/>
        <v>5050</v>
      </c>
      <c r="N3379" s="7">
        <f t="shared" si="261"/>
        <v>5355</v>
      </c>
      <c r="O3379" s="2">
        <v>46</v>
      </c>
      <c r="P3379" s="8">
        <f t="shared" si="262"/>
        <v>5401</v>
      </c>
      <c r="Q3379" s="8">
        <f t="shared" si="263"/>
        <v>4345</v>
      </c>
      <c r="R3379" s="2" t="s">
        <v>50</v>
      </c>
      <c r="S3379" s="9">
        <f t="shared" si="264"/>
        <v>270.05</v>
      </c>
    </row>
    <row r="3380" spans="1:19" x14ac:dyDescent="0.3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str">
        <f>IFERROR(VLOOKUP('Customer Info'!A3372,'Customer Info'!A3372:C3871,2,FALSE),"Not Found")</f>
        <v>Not Found</v>
      </c>
      <c r="H3380" s="6" t="str">
        <f>IFERROR(VLOOKUP('Customer Info'!A3372,'Customer Info'!A3372:C3871,3,FALSE),"Not Found")</f>
        <v>Not Found</v>
      </c>
      <c r="I3380" s="6" t="str">
        <f>IFERROR(VLOOKUP('Customer Info'!A3372,'Customer Info'!A3372:E3871,5,FALSE),"Not Found")</f>
        <v>Not Found</v>
      </c>
      <c r="J3380" s="2">
        <v>1734</v>
      </c>
      <c r="K3380" s="2">
        <v>1702</v>
      </c>
      <c r="L3380" s="2">
        <v>1</v>
      </c>
      <c r="M3380" s="7">
        <f t="shared" si="260"/>
        <v>1702</v>
      </c>
      <c r="N3380" s="7">
        <f t="shared" si="261"/>
        <v>1734</v>
      </c>
      <c r="O3380" s="2">
        <v>70</v>
      </c>
      <c r="P3380" s="8">
        <f t="shared" si="262"/>
        <v>1804</v>
      </c>
      <c r="Q3380" s="8">
        <f t="shared" si="263"/>
        <v>32</v>
      </c>
      <c r="R3380" s="2" t="s">
        <v>50</v>
      </c>
      <c r="S3380" s="9">
        <f t="shared" si="264"/>
        <v>36.08</v>
      </c>
    </row>
    <row r="3381" spans="1:19" x14ac:dyDescent="0.3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str">
        <f>IFERROR(VLOOKUP('Customer Info'!A3373,'Customer Info'!A3373:C3872,2,FALSE),"Not Found")</f>
        <v>Not Found</v>
      </c>
      <c r="H3381" s="6" t="str">
        <f>IFERROR(VLOOKUP('Customer Info'!A3373,'Customer Info'!A3373:C3872,3,FALSE),"Not Found")</f>
        <v>Not Found</v>
      </c>
      <c r="I3381" s="6" t="str">
        <f>IFERROR(VLOOKUP('Customer Info'!A3373,'Customer Info'!A3373:E3872,5,FALSE),"Not Found")</f>
        <v>Not Found</v>
      </c>
      <c r="J3381" s="2">
        <v>63</v>
      </c>
      <c r="K3381" s="2">
        <v>58</v>
      </c>
      <c r="L3381" s="2">
        <v>9</v>
      </c>
      <c r="M3381" s="7">
        <f t="shared" si="260"/>
        <v>522</v>
      </c>
      <c r="N3381" s="7">
        <f t="shared" si="261"/>
        <v>567</v>
      </c>
      <c r="O3381" s="2">
        <v>10</v>
      </c>
      <c r="P3381" s="8">
        <f t="shared" si="262"/>
        <v>577</v>
      </c>
      <c r="Q3381" s="8">
        <f t="shared" si="263"/>
        <v>509</v>
      </c>
      <c r="R3381" s="2" t="s">
        <v>28</v>
      </c>
      <c r="S3381" s="9">
        <f t="shared" si="264"/>
        <v>11.540000000000001</v>
      </c>
    </row>
    <row r="3382" spans="1:19" x14ac:dyDescent="0.3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str">
        <f>IFERROR(VLOOKUP('Customer Info'!A3374,'Customer Info'!A3374:C3873,2,FALSE),"Not Found")</f>
        <v>Not Found</v>
      </c>
      <c r="H3382" s="6" t="str">
        <f>IFERROR(VLOOKUP('Customer Info'!A3374,'Customer Info'!A3374:C3873,3,FALSE),"Not Found")</f>
        <v>Not Found</v>
      </c>
      <c r="I3382" s="6" t="str">
        <f>IFERROR(VLOOKUP('Customer Info'!A3374,'Customer Info'!A3374:E3873,5,FALSE),"Not Found")</f>
        <v>Not Found</v>
      </c>
      <c r="J3382" s="2">
        <v>998</v>
      </c>
      <c r="K3382" s="2">
        <v>931</v>
      </c>
      <c r="L3382" s="2">
        <v>1</v>
      </c>
      <c r="M3382" s="7">
        <f t="shared" si="260"/>
        <v>931</v>
      </c>
      <c r="N3382" s="7">
        <f t="shared" si="261"/>
        <v>998</v>
      </c>
      <c r="O3382" s="2">
        <v>50</v>
      </c>
      <c r="P3382" s="8">
        <f t="shared" si="262"/>
        <v>1048</v>
      </c>
      <c r="Q3382" s="8">
        <f t="shared" si="263"/>
        <v>67</v>
      </c>
      <c r="R3382" s="2" t="s">
        <v>28</v>
      </c>
      <c r="S3382" s="9">
        <f t="shared" si="264"/>
        <v>20.96</v>
      </c>
    </row>
    <row r="3383" spans="1:19" x14ac:dyDescent="0.3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str">
        <f>IFERROR(VLOOKUP('Customer Info'!A3375,'Customer Info'!A3375:C3874,2,FALSE),"Not Found")</f>
        <v>Not Found</v>
      </c>
      <c r="H3383" s="6" t="str">
        <f>IFERROR(VLOOKUP('Customer Info'!A3375,'Customer Info'!A3375:C3874,3,FALSE),"Not Found")</f>
        <v>Not Found</v>
      </c>
      <c r="I3383" s="6" t="str">
        <f>IFERROR(VLOOKUP('Customer Info'!A3375,'Customer Info'!A3375:E3874,5,FALSE),"Not Found")</f>
        <v>Not Found</v>
      </c>
      <c r="J3383" s="2">
        <v>6611</v>
      </c>
      <c r="K3383" s="2">
        <v>5943</v>
      </c>
      <c r="L3383" s="2">
        <v>7</v>
      </c>
      <c r="M3383" s="7">
        <f t="shared" si="260"/>
        <v>41601</v>
      </c>
      <c r="N3383" s="7">
        <f t="shared" si="261"/>
        <v>46277</v>
      </c>
      <c r="O3383" s="2">
        <v>37</v>
      </c>
      <c r="P3383" s="8">
        <f t="shared" si="262"/>
        <v>46314</v>
      </c>
      <c r="Q3383" s="8">
        <f t="shared" si="263"/>
        <v>40334</v>
      </c>
      <c r="R3383" s="2" t="s">
        <v>28</v>
      </c>
      <c r="S3383" s="9">
        <f t="shared" si="264"/>
        <v>3241.9800000000005</v>
      </c>
    </row>
    <row r="3384" spans="1:19" x14ac:dyDescent="0.3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str">
        <f>IFERROR(VLOOKUP('Customer Info'!A3376,'Customer Info'!A3376:C3875,2,FALSE),"Not Found")</f>
        <v>Not Found</v>
      </c>
      <c r="H3384" s="6" t="str">
        <f>IFERROR(VLOOKUP('Customer Info'!A3376,'Customer Info'!A3376:C3875,3,FALSE),"Not Found")</f>
        <v>Not Found</v>
      </c>
      <c r="I3384" s="6" t="str">
        <f>IFERROR(VLOOKUP('Customer Info'!A3376,'Customer Info'!A3376:E3875,5,FALSE),"Not Found")</f>
        <v>Not Found</v>
      </c>
      <c r="J3384" s="2">
        <v>167</v>
      </c>
      <c r="K3384" s="2">
        <v>155</v>
      </c>
      <c r="L3384" s="2">
        <v>3</v>
      </c>
      <c r="M3384" s="7">
        <f t="shared" si="260"/>
        <v>465</v>
      </c>
      <c r="N3384" s="7">
        <f t="shared" si="261"/>
        <v>501</v>
      </c>
      <c r="O3384" s="2">
        <v>30</v>
      </c>
      <c r="P3384" s="8">
        <f t="shared" si="262"/>
        <v>531</v>
      </c>
      <c r="Q3384" s="8">
        <f t="shared" si="263"/>
        <v>346</v>
      </c>
      <c r="R3384" s="2" t="s">
        <v>28</v>
      </c>
      <c r="S3384" s="9">
        <f t="shared" si="264"/>
        <v>10.620000000000001</v>
      </c>
    </row>
    <row r="3385" spans="1:19" x14ac:dyDescent="0.3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str">
        <f>IFERROR(VLOOKUP('Customer Info'!A3377,'Customer Info'!A3377:C3876,2,FALSE),"Not Found")</f>
        <v>Not Found</v>
      </c>
      <c r="H3385" s="6" t="str">
        <f>IFERROR(VLOOKUP('Customer Info'!A3377,'Customer Info'!A3377:C3876,3,FALSE),"Not Found")</f>
        <v>Not Found</v>
      </c>
      <c r="I3385" s="6" t="str">
        <f>IFERROR(VLOOKUP('Customer Info'!A3377,'Customer Info'!A3377:E3876,5,FALSE),"Not Found")</f>
        <v>Not Found</v>
      </c>
      <c r="J3385" s="2">
        <v>1103</v>
      </c>
      <c r="K3385" s="2">
        <v>1030</v>
      </c>
      <c r="L3385" s="2">
        <v>3</v>
      </c>
      <c r="M3385" s="7">
        <f t="shared" si="260"/>
        <v>3090</v>
      </c>
      <c r="N3385" s="7">
        <f t="shared" si="261"/>
        <v>3309</v>
      </c>
      <c r="O3385" s="2">
        <v>44</v>
      </c>
      <c r="P3385" s="8">
        <f t="shared" si="262"/>
        <v>3353</v>
      </c>
      <c r="Q3385" s="8">
        <f t="shared" si="263"/>
        <v>2279</v>
      </c>
      <c r="R3385" s="2" t="s">
        <v>50</v>
      </c>
      <c r="S3385" s="9">
        <f t="shared" si="264"/>
        <v>67.06</v>
      </c>
    </row>
    <row r="3386" spans="1:19" x14ac:dyDescent="0.3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str">
        <f>IFERROR(VLOOKUP('Customer Info'!A3378,'Customer Info'!A3378:C3877,2,FALSE),"Not Found")</f>
        <v>Not Found</v>
      </c>
      <c r="H3386" s="6" t="str">
        <f>IFERROR(VLOOKUP('Customer Info'!A3378,'Customer Info'!A3378:C3877,3,FALSE),"Not Found")</f>
        <v>Not Found</v>
      </c>
      <c r="I3386" s="6" t="str">
        <f>IFERROR(VLOOKUP('Customer Info'!A3378,'Customer Info'!A3378:E3877,5,FALSE),"Not Found")</f>
        <v>Not Found</v>
      </c>
      <c r="J3386" s="2">
        <v>1447</v>
      </c>
      <c r="K3386" s="2">
        <v>1326</v>
      </c>
      <c r="L3386" s="2">
        <v>4</v>
      </c>
      <c r="M3386" s="7">
        <f t="shared" si="260"/>
        <v>5304</v>
      </c>
      <c r="N3386" s="7">
        <f t="shared" si="261"/>
        <v>5788</v>
      </c>
      <c r="O3386" s="2">
        <v>39</v>
      </c>
      <c r="P3386" s="8">
        <f t="shared" si="262"/>
        <v>5827</v>
      </c>
      <c r="Q3386" s="8">
        <f t="shared" si="263"/>
        <v>4462</v>
      </c>
      <c r="R3386" s="2" t="s">
        <v>28</v>
      </c>
      <c r="S3386" s="9">
        <f t="shared" si="264"/>
        <v>291.35000000000002</v>
      </c>
    </row>
    <row r="3387" spans="1:19" x14ac:dyDescent="0.3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str">
        <f>IFERROR(VLOOKUP('Customer Info'!A3379,'Customer Info'!A3379:C3878,2,FALSE),"Not Found")</f>
        <v>Not Found</v>
      </c>
      <c r="H3387" s="6" t="str">
        <f>IFERROR(VLOOKUP('Customer Info'!A3379,'Customer Info'!A3379:C3878,3,FALSE),"Not Found")</f>
        <v>Not Found</v>
      </c>
      <c r="I3387" s="6" t="str">
        <f>IFERROR(VLOOKUP('Customer Info'!A3379,'Customer Info'!A3379:E3878,5,FALSE),"Not Found")</f>
        <v>Not Found</v>
      </c>
      <c r="J3387" s="2">
        <v>149</v>
      </c>
      <c r="K3387" s="2">
        <v>131</v>
      </c>
      <c r="L3387" s="2">
        <v>4</v>
      </c>
      <c r="M3387" s="7">
        <f t="shared" si="260"/>
        <v>524</v>
      </c>
      <c r="N3387" s="7">
        <f t="shared" si="261"/>
        <v>596</v>
      </c>
      <c r="O3387" s="2">
        <v>30</v>
      </c>
      <c r="P3387" s="8">
        <f t="shared" si="262"/>
        <v>626</v>
      </c>
      <c r="Q3387" s="8">
        <f t="shared" si="263"/>
        <v>465</v>
      </c>
      <c r="R3387" s="2" t="s">
        <v>28</v>
      </c>
      <c r="S3387" s="9">
        <f t="shared" si="264"/>
        <v>12.52</v>
      </c>
    </row>
    <row r="3388" spans="1:19" x14ac:dyDescent="0.3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str">
        <f>IFERROR(VLOOKUP('Customer Info'!A3380,'Customer Info'!A3380:C3879,2,FALSE),"Not Found")</f>
        <v>Not Found</v>
      </c>
      <c r="H3388" s="6" t="str">
        <f>IFERROR(VLOOKUP('Customer Info'!A3380,'Customer Info'!A3380:C3879,3,FALSE),"Not Found")</f>
        <v>Not Found</v>
      </c>
      <c r="I3388" s="6" t="str">
        <f>IFERROR(VLOOKUP('Customer Info'!A3380,'Customer Info'!A3380:E3879,5,FALSE),"Not Found")</f>
        <v>Not Found</v>
      </c>
      <c r="J3388" s="2">
        <v>400</v>
      </c>
      <c r="K3388" s="2">
        <v>360</v>
      </c>
      <c r="L3388" s="2">
        <v>6</v>
      </c>
      <c r="M3388" s="7">
        <f t="shared" si="260"/>
        <v>2160</v>
      </c>
      <c r="N3388" s="7">
        <f t="shared" si="261"/>
        <v>2400</v>
      </c>
      <c r="O3388" s="2">
        <v>70</v>
      </c>
      <c r="P3388" s="8">
        <f t="shared" si="262"/>
        <v>2470</v>
      </c>
      <c r="Q3388" s="8">
        <f t="shared" si="263"/>
        <v>2040</v>
      </c>
      <c r="R3388" s="2" t="s">
        <v>28</v>
      </c>
      <c r="S3388" s="9">
        <f t="shared" si="264"/>
        <v>49.4</v>
      </c>
    </row>
    <row r="3389" spans="1:19" x14ac:dyDescent="0.3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str">
        <f>IFERROR(VLOOKUP('Customer Info'!A3381,'Customer Info'!A3381:C3880,2,FALSE),"Not Found")</f>
        <v>Not Found</v>
      </c>
      <c r="H3389" s="6" t="str">
        <f>IFERROR(VLOOKUP('Customer Info'!A3381,'Customer Info'!A3381:C3880,3,FALSE),"Not Found")</f>
        <v>Not Found</v>
      </c>
      <c r="I3389" s="6" t="str">
        <f>IFERROR(VLOOKUP('Customer Info'!A3381,'Customer Info'!A3381:E3880,5,FALSE),"Not Found")</f>
        <v>Not Found</v>
      </c>
      <c r="J3389" s="2">
        <v>2790</v>
      </c>
      <c r="K3389" s="2">
        <v>2557</v>
      </c>
      <c r="L3389" s="2">
        <v>2</v>
      </c>
      <c r="M3389" s="7">
        <f t="shared" si="260"/>
        <v>5114</v>
      </c>
      <c r="N3389" s="7">
        <f t="shared" si="261"/>
        <v>5580</v>
      </c>
      <c r="O3389" s="2">
        <v>25</v>
      </c>
      <c r="P3389" s="8">
        <f t="shared" si="262"/>
        <v>5605</v>
      </c>
      <c r="Q3389" s="8">
        <f t="shared" si="263"/>
        <v>3023</v>
      </c>
      <c r="R3389" s="2" t="s">
        <v>50</v>
      </c>
      <c r="S3389" s="9">
        <f t="shared" si="264"/>
        <v>280.25</v>
      </c>
    </row>
    <row r="3390" spans="1:19" x14ac:dyDescent="0.3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str">
        <f>IFERROR(VLOOKUP('Customer Info'!A3382,'Customer Info'!A3382:C3881,2,FALSE),"Not Found")</f>
        <v>Not Found</v>
      </c>
      <c r="H3390" s="6" t="str">
        <f>IFERROR(VLOOKUP('Customer Info'!A3382,'Customer Info'!A3382:C3881,3,FALSE),"Not Found")</f>
        <v>Not Found</v>
      </c>
      <c r="I3390" s="6" t="str">
        <f>IFERROR(VLOOKUP('Customer Info'!A3382,'Customer Info'!A3382:E3881,5,FALSE),"Not Found")</f>
        <v>Not Found</v>
      </c>
      <c r="J3390" s="2">
        <v>2787</v>
      </c>
      <c r="K3390" s="2">
        <v>2681</v>
      </c>
      <c r="L3390" s="2">
        <v>1</v>
      </c>
      <c r="M3390" s="7">
        <f t="shared" si="260"/>
        <v>2681</v>
      </c>
      <c r="N3390" s="7">
        <f t="shared" si="261"/>
        <v>2787</v>
      </c>
      <c r="O3390" s="2">
        <v>97</v>
      </c>
      <c r="P3390" s="8">
        <f t="shared" si="262"/>
        <v>2884</v>
      </c>
      <c r="Q3390" s="8">
        <f t="shared" si="263"/>
        <v>106</v>
      </c>
      <c r="R3390" s="2" t="s">
        <v>56</v>
      </c>
      <c r="S3390" s="9">
        <f t="shared" si="264"/>
        <v>57.68</v>
      </c>
    </row>
    <row r="3391" spans="1:19" x14ac:dyDescent="0.3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str">
        <f>IFERROR(VLOOKUP('Customer Info'!A3383,'Customer Info'!A3383:C3882,2,FALSE),"Not Found")</f>
        <v>Not Found</v>
      </c>
      <c r="H3391" s="6" t="str">
        <f>IFERROR(VLOOKUP('Customer Info'!A3383,'Customer Info'!A3383:C3882,3,FALSE),"Not Found")</f>
        <v>Not Found</v>
      </c>
      <c r="I3391" s="6" t="str">
        <f>IFERROR(VLOOKUP('Customer Info'!A3383,'Customer Info'!A3383:E3882,5,FALSE),"Not Found")</f>
        <v>Not Found</v>
      </c>
      <c r="J3391" s="2">
        <v>6701</v>
      </c>
      <c r="K3391" s="2">
        <v>6384</v>
      </c>
      <c r="L3391" s="2">
        <v>6</v>
      </c>
      <c r="M3391" s="7">
        <f t="shared" si="260"/>
        <v>38304</v>
      </c>
      <c r="N3391" s="7">
        <f t="shared" si="261"/>
        <v>40206</v>
      </c>
      <c r="O3391" s="2">
        <v>29</v>
      </c>
      <c r="P3391" s="8">
        <f t="shared" si="262"/>
        <v>40235</v>
      </c>
      <c r="Q3391" s="8">
        <f t="shared" si="263"/>
        <v>33822</v>
      </c>
      <c r="R3391" s="2" t="s">
        <v>28</v>
      </c>
      <c r="S3391" s="9">
        <f t="shared" si="264"/>
        <v>2816.4500000000003</v>
      </c>
    </row>
    <row r="3392" spans="1:19" x14ac:dyDescent="0.3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str">
        <f>IFERROR(VLOOKUP('Customer Info'!A3384,'Customer Info'!A3384:C3883,2,FALSE),"Not Found")</f>
        <v>Not Found</v>
      </c>
      <c r="H3392" s="6" t="str">
        <f>IFERROR(VLOOKUP('Customer Info'!A3384,'Customer Info'!A3384:C3883,3,FALSE),"Not Found")</f>
        <v>Not Found</v>
      </c>
      <c r="I3392" s="6" t="str">
        <f>IFERROR(VLOOKUP('Customer Info'!A3384,'Customer Info'!A3384:E3883,5,FALSE),"Not Found")</f>
        <v>Not Found</v>
      </c>
      <c r="J3392" s="2">
        <v>166</v>
      </c>
      <c r="K3392" s="2">
        <v>157</v>
      </c>
      <c r="L3392" s="2">
        <v>6</v>
      </c>
      <c r="M3392" s="7">
        <f t="shared" si="260"/>
        <v>942</v>
      </c>
      <c r="N3392" s="7">
        <f t="shared" si="261"/>
        <v>996</v>
      </c>
      <c r="O3392" s="2">
        <v>30</v>
      </c>
      <c r="P3392" s="8">
        <f t="shared" si="262"/>
        <v>1026</v>
      </c>
      <c r="Q3392" s="8">
        <f t="shared" si="263"/>
        <v>839</v>
      </c>
      <c r="R3392" s="2" t="s">
        <v>50</v>
      </c>
      <c r="S3392" s="9">
        <f t="shared" si="264"/>
        <v>20.52</v>
      </c>
    </row>
    <row r="3393" spans="1:19" x14ac:dyDescent="0.3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str">
        <f>IFERROR(VLOOKUP('Customer Info'!A3385,'Customer Info'!A3385:C3884,2,FALSE),"Not Found")</f>
        <v>Not Found</v>
      </c>
      <c r="H3393" s="6" t="str">
        <f>IFERROR(VLOOKUP('Customer Info'!A3385,'Customer Info'!A3385:C3884,3,FALSE),"Not Found")</f>
        <v>Not Found</v>
      </c>
      <c r="I3393" s="6" t="str">
        <f>IFERROR(VLOOKUP('Customer Info'!A3385,'Customer Info'!A3385:E3884,5,FALSE),"Not Found")</f>
        <v>Not Found</v>
      </c>
      <c r="J3393" s="2">
        <v>1958</v>
      </c>
      <c r="K3393" s="2">
        <v>1846</v>
      </c>
      <c r="L3393" s="2">
        <v>5</v>
      </c>
      <c r="M3393" s="7">
        <f t="shared" si="260"/>
        <v>9230</v>
      </c>
      <c r="N3393" s="7">
        <f t="shared" si="261"/>
        <v>9790</v>
      </c>
      <c r="O3393" s="2">
        <v>58</v>
      </c>
      <c r="P3393" s="8">
        <f t="shared" si="262"/>
        <v>9848</v>
      </c>
      <c r="Q3393" s="8">
        <f t="shared" si="263"/>
        <v>7944</v>
      </c>
      <c r="R3393" s="2" t="s">
        <v>28</v>
      </c>
      <c r="S3393" s="9">
        <f t="shared" si="264"/>
        <v>492.40000000000003</v>
      </c>
    </row>
    <row r="3394" spans="1:19" x14ac:dyDescent="0.3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str">
        <f>IFERROR(VLOOKUP('Customer Info'!A3386,'Customer Info'!A3386:C3885,2,FALSE),"Not Found")</f>
        <v>Not Found</v>
      </c>
      <c r="H3394" s="6" t="str">
        <f>IFERROR(VLOOKUP('Customer Info'!A3386,'Customer Info'!A3386:C3885,3,FALSE),"Not Found")</f>
        <v>Not Found</v>
      </c>
      <c r="I3394" s="6" t="str">
        <f>IFERROR(VLOOKUP('Customer Info'!A3386,'Customer Info'!A3386:E3885,5,FALSE),"Not Found")</f>
        <v>Not Found</v>
      </c>
      <c r="J3394" s="2">
        <v>900</v>
      </c>
      <c r="K3394" s="2">
        <v>834</v>
      </c>
      <c r="L3394" s="2">
        <v>3</v>
      </c>
      <c r="M3394" s="7">
        <f t="shared" si="260"/>
        <v>2502</v>
      </c>
      <c r="N3394" s="7">
        <f t="shared" si="261"/>
        <v>2700</v>
      </c>
      <c r="O3394" s="2">
        <v>52</v>
      </c>
      <c r="P3394" s="8">
        <f t="shared" si="262"/>
        <v>2752</v>
      </c>
      <c r="Q3394" s="8">
        <f t="shared" si="263"/>
        <v>1866</v>
      </c>
      <c r="R3394" s="2" t="s">
        <v>28</v>
      </c>
      <c r="S3394" s="9">
        <f t="shared" si="264"/>
        <v>55.04</v>
      </c>
    </row>
    <row r="3395" spans="1:19" x14ac:dyDescent="0.3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str">
        <f>IFERROR(VLOOKUP('Customer Info'!A3387,'Customer Info'!A3387:C3886,2,FALSE),"Not Found")</f>
        <v>Not Found</v>
      </c>
      <c r="H3395" s="6" t="str">
        <f>IFERROR(VLOOKUP('Customer Info'!A3387,'Customer Info'!A3387:C3886,3,FALSE),"Not Found")</f>
        <v>Not Found</v>
      </c>
      <c r="I3395" s="6" t="str">
        <f>IFERROR(VLOOKUP('Customer Info'!A3387,'Customer Info'!A3387:E3886,5,FALSE),"Not Found")</f>
        <v>Not Found</v>
      </c>
      <c r="J3395" s="2">
        <v>992</v>
      </c>
      <c r="K3395" s="2">
        <v>928</v>
      </c>
      <c r="L3395" s="2">
        <v>6</v>
      </c>
      <c r="M3395" s="7">
        <f t="shared" si="260"/>
        <v>5568</v>
      </c>
      <c r="N3395" s="7">
        <f t="shared" si="261"/>
        <v>5952</v>
      </c>
      <c r="O3395" s="2">
        <v>74</v>
      </c>
      <c r="P3395" s="8">
        <f t="shared" si="262"/>
        <v>6026</v>
      </c>
      <c r="Q3395" s="8">
        <f t="shared" si="263"/>
        <v>5024</v>
      </c>
      <c r="R3395" s="2" t="s">
        <v>50</v>
      </c>
      <c r="S3395" s="9">
        <f t="shared" si="264"/>
        <v>301.3</v>
      </c>
    </row>
    <row r="3396" spans="1:19" x14ac:dyDescent="0.3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str">
        <f>IFERROR(VLOOKUP('Customer Info'!A3388,'Customer Info'!A3388:C3887,2,FALSE),"Not Found")</f>
        <v>Not Found</v>
      </c>
      <c r="H3396" s="6" t="str">
        <f>IFERROR(VLOOKUP('Customer Info'!A3388,'Customer Info'!A3388:C3887,3,FALSE),"Not Found")</f>
        <v>Not Found</v>
      </c>
      <c r="I3396" s="6" t="str">
        <f>IFERROR(VLOOKUP('Customer Info'!A3388,'Customer Info'!A3388:E3887,5,FALSE),"Not Found")</f>
        <v>Not Found</v>
      </c>
      <c r="J3396" s="2">
        <v>645</v>
      </c>
      <c r="K3396" s="2">
        <v>565</v>
      </c>
      <c r="L3396" s="2">
        <v>5</v>
      </c>
      <c r="M3396" s="7">
        <f t="shared" si="260"/>
        <v>2825</v>
      </c>
      <c r="N3396" s="7">
        <f t="shared" si="261"/>
        <v>3225</v>
      </c>
      <c r="O3396" s="2">
        <v>74</v>
      </c>
      <c r="P3396" s="8">
        <f t="shared" si="262"/>
        <v>3299</v>
      </c>
      <c r="Q3396" s="8">
        <f t="shared" si="263"/>
        <v>2660</v>
      </c>
      <c r="R3396" s="2" t="s">
        <v>28</v>
      </c>
      <c r="S3396" s="9">
        <f t="shared" si="264"/>
        <v>65.98</v>
      </c>
    </row>
    <row r="3397" spans="1:19" x14ac:dyDescent="0.3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str">
        <f>IFERROR(VLOOKUP('Customer Info'!A3389,'Customer Info'!A3389:C3888,2,FALSE),"Not Found")</f>
        <v>Not Found</v>
      </c>
      <c r="H3397" s="6" t="str">
        <f>IFERROR(VLOOKUP('Customer Info'!A3389,'Customer Info'!A3389:C3888,3,FALSE),"Not Found")</f>
        <v>Not Found</v>
      </c>
      <c r="I3397" s="6" t="str">
        <f>IFERROR(VLOOKUP('Customer Info'!A3389,'Customer Info'!A3389:E3888,5,FALSE),"Not Found")</f>
        <v>Not Found</v>
      </c>
      <c r="J3397" s="2">
        <v>2958</v>
      </c>
      <c r="K3397" s="2">
        <v>2743</v>
      </c>
      <c r="L3397" s="2">
        <v>1</v>
      </c>
      <c r="M3397" s="7">
        <f t="shared" si="260"/>
        <v>2743</v>
      </c>
      <c r="N3397" s="7">
        <f t="shared" si="261"/>
        <v>2958</v>
      </c>
      <c r="O3397" s="2">
        <v>72</v>
      </c>
      <c r="P3397" s="8">
        <f t="shared" si="262"/>
        <v>3030</v>
      </c>
      <c r="Q3397" s="8">
        <f t="shared" si="263"/>
        <v>215</v>
      </c>
      <c r="R3397" s="2" t="s">
        <v>50</v>
      </c>
      <c r="S3397" s="9">
        <f t="shared" si="264"/>
        <v>60.6</v>
      </c>
    </row>
    <row r="3398" spans="1:19" x14ac:dyDescent="0.3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str">
        <f>IFERROR(VLOOKUP('Customer Info'!A3390,'Customer Info'!A3390:C3889,2,FALSE),"Not Found")</f>
        <v>Not Found</v>
      </c>
      <c r="H3398" s="6" t="str">
        <f>IFERROR(VLOOKUP('Customer Info'!A3390,'Customer Info'!A3390:C3889,3,FALSE),"Not Found")</f>
        <v>Not Found</v>
      </c>
      <c r="I3398" s="6" t="str">
        <f>IFERROR(VLOOKUP('Customer Info'!A3390,'Customer Info'!A3390:E3889,5,FALSE),"Not Found")</f>
        <v>Not Found</v>
      </c>
      <c r="J3398" s="2">
        <v>511</v>
      </c>
      <c r="K3398" s="2">
        <v>468</v>
      </c>
      <c r="L3398" s="2">
        <v>11</v>
      </c>
      <c r="M3398" s="7">
        <f t="shared" si="260"/>
        <v>5148</v>
      </c>
      <c r="N3398" s="7">
        <f t="shared" si="261"/>
        <v>5621</v>
      </c>
      <c r="O3398" s="2">
        <v>89</v>
      </c>
      <c r="P3398" s="8">
        <f t="shared" si="262"/>
        <v>5710</v>
      </c>
      <c r="Q3398" s="8">
        <f t="shared" si="263"/>
        <v>5153</v>
      </c>
      <c r="R3398" s="2" t="s">
        <v>28</v>
      </c>
      <c r="S3398" s="9">
        <f t="shared" si="264"/>
        <v>285.5</v>
      </c>
    </row>
    <row r="3399" spans="1:19" x14ac:dyDescent="0.3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str">
        <f>IFERROR(VLOOKUP('Customer Info'!A3391,'Customer Info'!A3391:C3890,2,FALSE),"Not Found")</f>
        <v>Not Found</v>
      </c>
      <c r="H3399" s="6" t="str">
        <f>IFERROR(VLOOKUP('Customer Info'!A3391,'Customer Info'!A3391:C3890,3,FALSE),"Not Found")</f>
        <v>Not Found</v>
      </c>
      <c r="I3399" s="6" t="str">
        <f>IFERROR(VLOOKUP('Customer Info'!A3391,'Customer Info'!A3391:E3890,5,FALSE),"Not Found")</f>
        <v>Not Found</v>
      </c>
      <c r="J3399" s="2">
        <v>8160</v>
      </c>
      <c r="K3399" s="2">
        <v>7475</v>
      </c>
      <c r="L3399" s="2">
        <v>12</v>
      </c>
      <c r="M3399" s="7">
        <f t="shared" si="260"/>
        <v>89700</v>
      </c>
      <c r="N3399" s="7">
        <f t="shared" si="261"/>
        <v>97920</v>
      </c>
      <c r="O3399" s="2">
        <v>95</v>
      </c>
      <c r="P3399" s="8">
        <f t="shared" si="262"/>
        <v>98015</v>
      </c>
      <c r="Q3399" s="8">
        <f t="shared" si="263"/>
        <v>90445</v>
      </c>
      <c r="R3399" s="2" t="s">
        <v>56</v>
      </c>
      <c r="S3399" s="9">
        <f t="shared" si="264"/>
        <v>8821.35</v>
      </c>
    </row>
    <row r="3400" spans="1:19" x14ac:dyDescent="0.3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str">
        <f>IFERROR(VLOOKUP('Customer Info'!A3392,'Customer Info'!A3392:C3891,2,FALSE),"Not Found")</f>
        <v>Not Found</v>
      </c>
      <c r="H3400" s="6" t="str">
        <f>IFERROR(VLOOKUP('Customer Info'!A3392,'Customer Info'!A3392:C3891,3,FALSE),"Not Found")</f>
        <v>Not Found</v>
      </c>
      <c r="I3400" s="6" t="str">
        <f>IFERROR(VLOOKUP('Customer Info'!A3392,'Customer Info'!A3392:E3891,5,FALSE),"Not Found")</f>
        <v>Not Found</v>
      </c>
      <c r="J3400" s="2">
        <v>63</v>
      </c>
      <c r="K3400" s="2">
        <v>58</v>
      </c>
      <c r="L3400" s="2">
        <v>5</v>
      </c>
      <c r="M3400" s="7">
        <f t="shared" si="260"/>
        <v>290</v>
      </c>
      <c r="N3400" s="7">
        <f t="shared" si="261"/>
        <v>315</v>
      </c>
      <c r="O3400" s="2">
        <v>10</v>
      </c>
      <c r="P3400" s="8">
        <f t="shared" si="262"/>
        <v>325</v>
      </c>
      <c r="Q3400" s="8">
        <f t="shared" si="263"/>
        <v>257</v>
      </c>
      <c r="R3400" s="2" t="s">
        <v>50</v>
      </c>
      <c r="S3400" s="9">
        <f t="shared" si="264"/>
        <v>6.5</v>
      </c>
    </row>
    <row r="3401" spans="1:19" x14ac:dyDescent="0.3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str">
        <f>IFERROR(VLOOKUP('Customer Info'!A3393,'Customer Info'!A3393:C3892,2,FALSE),"Not Found")</f>
        <v>Not Found</v>
      </c>
      <c r="H3401" s="6" t="str">
        <f>IFERROR(VLOOKUP('Customer Info'!A3393,'Customer Info'!A3393:C3892,3,FALSE),"Not Found")</f>
        <v>Not Found</v>
      </c>
      <c r="I3401" s="6" t="str">
        <f>IFERROR(VLOOKUP('Customer Info'!A3393,'Customer Info'!A3393:E3892,5,FALSE),"Not Found")</f>
        <v>Not Found</v>
      </c>
      <c r="J3401" s="2">
        <v>691</v>
      </c>
      <c r="K3401" s="2">
        <v>646</v>
      </c>
      <c r="L3401" s="2">
        <v>9</v>
      </c>
      <c r="M3401" s="7">
        <f t="shared" si="260"/>
        <v>5814</v>
      </c>
      <c r="N3401" s="7">
        <f t="shared" si="261"/>
        <v>6219</v>
      </c>
      <c r="O3401" s="2">
        <v>91</v>
      </c>
      <c r="P3401" s="8">
        <f t="shared" si="262"/>
        <v>6310</v>
      </c>
      <c r="Q3401" s="8">
        <f t="shared" si="263"/>
        <v>5573</v>
      </c>
      <c r="R3401" s="2" t="s">
        <v>50</v>
      </c>
      <c r="S3401" s="9">
        <f t="shared" si="264"/>
        <v>315.5</v>
      </c>
    </row>
    <row r="3402" spans="1:19" x14ac:dyDescent="0.3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str">
        <f>IFERROR(VLOOKUP('Customer Info'!A3394,'Customer Info'!A3394:C3893,2,FALSE),"Not Found")</f>
        <v>Not Found</v>
      </c>
      <c r="H3402" s="6" t="str">
        <f>IFERROR(VLOOKUP('Customer Info'!A3394,'Customer Info'!A3394:C3893,3,FALSE),"Not Found")</f>
        <v>Not Found</v>
      </c>
      <c r="I3402" s="6" t="str">
        <f>IFERROR(VLOOKUP('Customer Info'!A3394,'Customer Info'!A3394:E3893,5,FALSE),"Not Found")</f>
        <v>Not Found</v>
      </c>
      <c r="J3402" s="2">
        <v>2965</v>
      </c>
      <c r="K3402" s="2">
        <v>2694</v>
      </c>
      <c r="L3402" s="2">
        <v>2</v>
      </c>
      <c r="M3402" s="7">
        <f t="shared" si="260"/>
        <v>5388</v>
      </c>
      <c r="N3402" s="7">
        <f t="shared" si="261"/>
        <v>5930</v>
      </c>
      <c r="O3402" s="2">
        <v>53</v>
      </c>
      <c r="P3402" s="8">
        <f t="shared" si="262"/>
        <v>5983</v>
      </c>
      <c r="Q3402" s="8">
        <f t="shared" si="263"/>
        <v>3236</v>
      </c>
      <c r="R3402" s="2" t="s">
        <v>26</v>
      </c>
      <c r="S3402" s="9">
        <f t="shared" si="264"/>
        <v>299.15000000000003</v>
      </c>
    </row>
    <row r="3403" spans="1:19" x14ac:dyDescent="0.3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str">
        <f>IFERROR(VLOOKUP('Customer Info'!A3395,'Customer Info'!A3395:C3894,2,FALSE),"Not Found")</f>
        <v>Not Found</v>
      </c>
      <c r="H3403" s="6" t="str">
        <f>IFERROR(VLOOKUP('Customer Info'!A3395,'Customer Info'!A3395:C3894,3,FALSE),"Not Found")</f>
        <v>Not Found</v>
      </c>
      <c r="I3403" s="6" t="str">
        <f>IFERROR(VLOOKUP('Customer Info'!A3395,'Customer Info'!A3395:E3894,5,FALSE),"Not Found")</f>
        <v>Not Found</v>
      </c>
      <c r="J3403" s="2">
        <v>2478</v>
      </c>
      <c r="K3403" s="2">
        <v>2406</v>
      </c>
      <c r="L3403" s="2">
        <v>2</v>
      </c>
      <c r="M3403" s="7">
        <f t="shared" ref="M3403:M3466" si="265">$K3403*$L3403</f>
        <v>4812</v>
      </c>
      <c r="N3403" s="7">
        <f t="shared" ref="N3403:N3466" si="266">$J3403*$L3403</f>
        <v>4956</v>
      </c>
      <c r="O3403" s="2">
        <v>77</v>
      </c>
      <c r="P3403" s="8">
        <f t="shared" ref="P3403:P3466" si="267">$N3403+$O3403</f>
        <v>5033</v>
      </c>
      <c r="Q3403" s="8">
        <f t="shared" ref="Q3403:Q3466" si="268">$N3403-$K3403</f>
        <v>2550</v>
      </c>
      <c r="R3403" s="2" t="s">
        <v>50</v>
      </c>
      <c r="S3403" s="9">
        <f t="shared" ref="S3403:S3466" si="269" xml:space="preserve"> P3403 * VLOOKUP(P3403, $T$2:$U$6, 2, TRUE)</f>
        <v>251.65</v>
      </c>
    </row>
    <row r="3404" spans="1:19" x14ac:dyDescent="0.3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str">
        <f>IFERROR(VLOOKUP('Customer Info'!A3396,'Customer Info'!A3396:C3895,2,FALSE),"Not Found")</f>
        <v>Not Found</v>
      </c>
      <c r="H3404" s="6" t="str">
        <f>IFERROR(VLOOKUP('Customer Info'!A3396,'Customer Info'!A3396:C3895,3,FALSE),"Not Found")</f>
        <v>Not Found</v>
      </c>
      <c r="I3404" s="6" t="str">
        <f>IFERROR(VLOOKUP('Customer Info'!A3396,'Customer Info'!A3396:E3895,5,FALSE),"Not Found")</f>
        <v>Not Found</v>
      </c>
      <c r="J3404" s="2">
        <v>2540</v>
      </c>
      <c r="K3404" s="2">
        <v>2397</v>
      </c>
      <c r="L3404" s="2">
        <v>2</v>
      </c>
      <c r="M3404" s="7">
        <f t="shared" si="265"/>
        <v>4794</v>
      </c>
      <c r="N3404" s="7">
        <f t="shared" si="266"/>
        <v>5080</v>
      </c>
      <c r="O3404" s="2">
        <v>99</v>
      </c>
      <c r="P3404" s="8">
        <f t="shared" si="267"/>
        <v>5179</v>
      </c>
      <c r="Q3404" s="8">
        <f t="shared" si="268"/>
        <v>2683</v>
      </c>
      <c r="R3404" s="2" t="s">
        <v>50</v>
      </c>
      <c r="S3404" s="9">
        <f t="shared" si="269"/>
        <v>258.95</v>
      </c>
    </row>
    <row r="3405" spans="1:19" x14ac:dyDescent="0.3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str">
        <f>IFERROR(VLOOKUP('Customer Info'!A3397,'Customer Info'!A3397:C3896,2,FALSE),"Not Found")</f>
        <v>Not Found</v>
      </c>
      <c r="H3405" s="6" t="str">
        <f>IFERROR(VLOOKUP('Customer Info'!A3397,'Customer Info'!A3397:C3896,3,FALSE),"Not Found")</f>
        <v>Not Found</v>
      </c>
      <c r="I3405" s="6" t="str">
        <f>IFERROR(VLOOKUP('Customer Info'!A3397,'Customer Info'!A3397:E3896,5,FALSE),"Not Found")</f>
        <v>Not Found</v>
      </c>
      <c r="J3405" s="2">
        <v>3145</v>
      </c>
      <c r="K3405" s="2">
        <v>3025</v>
      </c>
      <c r="L3405" s="2">
        <v>4</v>
      </c>
      <c r="M3405" s="7">
        <f t="shared" si="265"/>
        <v>12100</v>
      </c>
      <c r="N3405" s="7">
        <f t="shared" si="266"/>
        <v>12580</v>
      </c>
      <c r="O3405" s="2">
        <v>49</v>
      </c>
      <c r="P3405" s="8">
        <f t="shared" si="267"/>
        <v>12629</v>
      </c>
      <c r="Q3405" s="8">
        <f t="shared" si="268"/>
        <v>9555</v>
      </c>
      <c r="R3405" s="2" t="s">
        <v>50</v>
      </c>
      <c r="S3405" s="9">
        <f t="shared" si="269"/>
        <v>631.45000000000005</v>
      </c>
    </row>
    <row r="3406" spans="1:19" x14ac:dyDescent="0.3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str">
        <f>IFERROR(VLOOKUP('Customer Info'!A3398,'Customer Info'!A3398:C3897,2,FALSE),"Not Found")</f>
        <v>Not Found</v>
      </c>
      <c r="H3406" s="6" t="str">
        <f>IFERROR(VLOOKUP('Customer Info'!A3398,'Customer Info'!A3398:C3897,3,FALSE),"Not Found")</f>
        <v>Not Found</v>
      </c>
      <c r="I3406" s="6" t="str">
        <f>IFERROR(VLOOKUP('Customer Info'!A3398,'Customer Info'!A3398:E3897,5,FALSE),"Not Found")</f>
        <v>Not Found</v>
      </c>
      <c r="J3406" s="2">
        <v>626</v>
      </c>
      <c r="K3406" s="2">
        <v>559</v>
      </c>
      <c r="L3406" s="2">
        <v>6</v>
      </c>
      <c r="M3406" s="7">
        <f t="shared" si="265"/>
        <v>3354</v>
      </c>
      <c r="N3406" s="7">
        <f t="shared" si="266"/>
        <v>3756</v>
      </c>
      <c r="O3406" s="2">
        <v>96</v>
      </c>
      <c r="P3406" s="8">
        <f t="shared" si="267"/>
        <v>3852</v>
      </c>
      <c r="Q3406" s="8">
        <f t="shared" si="268"/>
        <v>3197</v>
      </c>
      <c r="R3406" s="2" t="s">
        <v>28</v>
      </c>
      <c r="S3406" s="9">
        <f t="shared" si="269"/>
        <v>77.040000000000006</v>
      </c>
    </row>
    <row r="3407" spans="1:19" x14ac:dyDescent="0.3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str">
        <f>IFERROR(VLOOKUP('Customer Info'!A3399,'Customer Info'!A3399:C3898,2,FALSE),"Not Found")</f>
        <v>Not Found</v>
      </c>
      <c r="H3407" s="6" t="str">
        <f>IFERROR(VLOOKUP('Customer Info'!A3399,'Customer Info'!A3399:C3898,3,FALSE),"Not Found")</f>
        <v>Not Found</v>
      </c>
      <c r="I3407" s="6" t="str">
        <f>IFERROR(VLOOKUP('Customer Info'!A3399,'Customer Info'!A3399:E3898,5,FALSE),"Not Found")</f>
        <v>Not Found</v>
      </c>
      <c r="J3407" s="2">
        <v>144</v>
      </c>
      <c r="K3407" s="2">
        <v>132</v>
      </c>
      <c r="L3407" s="2">
        <v>4</v>
      </c>
      <c r="M3407" s="7">
        <f t="shared" si="265"/>
        <v>528</v>
      </c>
      <c r="N3407" s="7">
        <f t="shared" si="266"/>
        <v>576</v>
      </c>
      <c r="O3407" s="2">
        <v>30</v>
      </c>
      <c r="P3407" s="8">
        <f t="shared" si="267"/>
        <v>606</v>
      </c>
      <c r="Q3407" s="8">
        <f t="shared" si="268"/>
        <v>444</v>
      </c>
      <c r="R3407" s="2" t="s">
        <v>50</v>
      </c>
      <c r="S3407" s="9">
        <f t="shared" si="269"/>
        <v>12.120000000000001</v>
      </c>
    </row>
    <row r="3408" spans="1:19" x14ac:dyDescent="0.3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str">
        <f>IFERROR(VLOOKUP('Customer Info'!A3400,'Customer Info'!A3400:C3899,2,FALSE),"Not Found")</f>
        <v>Not Found</v>
      </c>
      <c r="H3408" s="6" t="str">
        <f>IFERROR(VLOOKUP('Customer Info'!A3400,'Customer Info'!A3400:C3899,3,FALSE),"Not Found")</f>
        <v>Not Found</v>
      </c>
      <c r="I3408" s="6" t="str">
        <f>IFERROR(VLOOKUP('Customer Info'!A3400,'Customer Info'!A3400:E3899,5,FALSE),"Not Found")</f>
        <v>Not Found</v>
      </c>
      <c r="J3408" s="2">
        <v>759</v>
      </c>
      <c r="K3408" s="2">
        <v>703</v>
      </c>
      <c r="L3408" s="2">
        <v>3</v>
      </c>
      <c r="M3408" s="7">
        <f t="shared" si="265"/>
        <v>2109</v>
      </c>
      <c r="N3408" s="7">
        <f t="shared" si="266"/>
        <v>2277</v>
      </c>
      <c r="O3408" s="2">
        <v>84</v>
      </c>
      <c r="P3408" s="8">
        <f t="shared" si="267"/>
        <v>2361</v>
      </c>
      <c r="Q3408" s="8">
        <f t="shared" si="268"/>
        <v>1574</v>
      </c>
      <c r="R3408" s="2" t="s">
        <v>28</v>
      </c>
      <c r="S3408" s="9">
        <f t="shared" si="269"/>
        <v>47.22</v>
      </c>
    </row>
    <row r="3409" spans="1:19" x14ac:dyDescent="0.3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str">
        <f>IFERROR(VLOOKUP('Customer Info'!A3401,'Customer Info'!A3401:C3900,2,FALSE),"Not Found")</f>
        <v>Not Found</v>
      </c>
      <c r="H3409" s="6" t="str">
        <f>IFERROR(VLOOKUP('Customer Info'!A3401,'Customer Info'!A3401:C3900,3,FALSE),"Not Found")</f>
        <v>Not Found</v>
      </c>
      <c r="I3409" s="6" t="str">
        <f>IFERROR(VLOOKUP('Customer Info'!A3401,'Customer Info'!A3401:E3900,5,FALSE),"Not Found")</f>
        <v>Not Found</v>
      </c>
      <c r="J3409" s="2">
        <v>1721</v>
      </c>
      <c r="K3409" s="2">
        <v>1640</v>
      </c>
      <c r="L3409" s="2">
        <v>3</v>
      </c>
      <c r="M3409" s="7">
        <f t="shared" si="265"/>
        <v>4920</v>
      </c>
      <c r="N3409" s="7">
        <f t="shared" si="266"/>
        <v>5163</v>
      </c>
      <c r="O3409" s="2">
        <v>21</v>
      </c>
      <c r="P3409" s="8">
        <f t="shared" si="267"/>
        <v>5184</v>
      </c>
      <c r="Q3409" s="8">
        <f t="shared" si="268"/>
        <v>3523</v>
      </c>
      <c r="R3409" s="2" t="s">
        <v>28</v>
      </c>
      <c r="S3409" s="9">
        <f t="shared" si="269"/>
        <v>259.2</v>
      </c>
    </row>
    <row r="3410" spans="1:19" x14ac:dyDescent="0.3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str">
        <f>IFERROR(VLOOKUP('Customer Info'!A3402,'Customer Info'!A3402:C3901,2,FALSE),"Not Found")</f>
        <v>Not Found</v>
      </c>
      <c r="H3410" s="6" t="str">
        <f>IFERROR(VLOOKUP('Customer Info'!A3402,'Customer Info'!A3402:C3901,3,FALSE),"Not Found")</f>
        <v>Not Found</v>
      </c>
      <c r="I3410" s="6" t="str">
        <f>IFERROR(VLOOKUP('Customer Info'!A3402,'Customer Info'!A3402:E3901,5,FALSE),"Not Found")</f>
        <v>Not Found</v>
      </c>
      <c r="J3410" s="2">
        <v>1545</v>
      </c>
      <c r="K3410" s="2">
        <v>1486</v>
      </c>
      <c r="L3410" s="2">
        <v>1</v>
      </c>
      <c r="M3410" s="7">
        <f t="shared" si="265"/>
        <v>1486</v>
      </c>
      <c r="N3410" s="7">
        <f t="shared" si="266"/>
        <v>1545</v>
      </c>
      <c r="O3410" s="2">
        <v>55</v>
      </c>
      <c r="P3410" s="8">
        <f t="shared" si="267"/>
        <v>1600</v>
      </c>
      <c r="Q3410" s="8">
        <f t="shared" si="268"/>
        <v>59</v>
      </c>
      <c r="R3410" s="2" t="s">
        <v>28</v>
      </c>
      <c r="S3410" s="9">
        <f t="shared" si="269"/>
        <v>32</v>
      </c>
    </row>
    <row r="3411" spans="1:19" x14ac:dyDescent="0.3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str">
        <f>IFERROR(VLOOKUP('Customer Info'!A3403,'Customer Info'!A3403:C3902,2,FALSE),"Not Found")</f>
        <v>Not Found</v>
      </c>
      <c r="H3411" s="6" t="str">
        <f>IFERROR(VLOOKUP('Customer Info'!A3403,'Customer Info'!A3403:C3902,3,FALSE),"Not Found")</f>
        <v>Not Found</v>
      </c>
      <c r="I3411" s="6" t="str">
        <f>IFERROR(VLOOKUP('Customer Info'!A3403,'Customer Info'!A3403:E3902,5,FALSE),"Not Found")</f>
        <v>Not Found</v>
      </c>
      <c r="J3411" s="2">
        <v>125</v>
      </c>
      <c r="K3411" s="2">
        <v>113</v>
      </c>
      <c r="L3411" s="2">
        <v>2</v>
      </c>
      <c r="M3411" s="7">
        <f t="shared" si="265"/>
        <v>226</v>
      </c>
      <c r="N3411" s="7">
        <f t="shared" si="266"/>
        <v>250</v>
      </c>
      <c r="O3411" s="2">
        <v>30</v>
      </c>
      <c r="P3411" s="8">
        <f t="shared" si="267"/>
        <v>280</v>
      </c>
      <c r="Q3411" s="8">
        <f t="shared" si="268"/>
        <v>137</v>
      </c>
      <c r="R3411" s="2" t="s">
        <v>50</v>
      </c>
      <c r="S3411" s="9">
        <f t="shared" si="269"/>
        <v>5.6000000000000005</v>
      </c>
    </row>
    <row r="3412" spans="1:19" x14ac:dyDescent="0.3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str">
        <f>IFERROR(VLOOKUP('Customer Info'!A3404,'Customer Info'!A3404:C3903,2,FALSE),"Not Found")</f>
        <v>Not Found</v>
      </c>
      <c r="H3412" s="6" t="str">
        <f>IFERROR(VLOOKUP('Customer Info'!A3404,'Customer Info'!A3404:C3903,3,FALSE),"Not Found")</f>
        <v>Not Found</v>
      </c>
      <c r="I3412" s="6" t="str">
        <f>IFERROR(VLOOKUP('Customer Info'!A3404,'Customer Info'!A3404:E3903,5,FALSE),"Not Found")</f>
        <v>Not Found</v>
      </c>
      <c r="J3412" s="2">
        <v>8026</v>
      </c>
      <c r="K3412" s="2">
        <v>7572</v>
      </c>
      <c r="L3412" s="2">
        <v>1</v>
      </c>
      <c r="M3412" s="7">
        <f t="shared" si="265"/>
        <v>7572</v>
      </c>
      <c r="N3412" s="7">
        <f t="shared" si="266"/>
        <v>8026</v>
      </c>
      <c r="O3412" s="2">
        <v>89</v>
      </c>
      <c r="P3412" s="8">
        <f t="shared" si="267"/>
        <v>8115</v>
      </c>
      <c r="Q3412" s="8">
        <f t="shared" si="268"/>
        <v>454</v>
      </c>
      <c r="R3412" s="2" t="s">
        <v>50</v>
      </c>
      <c r="S3412" s="9">
        <f t="shared" si="269"/>
        <v>405.75</v>
      </c>
    </row>
    <row r="3413" spans="1:19" x14ac:dyDescent="0.3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str">
        <f>IFERROR(VLOOKUP('Customer Info'!A3405,'Customer Info'!A3405:C3904,2,FALSE),"Not Found")</f>
        <v>Not Found</v>
      </c>
      <c r="H3413" s="6" t="str">
        <f>IFERROR(VLOOKUP('Customer Info'!A3405,'Customer Info'!A3405:C3904,3,FALSE),"Not Found")</f>
        <v>Not Found</v>
      </c>
      <c r="I3413" s="6" t="str">
        <f>IFERROR(VLOOKUP('Customer Info'!A3405,'Customer Info'!A3405:E3904,5,FALSE),"Not Found")</f>
        <v>Not Found</v>
      </c>
      <c r="J3413" s="2">
        <v>6481</v>
      </c>
      <c r="K3413" s="2">
        <v>5884</v>
      </c>
      <c r="L3413" s="2">
        <v>3</v>
      </c>
      <c r="M3413" s="7">
        <f t="shared" si="265"/>
        <v>17652</v>
      </c>
      <c r="N3413" s="7">
        <f t="shared" si="266"/>
        <v>19443</v>
      </c>
      <c r="O3413" s="2">
        <v>26</v>
      </c>
      <c r="P3413" s="8">
        <f t="shared" si="267"/>
        <v>19469</v>
      </c>
      <c r="Q3413" s="8">
        <f t="shared" si="268"/>
        <v>13559</v>
      </c>
      <c r="R3413" s="2" t="s">
        <v>28</v>
      </c>
      <c r="S3413" s="9">
        <f t="shared" si="269"/>
        <v>973.45</v>
      </c>
    </row>
    <row r="3414" spans="1:19" x14ac:dyDescent="0.3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str">
        <f>IFERROR(VLOOKUP('Customer Info'!A3406,'Customer Info'!A3406:C3905,2,FALSE),"Not Found")</f>
        <v>Not Found</v>
      </c>
      <c r="H3414" s="6" t="str">
        <f>IFERROR(VLOOKUP('Customer Info'!A3406,'Customer Info'!A3406:C3905,3,FALSE),"Not Found")</f>
        <v>Not Found</v>
      </c>
      <c r="I3414" s="6" t="str">
        <f>IFERROR(VLOOKUP('Customer Info'!A3406,'Customer Info'!A3406:E3905,5,FALSE),"Not Found")</f>
        <v>Not Found</v>
      </c>
      <c r="J3414" s="2">
        <v>61</v>
      </c>
      <c r="K3414" s="2">
        <v>57</v>
      </c>
      <c r="L3414" s="2">
        <v>1</v>
      </c>
      <c r="M3414" s="7">
        <f t="shared" si="265"/>
        <v>57</v>
      </c>
      <c r="N3414" s="7">
        <f t="shared" si="266"/>
        <v>61</v>
      </c>
      <c r="O3414" s="2">
        <v>10</v>
      </c>
      <c r="P3414" s="8">
        <f t="shared" si="267"/>
        <v>71</v>
      </c>
      <c r="Q3414" s="8">
        <f t="shared" si="268"/>
        <v>4</v>
      </c>
      <c r="R3414" s="2" t="s">
        <v>28</v>
      </c>
      <c r="S3414" s="9">
        <f t="shared" si="269"/>
        <v>1.42</v>
      </c>
    </row>
    <row r="3415" spans="1:19" x14ac:dyDescent="0.3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str">
        <f>IFERROR(VLOOKUP('Customer Info'!A3407,'Customer Info'!A3407:C3906,2,FALSE),"Not Found")</f>
        <v>Not Found</v>
      </c>
      <c r="H3415" s="6" t="str">
        <f>IFERROR(VLOOKUP('Customer Info'!A3407,'Customer Info'!A3407:C3906,3,FALSE),"Not Found")</f>
        <v>Not Found</v>
      </c>
      <c r="I3415" s="6" t="str">
        <f>IFERROR(VLOOKUP('Customer Info'!A3407,'Customer Info'!A3407:E3906,5,FALSE),"Not Found")</f>
        <v>Not Found</v>
      </c>
      <c r="J3415" s="2">
        <v>1482</v>
      </c>
      <c r="K3415" s="2">
        <v>1453</v>
      </c>
      <c r="L3415" s="2">
        <v>1</v>
      </c>
      <c r="M3415" s="7">
        <f t="shared" si="265"/>
        <v>1453</v>
      </c>
      <c r="N3415" s="7">
        <f t="shared" si="266"/>
        <v>1482</v>
      </c>
      <c r="O3415" s="2">
        <v>25</v>
      </c>
      <c r="P3415" s="8">
        <f t="shared" si="267"/>
        <v>1507</v>
      </c>
      <c r="Q3415" s="8">
        <f t="shared" si="268"/>
        <v>29</v>
      </c>
      <c r="R3415" s="2" t="s">
        <v>28</v>
      </c>
      <c r="S3415" s="9">
        <f t="shared" si="269"/>
        <v>30.14</v>
      </c>
    </row>
    <row r="3416" spans="1:19" x14ac:dyDescent="0.3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str">
        <f>IFERROR(VLOOKUP('Customer Info'!A3408,'Customer Info'!A3408:C3907,2,FALSE),"Not Found")</f>
        <v>Not Found</v>
      </c>
      <c r="H3416" s="6" t="str">
        <f>IFERROR(VLOOKUP('Customer Info'!A3408,'Customer Info'!A3408:C3907,3,FALSE),"Not Found")</f>
        <v>Not Found</v>
      </c>
      <c r="I3416" s="6" t="str">
        <f>IFERROR(VLOOKUP('Customer Info'!A3408,'Customer Info'!A3408:E3907,5,FALSE),"Not Found")</f>
        <v>Not Found</v>
      </c>
      <c r="J3416" s="2">
        <v>2228</v>
      </c>
      <c r="K3416" s="2">
        <v>2143</v>
      </c>
      <c r="L3416" s="2">
        <v>2</v>
      </c>
      <c r="M3416" s="7">
        <f t="shared" si="265"/>
        <v>4286</v>
      </c>
      <c r="N3416" s="7">
        <f t="shared" si="266"/>
        <v>4456</v>
      </c>
      <c r="O3416" s="2">
        <v>48</v>
      </c>
      <c r="P3416" s="8">
        <f t="shared" si="267"/>
        <v>4504</v>
      </c>
      <c r="Q3416" s="8">
        <f t="shared" si="268"/>
        <v>2313</v>
      </c>
      <c r="R3416" s="2" t="s">
        <v>28</v>
      </c>
      <c r="S3416" s="9">
        <f t="shared" si="269"/>
        <v>90.08</v>
      </c>
    </row>
    <row r="3417" spans="1:19" x14ac:dyDescent="0.3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str">
        <f>IFERROR(VLOOKUP('Customer Info'!A3409,'Customer Info'!A3409:C3908,2,FALSE),"Not Found")</f>
        <v>Not Found</v>
      </c>
      <c r="H3417" s="6" t="str">
        <f>IFERROR(VLOOKUP('Customer Info'!A3409,'Customer Info'!A3409:C3908,3,FALSE),"Not Found")</f>
        <v>Not Found</v>
      </c>
      <c r="I3417" s="6" t="str">
        <f>IFERROR(VLOOKUP('Customer Info'!A3409,'Customer Info'!A3409:E3908,5,FALSE),"Not Found")</f>
        <v>Not Found</v>
      </c>
      <c r="J3417" s="2">
        <v>1358</v>
      </c>
      <c r="K3417" s="2">
        <v>1270</v>
      </c>
      <c r="L3417" s="2">
        <v>4</v>
      </c>
      <c r="M3417" s="7">
        <f t="shared" si="265"/>
        <v>5080</v>
      </c>
      <c r="N3417" s="7">
        <f t="shared" si="266"/>
        <v>5432</v>
      </c>
      <c r="O3417" s="2">
        <v>39</v>
      </c>
      <c r="P3417" s="8">
        <f t="shared" si="267"/>
        <v>5471</v>
      </c>
      <c r="Q3417" s="8">
        <f t="shared" si="268"/>
        <v>4162</v>
      </c>
      <c r="R3417" s="2" t="s">
        <v>28</v>
      </c>
      <c r="S3417" s="9">
        <f t="shared" si="269"/>
        <v>273.55</v>
      </c>
    </row>
    <row r="3418" spans="1:19" x14ac:dyDescent="0.3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str">
        <f>IFERROR(VLOOKUP('Customer Info'!A3410,'Customer Info'!A3410:C3909,2,FALSE),"Not Found")</f>
        <v>Not Found</v>
      </c>
      <c r="H3418" s="6" t="str">
        <f>IFERROR(VLOOKUP('Customer Info'!A3410,'Customer Info'!A3410:C3909,3,FALSE),"Not Found")</f>
        <v>Not Found</v>
      </c>
      <c r="I3418" s="6" t="str">
        <f>IFERROR(VLOOKUP('Customer Info'!A3410,'Customer Info'!A3410:E3909,5,FALSE),"Not Found")</f>
        <v>Not Found</v>
      </c>
      <c r="J3418" s="2">
        <v>143</v>
      </c>
      <c r="K3418" s="2">
        <v>137</v>
      </c>
      <c r="L3418" s="2">
        <v>1</v>
      </c>
      <c r="M3418" s="7">
        <f t="shared" si="265"/>
        <v>137</v>
      </c>
      <c r="N3418" s="7">
        <f t="shared" si="266"/>
        <v>143</v>
      </c>
      <c r="O3418" s="2">
        <v>30</v>
      </c>
      <c r="P3418" s="8">
        <f t="shared" si="267"/>
        <v>173</v>
      </c>
      <c r="Q3418" s="8">
        <f t="shared" si="268"/>
        <v>6</v>
      </c>
      <c r="R3418" s="2" t="s">
        <v>50</v>
      </c>
      <c r="S3418" s="9">
        <f t="shared" si="269"/>
        <v>3.46</v>
      </c>
    </row>
    <row r="3419" spans="1:19" x14ac:dyDescent="0.3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str">
        <f>IFERROR(VLOOKUP('Customer Info'!A3411,'Customer Info'!A3411:C3910,2,FALSE),"Not Found")</f>
        <v>Not Found</v>
      </c>
      <c r="H3419" s="6" t="str">
        <f>IFERROR(VLOOKUP('Customer Info'!A3411,'Customer Info'!A3411:C3910,3,FALSE),"Not Found")</f>
        <v>Not Found</v>
      </c>
      <c r="I3419" s="6" t="str">
        <f>IFERROR(VLOOKUP('Customer Info'!A3411,'Customer Info'!A3411:E3910,5,FALSE),"Not Found")</f>
        <v>Not Found</v>
      </c>
      <c r="J3419" s="2">
        <v>1700</v>
      </c>
      <c r="K3419" s="2">
        <v>1620</v>
      </c>
      <c r="L3419" s="2">
        <v>1</v>
      </c>
      <c r="M3419" s="7">
        <f t="shared" si="265"/>
        <v>1620</v>
      </c>
      <c r="N3419" s="7">
        <f t="shared" si="266"/>
        <v>1700</v>
      </c>
      <c r="O3419" s="2">
        <v>94</v>
      </c>
      <c r="P3419" s="8">
        <f t="shared" si="267"/>
        <v>1794</v>
      </c>
      <c r="Q3419" s="8">
        <f t="shared" si="268"/>
        <v>80</v>
      </c>
      <c r="R3419" s="2" t="s">
        <v>50</v>
      </c>
      <c r="S3419" s="9">
        <f t="shared" si="269"/>
        <v>35.880000000000003</v>
      </c>
    </row>
    <row r="3420" spans="1:19" x14ac:dyDescent="0.3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str">
        <f>IFERROR(VLOOKUP('Customer Info'!A3412,'Customer Info'!A3412:C3911,2,FALSE),"Not Found")</f>
        <v>Not Found</v>
      </c>
      <c r="H3420" s="6" t="str">
        <f>IFERROR(VLOOKUP('Customer Info'!A3412,'Customer Info'!A3412:C3911,3,FALSE),"Not Found")</f>
        <v>Not Found</v>
      </c>
      <c r="I3420" s="6" t="str">
        <f>IFERROR(VLOOKUP('Customer Info'!A3412,'Customer Info'!A3412:E3911,5,FALSE),"Not Found")</f>
        <v>Not Found</v>
      </c>
      <c r="J3420" s="2">
        <v>141</v>
      </c>
      <c r="K3420" s="2">
        <v>131</v>
      </c>
      <c r="L3420" s="2">
        <v>2</v>
      </c>
      <c r="M3420" s="7">
        <f t="shared" si="265"/>
        <v>262</v>
      </c>
      <c r="N3420" s="7">
        <f t="shared" si="266"/>
        <v>282</v>
      </c>
      <c r="O3420" s="2">
        <v>30</v>
      </c>
      <c r="P3420" s="8">
        <f t="shared" si="267"/>
        <v>312</v>
      </c>
      <c r="Q3420" s="8">
        <f t="shared" si="268"/>
        <v>151</v>
      </c>
      <c r="R3420" s="2" t="s">
        <v>28</v>
      </c>
      <c r="S3420" s="9">
        <f t="shared" si="269"/>
        <v>6.24</v>
      </c>
    </row>
    <row r="3421" spans="1:19" x14ac:dyDescent="0.3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str">
        <f>IFERROR(VLOOKUP('Customer Info'!A3413,'Customer Info'!A3413:C3912,2,FALSE),"Not Found")</f>
        <v>Not Found</v>
      </c>
      <c r="H3421" s="6" t="str">
        <f>IFERROR(VLOOKUP('Customer Info'!A3413,'Customer Info'!A3413:C3912,3,FALSE),"Not Found")</f>
        <v>Not Found</v>
      </c>
      <c r="I3421" s="6" t="str">
        <f>IFERROR(VLOOKUP('Customer Info'!A3413,'Customer Info'!A3413:E3912,5,FALSE),"Not Found")</f>
        <v>Not Found</v>
      </c>
      <c r="J3421" s="2">
        <v>827</v>
      </c>
      <c r="K3421" s="2">
        <v>788</v>
      </c>
      <c r="L3421" s="2">
        <v>3</v>
      </c>
      <c r="M3421" s="7">
        <f t="shared" si="265"/>
        <v>2364</v>
      </c>
      <c r="N3421" s="7">
        <f t="shared" si="266"/>
        <v>2481</v>
      </c>
      <c r="O3421" s="2">
        <v>75</v>
      </c>
      <c r="P3421" s="8">
        <f t="shared" si="267"/>
        <v>2556</v>
      </c>
      <c r="Q3421" s="8">
        <f t="shared" si="268"/>
        <v>1693</v>
      </c>
      <c r="R3421" s="2" t="s">
        <v>28</v>
      </c>
      <c r="S3421" s="9">
        <f t="shared" si="269"/>
        <v>51.120000000000005</v>
      </c>
    </row>
    <row r="3422" spans="1:19" x14ac:dyDescent="0.3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str">
        <f>IFERROR(VLOOKUP('Customer Info'!A3414,'Customer Info'!A3414:C3913,2,FALSE),"Not Found")</f>
        <v>Not Found</v>
      </c>
      <c r="H3422" s="6" t="str">
        <f>IFERROR(VLOOKUP('Customer Info'!A3414,'Customer Info'!A3414:C3913,3,FALSE),"Not Found")</f>
        <v>Not Found</v>
      </c>
      <c r="I3422" s="6" t="str">
        <f>IFERROR(VLOOKUP('Customer Info'!A3414,'Customer Info'!A3414:E3913,5,FALSE),"Not Found")</f>
        <v>Not Found</v>
      </c>
      <c r="J3422" s="2">
        <v>8495</v>
      </c>
      <c r="K3422" s="2">
        <v>7647</v>
      </c>
      <c r="L3422" s="2">
        <v>5</v>
      </c>
      <c r="M3422" s="7">
        <f t="shared" si="265"/>
        <v>38235</v>
      </c>
      <c r="N3422" s="7">
        <f t="shared" si="266"/>
        <v>42475</v>
      </c>
      <c r="O3422" s="2">
        <v>65</v>
      </c>
      <c r="P3422" s="8">
        <f t="shared" si="267"/>
        <v>42540</v>
      </c>
      <c r="Q3422" s="8">
        <f t="shared" si="268"/>
        <v>34828</v>
      </c>
      <c r="R3422" s="2" t="s">
        <v>28</v>
      </c>
      <c r="S3422" s="9">
        <f t="shared" si="269"/>
        <v>2977.8</v>
      </c>
    </row>
    <row r="3423" spans="1:19" x14ac:dyDescent="0.3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str">
        <f>IFERROR(VLOOKUP('Customer Info'!A3415,'Customer Info'!A3415:C3914,2,FALSE),"Not Found")</f>
        <v>Not Found</v>
      </c>
      <c r="H3423" s="6" t="str">
        <f>IFERROR(VLOOKUP('Customer Info'!A3415,'Customer Info'!A3415:C3914,3,FALSE),"Not Found")</f>
        <v>Not Found</v>
      </c>
      <c r="I3423" s="6" t="str">
        <f>IFERROR(VLOOKUP('Customer Info'!A3415,'Customer Info'!A3415:E3914,5,FALSE),"Not Found")</f>
        <v>Not Found</v>
      </c>
      <c r="J3423" s="2">
        <v>1169</v>
      </c>
      <c r="K3423" s="2">
        <v>1072</v>
      </c>
      <c r="L3423" s="2">
        <v>2</v>
      </c>
      <c r="M3423" s="7">
        <f t="shared" si="265"/>
        <v>2144</v>
      </c>
      <c r="N3423" s="7">
        <f t="shared" si="266"/>
        <v>2338</v>
      </c>
      <c r="O3423" s="2">
        <v>52</v>
      </c>
      <c r="P3423" s="8">
        <f t="shared" si="267"/>
        <v>2390</v>
      </c>
      <c r="Q3423" s="8">
        <f t="shared" si="268"/>
        <v>1266</v>
      </c>
      <c r="R3423" s="2" t="s">
        <v>26</v>
      </c>
      <c r="S3423" s="9">
        <f t="shared" si="269"/>
        <v>47.800000000000004</v>
      </c>
    </row>
    <row r="3424" spans="1:19" x14ac:dyDescent="0.3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str">
        <f>IFERROR(VLOOKUP('Customer Info'!A3416,'Customer Info'!A3416:C3915,2,FALSE),"Not Found")</f>
        <v>Not Found</v>
      </c>
      <c r="H3424" s="6" t="str">
        <f>IFERROR(VLOOKUP('Customer Info'!A3416,'Customer Info'!A3416:C3915,3,FALSE),"Not Found")</f>
        <v>Not Found</v>
      </c>
      <c r="I3424" s="6" t="str">
        <f>IFERROR(VLOOKUP('Customer Info'!A3416,'Customer Info'!A3416:E3915,5,FALSE),"Not Found")</f>
        <v>Not Found</v>
      </c>
      <c r="J3424" s="2">
        <v>472</v>
      </c>
      <c r="K3424" s="2">
        <v>432</v>
      </c>
      <c r="L3424" s="2">
        <v>3</v>
      </c>
      <c r="M3424" s="7">
        <f t="shared" si="265"/>
        <v>1296</v>
      </c>
      <c r="N3424" s="7">
        <f t="shared" si="266"/>
        <v>1416</v>
      </c>
      <c r="O3424" s="2">
        <v>26</v>
      </c>
      <c r="P3424" s="8">
        <f t="shared" si="267"/>
        <v>1442</v>
      </c>
      <c r="Q3424" s="8">
        <f t="shared" si="268"/>
        <v>984</v>
      </c>
      <c r="R3424" s="2" t="s">
        <v>56</v>
      </c>
      <c r="S3424" s="9">
        <f t="shared" si="269"/>
        <v>28.84</v>
      </c>
    </row>
    <row r="3425" spans="1:19" x14ac:dyDescent="0.3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str">
        <f>IFERROR(VLOOKUP('Customer Info'!A3417,'Customer Info'!A3417:C3916,2,FALSE),"Not Found")</f>
        <v>Not Found</v>
      </c>
      <c r="H3425" s="6" t="str">
        <f>IFERROR(VLOOKUP('Customer Info'!A3417,'Customer Info'!A3417:C3916,3,FALSE),"Not Found")</f>
        <v>Not Found</v>
      </c>
      <c r="I3425" s="6" t="str">
        <f>IFERROR(VLOOKUP('Customer Info'!A3417,'Customer Info'!A3417:E3916,5,FALSE),"Not Found")</f>
        <v>Not Found</v>
      </c>
      <c r="J3425" s="2">
        <v>505</v>
      </c>
      <c r="K3425" s="2">
        <v>463</v>
      </c>
      <c r="L3425" s="2">
        <v>6</v>
      </c>
      <c r="M3425" s="7">
        <f t="shared" si="265"/>
        <v>2778</v>
      </c>
      <c r="N3425" s="7">
        <f t="shared" si="266"/>
        <v>3030</v>
      </c>
      <c r="O3425" s="2">
        <v>32</v>
      </c>
      <c r="P3425" s="8">
        <f t="shared" si="267"/>
        <v>3062</v>
      </c>
      <c r="Q3425" s="8">
        <f t="shared" si="268"/>
        <v>2567</v>
      </c>
      <c r="R3425" s="2" t="s">
        <v>28</v>
      </c>
      <c r="S3425" s="9">
        <f t="shared" si="269"/>
        <v>61.24</v>
      </c>
    </row>
    <row r="3426" spans="1:19" x14ac:dyDescent="0.3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str">
        <f>IFERROR(VLOOKUP('Customer Info'!A3418,'Customer Info'!A3418:C3917,2,FALSE),"Not Found")</f>
        <v>Not Found</v>
      </c>
      <c r="H3426" s="6" t="str">
        <f>IFERROR(VLOOKUP('Customer Info'!A3418,'Customer Info'!A3418:C3917,3,FALSE),"Not Found")</f>
        <v>Not Found</v>
      </c>
      <c r="I3426" s="6" t="str">
        <f>IFERROR(VLOOKUP('Customer Info'!A3418,'Customer Info'!A3418:E3917,5,FALSE),"Not Found")</f>
        <v>Not Found</v>
      </c>
      <c r="J3426" s="2">
        <v>2271</v>
      </c>
      <c r="K3426" s="2">
        <v>2144</v>
      </c>
      <c r="L3426" s="2">
        <v>5</v>
      </c>
      <c r="M3426" s="7">
        <f t="shared" si="265"/>
        <v>10720</v>
      </c>
      <c r="N3426" s="7">
        <f t="shared" si="266"/>
        <v>11355</v>
      </c>
      <c r="O3426" s="2">
        <v>75</v>
      </c>
      <c r="P3426" s="8">
        <f t="shared" si="267"/>
        <v>11430</v>
      </c>
      <c r="Q3426" s="8">
        <f t="shared" si="268"/>
        <v>9211</v>
      </c>
      <c r="R3426" s="2" t="s">
        <v>50</v>
      </c>
      <c r="S3426" s="9">
        <f t="shared" si="269"/>
        <v>571.5</v>
      </c>
    </row>
    <row r="3427" spans="1:19" x14ac:dyDescent="0.3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str">
        <f>IFERROR(VLOOKUP('Customer Info'!A3419,'Customer Info'!A3419:C3918,2,FALSE),"Not Found")</f>
        <v>Not Found</v>
      </c>
      <c r="H3427" s="6" t="str">
        <f>IFERROR(VLOOKUP('Customer Info'!A3419,'Customer Info'!A3419:C3918,3,FALSE),"Not Found")</f>
        <v>Not Found</v>
      </c>
      <c r="I3427" s="6" t="str">
        <f>IFERROR(VLOOKUP('Customer Info'!A3419,'Customer Info'!A3419:E3918,5,FALSE),"Not Found")</f>
        <v>Not Found</v>
      </c>
      <c r="J3427" s="2">
        <v>185</v>
      </c>
      <c r="K3427" s="2">
        <v>171</v>
      </c>
      <c r="L3427" s="2">
        <v>2</v>
      </c>
      <c r="M3427" s="7">
        <f t="shared" si="265"/>
        <v>342</v>
      </c>
      <c r="N3427" s="7">
        <f t="shared" si="266"/>
        <v>370</v>
      </c>
      <c r="O3427" s="2">
        <v>30</v>
      </c>
      <c r="P3427" s="8">
        <f t="shared" si="267"/>
        <v>400</v>
      </c>
      <c r="Q3427" s="8">
        <f t="shared" si="268"/>
        <v>199</v>
      </c>
      <c r="R3427" s="2" t="s">
        <v>50</v>
      </c>
      <c r="S3427" s="9">
        <f t="shared" si="269"/>
        <v>8</v>
      </c>
    </row>
    <row r="3428" spans="1:19" x14ac:dyDescent="0.3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str">
        <f>IFERROR(VLOOKUP('Customer Info'!A3420,'Customer Info'!A3420:C3919,2,FALSE),"Not Found")</f>
        <v>Not Found</v>
      </c>
      <c r="H3428" s="6" t="str">
        <f>IFERROR(VLOOKUP('Customer Info'!A3420,'Customer Info'!A3420:C3919,3,FALSE),"Not Found")</f>
        <v>Not Found</v>
      </c>
      <c r="I3428" s="6" t="str">
        <f>IFERROR(VLOOKUP('Customer Info'!A3420,'Customer Info'!A3420:E3919,5,FALSE),"Not Found")</f>
        <v>Not Found</v>
      </c>
      <c r="J3428" s="2">
        <v>8752</v>
      </c>
      <c r="K3428" s="2">
        <v>7877</v>
      </c>
      <c r="L3428" s="2">
        <v>2</v>
      </c>
      <c r="M3428" s="7">
        <f t="shared" si="265"/>
        <v>15754</v>
      </c>
      <c r="N3428" s="7">
        <f t="shared" si="266"/>
        <v>17504</v>
      </c>
      <c r="O3428" s="2">
        <v>50</v>
      </c>
      <c r="P3428" s="8">
        <f t="shared" si="267"/>
        <v>17554</v>
      </c>
      <c r="Q3428" s="8">
        <f t="shared" si="268"/>
        <v>9627</v>
      </c>
      <c r="R3428" s="2" t="s">
        <v>50</v>
      </c>
      <c r="S3428" s="9">
        <f t="shared" si="269"/>
        <v>877.7</v>
      </c>
    </row>
    <row r="3429" spans="1:19" x14ac:dyDescent="0.3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str">
        <f>IFERROR(VLOOKUP('Customer Info'!A3421,'Customer Info'!A3421:C3920,2,FALSE),"Not Found")</f>
        <v>Not Found</v>
      </c>
      <c r="H3429" s="6" t="str">
        <f>IFERROR(VLOOKUP('Customer Info'!A3421,'Customer Info'!A3421:C3920,3,FALSE),"Not Found")</f>
        <v>Not Found</v>
      </c>
      <c r="I3429" s="6" t="str">
        <f>IFERROR(VLOOKUP('Customer Info'!A3421,'Customer Info'!A3421:E3920,5,FALSE),"Not Found")</f>
        <v>Not Found</v>
      </c>
      <c r="J3429" s="2">
        <v>27691</v>
      </c>
      <c r="K3429" s="2">
        <v>25616</v>
      </c>
      <c r="L3429" s="2">
        <v>2</v>
      </c>
      <c r="M3429" s="7">
        <f t="shared" si="265"/>
        <v>51232</v>
      </c>
      <c r="N3429" s="7">
        <f t="shared" si="266"/>
        <v>55382</v>
      </c>
      <c r="O3429" s="2">
        <v>39</v>
      </c>
      <c r="P3429" s="8">
        <f t="shared" si="267"/>
        <v>55421</v>
      </c>
      <c r="Q3429" s="8">
        <f t="shared" si="268"/>
        <v>29766</v>
      </c>
      <c r="R3429" s="2" t="s">
        <v>28</v>
      </c>
      <c r="S3429" s="9">
        <f t="shared" si="269"/>
        <v>4987.8899999999994</v>
      </c>
    </row>
    <row r="3430" spans="1:19" x14ac:dyDescent="0.3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str">
        <f>IFERROR(VLOOKUP('Customer Info'!A3422,'Customer Info'!A3422:C3921,2,FALSE),"Not Found")</f>
        <v>Not Found</v>
      </c>
      <c r="H3430" s="6" t="str">
        <f>IFERROR(VLOOKUP('Customer Info'!A3422,'Customer Info'!A3422:C3921,3,FALSE),"Not Found")</f>
        <v>Not Found</v>
      </c>
      <c r="I3430" s="6" t="str">
        <f>IFERROR(VLOOKUP('Customer Info'!A3422,'Customer Info'!A3422:E3921,5,FALSE),"Not Found")</f>
        <v>Not Found</v>
      </c>
      <c r="J3430" s="2">
        <v>96</v>
      </c>
      <c r="K3430" s="2">
        <v>87</v>
      </c>
      <c r="L3430" s="2">
        <v>1</v>
      </c>
      <c r="M3430" s="7">
        <f t="shared" si="265"/>
        <v>87</v>
      </c>
      <c r="N3430" s="7">
        <f t="shared" si="266"/>
        <v>96</v>
      </c>
      <c r="O3430" s="2">
        <v>10</v>
      </c>
      <c r="P3430" s="8">
        <f t="shared" si="267"/>
        <v>106</v>
      </c>
      <c r="Q3430" s="8">
        <f t="shared" si="268"/>
        <v>9</v>
      </c>
      <c r="R3430" s="2" t="s">
        <v>50</v>
      </c>
      <c r="S3430" s="9">
        <f t="shared" si="269"/>
        <v>2.12</v>
      </c>
    </row>
    <row r="3431" spans="1:19" x14ac:dyDescent="0.3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str">
        <f>IFERROR(VLOOKUP('Customer Info'!A3423,'Customer Info'!A3423:C3922,2,FALSE),"Not Found")</f>
        <v>Not Found</v>
      </c>
      <c r="H3431" s="6" t="str">
        <f>IFERROR(VLOOKUP('Customer Info'!A3423,'Customer Info'!A3423:C3922,3,FALSE),"Not Found")</f>
        <v>Not Found</v>
      </c>
      <c r="I3431" s="6" t="str">
        <f>IFERROR(VLOOKUP('Customer Info'!A3423,'Customer Info'!A3423:E3922,5,FALSE),"Not Found")</f>
        <v>Not Found</v>
      </c>
      <c r="J3431" s="2">
        <v>1528</v>
      </c>
      <c r="K3431" s="2">
        <v>1348</v>
      </c>
      <c r="L3431" s="2">
        <v>5</v>
      </c>
      <c r="M3431" s="7">
        <f t="shared" si="265"/>
        <v>6740</v>
      </c>
      <c r="N3431" s="7">
        <f t="shared" si="266"/>
        <v>7640</v>
      </c>
      <c r="O3431" s="2">
        <v>98</v>
      </c>
      <c r="P3431" s="8">
        <f t="shared" si="267"/>
        <v>7738</v>
      </c>
      <c r="Q3431" s="8">
        <f t="shared" si="268"/>
        <v>6292</v>
      </c>
      <c r="R3431" s="2" t="s">
        <v>28</v>
      </c>
      <c r="S3431" s="9">
        <f t="shared" si="269"/>
        <v>386.90000000000003</v>
      </c>
    </row>
    <row r="3432" spans="1:19" x14ac:dyDescent="0.3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str">
        <f>IFERROR(VLOOKUP('Customer Info'!A3424,'Customer Info'!A3424:C3923,2,FALSE),"Not Found")</f>
        <v>Not Found</v>
      </c>
      <c r="H3432" s="6" t="str">
        <f>IFERROR(VLOOKUP('Customer Info'!A3424,'Customer Info'!A3424:C3923,3,FALSE),"Not Found")</f>
        <v>Not Found</v>
      </c>
      <c r="I3432" s="6" t="str">
        <f>IFERROR(VLOOKUP('Customer Info'!A3424,'Customer Info'!A3424:E3923,5,FALSE),"Not Found")</f>
        <v>Not Found</v>
      </c>
      <c r="J3432" s="2">
        <v>170</v>
      </c>
      <c r="K3432" s="2">
        <v>153</v>
      </c>
      <c r="L3432" s="2">
        <v>2</v>
      </c>
      <c r="M3432" s="7">
        <f t="shared" si="265"/>
        <v>306</v>
      </c>
      <c r="N3432" s="7">
        <f t="shared" si="266"/>
        <v>340</v>
      </c>
      <c r="O3432" s="2">
        <v>30</v>
      </c>
      <c r="P3432" s="8">
        <f t="shared" si="267"/>
        <v>370</v>
      </c>
      <c r="Q3432" s="8">
        <f t="shared" si="268"/>
        <v>187</v>
      </c>
      <c r="R3432" s="2" t="s">
        <v>28</v>
      </c>
      <c r="S3432" s="9">
        <f t="shared" si="269"/>
        <v>7.4</v>
      </c>
    </row>
    <row r="3433" spans="1:19" x14ac:dyDescent="0.3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str">
        <f>IFERROR(VLOOKUP('Customer Info'!A3425,'Customer Info'!A3425:C3924,2,FALSE),"Not Found")</f>
        <v>Not Found</v>
      </c>
      <c r="H3433" s="6" t="str">
        <f>IFERROR(VLOOKUP('Customer Info'!A3425,'Customer Info'!A3425:C3924,3,FALSE),"Not Found")</f>
        <v>Not Found</v>
      </c>
      <c r="I3433" s="6" t="str">
        <f>IFERROR(VLOOKUP('Customer Info'!A3425,'Customer Info'!A3425:E3924,5,FALSE),"Not Found")</f>
        <v>Not Found</v>
      </c>
      <c r="J3433" s="2">
        <v>5941</v>
      </c>
      <c r="K3433" s="2">
        <v>5827</v>
      </c>
      <c r="L3433" s="2">
        <v>4</v>
      </c>
      <c r="M3433" s="7">
        <f t="shared" si="265"/>
        <v>23308</v>
      </c>
      <c r="N3433" s="7">
        <f t="shared" si="266"/>
        <v>23764</v>
      </c>
      <c r="O3433" s="2">
        <v>51</v>
      </c>
      <c r="P3433" s="8">
        <f t="shared" si="267"/>
        <v>23815</v>
      </c>
      <c r="Q3433" s="8">
        <f t="shared" si="268"/>
        <v>17937</v>
      </c>
      <c r="R3433" s="2" t="s">
        <v>50</v>
      </c>
      <c r="S3433" s="9">
        <f t="shared" si="269"/>
        <v>1190.75</v>
      </c>
    </row>
    <row r="3434" spans="1:19" x14ac:dyDescent="0.3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str">
        <f>IFERROR(VLOOKUP('Customer Info'!A3426,'Customer Info'!A3426:C3925,2,FALSE),"Not Found")</f>
        <v>Not Found</v>
      </c>
      <c r="H3434" s="6" t="str">
        <f>IFERROR(VLOOKUP('Customer Info'!A3426,'Customer Info'!A3426:C3925,3,FALSE),"Not Found")</f>
        <v>Not Found</v>
      </c>
      <c r="I3434" s="6" t="str">
        <f>IFERROR(VLOOKUP('Customer Info'!A3426,'Customer Info'!A3426:E3925,5,FALSE),"Not Found")</f>
        <v>Not Found</v>
      </c>
      <c r="J3434" s="2">
        <v>2874</v>
      </c>
      <c r="K3434" s="2">
        <v>2583</v>
      </c>
      <c r="L3434" s="2">
        <v>6</v>
      </c>
      <c r="M3434" s="7">
        <f t="shared" si="265"/>
        <v>15498</v>
      </c>
      <c r="N3434" s="7">
        <f t="shared" si="266"/>
        <v>17244</v>
      </c>
      <c r="O3434" s="2">
        <v>56</v>
      </c>
      <c r="P3434" s="8">
        <f t="shared" si="267"/>
        <v>17300</v>
      </c>
      <c r="Q3434" s="8">
        <f t="shared" si="268"/>
        <v>14661</v>
      </c>
      <c r="R3434" s="2" t="s">
        <v>28</v>
      </c>
      <c r="S3434" s="9">
        <f t="shared" si="269"/>
        <v>865</v>
      </c>
    </row>
    <row r="3435" spans="1:19" x14ac:dyDescent="0.3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str">
        <f>IFERROR(VLOOKUP('Customer Info'!A3427,'Customer Info'!A3427:C3926,2,FALSE),"Not Found")</f>
        <v>Not Found</v>
      </c>
      <c r="H3435" s="6" t="str">
        <f>IFERROR(VLOOKUP('Customer Info'!A3427,'Customer Info'!A3427:C3926,3,FALSE),"Not Found")</f>
        <v>Not Found</v>
      </c>
      <c r="I3435" s="6" t="str">
        <f>IFERROR(VLOOKUP('Customer Info'!A3427,'Customer Info'!A3427:E3926,5,FALSE),"Not Found")</f>
        <v>Not Found</v>
      </c>
      <c r="J3435" s="2">
        <v>2249</v>
      </c>
      <c r="K3435" s="2">
        <v>2102</v>
      </c>
      <c r="L3435" s="2">
        <v>3</v>
      </c>
      <c r="M3435" s="7">
        <f t="shared" si="265"/>
        <v>6306</v>
      </c>
      <c r="N3435" s="7">
        <f t="shared" si="266"/>
        <v>6747</v>
      </c>
      <c r="O3435" s="2">
        <v>30</v>
      </c>
      <c r="P3435" s="8">
        <f t="shared" si="267"/>
        <v>6777</v>
      </c>
      <c r="Q3435" s="8">
        <f t="shared" si="268"/>
        <v>4645</v>
      </c>
      <c r="R3435" s="2" t="s">
        <v>50</v>
      </c>
      <c r="S3435" s="9">
        <f t="shared" si="269"/>
        <v>338.85</v>
      </c>
    </row>
    <row r="3436" spans="1:19" x14ac:dyDescent="0.3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str">
        <f>IFERROR(VLOOKUP('Customer Info'!A3428,'Customer Info'!A3428:C3927,2,FALSE),"Not Found")</f>
        <v>Not Found</v>
      </c>
      <c r="H3436" s="6" t="str">
        <f>IFERROR(VLOOKUP('Customer Info'!A3428,'Customer Info'!A3428:C3927,3,FALSE),"Not Found")</f>
        <v>Not Found</v>
      </c>
      <c r="I3436" s="6" t="str">
        <f>IFERROR(VLOOKUP('Customer Info'!A3428,'Customer Info'!A3428:E3927,5,FALSE),"Not Found")</f>
        <v>Not Found</v>
      </c>
      <c r="J3436" s="2">
        <v>2310</v>
      </c>
      <c r="K3436" s="2">
        <v>2040</v>
      </c>
      <c r="L3436" s="2">
        <v>1</v>
      </c>
      <c r="M3436" s="7">
        <f t="shared" si="265"/>
        <v>2040</v>
      </c>
      <c r="N3436" s="7">
        <f t="shared" si="266"/>
        <v>2310</v>
      </c>
      <c r="O3436" s="2">
        <v>48</v>
      </c>
      <c r="P3436" s="8">
        <f t="shared" si="267"/>
        <v>2358</v>
      </c>
      <c r="Q3436" s="8">
        <f t="shared" si="268"/>
        <v>270</v>
      </c>
      <c r="R3436" s="2" t="s">
        <v>28</v>
      </c>
      <c r="S3436" s="9">
        <f t="shared" si="269"/>
        <v>47.160000000000004</v>
      </c>
    </row>
    <row r="3437" spans="1:19" x14ac:dyDescent="0.3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str">
        <f>IFERROR(VLOOKUP('Customer Info'!A3429,'Customer Info'!A3429:C3928,2,FALSE),"Not Found")</f>
        <v>Not Found</v>
      </c>
      <c r="H3437" s="6" t="str">
        <f>IFERROR(VLOOKUP('Customer Info'!A3429,'Customer Info'!A3429:C3928,3,FALSE),"Not Found")</f>
        <v>Not Found</v>
      </c>
      <c r="I3437" s="6" t="str">
        <f>IFERROR(VLOOKUP('Customer Info'!A3429,'Customer Info'!A3429:E3928,5,FALSE),"Not Found")</f>
        <v>Not Found</v>
      </c>
      <c r="J3437" s="2">
        <v>3224</v>
      </c>
      <c r="K3437" s="2">
        <v>2901</v>
      </c>
      <c r="L3437" s="2">
        <v>9</v>
      </c>
      <c r="M3437" s="7">
        <f t="shared" si="265"/>
        <v>26109</v>
      </c>
      <c r="N3437" s="7">
        <f t="shared" si="266"/>
        <v>29016</v>
      </c>
      <c r="O3437" s="2">
        <v>74</v>
      </c>
      <c r="P3437" s="8">
        <f t="shared" si="267"/>
        <v>29090</v>
      </c>
      <c r="Q3437" s="8">
        <f t="shared" si="268"/>
        <v>26115</v>
      </c>
      <c r="R3437" s="2" t="s">
        <v>50</v>
      </c>
      <c r="S3437" s="9">
        <f t="shared" si="269"/>
        <v>2036.3000000000002</v>
      </c>
    </row>
    <row r="3438" spans="1:19" x14ac:dyDescent="0.3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str">
        <f>IFERROR(VLOOKUP('Customer Info'!A3430,'Customer Info'!A3430:C3929,2,FALSE),"Not Found")</f>
        <v>Not Found</v>
      </c>
      <c r="H3438" s="6" t="str">
        <f>IFERROR(VLOOKUP('Customer Info'!A3430,'Customer Info'!A3430:C3929,3,FALSE),"Not Found")</f>
        <v>Not Found</v>
      </c>
      <c r="I3438" s="6" t="str">
        <f>IFERROR(VLOOKUP('Customer Info'!A3430,'Customer Info'!A3430:E3929,5,FALSE),"Not Found")</f>
        <v>Not Found</v>
      </c>
      <c r="J3438" s="2">
        <v>887</v>
      </c>
      <c r="K3438" s="2">
        <v>814</v>
      </c>
      <c r="L3438" s="2">
        <v>2</v>
      </c>
      <c r="M3438" s="7">
        <f t="shared" si="265"/>
        <v>1628</v>
      </c>
      <c r="N3438" s="7">
        <f t="shared" si="266"/>
        <v>1774</v>
      </c>
      <c r="O3438" s="2">
        <v>44</v>
      </c>
      <c r="P3438" s="8">
        <f t="shared" si="267"/>
        <v>1818</v>
      </c>
      <c r="Q3438" s="8">
        <f t="shared" si="268"/>
        <v>960</v>
      </c>
      <c r="R3438" s="2" t="s">
        <v>28</v>
      </c>
      <c r="S3438" s="9">
        <f t="shared" si="269"/>
        <v>36.36</v>
      </c>
    </row>
    <row r="3439" spans="1:19" x14ac:dyDescent="0.3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str">
        <f>IFERROR(VLOOKUP('Customer Info'!A3431,'Customer Info'!A3431:C3930,2,FALSE),"Not Found")</f>
        <v>Not Found</v>
      </c>
      <c r="H3439" s="6" t="str">
        <f>IFERROR(VLOOKUP('Customer Info'!A3431,'Customer Info'!A3431:C3930,3,FALSE),"Not Found")</f>
        <v>Not Found</v>
      </c>
      <c r="I3439" s="6" t="str">
        <f>IFERROR(VLOOKUP('Customer Info'!A3431,'Customer Info'!A3431:E3930,5,FALSE),"Not Found")</f>
        <v>Not Found</v>
      </c>
      <c r="J3439" s="2">
        <v>8630</v>
      </c>
      <c r="K3439" s="2">
        <v>8303</v>
      </c>
      <c r="L3439" s="2">
        <v>2</v>
      </c>
      <c r="M3439" s="7">
        <f t="shared" si="265"/>
        <v>16606</v>
      </c>
      <c r="N3439" s="7">
        <f t="shared" si="266"/>
        <v>17260</v>
      </c>
      <c r="O3439" s="2">
        <v>57</v>
      </c>
      <c r="P3439" s="8">
        <f t="shared" si="267"/>
        <v>17317</v>
      </c>
      <c r="Q3439" s="8">
        <f t="shared" si="268"/>
        <v>8957</v>
      </c>
      <c r="R3439" s="2" t="s">
        <v>28</v>
      </c>
      <c r="S3439" s="9">
        <f t="shared" si="269"/>
        <v>865.85</v>
      </c>
    </row>
    <row r="3440" spans="1:19" x14ac:dyDescent="0.3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str">
        <f>IFERROR(VLOOKUP('Customer Info'!A3432,'Customer Info'!A3432:C3931,2,FALSE),"Not Found")</f>
        <v>Not Found</v>
      </c>
      <c r="H3440" s="6" t="str">
        <f>IFERROR(VLOOKUP('Customer Info'!A3432,'Customer Info'!A3432:C3931,3,FALSE),"Not Found")</f>
        <v>Not Found</v>
      </c>
      <c r="I3440" s="6" t="str">
        <f>IFERROR(VLOOKUP('Customer Info'!A3432,'Customer Info'!A3432:E3931,5,FALSE),"Not Found")</f>
        <v>Not Found</v>
      </c>
      <c r="J3440" s="2">
        <v>978</v>
      </c>
      <c r="K3440" s="2">
        <v>922</v>
      </c>
      <c r="L3440" s="2">
        <v>2</v>
      </c>
      <c r="M3440" s="7">
        <f t="shared" si="265"/>
        <v>1844</v>
      </c>
      <c r="N3440" s="7">
        <f t="shared" si="266"/>
        <v>1956</v>
      </c>
      <c r="O3440" s="2">
        <v>68</v>
      </c>
      <c r="P3440" s="8">
        <f t="shared" si="267"/>
        <v>2024</v>
      </c>
      <c r="Q3440" s="8">
        <f t="shared" si="268"/>
        <v>1034</v>
      </c>
      <c r="R3440" s="2" t="s">
        <v>50</v>
      </c>
      <c r="S3440" s="9">
        <f t="shared" si="269"/>
        <v>40.480000000000004</v>
      </c>
    </row>
    <row r="3441" spans="1:19" x14ac:dyDescent="0.3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str">
        <f>IFERROR(VLOOKUP('Customer Info'!A3433,'Customer Info'!A3433:C3932,2,FALSE),"Not Found")</f>
        <v>Not Found</v>
      </c>
      <c r="H3441" s="6" t="str">
        <f>IFERROR(VLOOKUP('Customer Info'!A3433,'Customer Info'!A3433:C3932,3,FALSE),"Not Found")</f>
        <v>Not Found</v>
      </c>
      <c r="I3441" s="6" t="str">
        <f>IFERROR(VLOOKUP('Customer Info'!A3433,'Customer Info'!A3433:E3932,5,FALSE),"Not Found")</f>
        <v>Not Found</v>
      </c>
      <c r="J3441" s="2">
        <v>1246</v>
      </c>
      <c r="K3441" s="2">
        <v>1164</v>
      </c>
      <c r="L3441" s="2">
        <v>4</v>
      </c>
      <c r="M3441" s="7">
        <f t="shared" si="265"/>
        <v>4656</v>
      </c>
      <c r="N3441" s="7">
        <f t="shared" si="266"/>
        <v>4984</v>
      </c>
      <c r="O3441" s="2">
        <v>86</v>
      </c>
      <c r="P3441" s="8">
        <f t="shared" si="267"/>
        <v>5070</v>
      </c>
      <c r="Q3441" s="8">
        <f t="shared" si="268"/>
        <v>3820</v>
      </c>
      <c r="R3441" s="2" t="s">
        <v>28</v>
      </c>
      <c r="S3441" s="9">
        <f t="shared" si="269"/>
        <v>253.5</v>
      </c>
    </row>
    <row r="3442" spans="1:19" x14ac:dyDescent="0.3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str">
        <f>IFERROR(VLOOKUP('Customer Info'!A3434,'Customer Info'!A3434:C3933,2,FALSE),"Not Found")</f>
        <v>Not Found</v>
      </c>
      <c r="H3442" s="6" t="str">
        <f>IFERROR(VLOOKUP('Customer Info'!A3434,'Customer Info'!A3434:C3933,3,FALSE),"Not Found")</f>
        <v>Not Found</v>
      </c>
      <c r="I3442" s="6" t="str">
        <f>IFERROR(VLOOKUP('Customer Info'!A3434,'Customer Info'!A3434:E3933,5,FALSE),"Not Found")</f>
        <v>Not Found</v>
      </c>
      <c r="J3442" s="2">
        <v>185</v>
      </c>
      <c r="K3442" s="2">
        <v>174</v>
      </c>
      <c r="L3442" s="2">
        <v>5</v>
      </c>
      <c r="M3442" s="7">
        <f t="shared" si="265"/>
        <v>870</v>
      </c>
      <c r="N3442" s="7">
        <f t="shared" si="266"/>
        <v>925</v>
      </c>
      <c r="O3442" s="2">
        <v>30</v>
      </c>
      <c r="P3442" s="8">
        <f t="shared" si="267"/>
        <v>955</v>
      </c>
      <c r="Q3442" s="8">
        <f t="shared" si="268"/>
        <v>751</v>
      </c>
      <c r="R3442" s="2" t="s">
        <v>50</v>
      </c>
      <c r="S3442" s="9">
        <f t="shared" si="269"/>
        <v>19.100000000000001</v>
      </c>
    </row>
    <row r="3443" spans="1:19" x14ac:dyDescent="0.3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str">
        <f>IFERROR(VLOOKUP('Customer Info'!A3435,'Customer Info'!A3435:C3934,2,FALSE),"Not Found")</f>
        <v>Not Found</v>
      </c>
      <c r="H3443" s="6" t="str">
        <f>IFERROR(VLOOKUP('Customer Info'!A3435,'Customer Info'!A3435:C3934,3,FALSE),"Not Found")</f>
        <v>Not Found</v>
      </c>
      <c r="I3443" s="6" t="str">
        <f>IFERROR(VLOOKUP('Customer Info'!A3435,'Customer Info'!A3435:E3934,5,FALSE),"Not Found")</f>
        <v>Not Found</v>
      </c>
      <c r="J3443" s="2">
        <v>6717</v>
      </c>
      <c r="K3443" s="2">
        <v>6288</v>
      </c>
      <c r="L3443" s="2">
        <v>1</v>
      </c>
      <c r="M3443" s="7">
        <f t="shared" si="265"/>
        <v>6288</v>
      </c>
      <c r="N3443" s="7">
        <f t="shared" si="266"/>
        <v>6717</v>
      </c>
      <c r="O3443" s="2">
        <v>84</v>
      </c>
      <c r="P3443" s="8">
        <f t="shared" si="267"/>
        <v>6801</v>
      </c>
      <c r="Q3443" s="8">
        <f t="shared" si="268"/>
        <v>429</v>
      </c>
      <c r="R3443" s="2" t="s">
        <v>28</v>
      </c>
      <c r="S3443" s="9">
        <f t="shared" si="269"/>
        <v>340.05</v>
      </c>
    </row>
    <row r="3444" spans="1:19" x14ac:dyDescent="0.3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str">
        <f>IFERROR(VLOOKUP('Customer Info'!A3436,'Customer Info'!A3436:C3935,2,FALSE),"Not Found")</f>
        <v>Not Found</v>
      </c>
      <c r="H3444" s="6" t="str">
        <f>IFERROR(VLOOKUP('Customer Info'!A3436,'Customer Info'!A3436:C3935,3,FALSE),"Not Found")</f>
        <v>Not Found</v>
      </c>
      <c r="I3444" s="6" t="str">
        <f>IFERROR(VLOOKUP('Customer Info'!A3436,'Customer Info'!A3436:E3935,5,FALSE),"Not Found")</f>
        <v>Not Found</v>
      </c>
      <c r="J3444" s="2">
        <v>169</v>
      </c>
      <c r="K3444" s="2">
        <v>154</v>
      </c>
      <c r="L3444" s="2">
        <v>2</v>
      </c>
      <c r="M3444" s="7">
        <f t="shared" si="265"/>
        <v>308</v>
      </c>
      <c r="N3444" s="7">
        <f t="shared" si="266"/>
        <v>338</v>
      </c>
      <c r="O3444" s="2">
        <v>30</v>
      </c>
      <c r="P3444" s="8">
        <f t="shared" si="267"/>
        <v>368</v>
      </c>
      <c r="Q3444" s="8">
        <f t="shared" si="268"/>
        <v>184</v>
      </c>
      <c r="R3444" s="2" t="s">
        <v>28</v>
      </c>
      <c r="S3444" s="9">
        <f t="shared" si="269"/>
        <v>7.36</v>
      </c>
    </row>
    <row r="3445" spans="1:19" x14ac:dyDescent="0.3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str">
        <f>IFERROR(VLOOKUP('Customer Info'!A3437,'Customer Info'!A3437:C3936,2,FALSE),"Not Found")</f>
        <v>Not Found</v>
      </c>
      <c r="H3445" s="6" t="str">
        <f>IFERROR(VLOOKUP('Customer Info'!A3437,'Customer Info'!A3437:C3936,3,FALSE),"Not Found")</f>
        <v>Not Found</v>
      </c>
      <c r="I3445" s="6" t="str">
        <f>IFERROR(VLOOKUP('Customer Info'!A3437,'Customer Info'!A3437:E3936,5,FALSE),"Not Found")</f>
        <v>Not Found</v>
      </c>
      <c r="J3445" s="2">
        <v>3192</v>
      </c>
      <c r="K3445" s="2">
        <v>3011</v>
      </c>
      <c r="L3445" s="2">
        <v>3</v>
      </c>
      <c r="M3445" s="7">
        <f t="shared" si="265"/>
        <v>9033</v>
      </c>
      <c r="N3445" s="7">
        <f t="shared" si="266"/>
        <v>9576</v>
      </c>
      <c r="O3445" s="2">
        <v>72</v>
      </c>
      <c r="P3445" s="8">
        <f t="shared" si="267"/>
        <v>9648</v>
      </c>
      <c r="Q3445" s="8">
        <f t="shared" si="268"/>
        <v>6565</v>
      </c>
      <c r="R3445" s="2" t="s">
        <v>28</v>
      </c>
      <c r="S3445" s="9">
        <f t="shared" si="269"/>
        <v>482.40000000000003</v>
      </c>
    </row>
    <row r="3446" spans="1:19" x14ac:dyDescent="0.3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str">
        <f>IFERROR(VLOOKUP('Customer Info'!A3438,'Customer Info'!A3438:C3937,2,FALSE),"Not Found")</f>
        <v>Not Found</v>
      </c>
      <c r="H3446" s="6" t="str">
        <f>IFERROR(VLOOKUP('Customer Info'!A3438,'Customer Info'!A3438:C3937,3,FALSE),"Not Found")</f>
        <v>Not Found</v>
      </c>
      <c r="I3446" s="6" t="str">
        <f>IFERROR(VLOOKUP('Customer Info'!A3438,'Customer Info'!A3438:E3937,5,FALSE),"Not Found")</f>
        <v>Not Found</v>
      </c>
      <c r="J3446" s="2">
        <v>206</v>
      </c>
      <c r="K3446" s="2">
        <v>189</v>
      </c>
      <c r="L3446" s="2">
        <v>5</v>
      </c>
      <c r="M3446" s="7">
        <f t="shared" si="265"/>
        <v>945</v>
      </c>
      <c r="N3446" s="7">
        <f t="shared" si="266"/>
        <v>1030</v>
      </c>
      <c r="O3446" s="2">
        <v>30</v>
      </c>
      <c r="P3446" s="8">
        <f t="shared" si="267"/>
        <v>1060</v>
      </c>
      <c r="Q3446" s="8">
        <f t="shared" si="268"/>
        <v>841</v>
      </c>
      <c r="R3446" s="2" t="s">
        <v>28</v>
      </c>
      <c r="S3446" s="9">
        <f t="shared" si="269"/>
        <v>21.2</v>
      </c>
    </row>
    <row r="3447" spans="1:19" x14ac:dyDescent="0.3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str">
        <f>IFERROR(VLOOKUP('Customer Info'!A3439,'Customer Info'!A3439:C3938,2,FALSE),"Not Found")</f>
        <v>Not Found</v>
      </c>
      <c r="H3447" s="6" t="str">
        <f>IFERROR(VLOOKUP('Customer Info'!A3439,'Customer Info'!A3439:C3938,3,FALSE),"Not Found")</f>
        <v>Not Found</v>
      </c>
      <c r="I3447" s="6" t="str">
        <f>IFERROR(VLOOKUP('Customer Info'!A3439,'Customer Info'!A3439:E3938,5,FALSE),"Not Found")</f>
        <v>Not Found</v>
      </c>
      <c r="J3447" s="2">
        <v>7021</v>
      </c>
      <c r="K3447" s="2">
        <v>6686</v>
      </c>
      <c r="L3447" s="2">
        <v>3</v>
      </c>
      <c r="M3447" s="7">
        <f t="shared" si="265"/>
        <v>20058</v>
      </c>
      <c r="N3447" s="7">
        <f t="shared" si="266"/>
        <v>21063</v>
      </c>
      <c r="O3447" s="2">
        <v>64</v>
      </c>
      <c r="P3447" s="8">
        <f t="shared" si="267"/>
        <v>21127</v>
      </c>
      <c r="Q3447" s="8">
        <f t="shared" si="268"/>
        <v>14377</v>
      </c>
      <c r="R3447" s="2" t="s">
        <v>50</v>
      </c>
      <c r="S3447" s="9">
        <f t="shared" si="269"/>
        <v>1056.3500000000001</v>
      </c>
    </row>
    <row r="3448" spans="1:19" x14ac:dyDescent="0.3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str">
        <f>IFERROR(VLOOKUP('Customer Info'!A3440,'Customer Info'!A3440:C3939,2,FALSE),"Not Found")</f>
        <v>Not Found</v>
      </c>
      <c r="H3448" s="6" t="str">
        <f>IFERROR(VLOOKUP('Customer Info'!A3440,'Customer Info'!A3440:C3939,3,FALSE),"Not Found")</f>
        <v>Not Found</v>
      </c>
      <c r="I3448" s="6" t="str">
        <f>IFERROR(VLOOKUP('Customer Info'!A3440,'Customer Info'!A3440:E3939,5,FALSE),"Not Found")</f>
        <v>Not Found</v>
      </c>
      <c r="J3448" s="2">
        <v>1321</v>
      </c>
      <c r="K3448" s="2">
        <v>1211</v>
      </c>
      <c r="L3448" s="2">
        <v>3</v>
      </c>
      <c r="M3448" s="7">
        <f t="shared" si="265"/>
        <v>3633</v>
      </c>
      <c r="N3448" s="7">
        <f t="shared" si="266"/>
        <v>3963</v>
      </c>
      <c r="O3448" s="2">
        <v>21</v>
      </c>
      <c r="P3448" s="8">
        <f t="shared" si="267"/>
        <v>3984</v>
      </c>
      <c r="Q3448" s="8">
        <f t="shared" si="268"/>
        <v>2752</v>
      </c>
      <c r="R3448" s="2" t="s">
        <v>28</v>
      </c>
      <c r="S3448" s="9">
        <f t="shared" si="269"/>
        <v>79.680000000000007</v>
      </c>
    </row>
    <row r="3449" spans="1:19" x14ac:dyDescent="0.3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str">
        <f>IFERROR(VLOOKUP('Customer Info'!A3441,'Customer Info'!A3441:C3940,2,FALSE),"Not Found")</f>
        <v>Not Found</v>
      </c>
      <c r="H3449" s="6" t="str">
        <f>IFERROR(VLOOKUP('Customer Info'!A3441,'Customer Info'!A3441:C3940,3,FALSE),"Not Found")</f>
        <v>Not Found</v>
      </c>
      <c r="I3449" s="6" t="str">
        <f>IFERROR(VLOOKUP('Customer Info'!A3441,'Customer Info'!A3441:E3940,5,FALSE),"Not Found")</f>
        <v>Not Found</v>
      </c>
      <c r="J3449" s="2">
        <v>900</v>
      </c>
      <c r="K3449" s="2">
        <v>834</v>
      </c>
      <c r="L3449" s="2">
        <v>3</v>
      </c>
      <c r="M3449" s="7">
        <f t="shared" si="265"/>
        <v>2502</v>
      </c>
      <c r="N3449" s="7">
        <f t="shared" si="266"/>
        <v>2700</v>
      </c>
      <c r="O3449" s="2">
        <v>28</v>
      </c>
      <c r="P3449" s="8">
        <f t="shared" si="267"/>
        <v>2728</v>
      </c>
      <c r="Q3449" s="8">
        <f t="shared" si="268"/>
        <v>1866</v>
      </c>
      <c r="R3449" s="2" t="s">
        <v>28</v>
      </c>
      <c r="S3449" s="9">
        <f t="shared" si="269"/>
        <v>54.56</v>
      </c>
    </row>
    <row r="3450" spans="1:19" x14ac:dyDescent="0.3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str">
        <f>IFERROR(VLOOKUP('Customer Info'!A3442,'Customer Info'!A3442:C3941,2,FALSE),"Not Found")</f>
        <v>Not Found</v>
      </c>
      <c r="H3450" s="6" t="str">
        <f>IFERROR(VLOOKUP('Customer Info'!A3442,'Customer Info'!A3442:C3941,3,FALSE),"Not Found")</f>
        <v>Not Found</v>
      </c>
      <c r="I3450" s="6" t="str">
        <f>IFERROR(VLOOKUP('Customer Info'!A3442,'Customer Info'!A3442:E3941,5,FALSE),"Not Found")</f>
        <v>Not Found</v>
      </c>
      <c r="J3450" s="2">
        <v>6701</v>
      </c>
      <c r="K3450" s="2">
        <v>6384</v>
      </c>
      <c r="L3450" s="2">
        <v>2</v>
      </c>
      <c r="M3450" s="7">
        <f t="shared" si="265"/>
        <v>12768</v>
      </c>
      <c r="N3450" s="7">
        <f t="shared" si="266"/>
        <v>13402</v>
      </c>
      <c r="O3450" s="2">
        <v>87</v>
      </c>
      <c r="P3450" s="8">
        <f t="shared" si="267"/>
        <v>13489</v>
      </c>
      <c r="Q3450" s="8">
        <f t="shared" si="268"/>
        <v>7018</v>
      </c>
      <c r="R3450" s="2" t="s">
        <v>28</v>
      </c>
      <c r="S3450" s="9">
        <f t="shared" si="269"/>
        <v>674.45</v>
      </c>
    </row>
    <row r="3451" spans="1:19" x14ac:dyDescent="0.3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str">
        <f>IFERROR(VLOOKUP('Customer Info'!A3443,'Customer Info'!A3443:C3942,2,FALSE),"Not Found")</f>
        <v>Not Found</v>
      </c>
      <c r="H3451" s="6" t="str">
        <f>IFERROR(VLOOKUP('Customer Info'!A3443,'Customer Info'!A3443:C3942,3,FALSE),"Not Found")</f>
        <v>Not Found</v>
      </c>
      <c r="I3451" s="6" t="str">
        <f>IFERROR(VLOOKUP('Customer Info'!A3443,'Customer Info'!A3443:E3942,5,FALSE),"Not Found")</f>
        <v>Not Found</v>
      </c>
      <c r="J3451" s="2">
        <v>3408</v>
      </c>
      <c r="K3451" s="2">
        <v>3215</v>
      </c>
      <c r="L3451" s="2">
        <v>6</v>
      </c>
      <c r="M3451" s="7">
        <f t="shared" si="265"/>
        <v>19290</v>
      </c>
      <c r="N3451" s="7">
        <f t="shared" si="266"/>
        <v>20448</v>
      </c>
      <c r="O3451" s="2">
        <v>20</v>
      </c>
      <c r="P3451" s="8">
        <f t="shared" si="267"/>
        <v>20468</v>
      </c>
      <c r="Q3451" s="8">
        <f t="shared" si="268"/>
        <v>17233</v>
      </c>
      <c r="R3451" s="2" t="s">
        <v>26</v>
      </c>
      <c r="S3451" s="9">
        <f t="shared" si="269"/>
        <v>1023.4000000000001</v>
      </c>
    </row>
    <row r="3452" spans="1:19" x14ac:dyDescent="0.3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str">
        <f>IFERROR(VLOOKUP('Customer Info'!A3444,'Customer Info'!A3444:C3943,2,FALSE),"Not Found")</f>
        <v>Not Found</v>
      </c>
      <c r="H3452" s="6" t="str">
        <f>IFERROR(VLOOKUP('Customer Info'!A3444,'Customer Info'!A3444:C3943,3,FALSE),"Not Found")</f>
        <v>Not Found</v>
      </c>
      <c r="I3452" s="6" t="str">
        <f>IFERROR(VLOOKUP('Customer Info'!A3444,'Customer Info'!A3444:E3943,5,FALSE),"Not Found")</f>
        <v>Not Found</v>
      </c>
      <c r="J3452" s="2">
        <v>8202</v>
      </c>
      <c r="K3452" s="2">
        <v>7594</v>
      </c>
      <c r="L3452" s="2">
        <v>6</v>
      </c>
      <c r="M3452" s="7">
        <f t="shared" si="265"/>
        <v>45564</v>
      </c>
      <c r="N3452" s="7">
        <f t="shared" si="266"/>
        <v>49212</v>
      </c>
      <c r="O3452" s="2">
        <v>48</v>
      </c>
      <c r="P3452" s="8">
        <f t="shared" si="267"/>
        <v>49260</v>
      </c>
      <c r="Q3452" s="8">
        <f t="shared" si="268"/>
        <v>41618</v>
      </c>
      <c r="R3452" s="2" t="s">
        <v>50</v>
      </c>
      <c r="S3452" s="9">
        <f t="shared" si="269"/>
        <v>3448.2000000000003</v>
      </c>
    </row>
    <row r="3453" spans="1:19" x14ac:dyDescent="0.3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str">
        <f>IFERROR(VLOOKUP('Customer Info'!A3445,'Customer Info'!A3445:C3944,2,FALSE),"Not Found")</f>
        <v>Not Found</v>
      </c>
      <c r="H3453" s="6" t="str">
        <f>IFERROR(VLOOKUP('Customer Info'!A3445,'Customer Info'!A3445:C3944,3,FALSE),"Not Found")</f>
        <v>Not Found</v>
      </c>
      <c r="I3453" s="6" t="str">
        <f>IFERROR(VLOOKUP('Customer Info'!A3445,'Customer Info'!A3445:E3944,5,FALSE),"Not Found")</f>
        <v>Not Found</v>
      </c>
      <c r="J3453" s="2">
        <v>199</v>
      </c>
      <c r="K3453" s="2">
        <v>176</v>
      </c>
      <c r="L3453" s="2">
        <v>2</v>
      </c>
      <c r="M3453" s="7">
        <f t="shared" si="265"/>
        <v>352</v>
      </c>
      <c r="N3453" s="7">
        <f t="shared" si="266"/>
        <v>398</v>
      </c>
      <c r="O3453" s="2">
        <v>30</v>
      </c>
      <c r="P3453" s="8">
        <f t="shared" si="267"/>
        <v>428</v>
      </c>
      <c r="Q3453" s="8">
        <f t="shared" si="268"/>
        <v>222</v>
      </c>
      <c r="R3453" s="2" t="s">
        <v>28</v>
      </c>
      <c r="S3453" s="9">
        <f t="shared" si="269"/>
        <v>8.56</v>
      </c>
    </row>
    <row r="3454" spans="1:19" x14ac:dyDescent="0.3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str">
        <f>IFERROR(VLOOKUP('Customer Info'!A3446,'Customer Info'!A3446:C3945,2,FALSE),"Not Found")</f>
        <v>Not Found</v>
      </c>
      <c r="H3454" s="6" t="str">
        <f>IFERROR(VLOOKUP('Customer Info'!A3446,'Customer Info'!A3446:C3945,3,FALSE),"Not Found")</f>
        <v>Not Found</v>
      </c>
      <c r="I3454" s="6" t="str">
        <f>IFERROR(VLOOKUP('Customer Info'!A3446,'Customer Info'!A3446:E3945,5,FALSE),"Not Found")</f>
        <v>Not Found</v>
      </c>
      <c r="J3454" s="2">
        <v>4846</v>
      </c>
      <c r="K3454" s="2">
        <v>4492</v>
      </c>
      <c r="L3454" s="2">
        <v>4</v>
      </c>
      <c r="M3454" s="7">
        <f t="shared" si="265"/>
        <v>17968</v>
      </c>
      <c r="N3454" s="7">
        <f t="shared" si="266"/>
        <v>19384</v>
      </c>
      <c r="O3454" s="2">
        <v>22</v>
      </c>
      <c r="P3454" s="8">
        <f t="shared" si="267"/>
        <v>19406</v>
      </c>
      <c r="Q3454" s="8">
        <f t="shared" si="268"/>
        <v>14892</v>
      </c>
      <c r="R3454" s="2" t="s">
        <v>50</v>
      </c>
      <c r="S3454" s="9">
        <f t="shared" si="269"/>
        <v>970.30000000000007</v>
      </c>
    </row>
    <row r="3455" spans="1:19" x14ac:dyDescent="0.3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str">
        <f>IFERROR(VLOOKUP('Customer Info'!A3447,'Customer Info'!A3447:C3946,2,FALSE),"Not Found")</f>
        <v>Not Found</v>
      </c>
      <c r="H3455" s="6" t="str">
        <f>IFERROR(VLOOKUP('Customer Info'!A3447,'Customer Info'!A3447:C3946,3,FALSE),"Not Found")</f>
        <v>Not Found</v>
      </c>
      <c r="I3455" s="6" t="str">
        <f>IFERROR(VLOOKUP('Customer Info'!A3447,'Customer Info'!A3447:E3946,5,FALSE),"Not Found")</f>
        <v>Not Found</v>
      </c>
      <c r="J3455" s="2">
        <v>1637</v>
      </c>
      <c r="K3455" s="2">
        <v>1532</v>
      </c>
      <c r="L3455" s="2">
        <v>2</v>
      </c>
      <c r="M3455" s="7">
        <f t="shared" si="265"/>
        <v>3064</v>
      </c>
      <c r="N3455" s="7">
        <f t="shared" si="266"/>
        <v>3274</v>
      </c>
      <c r="O3455" s="2">
        <v>67</v>
      </c>
      <c r="P3455" s="8">
        <f t="shared" si="267"/>
        <v>3341</v>
      </c>
      <c r="Q3455" s="8">
        <f t="shared" si="268"/>
        <v>1742</v>
      </c>
      <c r="R3455" s="2" t="s">
        <v>50</v>
      </c>
      <c r="S3455" s="9">
        <f t="shared" si="269"/>
        <v>66.820000000000007</v>
      </c>
    </row>
    <row r="3456" spans="1:19" x14ac:dyDescent="0.3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str">
        <f>IFERROR(VLOOKUP('Customer Info'!A3448,'Customer Info'!A3448:C3947,2,FALSE),"Not Found")</f>
        <v>Not Found</v>
      </c>
      <c r="H3456" s="6" t="str">
        <f>IFERROR(VLOOKUP('Customer Info'!A3448,'Customer Info'!A3448:C3947,3,FALSE),"Not Found")</f>
        <v>Not Found</v>
      </c>
      <c r="I3456" s="6" t="str">
        <f>IFERROR(VLOOKUP('Customer Info'!A3448,'Customer Info'!A3448:E3947,5,FALSE),"Not Found")</f>
        <v>Not Found</v>
      </c>
      <c r="J3456" s="2">
        <v>7315</v>
      </c>
      <c r="K3456" s="2">
        <v>6967</v>
      </c>
      <c r="L3456" s="2">
        <v>1</v>
      </c>
      <c r="M3456" s="7">
        <f t="shared" si="265"/>
        <v>6967</v>
      </c>
      <c r="N3456" s="7">
        <f t="shared" si="266"/>
        <v>7315</v>
      </c>
      <c r="O3456" s="2">
        <v>52</v>
      </c>
      <c r="P3456" s="8">
        <f t="shared" si="267"/>
        <v>7367</v>
      </c>
      <c r="Q3456" s="8">
        <f t="shared" si="268"/>
        <v>348</v>
      </c>
      <c r="R3456" s="2" t="s">
        <v>28</v>
      </c>
      <c r="S3456" s="9">
        <f t="shared" si="269"/>
        <v>368.35</v>
      </c>
    </row>
    <row r="3457" spans="1:19" x14ac:dyDescent="0.3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str">
        <f>IFERROR(VLOOKUP('Customer Info'!A3449,'Customer Info'!A3449:C3948,2,FALSE),"Not Found")</f>
        <v>Not Found</v>
      </c>
      <c r="H3457" s="6" t="str">
        <f>IFERROR(VLOOKUP('Customer Info'!A3449,'Customer Info'!A3449:C3948,3,FALSE),"Not Found")</f>
        <v>Not Found</v>
      </c>
      <c r="I3457" s="6" t="str">
        <f>IFERROR(VLOOKUP('Customer Info'!A3449,'Customer Info'!A3449:E3948,5,FALSE),"Not Found")</f>
        <v>Not Found</v>
      </c>
      <c r="J3457" s="2">
        <v>5882</v>
      </c>
      <c r="K3457" s="2">
        <v>5713</v>
      </c>
      <c r="L3457" s="2">
        <v>1</v>
      </c>
      <c r="M3457" s="7">
        <f t="shared" si="265"/>
        <v>5713</v>
      </c>
      <c r="N3457" s="7">
        <f t="shared" si="266"/>
        <v>5882</v>
      </c>
      <c r="O3457" s="2">
        <v>33</v>
      </c>
      <c r="P3457" s="8">
        <f t="shared" si="267"/>
        <v>5915</v>
      </c>
      <c r="Q3457" s="8">
        <f t="shared" si="268"/>
        <v>169</v>
      </c>
      <c r="R3457" s="2" t="s">
        <v>26</v>
      </c>
      <c r="S3457" s="9">
        <f t="shared" si="269"/>
        <v>295.75</v>
      </c>
    </row>
    <row r="3458" spans="1:19" x14ac:dyDescent="0.3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str">
        <f>IFERROR(VLOOKUP('Customer Info'!A3450,'Customer Info'!A3450:C3949,2,FALSE),"Not Found")</f>
        <v>Not Found</v>
      </c>
      <c r="H3458" s="6" t="str">
        <f>IFERROR(VLOOKUP('Customer Info'!A3450,'Customer Info'!A3450:C3949,3,FALSE),"Not Found")</f>
        <v>Not Found</v>
      </c>
      <c r="I3458" s="6" t="str">
        <f>IFERROR(VLOOKUP('Customer Info'!A3450,'Customer Info'!A3450:E3949,5,FALSE),"Not Found")</f>
        <v>Not Found</v>
      </c>
      <c r="J3458" s="2">
        <v>210</v>
      </c>
      <c r="K3458" s="2">
        <v>193</v>
      </c>
      <c r="L3458" s="2">
        <v>10</v>
      </c>
      <c r="M3458" s="7">
        <f t="shared" si="265"/>
        <v>1930</v>
      </c>
      <c r="N3458" s="7">
        <f t="shared" si="266"/>
        <v>2100</v>
      </c>
      <c r="O3458" s="2">
        <v>43</v>
      </c>
      <c r="P3458" s="8">
        <f t="shared" si="267"/>
        <v>2143</v>
      </c>
      <c r="Q3458" s="8">
        <f t="shared" si="268"/>
        <v>1907</v>
      </c>
      <c r="R3458" s="2" t="s">
        <v>28</v>
      </c>
      <c r="S3458" s="9">
        <f t="shared" si="269"/>
        <v>42.86</v>
      </c>
    </row>
    <row r="3459" spans="1:19" x14ac:dyDescent="0.3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str">
        <f>IFERROR(VLOOKUP('Customer Info'!A3451,'Customer Info'!A3451:C3950,2,FALSE),"Not Found")</f>
        <v>Not Found</v>
      </c>
      <c r="H3459" s="6" t="str">
        <f>IFERROR(VLOOKUP('Customer Info'!A3451,'Customer Info'!A3451:C3950,3,FALSE),"Not Found")</f>
        <v>Not Found</v>
      </c>
      <c r="I3459" s="6" t="str">
        <f>IFERROR(VLOOKUP('Customer Info'!A3451,'Customer Info'!A3451:E3950,5,FALSE),"Not Found")</f>
        <v>Not Found</v>
      </c>
      <c r="J3459" s="2">
        <v>59</v>
      </c>
      <c r="K3459" s="2">
        <v>55</v>
      </c>
      <c r="L3459" s="2">
        <v>3</v>
      </c>
      <c r="M3459" s="7">
        <f t="shared" si="265"/>
        <v>165</v>
      </c>
      <c r="N3459" s="7">
        <f t="shared" si="266"/>
        <v>177</v>
      </c>
      <c r="O3459" s="2">
        <v>10</v>
      </c>
      <c r="P3459" s="8">
        <f t="shared" si="267"/>
        <v>187</v>
      </c>
      <c r="Q3459" s="8">
        <f t="shared" si="268"/>
        <v>122</v>
      </c>
      <c r="R3459" s="2" t="s">
        <v>28</v>
      </c>
      <c r="S3459" s="9">
        <f t="shared" si="269"/>
        <v>3.74</v>
      </c>
    </row>
    <row r="3460" spans="1:19" x14ac:dyDescent="0.3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str">
        <f>IFERROR(VLOOKUP('Customer Info'!A3452,'Customer Info'!A3452:C3951,2,FALSE),"Not Found")</f>
        <v>Not Found</v>
      </c>
      <c r="H3460" s="6" t="str">
        <f>IFERROR(VLOOKUP('Customer Info'!A3452,'Customer Info'!A3452:C3951,3,FALSE),"Not Found")</f>
        <v>Not Found</v>
      </c>
      <c r="I3460" s="6" t="str">
        <f>IFERROR(VLOOKUP('Customer Info'!A3452,'Customer Info'!A3452:E3951,5,FALSE),"Not Found")</f>
        <v>Not Found</v>
      </c>
      <c r="J3460" s="2">
        <v>3354</v>
      </c>
      <c r="K3460" s="2">
        <v>3102</v>
      </c>
      <c r="L3460" s="2">
        <v>3</v>
      </c>
      <c r="M3460" s="7">
        <f t="shared" si="265"/>
        <v>9306</v>
      </c>
      <c r="N3460" s="7">
        <f t="shared" si="266"/>
        <v>10062</v>
      </c>
      <c r="O3460" s="2">
        <v>41</v>
      </c>
      <c r="P3460" s="8">
        <f t="shared" si="267"/>
        <v>10103</v>
      </c>
      <c r="Q3460" s="8">
        <f t="shared" si="268"/>
        <v>6960</v>
      </c>
      <c r="R3460" s="2" t="s">
        <v>28</v>
      </c>
      <c r="S3460" s="9">
        <f t="shared" si="269"/>
        <v>505.15000000000003</v>
      </c>
    </row>
    <row r="3461" spans="1:19" x14ac:dyDescent="0.3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str">
        <f>IFERROR(VLOOKUP('Customer Info'!A3453,'Customer Info'!A3453:C3952,2,FALSE),"Not Found")</f>
        <v>Not Found</v>
      </c>
      <c r="H3461" s="6" t="str">
        <f>IFERROR(VLOOKUP('Customer Info'!A3453,'Customer Info'!A3453:C3952,3,FALSE),"Not Found")</f>
        <v>Not Found</v>
      </c>
      <c r="I3461" s="6" t="str">
        <f>IFERROR(VLOOKUP('Customer Info'!A3453,'Customer Info'!A3453:E3952,5,FALSE),"Not Found")</f>
        <v>Not Found</v>
      </c>
      <c r="J3461" s="2">
        <v>101</v>
      </c>
      <c r="K3461" s="2">
        <v>98</v>
      </c>
      <c r="L3461" s="2">
        <v>1</v>
      </c>
      <c r="M3461" s="7">
        <f t="shared" si="265"/>
        <v>98</v>
      </c>
      <c r="N3461" s="7">
        <f t="shared" si="266"/>
        <v>101</v>
      </c>
      <c r="O3461" s="2">
        <v>10</v>
      </c>
      <c r="P3461" s="8">
        <f t="shared" si="267"/>
        <v>111</v>
      </c>
      <c r="Q3461" s="8">
        <f t="shared" si="268"/>
        <v>3</v>
      </c>
      <c r="R3461" s="2" t="s">
        <v>56</v>
      </c>
      <c r="S3461" s="9">
        <f t="shared" si="269"/>
        <v>2.2200000000000002</v>
      </c>
    </row>
    <row r="3462" spans="1:19" x14ac:dyDescent="0.3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str">
        <f>IFERROR(VLOOKUP('Customer Info'!A3454,'Customer Info'!A3454:C3953,2,FALSE),"Not Found")</f>
        <v>Not Found</v>
      </c>
      <c r="H3462" s="6" t="str">
        <f>IFERROR(VLOOKUP('Customer Info'!A3454,'Customer Info'!A3454:C3953,3,FALSE),"Not Found")</f>
        <v>Not Found</v>
      </c>
      <c r="I3462" s="6" t="str">
        <f>IFERROR(VLOOKUP('Customer Info'!A3454,'Customer Info'!A3454:E3953,5,FALSE),"Not Found")</f>
        <v>Not Found</v>
      </c>
      <c r="J3462" s="2">
        <v>542</v>
      </c>
      <c r="K3462" s="2">
        <v>492</v>
      </c>
      <c r="L3462" s="2">
        <v>3</v>
      </c>
      <c r="M3462" s="7">
        <f t="shared" si="265"/>
        <v>1476</v>
      </c>
      <c r="N3462" s="7">
        <f t="shared" si="266"/>
        <v>1626</v>
      </c>
      <c r="O3462" s="2">
        <v>69</v>
      </c>
      <c r="P3462" s="8">
        <f t="shared" si="267"/>
        <v>1695</v>
      </c>
      <c r="Q3462" s="8">
        <f t="shared" si="268"/>
        <v>1134</v>
      </c>
      <c r="R3462" s="2" t="s">
        <v>28</v>
      </c>
      <c r="S3462" s="9">
        <f t="shared" si="269"/>
        <v>33.9</v>
      </c>
    </row>
    <row r="3463" spans="1:19" x14ac:dyDescent="0.3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str">
        <f>IFERROR(VLOOKUP('Customer Info'!A3455,'Customer Info'!A3455:C3954,2,FALSE),"Not Found")</f>
        <v>Not Found</v>
      </c>
      <c r="H3463" s="6" t="str">
        <f>IFERROR(VLOOKUP('Customer Info'!A3455,'Customer Info'!A3455:C3954,3,FALSE),"Not Found")</f>
        <v>Not Found</v>
      </c>
      <c r="I3463" s="6" t="str">
        <f>IFERROR(VLOOKUP('Customer Info'!A3455,'Customer Info'!A3455:E3954,5,FALSE),"Not Found")</f>
        <v>Not Found</v>
      </c>
      <c r="J3463" s="2">
        <v>626</v>
      </c>
      <c r="K3463" s="2">
        <v>559</v>
      </c>
      <c r="L3463" s="2">
        <v>1</v>
      </c>
      <c r="M3463" s="7">
        <f t="shared" si="265"/>
        <v>559</v>
      </c>
      <c r="N3463" s="7">
        <f t="shared" si="266"/>
        <v>626</v>
      </c>
      <c r="O3463" s="2">
        <v>40</v>
      </c>
      <c r="P3463" s="8">
        <f t="shared" si="267"/>
        <v>666</v>
      </c>
      <c r="Q3463" s="8">
        <f t="shared" si="268"/>
        <v>67</v>
      </c>
      <c r="R3463" s="2" t="s">
        <v>26</v>
      </c>
      <c r="S3463" s="9">
        <f t="shared" si="269"/>
        <v>13.32</v>
      </c>
    </row>
    <row r="3464" spans="1:19" x14ac:dyDescent="0.3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str">
        <f>IFERROR(VLOOKUP('Customer Info'!A3456,'Customer Info'!A3456:C3955,2,FALSE),"Not Found")</f>
        <v>Not Found</v>
      </c>
      <c r="H3464" s="6" t="str">
        <f>IFERROR(VLOOKUP('Customer Info'!A3456,'Customer Info'!A3456:C3955,3,FALSE),"Not Found")</f>
        <v>Not Found</v>
      </c>
      <c r="I3464" s="6" t="str">
        <f>IFERROR(VLOOKUP('Customer Info'!A3456,'Customer Info'!A3456:E3955,5,FALSE),"Not Found")</f>
        <v>Not Found</v>
      </c>
      <c r="J3464" s="2">
        <v>173</v>
      </c>
      <c r="K3464" s="2">
        <v>155</v>
      </c>
      <c r="L3464" s="2">
        <v>9</v>
      </c>
      <c r="M3464" s="7">
        <f t="shared" si="265"/>
        <v>1395</v>
      </c>
      <c r="N3464" s="7">
        <f t="shared" si="266"/>
        <v>1557</v>
      </c>
      <c r="O3464" s="2">
        <v>30</v>
      </c>
      <c r="P3464" s="8">
        <f t="shared" si="267"/>
        <v>1587</v>
      </c>
      <c r="Q3464" s="8">
        <f t="shared" si="268"/>
        <v>1402</v>
      </c>
      <c r="R3464" s="2" t="s">
        <v>28</v>
      </c>
      <c r="S3464" s="9">
        <f t="shared" si="269"/>
        <v>31.740000000000002</v>
      </c>
    </row>
    <row r="3465" spans="1:19" x14ac:dyDescent="0.3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str">
        <f>IFERROR(VLOOKUP('Customer Info'!A3457,'Customer Info'!A3457:C3956,2,FALSE),"Not Found")</f>
        <v>Not Found</v>
      </c>
      <c r="H3465" s="6" t="str">
        <f>IFERROR(VLOOKUP('Customer Info'!A3457,'Customer Info'!A3457:C3956,3,FALSE),"Not Found")</f>
        <v>Not Found</v>
      </c>
      <c r="I3465" s="6" t="str">
        <f>IFERROR(VLOOKUP('Customer Info'!A3457,'Customer Info'!A3457:E3956,5,FALSE),"Not Found")</f>
        <v>Not Found</v>
      </c>
      <c r="J3465" s="2">
        <v>1146</v>
      </c>
      <c r="K3465" s="2">
        <v>1061</v>
      </c>
      <c r="L3465" s="2">
        <v>7</v>
      </c>
      <c r="M3465" s="7">
        <f t="shared" si="265"/>
        <v>7427</v>
      </c>
      <c r="N3465" s="7">
        <f t="shared" si="266"/>
        <v>8022</v>
      </c>
      <c r="O3465" s="2">
        <v>83</v>
      </c>
      <c r="P3465" s="8">
        <f t="shared" si="267"/>
        <v>8105</v>
      </c>
      <c r="Q3465" s="8">
        <f t="shared" si="268"/>
        <v>6961</v>
      </c>
      <c r="R3465" s="2" t="s">
        <v>50</v>
      </c>
      <c r="S3465" s="9">
        <f t="shared" si="269"/>
        <v>405.25</v>
      </c>
    </row>
    <row r="3466" spans="1:19" x14ac:dyDescent="0.3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str">
        <f>IFERROR(VLOOKUP('Customer Info'!A3458,'Customer Info'!A3458:C3957,2,FALSE),"Not Found")</f>
        <v>Not Found</v>
      </c>
      <c r="H3466" s="6" t="str">
        <f>IFERROR(VLOOKUP('Customer Info'!A3458,'Customer Info'!A3458:C3957,3,FALSE),"Not Found")</f>
        <v>Not Found</v>
      </c>
      <c r="I3466" s="6" t="str">
        <f>IFERROR(VLOOKUP('Customer Info'!A3458,'Customer Info'!A3458:E3957,5,FALSE),"Not Found")</f>
        <v>Not Found</v>
      </c>
      <c r="J3466" s="2">
        <v>1512</v>
      </c>
      <c r="K3466" s="2">
        <v>1497</v>
      </c>
      <c r="L3466" s="2">
        <v>6</v>
      </c>
      <c r="M3466" s="7">
        <f t="shared" si="265"/>
        <v>8982</v>
      </c>
      <c r="N3466" s="7">
        <f t="shared" si="266"/>
        <v>9072</v>
      </c>
      <c r="O3466" s="2">
        <v>84</v>
      </c>
      <c r="P3466" s="8">
        <f t="shared" si="267"/>
        <v>9156</v>
      </c>
      <c r="Q3466" s="8">
        <f t="shared" si="268"/>
        <v>7575</v>
      </c>
      <c r="R3466" s="2" t="s">
        <v>28</v>
      </c>
      <c r="S3466" s="9">
        <f t="shared" si="269"/>
        <v>457.8</v>
      </c>
    </row>
    <row r="3467" spans="1:19" x14ac:dyDescent="0.3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str">
        <f>IFERROR(VLOOKUP('Customer Info'!A3459,'Customer Info'!A3459:C3958,2,FALSE),"Not Found")</f>
        <v>Not Found</v>
      </c>
      <c r="H3467" s="6" t="str">
        <f>IFERROR(VLOOKUP('Customer Info'!A3459,'Customer Info'!A3459:C3958,3,FALSE),"Not Found")</f>
        <v>Not Found</v>
      </c>
      <c r="I3467" s="6" t="str">
        <f>IFERROR(VLOOKUP('Customer Info'!A3459,'Customer Info'!A3459:E3958,5,FALSE),"Not Found")</f>
        <v>Not Found</v>
      </c>
      <c r="J3467" s="2">
        <v>151</v>
      </c>
      <c r="K3467" s="2">
        <v>139</v>
      </c>
      <c r="L3467" s="2">
        <v>1</v>
      </c>
      <c r="M3467" s="7">
        <f t="shared" ref="M3467:M3530" si="270">$K3467*$L3467</f>
        <v>139</v>
      </c>
      <c r="N3467" s="7">
        <f t="shared" ref="N3467:N3530" si="271">$J3467*$L3467</f>
        <v>151</v>
      </c>
      <c r="O3467" s="2">
        <v>30</v>
      </c>
      <c r="P3467" s="8">
        <f t="shared" ref="P3467:P3530" si="272">$N3467+$O3467</f>
        <v>181</v>
      </c>
      <c r="Q3467" s="8">
        <f t="shared" ref="Q3467:Q3530" si="273">$N3467-$K3467</f>
        <v>12</v>
      </c>
      <c r="R3467" s="2" t="s">
        <v>50</v>
      </c>
      <c r="S3467" s="9">
        <f t="shared" ref="S3467:S3530" si="274" xml:space="preserve"> P3467 * VLOOKUP(P3467, $T$2:$U$6, 2, TRUE)</f>
        <v>3.62</v>
      </c>
    </row>
    <row r="3468" spans="1:19" x14ac:dyDescent="0.3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str">
        <f>IFERROR(VLOOKUP('Customer Info'!A3460,'Customer Info'!A3460:C3959,2,FALSE),"Not Found")</f>
        <v>Not Found</v>
      </c>
      <c r="H3468" s="6" t="str">
        <f>IFERROR(VLOOKUP('Customer Info'!A3460,'Customer Info'!A3460:C3959,3,FALSE),"Not Found")</f>
        <v>Not Found</v>
      </c>
      <c r="I3468" s="6" t="str">
        <f>IFERROR(VLOOKUP('Customer Info'!A3460,'Customer Info'!A3460:E3959,5,FALSE),"Not Found")</f>
        <v>Not Found</v>
      </c>
      <c r="J3468" s="2">
        <v>4704</v>
      </c>
      <c r="K3468" s="2">
        <v>4361</v>
      </c>
      <c r="L3468" s="2">
        <v>3</v>
      </c>
      <c r="M3468" s="7">
        <f t="shared" si="270"/>
        <v>13083</v>
      </c>
      <c r="N3468" s="7">
        <f t="shared" si="271"/>
        <v>14112</v>
      </c>
      <c r="O3468" s="2">
        <v>20</v>
      </c>
      <c r="P3468" s="8">
        <f t="shared" si="272"/>
        <v>14132</v>
      </c>
      <c r="Q3468" s="8">
        <f t="shared" si="273"/>
        <v>9751</v>
      </c>
      <c r="R3468" s="2" t="s">
        <v>28</v>
      </c>
      <c r="S3468" s="9">
        <f t="shared" si="274"/>
        <v>706.6</v>
      </c>
    </row>
    <row r="3469" spans="1:19" x14ac:dyDescent="0.3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str">
        <f>IFERROR(VLOOKUP('Customer Info'!A3461,'Customer Info'!A3461:C3960,2,FALSE),"Not Found")</f>
        <v>Not Found</v>
      </c>
      <c r="H3469" s="6" t="str">
        <f>IFERROR(VLOOKUP('Customer Info'!A3461,'Customer Info'!A3461:C3960,3,FALSE),"Not Found")</f>
        <v>Not Found</v>
      </c>
      <c r="I3469" s="6" t="str">
        <f>IFERROR(VLOOKUP('Customer Info'!A3461,'Customer Info'!A3461:E3960,5,FALSE),"Not Found")</f>
        <v>Not Found</v>
      </c>
      <c r="J3469" s="2">
        <v>1654</v>
      </c>
      <c r="K3469" s="2">
        <v>1577</v>
      </c>
      <c r="L3469" s="2">
        <v>4</v>
      </c>
      <c r="M3469" s="7">
        <f t="shared" si="270"/>
        <v>6308</v>
      </c>
      <c r="N3469" s="7">
        <f t="shared" si="271"/>
        <v>6616</v>
      </c>
      <c r="O3469" s="2">
        <v>98</v>
      </c>
      <c r="P3469" s="8">
        <f t="shared" si="272"/>
        <v>6714</v>
      </c>
      <c r="Q3469" s="8">
        <f t="shared" si="273"/>
        <v>5039</v>
      </c>
      <c r="R3469" s="2" t="s">
        <v>26</v>
      </c>
      <c r="S3469" s="9">
        <f t="shared" si="274"/>
        <v>335.70000000000005</v>
      </c>
    </row>
    <row r="3470" spans="1:19" x14ac:dyDescent="0.3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str">
        <f>IFERROR(VLOOKUP('Customer Info'!A3462,'Customer Info'!A3462:C3961,2,FALSE),"Not Found")</f>
        <v>Not Found</v>
      </c>
      <c r="H3470" s="6" t="str">
        <f>IFERROR(VLOOKUP('Customer Info'!A3462,'Customer Info'!A3462:C3961,3,FALSE),"Not Found")</f>
        <v>Not Found</v>
      </c>
      <c r="I3470" s="6" t="str">
        <f>IFERROR(VLOOKUP('Customer Info'!A3462,'Customer Info'!A3462:E3961,5,FALSE),"Not Found")</f>
        <v>Not Found</v>
      </c>
      <c r="J3470" s="2">
        <v>2310</v>
      </c>
      <c r="K3470" s="2">
        <v>2040</v>
      </c>
      <c r="L3470" s="2">
        <v>1</v>
      </c>
      <c r="M3470" s="7">
        <f t="shared" si="270"/>
        <v>2040</v>
      </c>
      <c r="N3470" s="7">
        <f t="shared" si="271"/>
        <v>2310</v>
      </c>
      <c r="O3470" s="2">
        <v>87</v>
      </c>
      <c r="P3470" s="8">
        <f t="shared" si="272"/>
        <v>2397</v>
      </c>
      <c r="Q3470" s="8">
        <f t="shared" si="273"/>
        <v>270</v>
      </c>
      <c r="R3470" s="2" t="s">
        <v>28</v>
      </c>
      <c r="S3470" s="9">
        <f t="shared" si="274"/>
        <v>47.94</v>
      </c>
    </row>
    <row r="3471" spans="1:19" x14ac:dyDescent="0.3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str">
        <f>IFERROR(VLOOKUP('Customer Info'!A3463,'Customer Info'!A3463:C3962,2,FALSE),"Not Found")</f>
        <v>Not Found</v>
      </c>
      <c r="H3471" s="6" t="str">
        <f>IFERROR(VLOOKUP('Customer Info'!A3463,'Customer Info'!A3463:C3962,3,FALSE),"Not Found")</f>
        <v>Not Found</v>
      </c>
      <c r="I3471" s="6" t="str">
        <f>IFERROR(VLOOKUP('Customer Info'!A3463,'Customer Info'!A3463:E3962,5,FALSE),"Not Found")</f>
        <v>Not Found</v>
      </c>
      <c r="J3471" s="2">
        <v>7474</v>
      </c>
      <c r="K3471" s="2">
        <v>6858</v>
      </c>
      <c r="L3471" s="2">
        <v>2</v>
      </c>
      <c r="M3471" s="7">
        <f t="shared" si="270"/>
        <v>13716</v>
      </c>
      <c r="N3471" s="7">
        <f t="shared" si="271"/>
        <v>14948</v>
      </c>
      <c r="O3471" s="2">
        <v>84</v>
      </c>
      <c r="P3471" s="8">
        <f t="shared" si="272"/>
        <v>15032</v>
      </c>
      <c r="Q3471" s="8">
        <f t="shared" si="273"/>
        <v>8090</v>
      </c>
      <c r="R3471" s="2" t="s">
        <v>50</v>
      </c>
      <c r="S3471" s="9">
        <f t="shared" si="274"/>
        <v>751.6</v>
      </c>
    </row>
    <row r="3472" spans="1:19" x14ac:dyDescent="0.3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str">
        <f>IFERROR(VLOOKUP('Customer Info'!A3464,'Customer Info'!A3464:C3963,2,FALSE),"Not Found")</f>
        <v>Not Found</v>
      </c>
      <c r="H3472" s="6" t="str">
        <f>IFERROR(VLOOKUP('Customer Info'!A3464,'Customer Info'!A3464:C3963,3,FALSE),"Not Found")</f>
        <v>Not Found</v>
      </c>
      <c r="I3472" s="6" t="str">
        <f>IFERROR(VLOOKUP('Customer Info'!A3464,'Customer Info'!A3464:E3963,5,FALSE),"Not Found")</f>
        <v>Not Found</v>
      </c>
      <c r="J3472" s="2">
        <v>3017</v>
      </c>
      <c r="K3472" s="2">
        <v>2825</v>
      </c>
      <c r="L3472" s="2">
        <v>5</v>
      </c>
      <c r="M3472" s="7">
        <f t="shared" si="270"/>
        <v>14125</v>
      </c>
      <c r="N3472" s="7">
        <f t="shared" si="271"/>
        <v>15085</v>
      </c>
      <c r="O3472" s="2">
        <v>72</v>
      </c>
      <c r="P3472" s="8">
        <f t="shared" si="272"/>
        <v>15157</v>
      </c>
      <c r="Q3472" s="8">
        <f t="shared" si="273"/>
        <v>12260</v>
      </c>
      <c r="R3472" s="2" t="s">
        <v>28</v>
      </c>
      <c r="S3472" s="9">
        <f t="shared" si="274"/>
        <v>757.85</v>
      </c>
    </row>
    <row r="3473" spans="1:19" x14ac:dyDescent="0.3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str">
        <f>IFERROR(VLOOKUP('Customer Info'!A3465,'Customer Info'!A3465:C3964,2,FALSE),"Not Found")</f>
        <v>Not Found</v>
      </c>
      <c r="H3473" s="6" t="str">
        <f>IFERROR(VLOOKUP('Customer Info'!A3465,'Customer Info'!A3465:C3964,3,FALSE),"Not Found")</f>
        <v>Not Found</v>
      </c>
      <c r="I3473" s="6" t="str">
        <f>IFERROR(VLOOKUP('Customer Info'!A3465,'Customer Info'!A3465:E3964,5,FALSE),"Not Found")</f>
        <v>Not Found</v>
      </c>
      <c r="J3473" s="2">
        <v>173</v>
      </c>
      <c r="K3473" s="2">
        <v>155</v>
      </c>
      <c r="L3473" s="2">
        <v>2</v>
      </c>
      <c r="M3473" s="7">
        <f t="shared" si="270"/>
        <v>310</v>
      </c>
      <c r="N3473" s="7">
        <f t="shared" si="271"/>
        <v>346</v>
      </c>
      <c r="O3473" s="2">
        <v>30</v>
      </c>
      <c r="P3473" s="8">
        <f t="shared" si="272"/>
        <v>376</v>
      </c>
      <c r="Q3473" s="8">
        <f t="shared" si="273"/>
        <v>191</v>
      </c>
      <c r="R3473" s="2" t="s">
        <v>28</v>
      </c>
      <c r="S3473" s="9">
        <f t="shared" si="274"/>
        <v>7.5200000000000005</v>
      </c>
    </row>
    <row r="3474" spans="1:19" x14ac:dyDescent="0.3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str">
        <f>IFERROR(VLOOKUP('Customer Info'!A3466,'Customer Info'!A3466:C3965,2,FALSE),"Not Found")</f>
        <v>Not Found</v>
      </c>
      <c r="H3474" s="6" t="str">
        <f>IFERROR(VLOOKUP('Customer Info'!A3466,'Customer Info'!A3466:C3965,3,FALSE),"Not Found")</f>
        <v>Not Found</v>
      </c>
      <c r="I3474" s="6" t="str">
        <f>IFERROR(VLOOKUP('Customer Info'!A3466,'Customer Info'!A3466:E3965,5,FALSE),"Not Found")</f>
        <v>Not Found</v>
      </c>
      <c r="J3474" s="2">
        <v>1453</v>
      </c>
      <c r="K3474" s="2">
        <v>1411</v>
      </c>
      <c r="L3474" s="2">
        <v>2</v>
      </c>
      <c r="M3474" s="7">
        <f t="shared" si="270"/>
        <v>2822</v>
      </c>
      <c r="N3474" s="7">
        <f t="shared" si="271"/>
        <v>2906</v>
      </c>
      <c r="O3474" s="2">
        <v>89</v>
      </c>
      <c r="P3474" s="8">
        <f t="shared" si="272"/>
        <v>2995</v>
      </c>
      <c r="Q3474" s="8">
        <f t="shared" si="273"/>
        <v>1495</v>
      </c>
      <c r="R3474" s="2" t="s">
        <v>28</v>
      </c>
      <c r="S3474" s="9">
        <f t="shared" si="274"/>
        <v>59.9</v>
      </c>
    </row>
    <row r="3475" spans="1:19" x14ac:dyDescent="0.3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str">
        <f>IFERROR(VLOOKUP('Customer Info'!A3467,'Customer Info'!A3467:C3966,2,FALSE),"Not Found")</f>
        <v>Not Found</v>
      </c>
      <c r="H3475" s="6" t="str">
        <f>IFERROR(VLOOKUP('Customer Info'!A3467,'Customer Info'!A3467:C3966,3,FALSE),"Not Found")</f>
        <v>Not Found</v>
      </c>
      <c r="I3475" s="6" t="str">
        <f>IFERROR(VLOOKUP('Customer Info'!A3467,'Customer Info'!A3467:E3966,5,FALSE),"Not Found")</f>
        <v>Not Found</v>
      </c>
      <c r="J3475" s="2">
        <v>61</v>
      </c>
      <c r="K3475" s="2">
        <v>56</v>
      </c>
      <c r="L3475" s="2">
        <v>1</v>
      </c>
      <c r="M3475" s="7">
        <f t="shared" si="270"/>
        <v>56</v>
      </c>
      <c r="N3475" s="7">
        <f t="shared" si="271"/>
        <v>61</v>
      </c>
      <c r="O3475" s="2">
        <v>10</v>
      </c>
      <c r="P3475" s="8">
        <f t="shared" si="272"/>
        <v>71</v>
      </c>
      <c r="Q3475" s="8">
        <f t="shared" si="273"/>
        <v>5</v>
      </c>
      <c r="R3475" s="2" t="s">
        <v>50</v>
      </c>
      <c r="S3475" s="9">
        <f t="shared" si="274"/>
        <v>1.42</v>
      </c>
    </row>
    <row r="3476" spans="1:19" x14ac:dyDescent="0.3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str">
        <f>IFERROR(VLOOKUP('Customer Info'!A3468,'Customer Info'!A3468:C3967,2,FALSE),"Not Found")</f>
        <v>Not Found</v>
      </c>
      <c r="H3476" s="6" t="str">
        <f>IFERROR(VLOOKUP('Customer Info'!A3468,'Customer Info'!A3468:C3967,3,FALSE),"Not Found")</f>
        <v>Not Found</v>
      </c>
      <c r="I3476" s="6" t="str">
        <f>IFERROR(VLOOKUP('Customer Info'!A3468,'Customer Info'!A3468:E3967,5,FALSE),"Not Found")</f>
        <v>Not Found</v>
      </c>
      <c r="J3476" s="2">
        <v>169</v>
      </c>
      <c r="K3476" s="2">
        <v>154</v>
      </c>
      <c r="L3476" s="2">
        <v>1</v>
      </c>
      <c r="M3476" s="7">
        <f t="shared" si="270"/>
        <v>154</v>
      </c>
      <c r="N3476" s="7">
        <f t="shared" si="271"/>
        <v>169</v>
      </c>
      <c r="O3476" s="2">
        <v>30</v>
      </c>
      <c r="P3476" s="8">
        <f t="shared" si="272"/>
        <v>199</v>
      </c>
      <c r="Q3476" s="8">
        <f t="shared" si="273"/>
        <v>15</v>
      </c>
      <c r="R3476" s="2" t="s">
        <v>28</v>
      </c>
      <c r="S3476" s="9">
        <f t="shared" si="274"/>
        <v>3.98</v>
      </c>
    </row>
    <row r="3477" spans="1:19" x14ac:dyDescent="0.3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str">
        <f>IFERROR(VLOOKUP('Customer Info'!A3469,'Customer Info'!A3469:C3968,2,FALSE),"Not Found")</f>
        <v>Not Found</v>
      </c>
      <c r="H3477" s="6" t="str">
        <f>IFERROR(VLOOKUP('Customer Info'!A3469,'Customer Info'!A3469:C3968,3,FALSE),"Not Found")</f>
        <v>Not Found</v>
      </c>
      <c r="I3477" s="6" t="str">
        <f>IFERROR(VLOOKUP('Customer Info'!A3469,'Customer Info'!A3469:E3968,5,FALSE),"Not Found")</f>
        <v>Not Found</v>
      </c>
      <c r="J3477" s="2">
        <v>2526</v>
      </c>
      <c r="K3477" s="2">
        <v>2408</v>
      </c>
      <c r="L3477" s="2">
        <v>6</v>
      </c>
      <c r="M3477" s="7">
        <f t="shared" si="270"/>
        <v>14448</v>
      </c>
      <c r="N3477" s="7">
        <f t="shared" si="271"/>
        <v>15156</v>
      </c>
      <c r="O3477" s="2">
        <v>24</v>
      </c>
      <c r="P3477" s="8">
        <f t="shared" si="272"/>
        <v>15180</v>
      </c>
      <c r="Q3477" s="8">
        <f t="shared" si="273"/>
        <v>12748</v>
      </c>
      <c r="R3477" s="2" t="s">
        <v>28</v>
      </c>
      <c r="S3477" s="9">
        <f t="shared" si="274"/>
        <v>759</v>
      </c>
    </row>
    <row r="3478" spans="1:19" x14ac:dyDescent="0.3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str">
        <f>IFERROR(VLOOKUP('Customer Info'!A3470,'Customer Info'!A3470:C3969,2,FALSE),"Not Found")</f>
        <v>Not Found</v>
      </c>
      <c r="H3478" s="6" t="str">
        <f>IFERROR(VLOOKUP('Customer Info'!A3470,'Customer Info'!A3470:C3969,3,FALSE),"Not Found")</f>
        <v>Not Found</v>
      </c>
      <c r="I3478" s="6" t="str">
        <f>IFERROR(VLOOKUP('Customer Info'!A3470,'Customer Info'!A3470:E3969,5,FALSE),"Not Found")</f>
        <v>Not Found</v>
      </c>
      <c r="J3478" s="2">
        <v>474</v>
      </c>
      <c r="K3478" s="2">
        <v>443</v>
      </c>
      <c r="L3478" s="2">
        <v>2</v>
      </c>
      <c r="M3478" s="7">
        <f t="shared" si="270"/>
        <v>886</v>
      </c>
      <c r="N3478" s="7">
        <f t="shared" si="271"/>
        <v>948</v>
      </c>
      <c r="O3478" s="2">
        <v>38</v>
      </c>
      <c r="P3478" s="8">
        <f t="shared" si="272"/>
        <v>986</v>
      </c>
      <c r="Q3478" s="8">
        <f t="shared" si="273"/>
        <v>505</v>
      </c>
      <c r="R3478" s="2" t="s">
        <v>28</v>
      </c>
      <c r="S3478" s="9">
        <f t="shared" si="274"/>
        <v>19.72</v>
      </c>
    </row>
    <row r="3479" spans="1:19" x14ac:dyDescent="0.3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str">
        <f>IFERROR(VLOOKUP('Customer Info'!A3471,'Customer Info'!A3471:C3970,2,FALSE),"Not Found")</f>
        <v>Not Found</v>
      </c>
      <c r="H3479" s="6" t="str">
        <f>IFERROR(VLOOKUP('Customer Info'!A3471,'Customer Info'!A3471:C3970,3,FALSE),"Not Found")</f>
        <v>Not Found</v>
      </c>
      <c r="I3479" s="6" t="str">
        <f>IFERROR(VLOOKUP('Customer Info'!A3471,'Customer Info'!A3471:E3970,5,FALSE),"Not Found")</f>
        <v>Not Found</v>
      </c>
      <c r="J3479" s="2">
        <v>1605</v>
      </c>
      <c r="K3479" s="2">
        <v>1487</v>
      </c>
      <c r="L3479" s="2">
        <v>2</v>
      </c>
      <c r="M3479" s="7">
        <f t="shared" si="270"/>
        <v>2974</v>
      </c>
      <c r="N3479" s="7">
        <f t="shared" si="271"/>
        <v>3210</v>
      </c>
      <c r="O3479" s="2">
        <v>68</v>
      </c>
      <c r="P3479" s="8">
        <f t="shared" si="272"/>
        <v>3278</v>
      </c>
      <c r="Q3479" s="8">
        <f t="shared" si="273"/>
        <v>1723</v>
      </c>
      <c r="R3479" s="2" t="s">
        <v>28</v>
      </c>
      <c r="S3479" s="9">
        <f t="shared" si="274"/>
        <v>65.56</v>
      </c>
    </row>
    <row r="3480" spans="1:19" x14ac:dyDescent="0.3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str">
        <f>IFERROR(VLOOKUP('Customer Info'!A3472,'Customer Info'!A3472:C3971,2,FALSE),"Not Found")</f>
        <v>Not Found</v>
      </c>
      <c r="H3480" s="6" t="str">
        <f>IFERROR(VLOOKUP('Customer Info'!A3472,'Customer Info'!A3472:C3971,3,FALSE),"Not Found")</f>
        <v>Not Found</v>
      </c>
      <c r="I3480" s="6" t="str">
        <f>IFERROR(VLOOKUP('Customer Info'!A3472,'Customer Info'!A3472:E3971,5,FALSE),"Not Found")</f>
        <v>Not Found</v>
      </c>
      <c r="J3480" s="2">
        <v>1071</v>
      </c>
      <c r="K3480" s="2">
        <v>1010</v>
      </c>
      <c r="L3480" s="2">
        <v>2</v>
      </c>
      <c r="M3480" s="7">
        <f t="shared" si="270"/>
        <v>2020</v>
      </c>
      <c r="N3480" s="7">
        <f t="shared" si="271"/>
        <v>2142</v>
      </c>
      <c r="O3480" s="2">
        <v>56</v>
      </c>
      <c r="P3480" s="8">
        <f t="shared" si="272"/>
        <v>2198</v>
      </c>
      <c r="Q3480" s="8">
        <f t="shared" si="273"/>
        <v>1132</v>
      </c>
      <c r="R3480" s="2" t="s">
        <v>50</v>
      </c>
      <c r="S3480" s="9">
        <f t="shared" si="274"/>
        <v>43.96</v>
      </c>
    </row>
    <row r="3481" spans="1:19" x14ac:dyDescent="0.3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str">
        <f>IFERROR(VLOOKUP('Customer Info'!A3473,'Customer Info'!A3473:C3972,2,FALSE),"Not Found")</f>
        <v>Not Found</v>
      </c>
      <c r="H3481" s="6" t="str">
        <f>IFERROR(VLOOKUP('Customer Info'!A3473,'Customer Info'!A3473:C3972,3,FALSE),"Not Found")</f>
        <v>Not Found</v>
      </c>
      <c r="I3481" s="6" t="str">
        <f>IFERROR(VLOOKUP('Customer Info'!A3473,'Customer Info'!A3473:E3972,5,FALSE),"Not Found")</f>
        <v>Not Found</v>
      </c>
      <c r="J3481" s="2">
        <v>1997</v>
      </c>
      <c r="K3481" s="2">
        <v>1816</v>
      </c>
      <c r="L3481" s="2">
        <v>2</v>
      </c>
      <c r="M3481" s="7">
        <f t="shared" si="270"/>
        <v>3632</v>
      </c>
      <c r="N3481" s="7">
        <f t="shared" si="271"/>
        <v>3994</v>
      </c>
      <c r="O3481" s="2">
        <v>93</v>
      </c>
      <c r="P3481" s="8">
        <f t="shared" si="272"/>
        <v>4087</v>
      </c>
      <c r="Q3481" s="8">
        <f t="shared" si="273"/>
        <v>2178</v>
      </c>
      <c r="R3481" s="2" t="s">
        <v>50</v>
      </c>
      <c r="S3481" s="9">
        <f t="shared" si="274"/>
        <v>81.739999999999995</v>
      </c>
    </row>
    <row r="3482" spans="1:19" x14ac:dyDescent="0.3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str">
        <f>IFERROR(VLOOKUP('Customer Info'!A3474,'Customer Info'!A3474:C3973,2,FALSE),"Not Found")</f>
        <v>Not Found</v>
      </c>
      <c r="H3482" s="6" t="str">
        <f>IFERROR(VLOOKUP('Customer Info'!A3474,'Customer Info'!A3474:C3973,3,FALSE),"Not Found")</f>
        <v>Not Found</v>
      </c>
      <c r="I3482" s="6" t="str">
        <f>IFERROR(VLOOKUP('Customer Info'!A3474,'Customer Info'!A3474:E3973,5,FALSE),"Not Found")</f>
        <v>Not Found</v>
      </c>
      <c r="J3482" s="2">
        <v>474</v>
      </c>
      <c r="K3482" s="2">
        <v>443</v>
      </c>
      <c r="L3482" s="2">
        <v>1</v>
      </c>
      <c r="M3482" s="7">
        <f t="shared" si="270"/>
        <v>443</v>
      </c>
      <c r="N3482" s="7">
        <f t="shared" si="271"/>
        <v>474</v>
      </c>
      <c r="O3482" s="2">
        <v>37</v>
      </c>
      <c r="P3482" s="8">
        <f t="shared" si="272"/>
        <v>511</v>
      </c>
      <c r="Q3482" s="8">
        <f t="shared" si="273"/>
        <v>31</v>
      </c>
      <c r="R3482" s="2" t="s">
        <v>28</v>
      </c>
      <c r="S3482" s="9">
        <f t="shared" si="274"/>
        <v>10.220000000000001</v>
      </c>
    </row>
    <row r="3483" spans="1:19" x14ac:dyDescent="0.3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str">
        <f>IFERROR(VLOOKUP('Customer Info'!A3475,'Customer Info'!A3475:C3974,2,FALSE),"Not Found")</f>
        <v>Not Found</v>
      </c>
      <c r="H3483" s="6" t="str">
        <f>IFERROR(VLOOKUP('Customer Info'!A3475,'Customer Info'!A3475:C3974,3,FALSE),"Not Found")</f>
        <v>Not Found</v>
      </c>
      <c r="I3483" s="6" t="str">
        <f>IFERROR(VLOOKUP('Customer Info'!A3475,'Customer Info'!A3475:E3974,5,FALSE),"Not Found")</f>
        <v>Not Found</v>
      </c>
      <c r="J3483" s="2">
        <v>526</v>
      </c>
      <c r="K3483" s="2">
        <v>487</v>
      </c>
      <c r="L3483" s="2">
        <v>2</v>
      </c>
      <c r="M3483" s="7">
        <f t="shared" si="270"/>
        <v>974</v>
      </c>
      <c r="N3483" s="7">
        <f t="shared" si="271"/>
        <v>1052</v>
      </c>
      <c r="O3483" s="2">
        <v>60</v>
      </c>
      <c r="P3483" s="8">
        <f t="shared" si="272"/>
        <v>1112</v>
      </c>
      <c r="Q3483" s="8">
        <f t="shared" si="273"/>
        <v>565</v>
      </c>
      <c r="R3483" s="2" t="s">
        <v>50</v>
      </c>
      <c r="S3483" s="9">
        <f t="shared" si="274"/>
        <v>22.240000000000002</v>
      </c>
    </row>
    <row r="3484" spans="1:19" x14ac:dyDescent="0.3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str">
        <f>IFERROR(VLOOKUP('Customer Info'!A3476,'Customer Info'!A3476:C3975,2,FALSE),"Not Found")</f>
        <v>Not Found</v>
      </c>
      <c r="H3484" s="6" t="str">
        <f>IFERROR(VLOOKUP('Customer Info'!A3476,'Customer Info'!A3476:C3975,3,FALSE),"Not Found")</f>
        <v>Not Found</v>
      </c>
      <c r="I3484" s="6" t="str">
        <f>IFERROR(VLOOKUP('Customer Info'!A3476,'Customer Info'!A3476:E3975,5,FALSE),"Not Found")</f>
        <v>Not Found</v>
      </c>
      <c r="J3484" s="2">
        <v>681</v>
      </c>
      <c r="K3484" s="2">
        <v>642</v>
      </c>
      <c r="L3484" s="2">
        <v>7</v>
      </c>
      <c r="M3484" s="7">
        <f t="shared" si="270"/>
        <v>4494</v>
      </c>
      <c r="N3484" s="7">
        <f t="shared" si="271"/>
        <v>4767</v>
      </c>
      <c r="O3484" s="2">
        <v>43</v>
      </c>
      <c r="P3484" s="8">
        <f t="shared" si="272"/>
        <v>4810</v>
      </c>
      <c r="Q3484" s="8">
        <f t="shared" si="273"/>
        <v>4125</v>
      </c>
      <c r="R3484" s="2" t="s">
        <v>28</v>
      </c>
      <c r="S3484" s="9">
        <f t="shared" si="274"/>
        <v>96.2</v>
      </c>
    </row>
    <row r="3485" spans="1:19" x14ac:dyDescent="0.3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str">
        <f>IFERROR(VLOOKUP('Customer Info'!A3477,'Customer Info'!A3477:C3976,2,FALSE),"Not Found")</f>
        <v>Not Found</v>
      </c>
      <c r="H3485" s="6" t="str">
        <f>IFERROR(VLOOKUP('Customer Info'!A3477,'Customer Info'!A3477:C3976,3,FALSE),"Not Found")</f>
        <v>Not Found</v>
      </c>
      <c r="I3485" s="6" t="str">
        <f>IFERROR(VLOOKUP('Customer Info'!A3477,'Customer Info'!A3477:E3976,5,FALSE),"Not Found")</f>
        <v>Not Found</v>
      </c>
      <c r="J3485" s="2">
        <v>393</v>
      </c>
      <c r="K3485" s="2">
        <v>374</v>
      </c>
      <c r="L3485" s="2">
        <v>10</v>
      </c>
      <c r="M3485" s="7">
        <f t="shared" si="270"/>
        <v>3740</v>
      </c>
      <c r="N3485" s="7">
        <f t="shared" si="271"/>
        <v>3930</v>
      </c>
      <c r="O3485" s="2">
        <v>100</v>
      </c>
      <c r="P3485" s="8">
        <f t="shared" si="272"/>
        <v>4030</v>
      </c>
      <c r="Q3485" s="8">
        <f t="shared" si="273"/>
        <v>3556</v>
      </c>
      <c r="R3485" s="2" t="s">
        <v>50</v>
      </c>
      <c r="S3485" s="9">
        <f t="shared" si="274"/>
        <v>80.600000000000009</v>
      </c>
    </row>
    <row r="3486" spans="1:19" x14ac:dyDescent="0.3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str">
        <f>IFERROR(VLOOKUP('Customer Info'!A3478,'Customer Info'!A3478:C3977,2,FALSE),"Not Found")</f>
        <v>Not Found</v>
      </c>
      <c r="H3486" s="6" t="str">
        <f>IFERROR(VLOOKUP('Customer Info'!A3478,'Customer Info'!A3478:C3977,3,FALSE),"Not Found")</f>
        <v>Not Found</v>
      </c>
      <c r="I3486" s="6" t="str">
        <f>IFERROR(VLOOKUP('Customer Info'!A3478,'Customer Info'!A3478:E3977,5,FALSE),"Not Found")</f>
        <v>Not Found</v>
      </c>
      <c r="J3486" s="2">
        <v>128</v>
      </c>
      <c r="K3486" s="2">
        <v>115</v>
      </c>
      <c r="L3486" s="2">
        <v>6</v>
      </c>
      <c r="M3486" s="7">
        <f t="shared" si="270"/>
        <v>690</v>
      </c>
      <c r="N3486" s="7">
        <f t="shared" si="271"/>
        <v>768</v>
      </c>
      <c r="O3486" s="2">
        <v>30</v>
      </c>
      <c r="P3486" s="8">
        <f t="shared" si="272"/>
        <v>798</v>
      </c>
      <c r="Q3486" s="8">
        <f t="shared" si="273"/>
        <v>653</v>
      </c>
      <c r="R3486" s="2" t="s">
        <v>50</v>
      </c>
      <c r="S3486" s="9">
        <f t="shared" si="274"/>
        <v>15.96</v>
      </c>
    </row>
    <row r="3487" spans="1:19" x14ac:dyDescent="0.3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str">
        <f>IFERROR(VLOOKUP('Customer Info'!A3479,'Customer Info'!A3479:C3978,2,FALSE),"Not Found")</f>
        <v>Not Found</v>
      </c>
      <c r="H3487" s="6" t="str">
        <f>IFERROR(VLOOKUP('Customer Info'!A3479,'Customer Info'!A3479:C3978,3,FALSE),"Not Found")</f>
        <v>Not Found</v>
      </c>
      <c r="I3487" s="6" t="str">
        <f>IFERROR(VLOOKUP('Customer Info'!A3479,'Customer Info'!A3479:E3978,5,FALSE),"Not Found")</f>
        <v>Not Found</v>
      </c>
      <c r="J3487" s="2">
        <v>1518</v>
      </c>
      <c r="K3487" s="2">
        <v>1392</v>
      </c>
      <c r="L3487" s="2">
        <v>3</v>
      </c>
      <c r="M3487" s="7">
        <f t="shared" si="270"/>
        <v>4176</v>
      </c>
      <c r="N3487" s="7">
        <f t="shared" si="271"/>
        <v>4554</v>
      </c>
      <c r="O3487" s="2">
        <v>35</v>
      </c>
      <c r="P3487" s="8">
        <f t="shared" si="272"/>
        <v>4589</v>
      </c>
      <c r="Q3487" s="8">
        <f t="shared" si="273"/>
        <v>3162</v>
      </c>
      <c r="R3487" s="2" t="s">
        <v>26</v>
      </c>
      <c r="S3487" s="9">
        <f t="shared" si="274"/>
        <v>91.78</v>
      </c>
    </row>
    <row r="3488" spans="1:19" x14ac:dyDescent="0.3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str">
        <f>IFERROR(VLOOKUP('Customer Info'!A3480,'Customer Info'!A3480:C3979,2,FALSE),"Not Found")</f>
        <v>Not Found</v>
      </c>
      <c r="H3488" s="6" t="str">
        <f>IFERROR(VLOOKUP('Customer Info'!A3480,'Customer Info'!A3480:C3979,3,FALSE),"Not Found")</f>
        <v>Not Found</v>
      </c>
      <c r="I3488" s="6" t="str">
        <f>IFERROR(VLOOKUP('Customer Info'!A3480,'Customer Info'!A3480:E3979,5,FALSE),"Not Found")</f>
        <v>Not Found</v>
      </c>
      <c r="J3488" s="2">
        <v>9306</v>
      </c>
      <c r="K3488" s="2">
        <v>8461</v>
      </c>
      <c r="L3488" s="2">
        <v>6</v>
      </c>
      <c r="M3488" s="7">
        <f t="shared" si="270"/>
        <v>50766</v>
      </c>
      <c r="N3488" s="7">
        <f t="shared" si="271"/>
        <v>55836</v>
      </c>
      <c r="O3488" s="2">
        <v>70</v>
      </c>
      <c r="P3488" s="8">
        <f t="shared" si="272"/>
        <v>55906</v>
      </c>
      <c r="Q3488" s="8">
        <f t="shared" si="273"/>
        <v>47375</v>
      </c>
      <c r="R3488" s="2" t="s">
        <v>28</v>
      </c>
      <c r="S3488" s="9">
        <f t="shared" si="274"/>
        <v>5031.54</v>
      </c>
    </row>
    <row r="3489" spans="1:19" x14ac:dyDescent="0.3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str">
        <f>IFERROR(VLOOKUP('Customer Info'!A3481,'Customer Info'!A3481:C3980,2,FALSE),"Not Found")</f>
        <v>Not Found</v>
      </c>
      <c r="H3489" s="6" t="str">
        <f>IFERROR(VLOOKUP('Customer Info'!A3481,'Customer Info'!A3481:C3980,3,FALSE),"Not Found")</f>
        <v>Not Found</v>
      </c>
      <c r="I3489" s="6" t="str">
        <f>IFERROR(VLOOKUP('Customer Info'!A3481,'Customer Info'!A3481:E3980,5,FALSE),"Not Found")</f>
        <v>Not Found</v>
      </c>
      <c r="J3489" s="2">
        <v>765</v>
      </c>
      <c r="K3489" s="2">
        <v>701</v>
      </c>
      <c r="L3489" s="2">
        <v>1</v>
      </c>
      <c r="M3489" s="7">
        <f t="shared" si="270"/>
        <v>701</v>
      </c>
      <c r="N3489" s="7">
        <f t="shared" si="271"/>
        <v>765</v>
      </c>
      <c r="O3489" s="2">
        <v>85</v>
      </c>
      <c r="P3489" s="8">
        <f t="shared" si="272"/>
        <v>850</v>
      </c>
      <c r="Q3489" s="8">
        <f t="shared" si="273"/>
        <v>64</v>
      </c>
      <c r="R3489" s="2" t="s">
        <v>50</v>
      </c>
      <c r="S3489" s="9">
        <f t="shared" si="274"/>
        <v>17</v>
      </c>
    </row>
    <row r="3490" spans="1:19" x14ac:dyDescent="0.3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str">
        <f>IFERROR(VLOOKUP('Customer Info'!A3482,'Customer Info'!A3482:C3981,2,FALSE),"Not Found")</f>
        <v>Not Found</v>
      </c>
      <c r="H3490" s="6" t="str">
        <f>IFERROR(VLOOKUP('Customer Info'!A3482,'Customer Info'!A3482:C3981,3,FALSE),"Not Found")</f>
        <v>Not Found</v>
      </c>
      <c r="I3490" s="6" t="str">
        <f>IFERROR(VLOOKUP('Customer Info'!A3482,'Customer Info'!A3482:E3981,5,FALSE),"Not Found")</f>
        <v>Not Found</v>
      </c>
      <c r="J3490" s="2">
        <v>2017</v>
      </c>
      <c r="K3490" s="2">
        <v>1834</v>
      </c>
      <c r="L3490" s="2">
        <v>2</v>
      </c>
      <c r="M3490" s="7">
        <f t="shared" si="270"/>
        <v>3668</v>
      </c>
      <c r="N3490" s="7">
        <f t="shared" si="271"/>
        <v>4034</v>
      </c>
      <c r="O3490" s="2">
        <v>53</v>
      </c>
      <c r="P3490" s="8">
        <f t="shared" si="272"/>
        <v>4087</v>
      </c>
      <c r="Q3490" s="8">
        <f t="shared" si="273"/>
        <v>2200</v>
      </c>
      <c r="R3490" s="2" t="s">
        <v>28</v>
      </c>
      <c r="S3490" s="9">
        <f t="shared" si="274"/>
        <v>81.739999999999995</v>
      </c>
    </row>
    <row r="3491" spans="1:19" x14ac:dyDescent="0.3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str">
        <f>IFERROR(VLOOKUP('Customer Info'!A3483,'Customer Info'!A3483:C3982,2,FALSE),"Not Found")</f>
        <v>Not Found</v>
      </c>
      <c r="H3491" s="6" t="str">
        <f>IFERROR(VLOOKUP('Customer Info'!A3483,'Customer Info'!A3483:C3982,3,FALSE),"Not Found")</f>
        <v>Not Found</v>
      </c>
      <c r="I3491" s="6" t="str">
        <f>IFERROR(VLOOKUP('Customer Info'!A3483,'Customer Info'!A3483:E3982,5,FALSE),"Not Found")</f>
        <v>Not Found</v>
      </c>
      <c r="J3491" s="2">
        <v>1615</v>
      </c>
      <c r="K3491" s="2">
        <v>1525</v>
      </c>
      <c r="L3491" s="2">
        <v>2</v>
      </c>
      <c r="M3491" s="7">
        <f t="shared" si="270"/>
        <v>3050</v>
      </c>
      <c r="N3491" s="7">
        <f t="shared" si="271"/>
        <v>3230</v>
      </c>
      <c r="O3491" s="2">
        <v>41</v>
      </c>
      <c r="P3491" s="8">
        <f t="shared" si="272"/>
        <v>3271</v>
      </c>
      <c r="Q3491" s="8">
        <f t="shared" si="273"/>
        <v>1705</v>
      </c>
      <c r="R3491" s="2" t="s">
        <v>26</v>
      </c>
      <c r="S3491" s="9">
        <f t="shared" si="274"/>
        <v>65.42</v>
      </c>
    </row>
    <row r="3492" spans="1:19" x14ac:dyDescent="0.3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str">
        <f>IFERROR(VLOOKUP('Customer Info'!A3484,'Customer Info'!A3484:C3983,2,FALSE),"Not Found")</f>
        <v>Not Found</v>
      </c>
      <c r="H3492" s="6" t="str">
        <f>IFERROR(VLOOKUP('Customer Info'!A3484,'Customer Info'!A3484:C3983,3,FALSE),"Not Found")</f>
        <v>Not Found</v>
      </c>
      <c r="I3492" s="6" t="str">
        <f>IFERROR(VLOOKUP('Customer Info'!A3484,'Customer Info'!A3484:E3983,5,FALSE),"Not Found")</f>
        <v>Not Found</v>
      </c>
      <c r="J3492" s="2">
        <v>1332</v>
      </c>
      <c r="K3492" s="2">
        <v>1209</v>
      </c>
      <c r="L3492" s="2">
        <v>8</v>
      </c>
      <c r="M3492" s="7">
        <f t="shared" si="270"/>
        <v>9672</v>
      </c>
      <c r="N3492" s="7">
        <f t="shared" si="271"/>
        <v>10656</v>
      </c>
      <c r="O3492" s="2">
        <v>53</v>
      </c>
      <c r="P3492" s="8">
        <f t="shared" si="272"/>
        <v>10709</v>
      </c>
      <c r="Q3492" s="8">
        <f t="shared" si="273"/>
        <v>9447</v>
      </c>
      <c r="R3492" s="2" t="s">
        <v>50</v>
      </c>
      <c r="S3492" s="9">
        <f t="shared" si="274"/>
        <v>535.45000000000005</v>
      </c>
    </row>
    <row r="3493" spans="1:19" x14ac:dyDescent="0.3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str">
        <f>IFERROR(VLOOKUP('Customer Info'!A3485,'Customer Info'!A3485:C3984,2,FALSE),"Not Found")</f>
        <v>Not Found</v>
      </c>
      <c r="H3493" s="6" t="str">
        <f>IFERROR(VLOOKUP('Customer Info'!A3485,'Customer Info'!A3485:C3984,3,FALSE),"Not Found")</f>
        <v>Not Found</v>
      </c>
      <c r="I3493" s="6" t="str">
        <f>IFERROR(VLOOKUP('Customer Info'!A3485,'Customer Info'!A3485:E3984,5,FALSE),"Not Found")</f>
        <v>Not Found</v>
      </c>
      <c r="J3493" s="2">
        <v>3176</v>
      </c>
      <c r="K3493" s="2">
        <v>3116</v>
      </c>
      <c r="L3493" s="2">
        <v>11</v>
      </c>
      <c r="M3493" s="7">
        <f t="shared" si="270"/>
        <v>34276</v>
      </c>
      <c r="N3493" s="7">
        <f t="shared" si="271"/>
        <v>34936</v>
      </c>
      <c r="O3493" s="2">
        <v>31</v>
      </c>
      <c r="P3493" s="8">
        <f t="shared" si="272"/>
        <v>34967</v>
      </c>
      <c r="Q3493" s="8">
        <f t="shared" si="273"/>
        <v>31820</v>
      </c>
      <c r="R3493" s="2" t="s">
        <v>50</v>
      </c>
      <c r="S3493" s="9">
        <f t="shared" si="274"/>
        <v>2447.69</v>
      </c>
    </row>
    <row r="3494" spans="1:19" x14ac:dyDescent="0.3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str">
        <f>IFERROR(VLOOKUP('Customer Info'!A3486,'Customer Info'!A3486:C3985,2,FALSE),"Not Found")</f>
        <v>Not Found</v>
      </c>
      <c r="H3494" s="6" t="str">
        <f>IFERROR(VLOOKUP('Customer Info'!A3486,'Customer Info'!A3486:C3985,3,FALSE),"Not Found")</f>
        <v>Not Found</v>
      </c>
      <c r="I3494" s="6" t="str">
        <f>IFERROR(VLOOKUP('Customer Info'!A3486,'Customer Info'!A3486:E3985,5,FALSE),"Not Found")</f>
        <v>Not Found</v>
      </c>
      <c r="J3494" s="2">
        <v>3145</v>
      </c>
      <c r="K3494" s="2">
        <v>3025</v>
      </c>
      <c r="L3494" s="2">
        <v>3</v>
      </c>
      <c r="M3494" s="7">
        <f t="shared" si="270"/>
        <v>9075</v>
      </c>
      <c r="N3494" s="7">
        <f t="shared" si="271"/>
        <v>9435</v>
      </c>
      <c r="O3494" s="2">
        <v>97</v>
      </c>
      <c r="P3494" s="8">
        <f t="shared" si="272"/>
        <v>9532</v>
      </c>
      <c r="Q3494" s="8">
        <f t="shared" si="273"/>
        <v>6410</v>
      </c>
      <c r="R3494" s="2" t="s">
        <v>28</v>
      </c>
      <c r="S3494" s="9">
        <f t="shared" si="274"/>
        <v>476.6</v>
      </c>
    </row>
    <row r="3495" spans="1:19" x14ac:dyDescent="0.3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str">
        <f>IFERROR(VLOOKUP('Customer Info'!A3487,'Customer Info'!A3487:C3986,2,FALSE),"Not Found")</f>
        <v>Not Found</v>
      </c>
      <c r="H3495" s="6" t="str">
        <f>IFERROR(VLOOKUP('Customer Info'!A3487,'Customer Info'!A3487:C3986,3,FALSE),"Not Found")</f>
        <v>Not Found</v>
      </c>
      <c r="I3495" s="6" t="str">
        <f>IFERROR(VLOOKUP('Customer Info'!A3487,'Customer Info'!A3487:E3986,5,FALSE),"Not Found")</f>
        <v>Not Found</v>
      </c>
      <c r="J3495" s="2">
        <v>1845</v>
      </c>
      <c r="K3495" s="2">
        <v>1742</v>
      </c>
      <c r="L3495" s="2">
        <v>2</v>
      </c>
      <c r="M3495" s="7">
        <f t="shared" si="270"/>
        <v>3484</v>
      </c>
      <c r="N3495" s="7">
        <f t="shared" si="271"/>
        <v>3690</v>
      </c>
      <c r="O3495" s="2">
        <v>39</v>
      </c>
      <c r="P3495" s="8">
        <f t="shared" si="272"/>
        <v>3729</v>
      </c>
      <c r="Q3495" s="8">
        <f t="shared" si="273"/>
        <v>1948</v>
      </c>
      <c r="R3495" s="2" t="s">
        <v>28</v>
      </c>
      <c r="S3495" s="9">
        <f t="shared" si="274"/>
        <v>74.58</v>
      </c>
    </row>
    <row r="3496" spans="1:19" x14ac:dyDescent="0.3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str">
        <f>IFERROR(VLOOKUP('Customer Info'!A3488,'Customer Info'!A3488:C3987,2,FALSE),"Not Found")</f>
        <v>Not Found</v>
      </c>
      <c r="H3496" s="6" t="str">
        <f>IFERROR(VLOOKUP('Customer Info'!A3488,'Customer Info'!A3488:C3987,3,FALSE),"Not Found")</f>
        <v>Not Found</v>
      </c>
      <c r="I3496" s="6" t="str">
        <f>IFERROR(VLOOKUP('Customer Info'!A3488,'Customer Info'!A3488:E3987,5,FALSE),"Not Found")</f>
        <v>Not Found</v>
      </c>
      <c r="J3496" s="2">
        <v>2681</v>
      </c>
      <c r="K3496" s="2">
        <v>2458</v>
      </c>
      <c r="L3496" s="2">
        <v>9</v>
      </c>
      <c r="M3496" s="7">
        <f t="shared" si="270"/>
        <v>22122</v>
      </c>
      <c r="N3496" s="7">
        <f t="shared" si="271"/>
        <v>24129</v>
      </c>
      <c r="O3496" s="2">
        <v>85</v>
      </c>
      <c r="P3496" s="8">
        <f t="shared" si="272"/>
        <v>24214</v>
      </c>
      <c r="Q3496" s="8">
        <f t="shared" si="273"/>
        <v>21671</v>
      </c>
      <c r="R3496" s="2" t="s">
        <v>28</v>
      </c>
      <c r="S3496" s="9">
        <f t="shared" si="274"/>
        <v>1210.7</v>
      </c>
    </row>
    <row r="3497" spans="1:19" x14ac:dyDescent="0.3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str">
        <f>IFERROR(VLOOKUP('Customer Info'!A3489,'Customer Info'!A3489:C3988,2,FALSE),"Not Found")</f>
        <v>Not Found</v>
      </c>
      <c r="H3497" s="6" t="str">
        <f>IFERROR(VLOOKUP('Customer Info'!A3489,'Customer Info'!A3489:C3988,3,FALSE),"Not Found")</f>
        <v>Not Found</v>
      </c>
      <c r="I3497" s="6" t="str">
        <f>IFERROR(VLOOKUP('Customer Info'!A3489,'Customer Info'!A3489:E3988,5,FALSE),"Not Found")</f>
        <v>Not Found</v>
      </c>
      <c r="J3497" s="2">
        <v>2250</v>
      </c>
      <c r="K3497" s="2">
        <v>2207</v>
      </c>
      <c r="L3497" s="2">
        <v>4</v>
      </c>
      <c r="M3497" s="7">
        <f t="shared" si="270"/>
        <v>8828</v>
      </c>
      <c r="N3497" s="7">
        <f t="shared" si="271"/>
        <v>9000</v>
      </c>
      <c r="O3497" s="2">
        <v>62</v>
      </c>
      <c r="P3497" s="8">
        <f t="shared" si="272"/>
        <v>9062</v>
      </c>
      <c r="Q3497" s="8">
        <f t="shared" si="273"/>
        <v>6793</v>
      </c>
      <c r="R3497" s="2" t="s">
        <v>28</v>
      </c>
      <c r="S3497" s="9">
        <f t="shared" si="274"/>
        <v>453.1</v>
      </c>
    </row>
    <row r="3498" spans="1:19" x14ac:dyDescent="0.3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str">
        <f>IFERROR(VLOOKUP('Customer Info'!A3490,'Customer Info'!A3490:C3989,2,FALSE),"Not Found")</f>
        <v>Not Found</v>
      </c>
      <c r="H3498" s="6" t="str">
        <f>IFERROR(VLOOKUP('Customer Info'!A3490,'Customer Info'!A3490:C3989,3,FALSE),"Not Found")</f>
        <v>Not Found</v>
      </c>
      <c r="I3498" s="6" t="str">
        <f>IFERROR(VLOOKUP('Customer Info'!A3490,'Customer Info'!A3490:E3989,5,FALSE),"Not Found")</f>
        <v>Not Found</v>
      </c>
      <c r="J3498" s="2">
        <v>8878</v>
      </c>
      <c r="K3498" s="2">
        <v>7914</v>
      </c>
      <c r="L3498" s="2">
        <v>2</v>
      </c>
      <c r="M3498" s="7">
        <f t="shared" si="270"/>
        <v>15828</v>
      </c>
      <c r="N3498" s="7">
        <f t="shared" si="271"/>
        <v>17756</v>
      </c>
      <c r="O3498" s="2">
        <v>21</v>
      </c>
      <c r="P3498" s="8">
        <f t="shared" si="272"/>
        <v>17777</v>
      </c>
      <c r="Q3498" s="8">
        <f t="shared" si="273"/>
        <v>9842</v>
      </c>
      <c r="R3498" s="2" t="s">
        <v>50</v>
      </c>
      <c r="S3498" s="9">
        <f t="shared" si="274"/>
        <v>888.85</v>
      </c>
    </row>
    <row r="3499" spans="1:19" x14ac:dyDescent="0.3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str">
        <f>IFERROR(VLOOKUP('Customer Info'!A3491,'Customer Info'!A3491:C3990,2,FALSE),"Not Found")</f>
        <v>Not Found</v>
      </c>
      <c r="H3499" s="6" t="str">
        <f>IFERROR(VLOOKUP('Customer Info'!A3491,'Customer Info'!A3491:C3990,3,FALSE),"Not Found")</f>
        <v>Not Found</v>
      </c>
      <c r="I3499" s="6" t="str">
        <f>IFERROR(VLOOKUP('Customer Info'!A3491,'Customer Info'!A3491:E3990,5,FALSE),"Not Found")</f>
        <v>Not Found</v>
      </c>
      <c r="J3499" s="2">
        <v>2342</v>
      </c>
      <c r="K3499" s="2">
        <v>2210</v>
      </c>
      <c r="L3499" s="2">
        <v>3</v>
      </c>
      <c r="M3499" s="7">
        <f t="shared" si="270"/>
        <v>6630</v>
      </c>
      <c r="N3499" s="7">
        <f t="shared" si="271"/>
        <v>7026</v>
      </c>
      <c r="O3499" s="2">
        <v>76</v>
      </c>
      <c r="P3499" s="8">
        <f t="shared" si="272"/>
        <v>7102</v>
      </c>
      <c r="Q3499" s="8">
        <f t="shared" si="273"/>
        <v>4816</v>
      </c>
      <c r="R3499" s="2" t="s">
        <v>28</v>
      </c>
      <c r="S3499" s="9">
        <f t="shared" si="274"/>
        <v>355.1</v>
      </c>
    </row>
    <row r="3500" spans="1:19" x14ac:dyDescent="0.3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str">
        <f>IFERROR(VLOOKUP('Customer Info'!A3492,'Customer Info'!A3492:C3991,2,FALSE),"Not Found")</f>
        <v>Not Found</v>
      </c>
      <c r="H3500" s="6" t="str">
        <f>IFERROR(VLOOKUP('Customer Info'!A3492,'Customer Info'!A3492:C3991,3,FALSE),"Not Found")</f>
        <v>Not Found</v>
      </c>
      <c r="I3500" s="6" t="str">
        <f>IFERROR(VLOOKUP('Customer Info'!A3492,'Customer Info'!A3492:E3991,5,FALSE),"Not Found")</f>
        <v>Not Found</v>
      </c>
      <c r="J3500" s="2">
        <v>63</v>
      </c>
      <c r="K3500" s="2">
        <v>58</v>
      </c>
      <c r="L3500" s="2">
        <v>9</v>
      </c>
      <c r="M3500" s="7">
        <f t="shared" si="270"/>
        <v>522</v>
      </c>
      <c r="N3500" s="7">
        <f t="shared" si="271"/>
        <v>567</v>
      </c>
      <c r="O3500" s="2">
        <v>10</v>
      </c>
      <c r="P3500" s="8">
        <f t="shared" si="272"/>
        <v>577</v>
      </c>
      <c r="Q3500" s="8">
        <f t="shared" si="273"/>
        <v>509</v>
      </c>
      <c r="R3500" s="2" t="s">
        <v>28</v>
      </c>
      <c r="S3500" s="9">
        <f t="shared" si="274"/>
        <v>11.540000000000001</v>
      </c>
    </row>
    <row r="3501" spans="1:19" x14ac:dyDescent="0.3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str">
        <f>IFERROR(VLOOKUP('Customer Info'!A3493,'Customer Info'!A3493:C3992,2,FALSE),"Not Found")</f>
        <v>Not Found</v>
      </c>
      <c r="H3501" s="6" t="str">
        <f>IFERROR(VLOOKUP('Customer Info'!A3493,'Customer Info'!A3493:C3992,3,FALSE),"Not Found")</f>
        <v>Not Found</v>
      </c>
      <c r="I3501" s="6" t="str">
        <f>IFERROR(VLOOKUP('Customer Info'!A3493,'Customer Info'!A3493:E3992,5,FALSE),"Not Found")</f>
        <v>Not Found</v>
      </c>
      <c r="J3501" s="2">
        <v>3176</v>
      </c>
      <c r="K3501" s="2">
        <v>3116</v>
      </c>
      <c r="L3501" s="2">
        <v>7</v>
      </c>
      <c r="M3501" s="7">
        <f t="shared" si="270"/>
        <v>21812</v>
      </c>
      <c r="N3501" s="7">
        <f t="shared" si="271"/>
        <v>22232</v>
      </c>
      <c r="O3501" s="2">
        <v>21</v>
      </c>
      <c r="P3501" s="8">
        <f t="shared" si="272"/>
        <v>22253</v>
      </c>
      <c r="Q3501" s="8">
        <f t="shared" si="273"/>
        <v>19116</v>
      </c>
      <c r="R3501" s="2" t="s">
        <v>28</v>
      </c>
      <c r="S3501" s="9">
        <f t="shared" si="274"/>
        <v>1112.6500000000001</v>
      </c>
    </row>
    <row r="3502" spans="1:19" x14ac:dyDescent="0.3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str">
        <f>IFERROR(VLOOKUP('Customer Info'!A3494,'Customer Info'!A3494:C3993,2,FALSE),"Not Found")</f>
        <v>Not Found</v>
      </c>
      <c r="H3502" s="6" t="str">
        <f>IFERROR(VLOOKUP('Customer Info'!A3494,'Customer Info'!A3494:C3993,3,FALSE),"Not Found")</f>
        <v>Not Found</v>
      </c>
      <c r="I3502" s="6" t="str">
        <f>IFERROR(VLOOKUP('Customer Info'!A3494,'Customer Info'!A3494:E3993,5,FALSE),"Not Found")</f>
        <v>Not Found</v>
      </c>
      <c r="J3502" s="2">
        <v>1637</v>
      </c>
      <c r="K3502" s="2">
        <v>1591</v>
      </c>
      <c r="L3502" s="2">
        <v>2</v>
      </c>
      <c r="M3502" s="7">
        <f t="shared" si="270"/>
        <v>3182</v>
      </c>
      <c r="N3502" s="7">
        <f t="shared" si="271"/>
        <v>3274</v>
      </c>
      <c r="O3502" s="2">
        <v>53</v>
      </c>
      <c r="P3502" s="8">
        <f t="shared" si="272"/>
        <v>3327</v>
      </c>
      <c r="Q3502" s="8">
        <f t="shared" si="273"/>
        <v>1683</v>
      </c>
      <c r="R3502" s="2" t="s">
        <v>28</v>
      </c>
      <c r="S3502" s="9">
        <f t="shared" si="274"/>
        <v>66.540000000000006</v>
      </c>
    </row>
    <row r="3503" spans="1:19" x14ac:dyDescent="0.3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str">
        <f>IFERROR(VLOOKUP('Customer Info'!A3495,'Customer Info'!A3495:C3994,2,FALSE),"Not Found")</f>
        <v>Not Found</v>
      </c>
      <c r="H3503" s="6" t="str">
        <f>IFERROR(VLOOKUP('Customer Info'!A3495,'Customer Info'!A3495:C3994,3,FALSE),"Not Found")</f>
        <v>Not Found</v>
      </c>
      <c r="I3503" s="6" t="str">
        <f>IFERROR(VLOOKUP('Customer Info'!A3495,'Customer Info'!A3495:E3994,5,FALSE),"Not Found")</f>
        <v>Not Found</v>
      </c>
      <c r="J3503" s="2">
        <v>1039</v>
      </c>
      <c r="K3503" s="2">
        <v>954</v>
      </c>
      <c r="L3503" s="2">
        <v>5</v>
      </c>
      <c r="M3503" s="7">
        <f t="shared" si="270"/>
        <v>4770</v>
      </c>
      <c r="N3503" s="7">
        <f t="shared" si="271"/>
        <v>5195</v>
      </c>
      <c r="O3503" s="2">
        <v>51</v>
      </c>
      <c r="P3503" s="8">
        <f t="shared" si="272"/>
        <v>5246</v>
      </c>
      <c r="Q3503" s="8">
        <f t="shared" si="273"/>
        <v>4241</v>
      </c>
      <c r="R3503" s="2" t="s">
        <v>26</v>
      </c>
      <c r="S3503" s="9">
        <f t="shared" si="274"/>
        <v>262.3</v>
      </c>
    </row>
    <row r="3504" spans="1:19" x14ac:dyDescent="0.3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str">
        <f>IFERROR(VLOOKUP('Customer Info'!A3496,'Customer Info'!A3496:C3995,2,FALSE),"Not Found")</f>
        <v>Not Found</v>
      </c>
      <c r="H3504" s="6" t="str">
        <f>IFERROR(VLOOKUP('Customer Info'!A3496,'Customer Info'!A3496:C3995,3,FALSE),"Not Found")</f>
        <v>Not Found</v>
      </c>
      <c r="I3504" s="6" t="str">
        <f>IFERROR(VLOOKUP('Customer Info'!A3496,'Customer Info'!A3496:E3995,5,FALSE),"Not Found")</f>
        <v>Not Found</v>
      </c>
      <c r="J3504" s="2">
        <v>1763</v>
      </c>
      <c r="K3504" s="2">
        <v>1602</v>
      </c>
      <c r="L3504" s="2">
        <v>4</v>
      </c>
      <c r="M3504" s="7">
        <f t="shared" si="270"/>
        <v>6408</v>
      </c>
      <c r="N3504" s="7">
        <f t="shared" si="271"/>
        <v>7052</v>
      </c>
      <c r="O3504" s="2">
        <v>31</v>
      </c>
      <c r="P3504" s="8">
        <f t="shared" si="272"/>
        <v>7083</v>
      </c>
      <c r="Q3504" s="8">
        <f t="shared" si="273"/>
        <v>5450</v>
      </c>
      <c r="R3504" s="2" t="s">
        <v>28</v>
      </c>
      <c r="S3504" s="9">
        <f t="shared" si="274"/>
        <v>354.15000000000003</v>
      </c>
    </row>
    <row r="3505" spans="1:19" x14ac:dyDescent="0.3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str">
        <f>IFERROR(VLOOKUP('Customer Info'!A3497,'Customer Info'!A3497:C3996,2,FALSE),"Not Found")</f>
        <v>Not Found</v>
      </c>
      <c r="H3505" s="6" t="str">
        <f>IFERROR(VLOOKUP('Customer Info'!A3497,'Customer Info'!A3497:C3996,3,FALSE),"Not Found")</f>
        <v>Not Found</v>
      </c>
      <c r="I3505" s="6" t="str">
        <f>IFERROR(VLOOKUP('Customer Info'!A3497,'Customer Info'!A3497:E3996,5,FALSE),"Not Found")</f>
        <v>Not Found</v>
      </c>
      <c r="J3505" s="2">
        <v>2759</v>
      </c>
      <c r="K3505" s="2">
        <v>2628</v>
      </c>
      <c r="L3505" s="2">
        <v>3</v>
      </c>
      <c r="M3505" s="7">
        <f t="shared" si="270"/>
        <v>7884</v>
      </c>
      <c r="N3505" s="7">
        <f t="shared" si="271"/>
        <v>8277</v>
      </c>
      <c r="O3505" s="2">
        <v>57</v>
      </c>
      <c r="P3505" s="8">
        <f t="shared" si="272"/>
        <v>8334</v>
      </c>
      <c r="Q3505" s="8">
        <f t="shared" si="273"/>
        <v>5649</v>
      </c>
      <c r="R3505" s="2" t="s">
        <v>28</v>
      </c>
      <c r="S3505" s="9">
        <f t="shared" si="274"/>
        <v>416.70000000000005</v>
      </c>
    </row>
    <row r="3506" spans="1:19" x14ac:dyDescent="0.3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str">
        <f>IFERROR(VLOOKUP('Customer Info'!A3498,'Customer Info'!A3498:C3997,2,FALSE),"Not Found")</f>
        <v>Not Found</v>
      </c>
      <c r="H3506" s="6" t="str">
        <f>IFERROR(VLOOKUP('Customer Info'!A3498,'Customer Info'!A3498:C3997,3,FALSE),"Not Found")</f>
        <v>Not Found</v>
      </c>
      <c r="I3506" s="6" t="str">
        <f>IFERROR(VLOOKUP('Customer Info'!A3498,'Customer Info'!A3498:E3997,5,FALSE),"Not Found")</f>
        <v>Not Found</v>
      </c>
      <c r="J3506" s="2">
        <v>2222</v>
      </c>
      <c r="K3506" s="2">
        <v>2081</v>
      </c>
      <c r="L3506" s="2">
        <v>3</v>
      </c>
      <c r="M3506" s="7">
        <f t="shared" si="270"/>
        <v>6243</v>
      </c>
      <c r="N3506" s="7">
        <f t="shared" si="271"/>
        <v>6666</v>
      </c>
      <c r="O3506" s="2">
        <v>50</v>
      </c>
      <c r="P3506" s="8">
        <f t="shared" si="272"/>
        <v>6716</v>
      </c>
      <c r="Q3506" s="8">
        <f t="shared" si="273"/>
        <v>4585</v>
      </c>
      <c r="R3506" s="2" t="s">
        <v>28</v>
      </c>
      <c r="S3506" s="9">
        <f t="shared" si="274"/>
        <v>335.8</v>
      </c>
    </row>
    <row r="3507" spans="1:19" x14ac:dyDescent="0.3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str">
        <f>IFERROR(VLOOKUP('Customer Info'!A3499,'Customer Info'!A3499:C3998,2,FALSE),"Not Found")</f>
        <v>Not Found</v>
      </c>
      <c r="H3507" s="6" t="str">
        <f>IFERROR(VLOOKUP('Customer Info'!A3499,'Customer Info'!A3499:C3998,3,FALSE),"Not Found")</f>
        <v>Not Found</v>
      </c>
      <c r="I3507" s="6" t="str">
        <f>IFERROR(VLOOKUP('Customer Info'!A3499,'Customer Info'!A3499:E3998,5,FALSE),"Not Found")</f>
        <v>Not Found</v>
      </c>
      <c r="J3507" s="2">
        <v>194</v>
      </c>
      <c r="K3507" s="2">
        <v>176</v>
      </c>
      <c r="L3507" s="2">
        <v>3</v>
      </c>
      <c r="M3507" s="7">
        <f t="shared" si="270"/>
        <v>528</v>
      </c>
      <c r="N3507" s="7">
        <f t="shared" si="271"/>
        <v>582</v>
      </c>
      <c r="O3507" s="2">
        <v>30</v>
      </c>
      <c r="P3507" s="8">
        <f t="shared" si="272"/>
        <v>612</v>
      </c>
      <c r="Q3507" s="8">
        <f t="shared" si="273"/>
        <v>406</v>
      </c>
      <c r="R3507" s="2" t="s">
        <v>50</v>
      </c>
      <c r="S3507" s="9">
        <f t="shared" si="274"/>
        <v>12.24</v>
      </c>
    </row>
    <row r="3508" spans="1:19" x14ac:dyDescent="0.3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str">
        <f>IFERROR(VLOOKUP('Customer Info'!A3500,'Customer Info'!A3500:C3999,2,FALSE),"Not Found")</f>
        <v>Not Found</v>
      </c>
      <c r="H3508" s="6" t="str">
        <f>IFERROR(VLOOKUP('Customer Info'!A3500,'Customer Info'!A3500:C3999,3,FALSE),"Not Found")</f>
        <v>Not Found</v>
      </c>
      <c r="I3508" s="6" t="str">
        <f>IFERROR(VLOOKUP('Customer Info'!A3500,'Customer Info'!A3500:E3999,5,FALSE),"Not Found")</f>
        <v>Not Found</v>
      </c>
      <c r="J3508" s="2">
        <v>1763</v>
      </c>
      <c r="K3508" s="2">
        <v>1602</v>
      </c>
      <c r="L3508" s="2">
        <v>2</v>
      </c>
      <c r="M3508" s="7">
        <f t="shared" si="270"/>
        <v>3204</v>
      </c>
      <c r="N3508" s="7">
        <f t="shared" si="271"/>
        <v>3526</v>
      </c>
      <c r="O3508" s="2">
        <v>92</v>
      </c>
      <c r="P3508" s="8">
        <f t="shared" si="272"/>
        <v>3618</v>
      </c>
      <c r="Q3508" s="8">
        <f t="shared" si="273"/>
        <v>1924</v>
      </c>
      <c r="R3508" s="2" t="s">
        <v>26</v>
      </c>
      <c r="S3508" s="9">
        <f t="shared" si="274"/>
        <v>72.36</v>
      </c>
    </row>
    <row r="3509" spans="1:19" x14ac:dyDescent="0.3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str">
        <f>IFERROR(VLOOKUP('Customer Info'!A3501,'Customer Info'!A3501:C4000,2,FALSE),"Not Found")</f>
        <v>Not Found</v>
      </c>
      <c r="H3509" s="6" t="str">
        <f>IFERROR(VLOOKUP('Customer Info'!A3501,'Customer Info'!A3501:C4000,3,FALSE),"Not Found")</f>
        <v>Not Found</v>
      </c>
      <c r="I3509" s="6" t="str">
        <f>IFERROR(VLOOKUP('Customer Info'!A3501,'Customer Info'!A3501:E4000,5,FALSE),"Not Found")</f>
        <v>Not Found</v>
      </c>
      <c r="J3509" s="2">
        <v>6481</v>
      </c>
      <c r="K3509" s="2">
        <v>5884</v>
      </c>
      <c r="L3509" s="2">
        <v>10</v>
      </c>
      <c r="M3509" s="7">
        <f t="shared" si="270"/>
        <v>58840</v>
      </c>
      <c r="N3509" s="7">
        <f t="shared" si="271"/>
        <v>64810</v>
      </c>
      <c r="O3509" s="2">
        <v>43</v>
      </c>
      <c r="P3509" s="8">
        <f t="shared" si="272"/>
        <v>64853</v>
      </c>
      <c r="Q3509" s="8">
        <f t="shared" si="273"/>
        <v>58926</v>
      </c>
      <c r="R3509" s="2" t="s">
        <v>26</v>
      </c>
      <c r="S3509" s="9">
        <f t="shared" si="274"/>
        <v>5836.7699999999995</v>
      </c>
    </row>
    <row r="3510" spans="1:19" x14ac:dyDescent="0.3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str">
        <f>IFERROR(VLOOKUP('Customer Info'!A3502,'Customer Info'!A3502:C4001,2,FALSE),"Not Found")</f>
        <v>Not Found</v>
      </c>
      <c r="H3510" s="6" t="str">
        <f>IFERROR(VLOOKUP('Customer Info'!A3502,'Customer Info'!A3502:C4001,3,FALSE),"Not Found")</f>
        <v>Not Found</v>
      </c>
      <c r="I3510" s="6" t="str">
        <f>IFERROR(VLOOKUP('Customer Info'!A3502,'Customer Info'!A3502:E4001,5,FALSE),"Not Found")</f>
        <v>Not Found</v>
      </c>
      <c r="J3510" s="2">
        <v>1528</v>
      </c>
      <c r="K3510" s="2">
        <v>1348</v>
      </c>
      <c r="L3510" s="2">
        <v>2</v>
      </c>
      <c r="M3510" s="7">
        <f t="shared" si="270"/>
        <v>2696</v>
      </c>
      <c r="N3510" s="7">
        <f t="shared" si="271"/>
        <v>3056</v>
      </c>
      <c r="O3510" s="2">
        <v>38</v>
      </c>
      <c r="P3510" s="8">
        <f t="shared" si="272"/>
        <v>3094</v>
      </c>
      <c r="Q3510" s="8">
        <f t="shared" si="273"/>
        <v>1708</v>
      </c>
      <c r="R3510" s="2" t="s">
        <v>28</v>
      </c>
      <c r="S3510" s="9">
        <f t="shared" si="274"/>
        <v>61.88</v>
      </c>
    </row>
    <row r="3511" spans="1:19" x14ac:dyDescent="0.3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str">
        <f>IFERROR(VLOOKUP('Customer Info'!A3503,'Customer Info'!A3503:C4002,2,FALSE),"Not Found")</f>
        <v>Not Found</v>
      </c>
      <c r="H3511" s="6" t="str">
        <f>IFERROR(VLOOKUP('Customer Info'!A3503,'Customer Info'!A3503:C4002,3,FALSE),"Not Found")</f>
        <v>Not Found</v>
      </c>
      <c r="I3511" s="6" t="str">
        <f>IFERROR(VLOOKUP('Customer Info'!A3503,'Customer Info'!A3503:E4002,5,FALSE),"Not Found")</f>
        <v>Not Found</v>
      </c>
      <c r="J3511" s="2">
        <v>8630</v>
      </c>
      <c r="K3511" s="2">
        <v>8303</v>
      </c>
      <c r="L3511" s="2">
        <v>2</v>
      </c>
      <c r="M3511" s="7">
        <f t="shared" si="270"/>
        <v>16606</v>
      </c>
      <c r="N3511" s="7">
        <f t="shared" si="271"/>
        <v>17260</v>
      </c>
      <c r="O3511" s="2">
        <v>96</v>
      </c>
      <c r="P3511" s="8">
        <f t="shared" si="272"/>
        <v>17356</v>
      </c>
      <c r="Q3511" s="8">
        <f t="shared" si="273"/>
        <v>8957</v>
      </c>
      <c r="R3511" s="2" t="s">
        <v>28</v>
      </c>
      <c r="S3511" s="9">
        <f t="shared" si="274"/>
        <v>867.80000000000007</v>
      </c>
    </row>
    <row r="3512" spans="1:19" x14ac:dyDescent="0.3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str">
        <f>IFERROR(VLOOKUP('Customer Info'!A3504,'Customer Info'!A3504:C4003,2,FALSE),"Not Found")</f>
        <v>Not Found</v>
      </c>
      <c r="H3512" s="6" t="str">
        <f>IFERROR(VLOOKUP('Customer Info'!A3504,'Customer Info'!A3504:C4003,3,FALSE),"Not Found")</f>
        <v>Not Found</v>
      </c>
      <c r="I3512" s="6" t="str">
        <f>IFERROR(VLOOKUP('Customer Info'!A3504,'Customer Info'!A3504:E4003,5,FALSE),"Not Found")</f>
        <v>Not Found</v>
      </c>
      <c r="J3512" s="2">
        <v>1623</v>
      </c>
      <c r="K3512" s="2">
        <v>1546</v>
      </c>
      <c r="L3512" s="2">
        <v>1</v>
      </c>
      <c r="M3512" s="7">
        <f t="shared" si="270"/>
        <v>1546</v>
      </c>
      <c r="N3512" s="7">
        <f t="shared" si="271"/>
        <v>1623</v>
      </c>
      <c r="O3512" s="2">
        <v>86</v>
      </c>
      <c r="P3512" s="8">
        <f t="shared" si="272"/>
        <v>1709</v>
      </c>
      <c r="Q3512" s="8">
        <f t="shared" si="273"/>
        <v>77</v>
      </c>
      <c r="R3512" s="2" t="s">
        <v>50</v>
      </c>
      <c r="S3512" s="9">
        <f t="shared" si="274"/>
        <v>34.18</v>
      </c>
    </row>
    <row r="3513" spans="1:19" x14ac:dyDescent="0.3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str">
        <f>IFERROR(VLOOKUP('Customer Info'!A3505,'Customer Info'!A3505:C4004,2,FALSE),"Not Found")</f>
        <v>Not Found</v>
      </c>
      <c r="H3513" s="6" t="str">
        <f>IFERROR(VLOOKUP('Customer Info'!A3505,'Customer Info'!A3505:C4004,3,FALSE),"Not Found")</f>
        <v>Not Found</v>
      </c>
      <c r="I3513" s="6" t="str">
        <f>IFERROR(VLOOKUP('Customer Info'!A3505,'Customer Info'!A3505:E4004,5,FALSE),"Not Found")</f>
        <v>Not Found</v>
      </c>
      <c r="J3513" s="2">
        <v>1453</v>
      </c>
      <c r="K3513" s="2">
        <v>1411</v>
      </c>
      <c r="L3513" s="2">
        <v>1</v>
      </c>
      <c r="M3513" s="7">
        <f t="shared" si="270"/>
        <v>1411</v>
      </c>
      <c r="N3513" s="7">
        <f t="shared" si="271"/>
        <v>1453</v>
      </c>
      <c r="O3513" s="2">
        <v>84</v>
      </c>
      <c r="P3513" s="8">
        <f t="shared" si="272"/>
        <v>1537</v>
      </c>
      <c r="Q3513" s="8">
        <f t="shared" si="273"/>
        <v>42</v>
      </c>
      <c r="R3513" s="2" t="s">
        <v>28</v>
      </c>
      <c r="S3513" s="9">
        <f t="shared" si="274"/>
        <v>30.740000000000002</v>
      </c>
    </row>
    <row r="3514" spans="1:19" x14ac:dyDescent="0.3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str">
        <f>IFERROR(VLOOKUP('Customer Info'!A3506,'Customer Info'!A3506:C4005,2,FALSE),"Not Found")</f>
        <v>Not Found</v>
      </c>
      <c r="H3514" s="6" t="str">
        <f>IFERROR(VLOOKUP('Customer Info'!A3506,'Customer Info'!A3506:C4005,3,FALSE),"Not Found")</f>
        <v>Not Found</v>
      </c>
      <c r="I3514" s="6" t="str">
        <f>IFERROR(VLOOKUP('Customer Info'!A3506,'Customer Info'!A3506:E4005,5,FALSE),"Not Found")</f>
        <v>Not Found</v>
      </c>
      <c r="J3514" s="2">
        <v>1060</v>
      </c>
      <c r="K3514" s="2">
        <v>964</v>
      </c>
      <c r="L3514" s="2">
        <v>3</v>
      </c>
      <c r="M3514" s="7">
        <f t="shared" si="270"/>
        <v>2892</v>
      </c>
      <c r="N3514" s="7">
        <f t="shared" si="271"/>
        <v>3180</v>
      </c>
      <c r="O3514" s="2">
        <v>97</v>
      </c>
      <c r="P3514" s="8">
        <f t="shared" si="272"/>
        <v>3277</v>
      </c>
      <c r="Q3514" s="8">
        <f t="shared" si="273"/>
        <v>2216</v>
      </c>
      <c r="R3514" s="2" t="s">
        <v>28</v>
      </c>
      <c r="S3514" s="9">
        <f t="shared" si="274"/>
        <v>65.540000000000006</v>
      </c>
    </row>
    <row r="3515" spans="1:19" x14ac:dyDescent="0.3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str">
        <f>IFERROR(VLOOKUP('Customer Info'!A3507,'Customer Info'!A3507:C4006,2,FALSE),"Not Found")</f>
        <v>Not Found</v>
      </c>
      <c r="H3515" s="6" t="str">
        <f>IFERROR(VLOOKUP('Customer Info'!A3507,'Customer Info'!A3507:C4006,3,FALSE),"Not Found")</f>
        <v>Not Found</v>
      </c>
      <c r="I3515" s="6" t="str">
        <f>IFERROR(VLOOKUP('Customer Info'!A3507,'Customer Info'!A3507:E4006,5,FALSE),"Not Found")</f>
        <v>Not Found</v>
      </c>
      <c r="J3515" s="2">
        <v>170</v>
      </c>
      <c r="K3515" s="2">
        <v>153</v>
      </c>
      <c r="L3515" s="2">
        <v>7</v>
      </c>
      <c r="M3515" s="7">
        <f t="shared" si="270"/>
        <v>1071</v>
      </c>
      <c r="N3515" s="7">
        <f t="shared" si="271"/>
        <v>1190</v>
      </c>
      <c r="O3515" s="2">
        <v>30</v>
      </c>
      <c r="P3515" s="8">
        <f t="shared" si="272"/>
        <v>1220</v>
      </c>
      <c r="Q3515" s="8">
        <f t="shared" si="273"/>
        <v>1037</v>
      </c>
      <c r="R3515" s="2" t="s">
        <v>28</v>
      </c>
      <c r="S3515" s="9">
        <f t="shared" si="274"/>
        <v>24.400000000000002</v>
      </c>
    </row>
    <row r="3516" spans="1:19" x14ac:dyDescent="0.3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str">
        <f>IFERROR(VLOOKUP('Customer Info'!A3508,'Customer Info'!A3508:C4007,2,FALSE),"Not Found")</f>
        <v>Not Found</v>
      </c>
      <c r="H3516" s="6" t="str">
        <f>IFERROR(VLOOKUP('Customer Info'!A3508,'Customer Info'!A3508:C4007,3,FALSE),"Not Found")</f>
        <v>Not Found</v>
      </c>
      <c r="I3516" s="6" t="str">
        <f>IFERROR(VLOOKUP('Customer Info'!A3508,'Customer Info'!A3508:E4007,5,FALSE),"Not Found")</f>
        <v>Not Found</v>
      </c>
      <c r="J3516" s="2">
        <v>60</v>
      </c>
      <c r="K3516" s="2">
        <v>55</v>
      </c>
      <c r="L3516" s="2">
        <v>5</v>
      </c>
      <c r="M3516" s="7">
        <f t="shared" si="270"/>
        <v>275</v>
      </c>
      <c r="N3516" s="7">
        <f t="shared" si="271"/>
        <v>300</v>
      </c>
      <c r="O3516" s="2">
        <v>10</v>
      </c>
      <c r="P3516" s="8">
        <f t="shared" si="272"/>
        <v>310</v>
      </c>
      <c r="Q3516" s="8">
        <f t="shared" si="273"/>
        <v>245</v>
      </c>
      <c r="R3516" s="2" t="s">
        <v>28</v>
      </c>
      <c r="S3516" s="9">
        <f t="shared" si="274"/>
        <v>6.2</v>
      </c>
    </row>
    <row r="3517" spans="1:19" x14ac:dyDescent="0.3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str">
        <f>IFERROR(VLOOKUP('Customer Info'!A3509,'Customer Info'!A3509:C4008,2,FALSE),"Not Found")</f>
        <v>Not Found</v>
      </c>
      <c r="H3517" s="6" t="str">
        <f>IFERROR(VLOOKUP('Customer Info'!A3509,'Customer Info'!A3509:C4008,3,FALSE),"Not Found")</f>
        <v>Not Found</v>
      </c>
      <c r="I3517" s="6" t="str">
        <f>IFERROR(VLOOKUP('Customer Info'!A3509,'Customer Info'!A3509:E4008,5,FALSE),"Not Found")</f>
        <v>Not Found</v>
      </c>
      <c r="J3517" s="2">
        <v>8399</v>
      </c>
      <c r="K3517" s="2">
        <v>8001</v>
      </c>
      <c r="L3517" s="2">
        <v>3</v>
      </c>
      <c r="M3517" s="7">
        <f t="shared" si="270"/>
        <v>24003</v>
      </c>
      <c r="N3517" s="7">
        <f t="shared" si="271"/>
        <v>25197</v>
      </c>
      <c r="O3517" s="2">
        <v>57</v>
      </c>
      <c r="P3517" s="8">
        <f t="shared" si="272"/>
        <v>25254</v>
      </c>
      <c r="Q3517" s="8">
        <f t="shared" si="273"/>
        <v>17196</v>
      </c>
      <c r="R3517" s="2" t="s">
        <v>50</v>
      </c>
      <c r="S3517" s="9">
        <f t="shared" si="274"/>
        <v>1767.7800000000002</v>
      </c>
    </row>
    <row r="3518" spans="1:19" x14ac:dyDescent="0.3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str">
        <f>IFERROR(VLOOKUP('Customer Info'!A3510,'Customer Info'!A3510:C4009,2,FALSE),"Not Found")</f>
        <v>Not Found</v>
      </c>
      <c r="H3518" s="6" t="str">
        <f>IFERROR(VLOOKUP('Customer Info'!A3510,'Customer Info'!A3510:C4009,3,FALSE),"Not Found")</f>
        <v>Not Found</v>
      </c>
      <c r="I3518" s="6" t="str">
        <f>IFERROR(VLOOKUP('Customer Info'!A3510,'Customer Info'!A3510:E4009,5,FALSE),"Not Found")</f>
        <v>Not Found</v>
      </c>
      <c r="J3518" s="2">
        <v>1399</v>
      </c>
      <c r="K3518" s="2">
        <v>1333</v>
      </c>
      <c r="L3518" s="2">
        <v>4</v>
      </c>
      <c r="M3518" s="7">
        <f t="shared" si="270"/>
        <v>5332</v>
      </c>
      <c r="N3518" s="7">
        <f t="shared" si="271"/>
        <v>5596</v>
      </c>
      <c r="O3518" s="2">
        <v>95</v>
      </c>
      <c r="P3518" s="8">
        <f t="shared" si="272"/>
        <v>5691</v>
      </c>
      <c r="Q3518" s="8">
        <f t="shared" si="273"/>
        <v>4263</v>
      </c>
      <c r="R3518" s="2" t="s">
        <v>28</v>
      </c>
      <c r="S3518" s="9">
        <f t="shared" si="274"/>
        <v>284.55</v>
      </c>
    </row>
    <row r="3519" spans="1:19" x14ac:dyDescent="0.3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str">
        <f>IFERROR(VLOOKUP('Customer Info'!A3511,'Customer Info'!A3511:C4010,2,FALSE),"Not Found")</f>
        <v>Not Found</v>
      </c>
      <c r="H3519" s="6" t="str">
        <f>IFERROR(VLOOKUP('Customer Info'!A3511,'Customer Info'!A3511:C4010,3,FALSE),"Not Found")</f>
        <v>Not Found</v>
      </c>
      <c r="I3519" s="6" t="str">
        <f>IFERROR(VLOOKUP('Customer Info'!A3511,'Customer Info'!A3511:E4010,5,FALSE),"Not Found")</f>
        <v>Not Found</v>
      </c>
      <c r="J3519" s="2">
        <v>208</v>
      </c>
      <c r="K3519" s="2">
        <v>187</v>
      </c>
      <c r="L3519" s="2">
        <v>2</v>
      </c>
      <c r="M3519" s="7">
        <f t="shared" si="270"/>
        <v>374</v>
      </c>
      <c r="N3519" s="7">
        <f t="shared" si="271"/>
        <v>416</v>
      </c>
      <c r="O3519" s="2">
        <v>39</v>
      </c>
      <c r="P3519" s="8">
        <f t="shared" si="272"/>
        <v>455</v>
      </c>
      <c r="Q3519" s="8">
        <f t="shared" si="273"/>
        <v>229</v>
      </c>
      <c r="R3519" s="2" t="s">
        <v>28</v>
      </c>
      <c r="S3519" s="9">
        <f t="shared" si="274"/>
        <v>9.1</v>
      </c>
    </row>
    <row r="3520" spans="1:19" x14ac:dyDescent="0.3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str">
        <f>IFERROR(VLOOKUP('Customer Info'!A3512,'Customer Info'!A3512:C4011,2,FALSE),"Not Found")</f>
        <v>Not Found</v>
      </c>
      <c r="H3520" s="6" t="str">
        <f>IFERROR(VLOOKUP('Customer Info'!A3512,'Customer Info'!A3512:C4011,3,FALSE),"Not Found")</f>
        <v>Not Found</v>
      </c>
      <c r="I3520" s="6" t="str">
        <f>IFERROR(VLOOKUP('Customer Info'!A3512,'Customer Info'!A3512:E4011,5,FALSE),"Not Found")</f>
        <v>Not Found</v>
      </c>
      <c r="J3520" s="2">
        <v>6400</v>
      </c>
      <c r="K3520" s="2">
        <v>6401</v>
      </c>
      <c r="L3520" s="2">
        <v>3</v>
      </c>
      <c r="M3520" s="7">
        <f t="shared" si="270"/>
        <v>19203</v>
      </c>
      <c r="N3520" s="7">
        <f t="shared" si="271"/>
        <v>19200</v>
      </c>
      <c r="O3520" s="2">
        <v>79</v>
      </c>
      <c r="P3520" s="8">
        <f t="shared" si="272"/>
        <v>19279</v>
      </c>
      <c r="Q3520" s="8">
        <f t="shared" si="273"/>
        <v>12799</v>
      </c>
      <c r="R3520" s="2" t="s">
        <v>28</v>
      </c>
      <c r="S3520" s="9">
        <f t="shared" si="274"/>
        <v>963.95</v>
      </c>
    </row>
    <row r="3521" spans="1:19" x14ac:dyDescent="0.3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str">
        <f>IFERROR(VLOOKUP('Customer Info'!A3513,'Customer Info'!A3513:C4012,2,FALSE),"Not Found")</f>
        <v>Not Found</v>
      </c>
      <c r="H3521" s="6" t="str">
        <f>IFERROR(VLOOKUP('Customer Info'!A3513,'Customer Info'!A3513:C4012,3,FALSE),"Not Found")</f>
        <v>Not Found</v>
      </c>
      <c r="I3521" s="6" t="str">
        <f>IFERROR(VLOOKUP('Customer Info'!A3513,'Customer Info'!A3513:E4012,5,FALSE),"Not Found")</f>
        <v>Not Found</v>
      </c>
      <c r="J3521" s="2">
        <v>6354</v>
      </c>
      <c r="K3521" s="2">
        <v>5769</v>
      </c>
      <c r="L3521" s="2">
        <v>4</v>
      </c>
      <c r="M3521" s="7">
        <f t="shared" si="270"/>
        <v>23076</v>
      </c>
      <c r="N3521" s="7">
        <f t="shared" si="271"/>
        <v>25416</v>
      </c>
      <c r="O3521" s="2">
        <v>48</v>
      </c>
      <c r="P3521" s="8">
        <f t="shared" si="272"/>
        <v>25464</v>
      </c>
      <c r="Q3521" s="8">
        <f t="shared" si="273"/>
        <v>19647</v>
      </c>
      <c r="R3521" s="2" t="s">
        <v>28</v>
      </c>
      <c r="S3521" s="9">
        <f t="shared" si="274"/>
        <v>1782.4800000000002</v>
      </c>
    </row>
    <row r="3522" spans="1:19" x14ac:dyDescent="0.3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str">
        <f>IFERROR(VLOOKUP('Customer Info'!A3514,'Customer Info'!A3514:C4013,2,FALSE),"Not Found")</f>
        <v>Not Found</v>
      </c>
      <c r="H3522" s="6" t="str">
        <f>IFERROR(VLOOKUP('Customer Info'!A3514,'Customer Info'!A3514:C4013,3,FALSE),"Not Found")</f>
        <v>Not Found</v>
      </c>
      <c r="I3522" s="6" t="str">
        <f>IFERROR(VLOOKUP('Customer Info'!A3514,'Customer Info'!A3514:E4013,5,FALSE),"Not Found")</f>
        <v>Not Found</v>
      </c>
      <c r="J3522" s="2">
        <v>671</v>
      </c>
      <c r="K3522" s="2">
        <v>627</v>
      </c>
      <c r="L3522" s="2">
        <v>2</v>
      </c>
      <c r="M3522" s="7">
        <f t="shared" si="270"/>
        <v>1254</v>
      </c>
      <c r="N3522" s="7">
        <f t="shared" si="271"/>
        <v>1342</v>
      </c>
      <c r="O3522" s="2">
        <v>23</v>
      </c>
      <c r="P3522" s="8">
        <f t="shared" si="272"/>
        <v>1365</v>
      </c>
      <c r="Q3522" s="8">
        <f t="shared" si="273"/>
        <v>715</v>
      </c>
      <c r="R3522" s="2" t="s">
        <v>28</v>
      </c>
      <c r="S3522" s="9">
        <f t="shared" si="274"/>
        <v>27.3</v>
      </c>
    </row>
    <row r="3523" spans="1:19" x14ac:dyDescent="0.3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str">
        <f>IFERROR(VLOOKUP('Customer Info'!A3515,'Customer Info'!A3515:C4014,2,FALSE),"Not Found")</f>
        <v>Not Found</v>
      </c>
      <c r="H3523" s="6" t="str">
        <f>IFERROR(VLOOKUP('Customer Info'!A3515,'Customer Info'!A3515:C4014,3,FALSE),"Not Found")</f>
        <v>Not Found</v>
      </c>
      <c r="I3523" s="6" t="str">
        <f>IFERROR(VLOOKUP('Customer Info'!A3515,'Customer Info'!A3515:E4014,5,FALSE),"Not Found")</f>
        <v>Not Found</v>
      </c>
      <c r="J3523" s="2">
        <v>2981</v>
      </c>
      <c r="K3523" s="2">
        <v>2870</v>
      </c>
      <c r="L3523" s="2">
        <v>6</v>
      </c>
      <c r="M3523" s="7">
        <f t="shared" si="270"/>
        <v>17220</v>
      </c>
      <c r="N3523" s="7">
        <f t="shared" si="271"/>
        <v>17886</v>
      </c>
      <c r="O3523" s="2">
        <v>79</v>
      </c>
      <c r="P3523" s="8">
        <f t="shared" si="272"/>
        <v>17965</v>
      </c>
      <c r="Q3523" s="8">
        <f t="shared" si="273"/>
        <v>15016</v>
      </c>
      <c r="R3523" s="2" t="s">
        <v>50</v>
      </c>
      <c r="S3523" s="9">
        <f t="shared" si="274"/>
        <v>898.25</v>
      </c>
    </row>
    <row r="3524" spans="1:19" x14ac:dyDescent="0.3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str">
        <f>IFERROR(VLOOKUP('Customer Info'!A3516,'Customer Info'!A3516:C4015,2,FALSE),"Not Found")</f>
        <v>Not Found</v>
      </c>
      <c r="H3524" s="6" t="str">
        <f>IFERROR(VLOOKUP('Customer Info'!A3516,'Customer Info'!A3516:C4015,3,FALSE),"Not Found")</f>
        <v>Not Found</v>
      </c>
      <c r="I3524" s="6" t="str">
        <f>IFERROR(VLOOKUP('Customer Info'!A3516,'Customer Info'!A3516:E4015,5,FALSE),"Not Found")</f>
        <v>Not Found</v>
      </c>
      <c r="J3524" s="2">
        <v>1601</v>
      </c>
      <c r="K3524" s="2">
        <v>1510</v>
      </c>
      <c r="L3524" s="2">
        <v>4</v>
      </c>
      <c r="M3524" s="7">
        <f t="shared" si="270"/>
        <v>6040</v>
      </c>
      <c r="N3524" s="7">
        <f t="shared" si="271"/>
        <v>6404</v>
      </c>
      <c r="O3524" s="2">
        <v>94</v>
      </c>
      <c r="P3524" s="8">
        <f t="shared" si="272"/>
        <v>6498</v>
      </c>
      <c r="Q3524" s="8">
        <f t="shared" si="273"/>
        <v>4894</v>
      </c>
      <c r="R3524" s="2" t="s">
        <v>28</v>
      </c>
      <c r="S3524" s="9">
        <f t="shared" si="274"/>
        <v>324.90000000000003</v>
      </c>
    </row>
    <row r="3525" spans="1:19" x14ac:dyDescent="0.3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str">
        <f>IFERROR(VLOOKUP('Customer Info'!A3517,'Customer Info'!A3517:C4016,2,FALSE),"Not Found")</f>
        <v>Not Found</v>
      </c>
      <c r="H3525" s="6" t="str">
        <f>IFERROR(VLOOKUP('Customer Info'!A3517,'Customer Info'!A3517:C4016,3,FALSE),"Not Found")</f>
        <v>Not Found</v>
      </c>
      <c r="I3525" s="6" t="str">
        <f>IFERROR(VLOOKUP('Customer Info'!A3517,'Customer Info'!A3517:E4016,5,FALSE),"Not Found")</f>
        <v>Not Found</v>
      </c>
      <c r="J3525" s="2">
        <v>3224</v>
      </c>
      <c r="K3525" s="2">
        <v>2901</v>
      </c>
      <c r="L3525" s="2">
        <v>1</v>
      </c>
      <c r="M3525" s="7">
        <f t="shared" si="270"/>
        <v>2901</v>
      </c>
      <c r="N3525" s="7">
        <f t="shared" si="271"/>
        <v>3224</v>
      </c>
      <c r="O3525" s="2">
        <v>38</v>
      </c>
      <c r="P3525" s="8">
        <f t="shared" si="272"/>
        <v>3262</v>
      </c>
      <c r="Q3525" s="8">
        <f t="shared" si="273"/>
        <v>323</v>
      </c>
      <c r="R3525" s="2" t="s">
        <v>28</v>
      </c>
      <c r="S3525" s="9">
        <f t="shared" si="274"/>
        <v>65.239999999999995</v>
      </c>
    </row>
    <row r="3526" spans="1:19" x14ac:dyDescent="0.3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str">
        <f>IFERROR(VLOOKUP('Customer Info'!A3518,'Customer Info'!A3518:C4017,2,FALSE),"Not Found")</f>
        <v>Not Found</v>
      </c>
      <c r="H3526" s="6" t="str">
        <f>IFERROR(VLOOKUP('Customer Info'!A3518,'Customer Info'!A3518:C4017,3,FALSE),"Not Found")</f>
        <v>Not Found</v>
      </c>
      <c r="I3526" s="6" t="str">
        <f>IFERROR(VLOOKUP('Customer Info'!A3518,'Customer Info'!A3518:E4017,5,FALSE),"Not Found")</f>
        <v>Not Found</v>
      </c>
      <c r="J3526" s="2">
        <v>9033</v>
      </c>
      <c r="K3526" s="2">
        <v>8132</v>
      </c>
      <c r="L3526" s="2">
        <v>2</v>
      </c>
      <c r="M3526" s="7">
        <f t="shared" si="270"/>
        <v>16264</v>
      </c>
      <c r="N3526" s="7">
        <f t="shared" si="271"/>
        <v>18066</v>
      </c>
      <c r="O3526" s="2">
        <v>55</v>
      </c>
      <c r="P3526" s="8">
        <f t="shared" si="272"/>
        <v>18121</v>
      </c>
      <c r="Q3526" s="8">
        <f t="shared" si="273"/>
        <v>9934</v>
      </c>
      <c r="R3526" s="2" t="s">
        <v>56</v>
      </c>
      <c r="S3526" s="9">
        <f t="shared" si="274"/>
        <v>906.05000000000007</v>
      </c>
    </row>
    <row r="3527" spans="1:19" x14ac:dyDescent="0.3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str">
        <f>IFERROR(VLOOKUP('Customer Info'!A3519,'Customer Info'!A3519:C4018,2,FALSE),"Not Found")</f>
        <v>Not Found</v>
      </c>
      <c r="H3527" s="6" t="str">
        <f>IFERROR(VLOOKUP('Customer Info'!A3519,'Customer Info'!A3519:C4018,3,FALSE),"Not Found")</f>
        <v>Not Found</v>
      </c>
      <c r="I3527" s="6" t="str">
        <f>IFERROR(VLOOKUP('Customer Info'!A3519,'Customer Info'!A3519:E4018,5,FALSE),"Not Found")</f>
        <v>Not Found</v>
      </c>
      <c r="J3527" s="2">
        <v>1619</v>
      </c>
      <c r="K3527" s="2">
        <v>1442</v>
      </c>
      <c r="L3527" s="2">
        <v>9</v>
      </c>
      <c r="M3527" s="7">
        <f t="shared" si="270"/>
        <v>12978</v>
      </c>
      <c r="N3527" s="7">
        <f t="shared" si="271"/>
        <v>14571</v>
      </c>
      <c r="O3527" s="2">
        <v>57</v>
      </c>
      <c r="P3527" s="8">
        <f t="shared" si="272"/>
        <v>14628</v>
      </c>
      <c r="Q3527" s="8">
        <f t="shared" si="273"/>
        <v>13129</v>
      </c>
      <c r="R3527" s="2" t="s">
        <v>28</v>
      </c>
      <c r="S3527" s="9">
        <f t="shared" si="274"/>
        <v>731.40000000000009</v>
      </c>
    </row>
    <row r="3528" spans="1:19" x14ac:dyDescent="0.3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str">
        <f>IFERROR(VLOOKUP('Customer Info'!A3520,'Customer Info'!A3520:C4019,2,FALSE),"Not Found")</f>
        <v>Not Found</v>
      </c>
      <c r="H3528" s="6" t="str">
        <f>IFERROR(VLOOKUP('Customer Info'!A3520,'Customer Info'!A3520:C4019,3,FALSE),"Not Found")</f>
        <v>Not Found</v>
      </c>
      <c r="I3528" s="6" t="str">
        <f>IFERROR(VLOOKUP('Customer Info'!A3520,'Customer Info'!A3520:E4019,5,FALSE),"Not Found")</f>
        <v>Not Found</v>
      </c>
      <c r="J3528" s="2">
        <v>1721</v>
      </c>
      <c r="K3528" s="2">
        <v>1640</v>
      </c>
      <c r="L3528" s="2">
        <v>6</v>
      </c>
      <c r="M3528" s="7">
        <f t="shared" si="270"/>
        <v>9840</v>
      </c>
      <c r="N3528" s="7">
        <f t="shared" si="271"/>
        <v>10326</v>
      </c>
      <c r="O3528" s="2">
        <v>85</v>
      </c>
      <c r="P3528" s="8">
        <f t="shared" si="272"/>
        <v>10411</v>
      </c>
      <c r="Q3528" s="8">
        <f t="shared" si="273"/>
        <v>8686</v>
      </c>
      <c r="R3528" s="2" t="s">
        <v>28</v>
      </c>
      <c r="S3528" s="9">
        <f t="shared" si="274"/>
        <v>520.55000000000007</v>
      </c>
    </row>
    <row r="3529" spans="1:19" x14ac:dyDescent="0.3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str">
        <f>IFERROR(VLOOKUP('Customer Info'!A3521,'Customer Info'!A3521:C4020,2,FALSE),"Not Found")</f>
        <v>Not Found</v>
      </c>
      <c r="H3529" s="6" t="str">
        <f>IFERROR(VLOOKUP('Customer Info'!A3521,'Customer Info'!A3521:C4020,3,FALSE),"Not Found")</f>
        <v>Not Found</v>
      </c>
      <c r="I3529" s="6" t="str">
        <f>IFERROR(VLOOKUP('Customer Info'!A3521,'Customer Info'!A3521:E4020,5,FALSE),"Not Found")</f>
        <v>Not Found</v>
      </c>
      <c r="J3529" s="2">
        <v>1635</v>
      </c>
      <c r="K3529" s="2">
        <v>1573</v>
      </c>
      <c r="L3529" s="2">
        <v>2</v>
      </c>
      <c r="M3529" s="7">
        <f t="shared" si="270"/>
        <v>3146</v>
      </c>
      <c r="N3529" s="7">
        <f t="shared" si="271"/>
        <v>3270</v>
      </c>
      <c r="O3529" s="2">
        <v>94</v>
      </c>
      <c r="P3529" s="8">
        <f t="shared" si="272"/>
        <v>3364</v>
      </c>
      <c r="Q3529" s="8">
        <f t="shared" si="273"/>
        <v>1697</v>
      </c>
      <c r="R3529" s="2" t="s">
        <v>28</v>
      </c>
      <c r="S3529" s="9">
        <f t="shared" si="274"/>
        <v>67.28</v>
      </c>
    </row>
    <row r="3530" spans="1:19" x14ac:dyDescent="0.3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str">
        <f>IFERROR(VLOOKUP('Customer Info'!A3522,'Customer Info'!A3522:C4021,2,FALSE),"Not Found")</f>
        <v>Not Found</v>
      </c>
      <c r="H3530" s="6" t="str">
        <f>IFERROR(VLOOKUP('Customer Info'!A3522,'Customer Info'!A3522:C4021,3,FALSE),"Not Found")</f>
        <v>Not Found</v>
      </c>
      <c r="I3530" s="6" t="str">
        <f>IFERROR(VLOOKUP('Customer Info'!A3522,'Customer Info'!A3522:E4021,5,FALSE),"Not Found")</f>
        <v>Not Found</v>
      </c>
      <c r="J3530" s="2">
        <v>1305</v>
      </c>
      <c r="K3530" s="2">
        <v>1197</v>
      </c>
      <c r="L3530" s="2">
        <v>1</v>
      </c>
      <c r="M3530" s="7">
        <f t="shared" si="270"/>
        <v>1197</v>
      </c>
      <c r="N3530" s="7">
        <f t="shared" si="271"/>
        <v>1305</v>
      </c>
      <c r="O3530" s="2">
        <v>98</v>
      </c>
      <c r="P3530" s="8">
        <f t="shared" si="272"/>
        <v>1403</v>
      </c>
      <c r="Q3530" s="8">
        <f t="shared" si="273"/>
        <v>108</v>
      </c>
      <c r="R3530" s="2" t="s">
        <v>28</v>
      </c>
      <c r="S3530" s="9">
        <f t="shared" si="274"/>
        <v>28.060000000000002</v>
      </c>
    </row>
    <row r="3531" spans="1:19" x14ac:dyDescent="0.3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str">
        <f>IFERROR(VLOOKUP('Customer Info'!A3523,'Customer Info'!A3523:C4022,2,FALSE),"Not Found")</f>
        <v>Not Found</v>
      </c>
      <c r="H3531" s="6" t="str">
        <f>IFERROR(VLOOKUP('Customer Info'!A3523,'Customer Info'!A3523:C4022,3,FALSE),"Not Found")</f>
        <v>Not Found</v>
      </c>
      <c r="I3531" s="6" t="str">
        <f>IFERROR(VLOOKUP('Customer Info'!A3523,'Customer Info'!A3523:E4022,5,FALSE),"Not Found")</f>
        <v>Not Found</v>
      </c>
      <c r="J3531" s="2">
        <v>1372</v>
      </c>
      <c r="K3531" s="2">
        <v>1308</v>
      </c>
      <c r="L3531" s="2">
        <v>4</v>
      </c>
      <c r="M3531" s="7">
        <f t="shared" ref="M3531:M3594" si="275">$K3531*$L3531</f>
        <v>5232</v>
      </c>
      <c r="N3531" s="7">
        <f t="shared" ref="N3531:N3594" si="276">$J3531*$L3531</f>
        <v>5488</v>
      </c>
      <c r="O3531" s="2">
        <v>99</v>
      </c>
      <c r="P3531" s="8">
        <f t="shared" ref="P3531:P3594" si="277">$N3531+$O3531</f>
        <v>5587</v>
      </c>
      <c r="Q3531" s="8">
        <f t="shared" ref="Q3531:Q3594" si="278">$N3531-$K3531</f>
        <v>4180</v>
      </c>
      <c r="R3531" s="2" t="s">
        <v>28</v>
      </c>
      <c r="S3531" s="9">
        <f t="shared" ref="S3531:S3594" si="279" xml:space="preserve"> P3531 * VLOOKUP(P3531, $T$2:$U$6, 2, TRUE)</f>
        <v>279.35000000000002</v>
      </c>
    </row>
    <row r="3532" spans="1:19" x14ac:dyDescent="0.3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str">
        <f>IFERROR(VLOOKUP('Customer Info'!A3524,'Customer Info'!A3524:C4023,2,FALSE),"Not Found")</f>
        <v>Not Found</v>
      </c>
      <c r="H3532" s="6" t="str">
        <f>IFERROR(VLOOKUP('Customer Info'!A3524,'Customer Info'!A3524:C4023,3,FALSE),"Not Found")</f>
        <v>Not Found</v>
      </c>
      <c r="I3532" s="6" t="str">
        <f>IFERROR(VLOOKUP('Customer Info'!A3524,'Customer Info'!A3524:E4023,5,FALSE),"Not Found")</f>
        <v>Not Found</v>
      </c>
      <c r="J3532" s="2">
        <v>679</v>
      </c>
      <c r="K3532" s="2">
        <v>654</v>
      </c>
      <c r="L3532" s="2">
        <v>4</v>
      </c>
      <c r="M3532" s="7">
        <f t="shared" si="275"/>
        <v>2616</v>
      </c>
      <c r="N3532" s="7">
        <f t="shared" si="276"/>
        <v>2716</v>
      </c>
      <c r="O3532" s="2">
        <v>60</v>
      </c>
      <c r="P3532" s="8">
        <f t="shared" si="277"/>
        <v>2776</v>
      </c>
      <c r="Q3532" s="8">
        <f t="shared" si="278"/>
        <v>2062</v>
      </c>
      <c r="R3532" s="2" t="s">
        <v>50</v>
      </c>
      <c r="S3532" s="9">
        <f t="shared" si="279"/>
        <v>55.52</v>
      </c>
    </row>
    <row r="3533" spans="1:19" x14ac:dyDescent="0.3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str">
        <f>IFERROR(VLOOKUP('Customer Info'!A3525,'Customer Info'!A3525:C4024,2,FALSE),"Not Found")</f>
        <v>Not Found</v>
      </c>
      <c r="H3533" s="6" t="str">
        <f>IFERROR(VLOOKUP('Customer Info'!A3525,'Customer Info'!A3525:C4024,3,FALSE),"Not Found")</f>
        <v>Not Found</v>
      </c>
      <c r="I3533" s="6" t="str">
        <f>IFERROR(VLOOKUP('Customer Info'!A3525,'Customer Info'!A3525:E4024,5,FALSE),"Not Found")</f>
        <v>Not Found</v>
      </c>
      <c r="J3533" s="2">
        <v>141</v>
      </c>
      <c r="K3533" s="2">
        <v>131</v>
      </c>
      <c r="L3533" s="2">
        <v>8</v>
      </c>
      <c r="M3533" s="7">
        <f t="shared" si="275"/>
        <v>1048</v>
      </c>
      <c r="N3533" s="7">
        <f t="shared" si="276"/>
        <v>1128</v>
      </c>
      <c r="O3533" s="2">
        <v>30</v>
      </c>
      <c r="P3533" s="8">
        <f t="shared" si="277"/>
        <v>1158</v>
      </c>
      <c r="Q3533" s="8">
        <f t="shared" si="278"/>
        <v>997</v>
      </c>
      <c r="R3533" s="2" t="s">
        <v>50</v>
      </c>
      <c r="S3533" s="9">
        <f t="shared" si="279"/>
        <v>23.16</v>
      </c>
    </row>
    <row r="3534" spans="1:19" x14ac:dyDescent="0.3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str">
        <f>IFERROR(VLOOKUP('Customer Info'!A3526,'Customer Info'!A3526:C4025,2,FALSE),"Not Found")</f>
        <v>Not Found</v>
      </c>
      <c r="H3534" s="6" t="str">
        <f>IFERROR(VLOOKUP('Customer Info'!A3526,'Customer Info'!A3526:C4025,3,FALSE),"Not Found")</f>
        <v>Not Found</v>
      </c>
      <c r="I3534" s="6" t="str">
        <f>IFERROR(VLOOKUP('Customer Info'!A3526,'Customer Info'!A3526:E4025,5,FALSE),"Not Found")</f>
        <v>Not Found</v>
      </c>
      <c r="J3534" s="2">
        <v>1533</v>
      </c>
      <c r="K3534" s="2">
        <v>1406</v>
      </c>
      <c r="L3534" s="2">
        <v>6</v>
      </c>
      <c r="M3534" s="7">
        <f t="shared" si="275"/>
        <v>8436</v>
      </c>
      <c r="N3534" s="7">
        <f t="shared" si="276"/>
        <v>9198</v>
      </c>
      <c r="O3534" s="2">
        <v>36</v>
      </c>
      <c r="P3534" s="8">
        <f t="shared" si="277"/>
        <v>9234</v>
      </c>
      <c r="Q3534" s="8">
        <f t="shared" si="278"/>
        <v>7792</v>
      </c>
      <c r="R3534" s="2" t="s">
        <v>50</v>
      </c>
      <c r="S3534" s="9">
        <f t="shared" si="279"/>
        <v>461.70000000000005</v>
      </c>
    </row>
    <row r="3535" spans="1:19" x14ac:dyDescent="0.3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str">
        <f>IFERROR(VLOOKUP('Customer Info'!A3527,'Customer Info'!A3527:C4026,2,FALSE),"Not Found")</f>
        <v>Not Found</v>
      </c>
      <c r="H3535" s="6" t="str">
        <f>IFERROR(VLOOKUP('Customer Info'!A3527,'Customer Info'!A3527:C4026,3,FALSE),"Not Found")</f>
        <v>Not Found</v>
      </c>
      <c r="I3535" s="6" t="str">
        <f>IFERROR(VLOOKUP('Customer Info'!A3527,'Customer Info'!A3527:E4026,5,FALSE),"Not Found")</f>
        <v>Not Found</v>
      </c>
      <c r="J3535" s="2">
        <v>6951</v>
      </c>
      <c r="K3535" s="2">
        <v>6620</v>
      </c>
      <c r="L3535" s="2">
        <v>1</v>
      </c>
      <c r="M3535" s="7">
        <f t="shared" si="275"/>
        <v>6620</v>
      </c>
      <c r="N3535" s="7">
        <f t="shared" si="276"/>
        <v>6951</v>
      </c>
      <c r="O3535" s="2">
        <v>22</v>
      </c>
      <c r="P3535" s="8">
        <f t="shared" si="277"/>
        <v>6973</v>
      </c>
      <c r="Q3535" s="8">
        <f t="shared" si="278"/>
        <v>331</v>
      </c>
      <c r="R3535" s="2" t="s">
        <v>50</v>
      </c>
      <c r="S3535" s="9">
        <f t="shared" si="279"/>
        <v>348.65000000000003</v>
      </c>
    </row>
    <row r="3536" spans="1:19" x14ac:dyDescent="0.3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str">
        <f>IFERROR(VLOOKUP('Customer Info'!A3528,'Customer Info'!A3528:C4027,2,FALSE),"Not Found")</f>
        <v>Not Found</v>
      </c>
      <c r="H3536" s="6" t="str">
        <f>IFERROR(VLOOKUP('Customer Info'!A3528,'Customer Info'!A3528:C4027,3,FALSE),"Not Found")</f>
        <v>Not Found</v>
      </c>
      <c r="I3536" s="6" t="str">
        <f>IFERROR(VLOOKUP('Customer Info'!A3528,'Customer Info'!A3528:E4027,5,FALSE),"Not Found")</f>
        <v>Not Found</v>
      </c>
      <c r="J3536" s="2">
        <v>1574</v>
      </c>
      <c r="K3536" s="2">
        <v>1375</v>
      </c>
      <c r="L3536" s="2">
        <v>2</v>
      </c>
      <c r="M3536" s="7">
        <f t="shared" si="275"/>
        <v>2750</v>
      </c>
      <c r="N3536" s="7">
        <f t="shared" si="276"/>
        <v>3148</v>
      </c>
      <c r="O3536" s="2">
        <v>94</v>
      </c>
      <c r="P3536" s="8">
        <f t="shared" si="277"/>
        <v>3242</v>
      </c>
      <c r="Q3536" s="8">
        <f t="shared" si="278"/>
        <v>1773</v>
      </c>
      <c r="R3536" s="2" t="s">
        <v>28</v>
      </c>
      <c r="S3536" s="9">
        <f t="shared" si="279"/>
        <v>64.84</v>
      </c>
    </row>
    <row r="3537" spans="1:19" x14ac:dyDescent="0.3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str">
        <f>IFERROR(VLOOKUP('Customer Info'!A3529,'Customer Info'!A3529:C4028,2,FALSE),"Not Found")</f>
        <v>Not Found</v>
      </c>
      <c r="H3537" s="6" t="str">
        <f>IFERROR(VLOOKUP('Customer Info'!A3529,'Customer Info'!A3529:C4028,3,FALSE),"Not Found")</f>
        <v>Not Found</v>
      </c>
      <c r="I3537" s="6" t="str">
        <f>IFERROR(VLOOKUP('Customer Info'!A3529,'Customer Info'!A3529:E4028,5,FALSE),"Not Found")</f>
        <v>Not Found</v>
      </c>
      <c r="J3537" s="2">
        <v>8686</v>
      </c>
      <c r="K3537" s="2">
        <v>8035</v>
      </c>
      <c r="L3537" s="2">
        <v>5</v>
      </c>
      <c r="M3537" s="7">
        <f t="shared" si="275"/>
        <v>40175</v>
      </c>
      <c r="N3537" s="7">
        <f t="shared" si="276"/>
        <v>43430</v>
      </c>
      <c r="O3537" s="2">
        <v>73</v>
      </c>
      <c r="P3537" s="8">
        <f t="shared" si="277"/>
        <v>43503</v>
      </c>
      <c r="Q3537" s="8">
        <f t="shared" si="278"/>
        <v>35395</v>
      </c>
      <c r="R3537" s="2" t="s">
        <v>28</v>
      </c>
      <c r="S3537" s="9">
        <f t="shared" si="279"/>
        <v>3045.2100000000005</v>
      </c>
    </row>
    <row r="3538" spans="1:19" x14ac:dyDescent="0.3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str">
        <f>IFERROR(VLOOKUP('Customer Info'!A3530,'Customer Info'!A3530:C4029,2,FALSE),"Not Found")</f>
        <v>Not Found</v>
      </c>
      <c r="H3538" s="6" t="str">
        <f>IFERROR(VLOOKUP('Customer Info'!A3530,'Customer Info'!A3530:C4029,3,FALSE),"Not Found")</f>
        <v>Not Found</v>
      </c>
      <c r="I3538" s="6" t="str">
        <f>IFERROR(VLOOKUP('Customer Info'!A3530,'Customer Info'!A3530:E4029,5,FALSE),"Not Found")</f>
        <v>Not Found</v>
      </c>
      <c r="J3538" s="2">
        <v>92</v>
      </c>
      <c r="K3538" s="2">
        <v>82</v>
      </c>
      <c r="L3538" s="2">
        <v>7</v>
      </c>
      <c r="M3538" s="7">
        <f t="shared" si="275"/>
        <v>574</v>
      </c>
      <c r="N3538" s="7">
        <f t="shared" si="276"/>
        <v>644</v>
      </c>
      <c r="O3538" s="2">
        <v>10</v>
      </c>
      <c r="P3538" s="8">
        <f t="shared" si="277"/>
        <v>654</v>
      </c>
      <c r="Q3538" s="8">
        <f t="shared" si="278"/>
        <v>562</v>
      </c>
      <c r="R3538" s="2" t="s">
        <v>26</v>
      </c>
      <c r="S3538" s="9">
        <f t="shared" si="279"/>
        <v>13.08</v>
      </c>
    </row>
    <row r="3539" spans="1:19" x14ac:dyDescent="0.3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str">
        <f>IFERROR(VLOOKUP('Customer Info'!A3531,'Customer Info'!A3531:C4030,2,FALSE),"Not Found")</f>
        <v>Not Found</v>
      </c>
      <c r="H3539" s="6" t="str">
        <f>IFERROR(VLOOKUP('Customer Info'!A3531,'Customer Info'!A3531:C4030,3,FALSE),"Not Found")</f>
        <v>Not Found</v>
      </c>
      <c r="I3539" s="6" t="str">
        <f>IFERROR(VLOOKUP('Customer Info'!A3531,'Customer Info'!A3531:E4030,5,FALSE),"Not Found")</f>
        <v>Not Found</v>
      </c>
      <c r="J3539" s="2">
        <v>1619</v>
      </c>
      <c r="K3539" s="2">
        <v>1442</v>
      </c>
      <c r="L3539" s="2">
        <v>3</v>
      </c>
      <c r="M3539" s="7">
        <f t="shared" si="275"/>
        <v>4326</v>
      </c>
      <c r="N3539" s="7">
        <f t="shared" si="276"/>
        <v>4857</v>
      </c>
      <c r="O3539" s="2">
        <v>97</v>
      </c>
      <c r="P3539" s="8">
        <f t="shared" si="277"/>
        <v>4954</v>
      </c>
      <c r="Q3539" s="8">
        <f t="shared" si="278"/>
        <v>3415</v>
      </c>
      <c r="R3539" s="2" t="s">
        <v>26</v>
      </c>
      <c r="S3539" s="9">
        <f t="shared" si="279"/>
        <v>99.08</v>
      </c>
    </row>
    <row r="3540" spans="1:19" x14ac:dyDescent="0.3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str">
        <f>IFERROR(VLOOKUP('Customer Info'!A3532,'Customer Info'!A3532:C4031,2,FALSE),"Not Found")</f>
        <v>Not Found</v>
      </c>
      <c r="H3540" s="6" t="str">
        <f>IFERROR(VLOOKUP('Customer Info'!A3532,'Customer Info'!A3532:C4031,3,FALSE),"Not Found")</f>
        <v>Not Found</v>
      </c>
      <c r="I3540" s="6" t="str">
        <f>IFERROR(VLOOKUP('Customer Info'!A3532,'Customer Info'!A3532:E4031,5,FALSE),"Not Found")</f>
        <v>Not Found</v>
      </c>
      <c r="J3540" s="2">
        <v>92</v>
      </c>
      <c r="K3540" s="2">
        <v>82</v>
      </c>
      <c r="L3540" s="2">
        <v>1</v>
      </c>
      <c r="M3540" s="7">
        <f t="shared" si="275"/>
        <v>82</v>
      </c>
      <c r="N3540" s="7">
        <f t="shared" si="276"/>
        <v>92</v>
      </c>
      <c r="O3540" s="2">
        <v>10</v>
      </c>
      <c r="P3540" s="8">
        <f t="shared" si="277"/>
        <v>102</v>
      </c>
      <c r="Q3540" s="8">
        <f t="shared" si="278"/>
        <v>10</v>
      </c>
      <c r="R3540" s="2" t="s">
        <v>28</v>
      </c>
      <c r="S3540" s="9">
        <f t="shared" si="279"/>
        <v>2.04</v>
      </c>
    </row>
    <row r="3541" spans="1:19" x14ac:dyDescent="0.3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str">
        <f>IFERROR(VLOOKUP('Customer Info'!A3533,'Customer Info'!A3533:C4032,2,FALSE),"Not Found")</f>
        <v>Not Found</v>
      </c>
      <c r="H3541" s="6" t="str">
        <f>IFERROR(VLOOKUP('Customer Info'!A3533,'Customer Info'!A3533:C4032,3,FALSE),"Not Found")</f>
        <v>Not Found</v>
      </c>
      <c r="I3541" s="6" t="str">
        <f>IFERROR(VLOOKUP('Customer Info'!A3533,'Customer Info'!A3533:E4032,5,FALSE),"Not Found")</f>
        <v>Not Found</v>
      </c>
      <c r="J3541" s="2">
        <v>2864</v>
      </c>
      <c r="K3541" s="2">
        <v>2754</v>
      </c>
      <c r="L3541" s="2">
        <v>3</v>
      </c>
      <c r="M3541" s="7">
        <f t="shared" si="275"/>
        <v>8262</v>
      </c>
      <c r="N3541" s="7">
        <f t="shared" si="276"/>
        <v>8592</v>
      </c>
      <c r="O3541" s="2">
        <v>39</v>
      </c>
      <c r="P3541" s="8">
        <f t="shared" si="277"/>
        <v>8631</v>
      </c>
      <c r="Q3541" s="8">
        <f t="shared" si="278"/>
        <v>5838</v>
      </c>
      <c r="R3541" s="2" t="s">
        <v>28</v>
      </c>
      <c r="S3541" s="9">
        <f t="shared" si="279"/>
        <v>431.55</v>
      </c>
    </row>
    <row r="3542" spans="1:19" x14ac:dyDescent="0.3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str">
        <f>IFERROR(VLOOKUP('Customer Info'!A3534,'Customer Info'!A3534:C4033,2,FALSE),"Not Found")</f>
        <v>Not Found</v>
      </c>
      <c r="H3542" s="6" t="str">
        <f>IFERROR(VLOOKUP('Customer Info'!A3534,'Customer Info'!A3534:C4033,3,FALSE),"Not Found")</f>
        <v>Not Found</v>
      </c>
      <c r="I3542" s="6" t="str">
        <f>IFERROR(VLOOKUP('Customer Info'!A3534,'Customer Info'!A3534:E4033,5,FALSE),"Not Found")</f>
        <v>Not Found</v>
      </c>
      <c r="J3542" s="2">
        <v>2228</v>
      </c>
      <c r="K3542" s="2">
        <v>2143</v>
      </c>
      <c r="L3542" s="2">
        <v>4</v>
      </c>
      <c r="M3542" s="7">
        <f t="shared" si="275"/>
        <v>8572</v>
      </c>
      <c r="N3542" s="7">
        <f t="shared" si="276"/>
        <v>8912</v>
      </c>
      <c r="O3542" s="2">
        <v>96</v>
      </c>
      <c r="P3542" s="8">
        <f t="shared" si="277"/>
        <v>9008</v>
      </c>
      <c r="Q3542" s="8">
        <f t="shared" si="278"/>
        <v>6769</v>
      </c>
      <c r="R3542" s="2" t="s">
        <v>50</v>
      </c>
      <c r="S3542" s="9">
        <f t="shared" si="279"/>
        <v>450.40000000000003</v>
      </c>
    </row>
    <row r="3543" spans="1:19" x14ac:dyDescent="0.3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str">
        <f>IFERROR(VLOOKUP('Customer Info'!A3535,'Customer Info'!A3535:C4034,2,FALSE),"Not Found")</f>
        <v>Not Found</v>
      </c>
      <c r="H3543" s="6" t="str">
        <f>IFERROR(VLOOKUP('Customer Info'!A3535,'Customer Info'!A3535:C4034,3,FALSE),"Not Found")</f>
        <v>Not Found</v>
      </c>
      <c r="I3543" s="6" t="str">
        <f>IFERROR(VLOOKUP('Customer Info'!A3535,'Customer Info'!A3535:E4034,5,FALSE),"Not Found")</f>
        <v>Not Found</v>
      </c>
      <c r="J3543" s="2">
        <v>645</v>
      </c>
      <c r="K3543" s="2">
        <v>565</v>
      </c>
      <c r="L3543" s="2">
        <v>3</v>
      </c>
      <c r="M3543" s="7">
        <f t="shared" si="275"/>
        <v>1695</v>
      </c>
      <c r="N3543" s="7">
        <f t="shared" si="276"/>
        <v>1935</v>
      </c>
      <c r="O3543" s="2">
        <v>46</v>
      </c>
      <c r="P3543" s="8">
        <f t="shared" si="277"/>
        <v>1981</v>
      </c>
      <c r="Q3543" s="8">
        <f t="shared" si="278"/>
        <v>1370</v>
      </c>
      <c r="R3543" s="2" t="s">
        <v>26</v>
      </c>
      <c r="S3543" s="9">
        <f t="shared" si="279"/>
        <v>39.619999999999997</v>
      </c>
    </row>
    <row r="3544" spans="1:19" x14ac:dyDescent="0.3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str">
        <f>IFERROR(VLOOKUP('Customer Info'!A3536,'Customer Info'!A3536:C4035,2,FALSE),"Not Found")</f>
        <v>Not Found</v>
      </c>
      <c r="H3544" s="6" t="str">
        <f>IFERROR(VLOOKUP('Customer Info'!A3536,'Customer Info'!A3536:C4035,3,FALSE),"Not Found")</f>
        <v>Not Found</v>
      </c>
      <c r="I3544" s="6" t="str">
        <f>IFERROR(VLOOKUP('Customer Info'!A3536,'Customer Info'!A3536:E4035,5,FALSE),"Not Found")</f>
        <v>Not Found</v>
      </c>
      <c r="J3544" s="2">
        <v>8448</v>
      </c>
      <c r="K3544" s="2">
        <v>7822</v>
      </c>
      <c r="L3544" s="2">
        <v>1</v>
      </c>
      <c r="M3544" s="7">
        <f t="shared" si="275"/>
        <v>7822</v>
      </c>
      <c r="N3544" s="7">
        <f t="shared" si="276"/>
        <v>8448</v>
      </c>
      <c r="O3544" s="2">
        <v>98</v>
      </c>
      <c r="P3544" s="8">
        <f t="shared" si="277"/>
        <v>8546</v>
      </c>
      <c r="Q3544" s="8">
        <f t="shared" si="278"/>
        <v>626</v>
      </c>
      <c r="R3544" s="2" t="s">
        <v>50</v>
      </c>
      <c r="S3544" s="9">
        <f t="shared" si="279"/>
        <v>427.3</v>
      </c>
    </row>
    <row r="3545" spans="1:19" x14ac:dyDescent="0.3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str">
        <f>IFERROR(VLOOKUP('Customer Info'!A3537,'Customer Info'!A3537:C4036,2,FALSE),"Not Found")</f>
        <v>Not Found</v>
      </c>
      <c r="H3545" s="6" t="str">
        <f>IFERROR(VLOOKUP('Customer Info'!A3537,'Customer Info'!A3537:C4036,3,FALSE),"Not Found")</f>
        <v>Not Found</v>
      </c>
      <c r="I3545" s="6" t="str">
        <f>IFERROR(VLOOKUP('Customer Info'!A3537,'Customer Info'!A3537:E4036,5,FALSE),"Not Found")</f>
        <v>Not Found</v>
      </c>
      <c r="J3545" s="2">
        <v>827</v>
      </c>
      <c r="K3545" s="2">
        <v>788</v>
      </c>
      <c r="L3545" s="2">
        <v>6</v>
      </c>
      <c r="M3545" s="7">
        <f t="shared" si="275"/>
        <v>4728</v>
      </c>
      <c r="N3545" s="7">
        <f t="shared" si="276"/>
        <v>4962</v>
      </c>
      <c r="O3545" s="2">
        <v>67</v>
      </c>
      <c r="P3545" s="8">
        <f t="shared" si="277"/>
        <v>5029</v>
      </c>
      <c r="Q3545" s="8">
        <f t="shared" si="278"/>
        <v>4174</v>
      </c>
      <c r="R3545" s="2" t="s">
        <v>28</v>
      </c>
      <c r="S3545" s="9">
        <f t="shared" si="279"/>
        <v>251.45000000000002</v>
      </c>
    </row>
    <row r="3546" spans="1:19" x14ac:dyDescent="0.3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str">
        <f>IFERROR(VLOOKUP('Customer Info'!A3538,'Customer Info'!A3538:C4037,2,FALSE),"Not Found")</f>
        <v>Not Found</v>
      </c>
      <c r="H3546" s="6" t="str">
        <f>IFERROR(VLOOKUP('Customer Info'!A3538,'Customer Info'!A3538:C4037,3,FALSE),"Not Found")</f>
        <v>Not Found</v>
      </c>
      <c r="I3546" s="6" t="str">
        <f>IFERROR(VLOOKUP('Customer Info'!A3538,'Customer Info'!A3538:E4037,5,FALSE),"Not Found")</f>
        <v>Not Found</v>
      </c>
      <c r="J3546" s="2">
        <v>1413</v>
      </c>
      <c r="K3546" s="2">
        <v>1334</v>
      </c>
      <c r="L3546" s="2">
        <v>3</v>
      </c>
      <c r="M3546" s="7">
        <f t="shared" si="275"/>
        <v>4002</v>
      </c>
      <c r="N3546" s="7">
        <f t="shared" si="276"/>
        <v>4239</v>
      </c>
      <c r="O3546" s="2">
        <v>38</v>
      </c>
      <c r="P3546" s="8">
        <f t="shared" si="277"/>
        <v>4277</v>
      </c>
      <c r="Q3546" s="8">
        <f t="shared" si="278"/>
        <v>2905</v>
      </c>
      <c r="R3546" s="2" t="s">
        <v>28</v>
      </c>
      <c r="S3546" s="9">
        <f t="shared" si="279"/>
        <v>85.54</v>
      </c>
    </row>
    <row r="3547" spans="1:19" x14ac:dyDescent="0.3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str">
        <f>IFERROR(VLOOKUP('Customer Info'!A3539,'Customer Info'!A3539:C4038,2,FALSE),"Not Found")</f>
        <v>Not Found</v>
      </c>
      <c r="H3547" s="6" t="str">
        <f>IFERROR(VLOOKUP('Customer Info'!A3539,'Customer Info'!A3539:C4038,3,FALSE),"Not Found")</f>
        <v>Not Found</v>
      </c>
      <c r="I3547" s="6" t="str">
        <f>IFERROR(VLOOKUP('Customer Info'!A3539,'Customer Info'!A3539:E4038,5,FALSE),"Not Found")</f>
        <v>Not Found</v>
      </c>
      <c r="J3547" s="2">
        <v>7864</v>
      </c>
      <c r="K3547" s="2">
        <v>7563</v>
      </c>
      <c r="L3547" s="2">
        <v>2</v>
      </c>
      <c r="M3547" s="7">
        <f t="shared" si="275"/>
        <v>15126</v>
      </c>
      <c r="N3547" s="7">
        <f t="shared" si="276"/>
        <v>15728</v>
      </c>
      <c r="O3547" s="2">
        <v>56</v>
      </c>
      <c r="P3547" s="8">
        <f t="shared" si="277"/>
        <v>15784</v>
      </c>
      <c r="Q3547" s="8">
        <f t="shared" si="278"/>
        <v>8165</v>
      </c>
      <c r="R3547" s="2" t="s">
        <v>50</v>
      </c>
      <c r="S3547" s="9">
        <f t="shared" si="279"/>
        <v>789.2</v>
      </c>
    </row>
    <row r="3548" spans="1:19" x14ac:dyDescent="0.3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str">
        <f>IFERROR(VLOOKUP('Customer Info'!A3540,'Customer Info'!A3540:C4039,2,FALSE),"Not Found")</f>
        <v>Not Found</v>
      </c>
      <c r="H3548" s="6" t="str">
        <f>IFERROR(VLOOKUP('Customer Info'!A3540,'Customer Info'!A3540:C4039,3,FALSE),"Not Found")</f>
        <v>Not Found</v>
      </c>
      <c r="I3548" s="6" t="str">
        <f>IFERROR(VLOOKUP('Customer Info'!A3540,'Customer Info'!A3540:E4039,5,FALSE),"Not Found")</f>
        <v>Not Found</v>
      </c>
      <c r="J3548" s="2">
        <v>62</v>
      </c>
      <c r="K3548" s="2">
        <v>58</v>
      </c>
      <c r="L3548" s="2">
        <v>3</v>
      </c>
      <c r="M3548" s="7">
        <f t="shared" si="275"/>
        <v>174</v>
      </c>
      <c r="N3548" s="7">
        <f t="shared" si="276"/>
        <v>186</v>
      </c>
      <c r="O3548" s="2">
        <v>10</v>
      </c>
      <c r="P3548" s="8">
        <f t="shared" si="277"/>
        <v>196</v>
      </c>
      <c r="Q3548" s="8">
        <f t="shared" si="278"/>
        <v>128</v>
      </c>
      <c r="R3548" s="2" t="s">
        <v>26</v>
      </c>
      <c r="S3548" s="9">
        <f t="shared" si="279"/>
        <v>3.92</v>
      </c>
    </row>
    <row r="3549" spans="1:19" x14ac:dyDescent="0.3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str">
        <f>IFERROR(VLOOKUP('Customer Info'!A3541,'Customer Info'!A3541:C4040,2,FALSE),"Not Found")</f>
        <v>Not Found</v>
      </c>
      <c r="H3549" s="6" t="str">
        <f>IFERROR(VLOOKUP('Customer Info'!A3541,'Customer Info'!A3541:C4040,3,FALSE),"Not Found")</f>
        <v>Not Found</v>
      </c>
      <c r="I3549" s="6" t="str">
        <f>IFERROR(VLOOKUP('Customer Info'!A3541,'Customer Info'!A3541:E4040,5,FALSE),"Not Found")</f>
        <v>Not Found</v>
      </c>
      <c r="J3549" s="2">
        <v>24662</v>
      </c>
      <c r="K3549" s="2">
        <v>23061</v>
      </c>
      <c r="L3549" s="2">
        <v>6</v>
      </c>
      <c r="M3549" s="7">
        <f t="shared" si="275"/>
        <v>138366</v>
      </c>
      <c r="N3549" s="7">
        <f t="shared" si="276"/>
        <v>147972</v>
      </c>
      <c r="O3549" s="2">
        <v>93</v>
      </c>
      <c r="P3549" s="8">
        <f t="shared" si="277"/>
        <v>148065</v>
      </c>
      <c r="Q3549" s="8">
        <f t="shared" si="278"/>
        <v>124911</v>
      </c>
      <c r="R3549" s="2" t="s">
        <v>28</v>
      </c>
      <c r="S3549" s="9">
        <f t="shared" si="279"/>
        <v>17767.8</v>
      </c>
    </row>
    <row r="3550" spans="1:19" x14ac:dyDescent="0.3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str">
        <f>IFERROR(VLOOKUP('Customer Info'!A3542,'Customer Info'!A3542:C4041,2,FALSE),"Not Found")</f>
        <v>Not Found</v>
      </c>
      <c r="H3550" s="6" t="str">
        <f>IFERROR(VLOOKUP('Customer Info'!A3542,'Customer Info'!A3542:C4041,3,FALSE),"Not Found")</f>
        <v>Not Found</v>
      </c>
      <c r="I3550" s="6" t="str">
        <f>IFERROR(VLOOKUP('Customer Info'!A3542,'Customer Info'!A3542:E4041,5,FALSE),"Not Found")</f>
        <v>Not Found</v>
      </c>
      <c r="J3550" s="2">
        <v>175</v>
      </c>
      <c r="K3550" s="2">
        <v>162</v>
      </c>
      <c r="L3550" s="2">
        <v>3</v>
      </c>
      <c r="M3550" s="7">
        <f t="shared" si="275"/>
        <v>486</v>
      </c>
      <c r="N3550" s="7">
        <f t="shared" si="276"/>
        <v>525</v>
      </c>
      <c r="O3550" s="2">
        <v>30</v>
      </c>
      <c r="P3550" s="8">
        <f t="shared" si="277"/>
        <v>555</v>
      </c>
      <c r="Q3550" s="8">
        <f t="shared" si="278"/>
        <v>363</v>
      </c>
      <c r="R3550" s="2" t="s">
        <v>50</v>
      </c>
      <c r="S3550" s="9">
        <f t="shared" si="279"/>
        <v>11.1</v>
      </c>
    </row>
    <row r="3551" spans="1:19" x14ac:dyDescent="0.3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str">
        <f>IFERROR(VLOOKUP('Customer Info'!A3543,'Customer Info'!A3543:C4042,2,FALSE),"Not Found")</f>
        <v>Not Found</v>
      </c>
      <c r="H3551" s="6" t="str">
        <f>IFERROR(VLOOKUP('Customer Info'!A3543,'Customer Info'!A3543:C4042,3,FALSE),"Not Found")</f>
        <v>Not Found</v>
      </c>
      <c r="I3551" s="6" t="str">
        <f>IFERROR(VLOOKUP('Customer Info'!A3543,'Customer Info'!A3543:E4042,5,FALSE),"Not Found")</f>
        <v>Not Found</v>
      </c>
      <c r="J3551" s="2">
        <v>1734</v>
      </c>
      <c r="K3551" s="2">
        <v>1702</v>
      </c>
      <c r="L3551" s="2">
        <v>3</v>
      </c>
      <c r="M3551" s="7">
        <f t="shared" si="275"/>
        <v>5106</v>
      </c>
      <c r="N3551" s="7">
        <f t="shared" si="276"/>
        <v>5202</v>
      </c>
      <c r="O3551" s="2">
        <v>20</v>
      </c>
      <c r="P3551" s="8">
        <f t="shared" si="277"/>
        <v>5222</v>
      </c>
      <c r="Q3551" s="8">
        <f t="shared" si="278"/>
        <v>3500</v>
      </c>
      <c r="R3551" s="2" t="s">
        <v>50</v>
      </c>
      <c r="S3551" s="9">
        <f t="shared" si="279"/>
        <v>261.10000000000002</v>
      </c>
    </row>
    <row r="3552" spans="1:19" x14ac:dyDescent="0.3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str">
        <f>IFERROR(VLOOKUP('Customer Info'!A3544,'Customer Info'!A3544:C4043,2,FALSE),"Not Found")</f>
        <v>Not Found</v>
      </c>
      <c r="H3552" s="6" t="str">
        <f>IFERROR(VLOOKUP('Customer Info'!A3544,'Customer Info'!A3544:C4043,3,FALSE),"Not Found")</f>
        <v>Not Found</v>
      </c>
      <c r="I3552" s="6" t="str">
        <f>IFERROR(VLOOKUP('Customer Info'!A3544,'Customer Info'!A3544:E4043,5,FALSE),"Not Found")</f>
        <v>Not Found</v>
      </c>
      <c r="J3552" s="2">
        <v>664</v>
      </c>
      <c r="K3552" s="2">
        <v>576</v>
      </c>
      <c r="L3552" s="2">
        <v>1</v>
      </c>
      <c r="M3552" s="7">
        <f t="shared" si="275"/>
        <v>576</v>
      </c>
      <c r="N3552" s="7">
        <f t="shared" si="276"/>
        <v>664</v>
      </c>
      <c r="O3552" s="2">
        <v>35</v>
      </c>
      <c r="P3552" s="8">
        <f t="shared" si="277"/>
        <v>699</v>
      </c>
      <c r="Q3552" s="8">
        <f t="shared" si="278"/>
        <v>88</v>
      </c>
      <c r="R3552" s="2" t="s">
        <v>50</v>
      </c>
      <c r="S3552" s="9">
        <f t="shared" si="279"/>
        <v>13.98</v>
      </c>
    </row>
    <row r="3553" spans="1:19" x14ac:dyDescent="0.3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str">
        <f>IFERROR(VLOOKUP('Customer Info'!A3545,'Customer Info'!A3545:C4044,2,FALSE),"Not Found")</f>
        <v>Not Found</v>
      </c>
      <c r="H3553" s="6" t="str">
        <f>IFERROR(VLOOKUP('Customer Info'!A3545,'Customer Info'!A3545:C4044,3,FALSE),"Not Found")</f>
        <v>Not Found</v>
      </c>
      <c r="I3553" s="6" t="str">
        <f>IFERROR(VLOOKUP('Customer Info'!A3545,'Customer Info'!A3545:E4044,5,FALSE),"Not Found")</f>
        <v>Not Found</v>
      </c>
      <c r="J3553" s="2">
        <v>138</v>
      </c>
      <c r="K3553" s="2">
        <v>128</v>
      </c>
      <c r="L3553" s="2">
        <v>3</v>
      </c>
      <c r="M3553" s="7">
        <f t="shared" si="275"/>
        <v>384</v>
      </c>
      <c r="N3553" s="7">
        <f t="shared" si="276"/>
        <v>414</v>
      </c>
      <c r="O3553" s="2">
        <v>30</v>
      </c>
      <c r="P3553" s="8">
        <f t="shared" si="277"/>
        <v>444</v>
      </c>
      <c r="Q3553" s="8">
        <f t="shared" si="278"/>
        <v>286</v>
      </c>
      <c r="R3553" s="2" t="s">
        <v>50</v>
      </c>
      <c r="S3553" s="9">
        <f t="shared" si="279"/>
        <v>8.8800000000000008</v>
      </c>
    </row>
    <row r="3554" spans="1:19" x14ac:dyDescent="0.3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str">
        <f>IFERROR(VLOOKUP('Customer Info'!A3546,'Customer Info'!A3546:C4045,2,FALSE),"Not Found")</f>
        <v>Not Found</v>
      </c>
      <c r="H3554" s="6" t="str">
        <f>IFERROR(VLOOKUP('Customer Info'!A3546,'Customer Info'!A3546:C4045,3,FALSE),"Not Found")</f>
        <v>Not Found</v>
      </c>
      <c r="I3554" s="6" t="str">
        <f>IFERROR(VLOOKUP('Customer Info'!A3546,'Customer Info'!A3546:E4045,5,FALSE),"Not Found")</f>
        <v>Not Found</v>
      </c>
      <c r="J3554" s="2">
        <v>6951</v>
      </c>
      <c r="K3554" s="2">
        <v>6620</v>
      </c>
      <c r="L3554" s="2">
        <v>2</v>
      </c>
      <c r="M3554" s="7">
        <f t="shared" si="275"/>
        <v>13240</v>
      </c>
      <c r="N3554" s="7">
        <f t="shared" si="276"/>
        <v>13902</v>
      </c>
      <c r="O3554" s="2">
        <v>30</v>
      </c>
      <c r="P3554" s="8">
        <f t="shared" si="277"/>
        <v>13932</v>
      </c>
      <c r="Q3554" s="8">
        <f t="shared" si="278"/>
        <v>7282</v>
      </c>
      <c r="R3554" s="2" t="s">
        <v>28</v>
      </c>
      <c r="S3554" s="9">
        <f t="shared" si="279"/>
        <v>696.6</v>
      </c>
    </row>
    <row r="3555" spans="1:19" x14ac:dyDescent="0.3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str">
        <f>IFERROR(VLOOKUP('Customer Info'!A3547,'Customer Info'!A3547:C4046,2,FALSE),"Not Found")</f>
        <v>Not Found</v>
      </c>
      <c r="H3555" s="6" t="str">
        <f>IFERROR(VLOOKUP('Customer Info'!A3547,'Customer Info'!A3547:C4046,3,FALSE),"Not Found")</f>
        <v>Not Found</v>
      </c>
      <c r="I3555" s="6" t="str">
        <f>IFERROR(VLOOKUP('Customer Info'!A3547,'Customer Info'!A3547:E4046,5,FALSE),"Not Found")</f>
        <v>Not Found</v>
      </c>
      <c r="J3555" s="2">
        <v>220</v>
      </c>
      <c r="K3555" s="2">
        <v>206</v>
      </c>
      <c r="L3555" s="2">
        <v>6</v>
      </c>
      <c r="M3555" s="7">
        <f t="shared" si="275"/>
        <v>1236</v>
      </c>
      <c r="N3555" s="7">
        <f t="shared" si="276"/>
        <v>1320</v>
      </c>
      <c r="O3555" s="2">
        <v>69</v>
      </c>
      <c r="P3555" s="8">
        <f t="shared" si="277"/>
        <v>1389</v>
      </c>
      <c r="Q3555" s="8">
        <f t="shared" si="278"/>
        <v>1114</v>
      </c>
      <c r="R3555" s="2" t="s">
        <v>56</v>
      </c>
      <c r="S3555" s="9">
        <f t="shared" si="279"/>
        <v>27.78</v>
      </c>
    </row>
    <row r="3556" spans="1:19" x14ac:dyDescent="0.3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str">
        <f>IFERROR(VLOOKUP('Customer Info'!A3548,'Customer Info'!A3548:C4047,2,FALSE),"Not Found")</f>
        <v>Not Found</v>
      </c>
      <c r="H3556" s="6" t="str">
        <f>IFERROR(VLOOKUP('Customer Info'!A3548,'Customer Info'!A3548:C4047,3,FALSE),"Not Found")</f>
        <v>Not Found</v>
      </c>
      <c r="I3556" s="6" t="str">
        <f>IFERROR(VLOOKUP('Customer Info'!A3548,'Customer Info'!A3548:E4047,5,FALSE),"Not Found")</f>
        <v>Not Found</v>
      </c>
      <c r="J3556" s="2">
        <v>474</v>
      </c>
      <c r="K3556" s="2">
        <v>443</v>
      </c>
      <c r="L3556" s="2">
        <v>1</v>
      </c>
      <c r="M3556" s="7">
        <f t="shared" si="275"/>
        <v>443</v>
      </c>
      <c r="N3556" s="7">
        <f t="shared" si="276"/>
        <v>474</v>
      </c>
      <c r="O3556" s="2">
        <v>71</v>
      </c>
      <c r="P3556" s="8">
        <f t="shared" si="277"/>
        <v>545</v>
      </c>
      <c r="Q3556" s="8">
        <f t="shared" si="278"/>
        <v>31</v>
      </c>
      <c r="R3556" s="2" t="s">
        <v>28</v>
      </c>
      <c r="S3556" s="9">
        <f t="shared" si="279"/>
        <v>10.9</v>
      </c>
    </row>
    <row r="3557" spans="1:19" x14ac:dyDescent="0.3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str">
        <f>IFERROR(VLOOKUP('Customer Info'!A3549,'Customer Info'!A3549:C4048,2,FALSE),"Not Found")</f>
        <v>Not Found</v>
      </c>
      <c r="H3557" s="6" t="str">
        <f>IFERROR(VLOOKUP('Customer Info'!A3549,'Customer Info'!A3549:C4048,3,FALSE),"Not Found")</f>
        <v>Not Found</v>
      </c>
      <c r="I3557" s="6" t="str">
        <f>IFERROR(VLOOKUP('Customer Info'!A3549,'Customer Info'!A3549:E4048,5,FALSE),"Not Found")</f>
        <v>Not Found</v>
      </c>
      <c r="J3557" s="2">
        <v>1587</v>
      </c>
      <c r="K3557" s="2">
        <v>1428</v>
      </c>
      <c r="L3557" s="2">
        <v>2</v>
      </c>
      <c r="M3557" s="7">
        <f t="shared" si="275"/>
        <v>2856</v>
      </c>
      <c r="N3557" s="7">
        <f t="shared" si="276"/>
        <v>3174</v>
      </c>
      <c r="O3557" s="2">
        <v>58</v>
      </c>
      <c r="P3557" s="8">
        <f t="shared" si="277"/>
        <v>3232</v>
      </c>
      <c r="Q3557" s="8">
        <f t="shared" si="278"/>
        <v>1746</v>
      </c>
      <c r="R3557" s="2" t="s">
        <v>26</v>
      </c>
      <c r="S3557" s="9">
        <f t="shared" si="279"/>
        <v>64.64</v>
      </c>
    </row>
    <row r="3558" spans="1:19" x14ac:dyDescent="0.3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str">
        <f>IFERROR(VLOOKUP('Customer Info'!A3550,'Customer Info'!A3550:C4049,2,FALSE),"Not Found")</f>
        <v>Not Found</v>
      </c>
      <c r="H3558" s="6" t="str">
        <f>IFERROR(VLOOKUP('Customer Info'!A3550,'Customer Info'!A3550:C4049,3,FALSE),"Not Found")</f>
        <v>Not Found</v>
      </c>
      <c r="I3558" s="6" t="str">
        <f>IFERROR(VLOOKUP('Customer Info'!A3550,'Customer Info'!A3550:E4049,5,FALSE),"Not Found")</f>
        <v>Not Found</v>
      </c>
      <c r="J3558" s="2">
        <v>7136</v>
      </c>
      <c r="K3558" s="2">
        <v>6676</v>
      </c>
      <c r="L3558" s="2">
        <v>4</v>
      </c>
      <c r="M3558" s="7">
        <f t="shared" si="275"/>
        <v>26704</v>
      </c>
      <c r="N3558" s="7">
        <f t="shared" si="276"/>
        <v>28544</v>
      </c>
      <c r="O3558" s="2">
        <v>73</v>
      </c>
      <c r="P3558" s="8">
        <f t="shared" si="277"/>
        <v>28617</v>
      </c>
      <c r="Q3558" s="8">
        <f t="shared" si="278"/>
        <v>21868</v>
      </c>
      <c r="R3558" s="2" t="s">
        <v>50</v>
      </c>
      <c r="S3558" s="9">
        <f t="shared" si="279"/>
        <v>2003.1900000000003</v>
      </c>
    </row>
    <row r="3559" spans="1:19" x14ac:dyDescent="0.3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str">
        <f>IFERROR(VLOOKUP('Customer Info'!A3551,'Customer Info'!A3551:C4050,2,FALSE),"Not Found")</f>
        <v>Not Found</v>
      </c>
      <c r="H3559" s="6" t="str">
        <f>IFERROR(VLOOKUP('Customer Info'!A3551,'Customer Info'!A3551:C4050,3,FALSE),"Not Found")</f>
        <v>Not Found</v>
      </c>
      <c r="I3559" s="6" t="str">
        <f>IFERROR(VLOOKUP('Customer Info'!A3551,'Customer Info'!A3551:E4050,5,FALSE),"Not Found")</f>
        <v>Not Found</v>
      </c>
      <c r="J3559" s="2">
        <v>2200</v>
      </c>
      <c r="K3559" s="2">
        <v>2020</v>
      </c>
      <c r="L3559" s="2">
        <v>4</v>
      </c>
      <c r="M3559" s="7">
        <f t="shared" si="275"/>
        <v>8080</v>
      </c>
      <c r="N3559" s="7">
        <f t="shared" si="276"/>
        <v>8800</v>
      </c>
      <c r="O3559" s="2">
        <v>75</v>
      </c>
      <c r="P3559" s="8">
        <f t="shared" si="277"/>
        <v>8875</v>
      </c>
      <c r="Q3559" s="8">
        <f t="shared" si="278"/>
        <v>6780</v>
      </c>
      <c r="R3559" s="2" t="s">
        <v>50</v>
      </c>
      <c r="S3559" s="9">
        <f t="shared" si="279"/>
        <v>443.75</v>
      </c>
    </row>
    <row r="3560" spans="1:19" x14ac:dyDescent="0.3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str">
        <f>IFERROR(VLOOKUP('Customer Info'!A3552,'Customer Info'!A3552:C4051,2,FALSE),"Not Found")</f>
        <v>Not Found</v>
      </c>
      <c r="H3560" s="6" t="str">
        <f>IFERROR(VLOOKUP('Customer Info'!A3552,'Customer Info'!A3552:C4051,3,FALSE),"Not Found")</f>
        <v>Not Found</v>
      </c>
      <c r="I3560" s="6" t="str">
        <f>IFERROR(VLOOKUP('Customer Info'!A3552,'Customer Info'!A3552:E4051,5,FALSE),"Not Found")</f>
        <v>Not Found</v>
      </c>
      <c r="J3560" s="2">
        <v>144</v>
      </c>
      <c r="K3560" s="2">
        <v>132</v>
      </c>
      <c r="L3560" s="2">
        <v>12</v>
      </c>
      <c r="M3560" s="7">
        <f t="shared" si="275"/>
        <v>1584</v>
      </c>
      <c r="N3560" s="7">
        <f t="shared" si="276"/>
        <v>1728</v>
      </c>
      <c r="O3560" s="2">
        <v>30</v>
      </c>
      <c r="P3560" s="8">
        <f t="shared" si="277"/>
        <v>1758</v>
      </c>
      <c r="Q3560" s="8">
        <f t="shared" si="278"/>
        <v>1596</v>
      </c>
      <c r="R3560" s="2" t="s">
        <v>26</v>
      </c>
      <c r="S3560" s="9">
        <f t="shared" si="279"/>
        <v>35.160000000000004</v>
      </c>
    </row>
    <row r="3561" spans="1:19" x14ac:dyDescent="0.3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str">
        <f>IFERROR(VLOOKUP('Customer Info'!A3553,'Customer Info'!A3553:C4052,2,FALSE),"Not Found")</f>
        <v>Not Found</v>
      </c>
      <c r="H3561" s="6" t="str">
        <f>IFERROR(VLOOKUP('Customer Info'!A3553,'Customer Info'!A3553:C4052,3,FALSE),"Not Found")</f>
        <v>Not Found</v>
      </c>
      <c r="I3561" s="6" t="str">
        <f>IFERROR(VLOOKUP('Customer Info'!A3553,'Customer Info'!A3553:E4052,5,FALSE),"Not Found")</f>
        <v>Not Found</v>
      </c>
      <c r="J3561" s="2">
        <v>1399</v>
      </c>
      <c r="K3561" s="2">
        <v>1333</v>
      </c>
      <c r="L3561" s="2">
        <v>5</v>
      </c>
      <c r="M3561" s="7">
        <f t="shared" si="275"/>
        <v>6665</v>
      </c>
      <c r="N3561" s="7">
        <f t="shared" si="276"/>
        <v>6995</v>
      </c>
      <c r="O3561" s="2">
        <v>58</v>
      </c>
      <c r="P3561" s="8">
        <f t="shared" si="277"/>
        <v>7053</v>
      </c>
      <c r="Q3561" s="8">
        <f t="shared" si="278"/>
        <v>5662</v>
      </c>
      <c r="R3561" s="2" t="s">
        <v>28</v>
      </c>
      <c r="S3561" s="9">
        <f t="shared" si="279"/>
        <v>352.65000000000003</v>
      </c>
    </row>
    <row r="3562" spans="1:19" x14ac:dyDescent="0.3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str">
        <f>IFERROR(VLOOKUP('Customer Info'!A3554,'Customer Info'!A3554:C4053,2,FALSE),"Not Found")</f>
        <v>Not Found</v>
      </c>
      <c r="H3562" s="6" t="str">
        <f>IFERROR(VLOOKUP('Customer Info'!A3554,'Customer Info'!A3554:C4053,3,FALSE),"Not Found")</f>
        <v>Not Found</v>
      </c>
      <c r="I3562" s="6" t="str">
        <f>IFERROR(VLOOKUP('Customer Info'!A3554,'Customer Info'!A3554:E4053,5,FALSE),"Not Found")</f>
        <v>Not Found</v>
      </c>
      <c r="J3562" s="2">
        <v>90</v>
      </c>
      <c r="K3562" s="2">
        <v>81</v>
      </c>
      <c r="L3562" s="2">
        <v>5</v>
      </c>
      <c r="M3562" s="7">
        <f t="shared" si="275"/>
        <v>405</v>
      </c>
      <c r="N3562" s="7">
        <f t="shared" si="276"/>
        <v>450</v>
      </c>
      <c r="O3562" s="2">
        <v>10</v>
      </c>
      <c r="P3562" s="8">
        <f t="shared" si="277"/>
        <v>460</v>
      </c>
      <c r="Q3562" s="8">
        <f t="shared" si="278"/>
        <v>369</v>
      </c>
      <c r="R3562" s="2" t="s">
        <v>28</v>
      </c>
      <c r="S3562" s="9">
        <f t="shared" si="279"/>
        <v>9.2000000000000011</v>
      </c>
    </row>
    <row r="3563" spans="1:19" x14ac:dyDescent="0.3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str">
        <f>IFERROR(VLOOKUP('Customer Info'!A3555,'Customer Info'!A3555:C4054,2,FALSE),"Not Found")</f>
        <v>Not Found</v>
      </c>
      <c r="H3563" s="6" t="str">
        <f>IFERROR(VLOOKUP('Customer Info'!A3555,'Customer Info'!A3555:C4054,3,FALSE),"Not Found")</f>
        <v>Not Found</v>
      </c>
      <c r="I3563" s="6" t="str">
        <f>IFERROR(VLOOKUP('Customer Info'!A3555,'Customer Info'!A3555:E4054,5,FALSE),"Not Found")</f>
        <v>Not Found</v>
      </c>
      <c r="J3563" s="2">
        <v>531</v>
      </c>
      <c r="K3563" s="2">
        <v>487</v>
      </c>
      <c r="L3563" s="2">
        <v>3</v>
      </c>
      <c r="M3563" s="7">
        <f t="shared" si="275"/>
        <v>1461</v>
      </c>
      <c r="N3563" s="7">
        <f t="shared" si="276"/>
        <v>1593</v>
      </c>
      <c r="O3563" s="2">
        <v>25</v>
      </c>
      <c r="P3563" s="8">
        <f t="shared" si="277"/>
        <v>1618</v>
      </c>
      <c r="Q3563" s="8">
        <f t="shared" si="278"/>
        <v>1106</v>
      </c>
      <c r="R3563" s="2" t="s">
        <v>28</v>
      </c>
      <c r="S3563" s="9">
        <f t="shared" si="279"/>
        <v>32.36</v>
      </c>
    </row>
    <row r="3564" spans="1:19" x14ac:dyDescent="0.3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str">
        <f>IFERROR(VLOOKUP('Customer Info'!A3556,'Customer Info'!A3556:C4055,2,FALSE),"Not Found")</f>
        <v>Not Found</v>
      </c>
      <c r="H3564" s="6" t="str">
        <f>IFERROR(VLOOKUP('Customer Info'!A3556,'Customer Info'!A3556:C4055,3,FALSE),"Not Found")</f>
        <v>Not Found</v>
      </c>
      <c r="I3564" s="6" t="str">
        <f>IFERROR(VLOOKUP('Customer Info'!A3556,'Customer Info'!A3556:E4055,5,FALSE),"Not Found")</f>
        <v>Not Found</v>
      </c>
      <c r="J3564" s="2">
        <v>138</v>
      </c>
      <c r="K3564" s="2">
        <v>128</v>
      </c>
      <c r="L3564" s="2">
        <v>6</v>
      </c>
      <c r="M3564" s="7">
        <f t="shared" si="275"/>
        <v>768</v>
      </c>
      <c r="N3564" s="7">
        <f t="shared" si="276"/>
        <v>828</v>
      </c>
      <c r="O3564" s="2">
        <v>30</v>
      </c>
      <c r="P3564" s="8">
        <f t="shared" si="277"/>
        <v>858</v>
      </c>
      <c r="Q3564" s="8">
        <f t="shared" si="278"/>
        <v>700</v>
      </c>
      <c r="R3564" s="2" t="s">
        <v>28</v>
      </c>
      <c r="S3564" s="9">
        <f t="shared" si="279"/>
        <v>17.16</v>
      </c>
    </row>
    <row r="3565" spans="1:19" x14ac:dyDescent="0.3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str">
        <f>IFERROR(VLOOKUP('Customer Info'!A3557,'Customer Info'!A3557:C4056,2,FALSE),"Not Found")</f>
        <v>Not Found</v>
      </c>
      <c r="H3565" s="6" t="str">
        <f>IFERROR(VLOOKUP('Customer Info'!A3557,'Customer Info'!A3557:C4056,3,FALSE),"Not Found")</f>
        <v>Not Found</v>
      </c>
      <c r="I3565" s="6" t="str">
        <f>IFERROR(VLOOKUP('Customer Info'!A3557,'Customer Info'!A3557:E4056,5,FALSE),"Not Found")</f>
        <v>Not Found</v>
      </c>
      <c r="J3565" s="2">
        <v>3289</v>
      </c>
      <c r="K3565" s="2">
        <v>3105</v>
      </c>
      <c r="L3565" s="2">
        <v>13</v>
      </c>
      <c r="M3565" s="7">
        <f t="shared" si="275"/>
        <v>40365</v>
      </c>
      <c r="N3565" s="7">
        <f t="shared" si="276"/>
        <v>42757</v>
      </c>
      <c r="O3565" s="2">
        <v>54</v>
      </c>
      <c r="P3565" s="8">
        <f t="shared" si="277"/>
        <v>42811</v>
      </c>
      <c r="Q3565" s="8">
        <f t="shared" si="278"/>
        <v>39652</v>
      </c>
      <c r="R3565" s="2" t="s">
        <v>28</v>
      </c>
      <c r="S3565" s="9">
        <f t="shared" si="279"/>
        <v>2996.7700000000004</v>
      </c>
    </row>
    <row r="3566" spans="1:19" x14ac:dyDescent="0.3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str">
        <f>IFERROR(VLOOKUP('Customer Info'!A3558,'Customer Info'!A3558:C4057,2,FALSE),"Not Found")</f>
        <v>Not Found</v>
      </c>
      <c r="H3566" s="6" t="str">
        <f>IFERROR(VLOOKUP('Customer Info'!A3558,'Customer Info'!A3558:C4057,3,FALSE),"Not Found")</f>
        <v>Not Found</v>
      </c>
      <c r="I3566" s="6" t="str">
        <f>IFERROR(VLOOKUP('Customer Info'!A3558,'Customer Info'!A3558:E4057,5,FALSE),"Not Found")</f>
        <v>Not Found</v>
      </c>
      <c r="J3566" s="2">
        <v>973</v>
      </c>
      <c r="K3566" s="2">
        <v>910</v>
      </c>
      <c r="L3566" s="2">
        <v>1</v>
      </c>
      <c r="M3566" s="7">
        <f t="shared" si="275"/>
        <v>910</v>
      </c>
      <c r="N3566" s="7">
        <f t="shared" si="276"/>
        <v>973</v>
      </c>
      <c r="O3566" s="2">
        <v>78</v>
      </c>
      <c r="P3566" s="8">
        <f t="shared" si="277"/>
        <v>1051</v>
      </c>
      <c r="Q3566" s="8">
        <f t="shared" si="278"/>
        <v>63</v>
      </c>
      <c r="R3566" s="2" t="s">
        <v>28</v>
      </c>
      <c r="S3566" s="9">
        <f t="shared" si="279"/>
        <v>21.02</v>
      </c>
    </row>
    <row r="3567" spans="1:19" x14ac:dyDescent="0.3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str">
        <f>IFERROR(VLOOKUP('Customer Info'!A3559,'Customer Info'!A3559:C4058,2,FALSE),"Not Found")</f>
        <v>Not Found</v>
      </c>
      <c r="H3567" s="6" t="str">
        <f>IFERROR(VLOOKUP('Customer Info'!A3559,'Customer Info'!A3559:C4058,3,FALSE),"Not Found")</f>
        <v>Not Found</v>
      </c>
      <c r="I3567" s="6" t="str">
        <f>IFERROR(VLOOKUP('Customer Info'!A3559,'Customer Info'!A3559:E4058,5,FALSE),"Not Found")</f>
        <v>Not Found</v>
      </c>
      <c r="J3567" s="2">
        <v>81</v>
      </c>
      <c r="K3567" s="2">
        <v>77</v>
      </c>
      <c r="L3567" s="2">
        <v>2</v>
      </c>
      <c r="M3567" s="7">
        <f t="shared" si="275"/>
        <v>154</v>
      </c>
      <c r="N3567" s="7">
        <f t="shared" si="276"/>
        <v>162</v>
      </c>
      <c r="O3567" s="2">
        <v>10</v>
      </c>
      <c r="P3567" s="8">
        <f t="shared" si="277"/>
        <v>172</v>
      </c>
      <c r="Q3567" s="8">
        <f t="shared" si="278"/>
        <v>85</v>
      </c>
      <c r="R3567" s="2" t="s">
        <v>50</v>
      </c>
      <c r="S3567" s="9">
        <f t="shared" si="279"/>
        <v>3.44</v>
      </c>
    </row>
    <row r="3568" spans="1:19" x14ac:dyDescent="0.3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str">
        <f>IFERROR(VLOOKUP('Customer Info'!A3560,'Customer Info'!A3560:C4059,2,FALSE),"Not Found")</f>
        <v>Not Found</v>
      </c>
      <c r="H3568" s="6" t="str">
        <f>IFERROR(VLOOKUP('Customer Info'!A3560,'Customer Info'!A3560:C4059,3,FALSE),"Not Found")</f>
        <v>Not Found</v>
      </c>
      <c r="I3568" s="6" t="str">
        <f>IFERROR(VLOOKUP('Customer Info'!A3560,'Customer Info'!A3560:E4059,5,FALSE),"Not Found")</f>
        <v>Not Found</v>
      </c>
      <c r="J3568" s="2">
        <v>7691</v>
      </c>
      <c r="K3568" s="2">
        <v>7255</v>
      </c>
      <c r="L3568" s="2">
        <v>2</v>
      </c>
      <c r="M3568" s="7">
        <f t="shared" si="275"/>
        <v>14510</v>
      </c>
      <c r="N3568" s="7">
        <f t="shared" si="276"/>
        <v>15382</v>
      </c>
      <c r="O3568" s="2">
        <v>21</v>
      </c>
      <c r="P3568" s="8">
        <f t="shared" si="277"/>
        <v>15403</v>
      </c>
      <c r="Q3568" s="8">
        <f t="shared" si="278"/>
        <v>8127</v>
      </c>
      <c r="R3568" s="2" t="s">
        <v>28</v>
      </c>
      <c r="S3568" s="9">
        <f t="shared" si="279"/>
        <v>770.15000000000009</v>
      </c>
    </row>
    <row r="3569" spans="1:19" x14ac:dyDescent="0.3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str">
        <f>IFERROR(VLOOKUP('Customer Info'!A3561,'Customer Info'!A3561:C4060,2,FALSE),"Not Found")</f>
        <v>Not Found</v>
      </c>
      <c r="H3569" s="6" t="str">
        <f>IFERROR(VLOOKUP('Customer Info'!A3561,'Customer Info'!A3561:C4060,3,FALSE),"Not Found")</f>
        <v>Not Found</v>
      </c>
      <c r="I3569" s="6" t="str">
        <f>IFERROR(VLOOKUP('Customer Info'!A3561,'Customer Info'!A3561:E4060,5,FALSE),"Not Found")</f>
        <v>Not Found</v>
      </c>
      <c r="J3569" s="2">
        <v>526</v>
      </c>
      <c r="K3569" s="2">
        <v>487</v>
      </c>
      <c r="L3569" s="2">
        <v>5</v>
      </c>
      <c r="M3569" s="7">
        <f t="shared" si="275"/>
        <v>2435</v>
      </c>
      <c r="N3569" s="7">
        <f t="shared" si="276"/>
        <v>2630</v>
      </c>
      <c r="O3569" s="2">
        <v>43</v>
      </c>
      <c r="P3569" s="8">
        <f t="shared" si="277"/>
        <v>2673</v>
      </c>
      <c r="Q3569" s="8">
        <f t="shared" si="278"/>
        <v>2143</v>
      </c>
      <c r="R3569" s="2" t="s">
        <v>28</v>
      </c>
      <c r="S3569" s="9">
        <f t="shared" si="279"/>
        <v>53.46</v>
      </c>
    </row>
    <row r="3570" spans="1:19" x14ac:dyDescent="0.3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str">
        <f>IFERROR(VLOOKUP('Customer Info'!A3562,'Customer Info'!A3562:C4061,2,FALSE),"Not Found")</f>
        <v>Not Found</v>
      </c>
      <c r="H3570" s="6" t="str">
        <f>IFERROR(VLOOKUP('Customer Info'!A3562,'Customer Info'!A3562:C4061,3,FALSE),"Not Found")</f>
        <v>Not Found</v>
      </c>
      <c r="I3570" s="6" t="str">
        <f>IFERROR(VLOOKUP('Customer Info'!A3562,'Customer Info'!A3562:E4061,5,FALSE),"Not Found")</f>
        <v>Not Found</v>
      </c>
      <c r="J3570" s="2">
        <v>285</v>
      </c>
      <c r="K3570" s="2">
        <v>259</v>
      </c>
      <c r="L3570" s="2">
        <v>2</v>
      </c>
      <c r="M3570" s="7">
        <f t="shared" si="275"/>
        <v>518</v>
      </c>
      <c r="N3570" s="7">
        <f t="shared" si="276"/>
        <v>570</v>
      </c>
      <c r="O3570" s="2">
        <v>59</v>
      </c>
      <c r="P3570" s="8">
        <f t="shared" si="277"/>
        <v>629</v>
      </c>
      <c r="Q3570" s="8">
        <f t="shared" si="278"/>
        <v>311</v>
      </c>
      <c r="R3570" s="2" t="s">
        <v>50</v>
      </c>
      <c r="S3570" s="9">
        <f t="shared" si="279"/>
        <v>12.58</v>
      </c>
    </row>
    <row r="3571" spans="1:19" x14ac:dyDescent="0.3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str">
        <f>IFERROR(VLOOKUP('Customer Info'!A3563,'Customer Info'!A3563:C4062,2,FALSE),"Not Found")</f>
        <v>Not Found</v>
      </c>
      <c r="H3571" s="6" t="str">
        <f>IFERROR(VLOOKUP('Customer Info'!A3563,'Customer Info'!A3563:C4062,3,FALSE),"Not Found")</f>
        <v>Not Found</v>
      </c>
      <c r="I3571" s="6" t="str">
        <f>IFERROR(VLOOKUP('Customer Info'!A3563,'Customer Info'!A3563:E4062,5,FALSE),"Not Found")</f>
        <v>Not Found</v>
      </c>
      <c r="J3571" s="2">
        <v>8686</v>
      </c>
      <c r="K3571" s="2">
        <v>8035</v>
      </c>
      <c r="L3571" s="2">
        <v>3</v>
      </c>
      <c r="M3571" s="7">
        <f t="shared" si="275"/>
        <v>24105</v>
      </c>
      <c r="N3571" s="7">
        <f t="shared" si="276"/>
        <v>26058</v>
      </c>
      <c r="O3571" s="2">
        <v>76</v>
      </c>
      <c r="P3571" s="8">
        <f t="shared" si="277"/>
        <v>26134</v>
      </c>
      <c r="Q3571" s="8">
        <f t="shared" si="278"/>
        <v>18023</v>
      </c>
      <c r="R3571" s="2" t="s">
        <v>28</v>
      </c>
      <c r="S3571" s="9">
        <f t="shared" si="279"/>
        <v>1829.38</v>
      </c>
    </row>
    <row r="3572" spans="1:19" x14ac:dyDescent="0.3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str">
        <f>IFERROR(VLOOKUP('Customer Info'!A3564,'Customer Info'!A3564:C4063,2,FALSE),"Not Found")</f>
        <v>Not Found</v>
      </c>
      <c r="H3572" s="6" t="str">
        <f>IFERROR(VLOOKUP('Customer Info'!A3564,'Customer Info'!A3564:C4063,3,FALSE),"Not Found")</f>
        <v>Not Found</v>
      </c>
      <c r="I3572" s="6" t="str">
        <f>IFERROR(VLOOKUP('Customer Info'!A3564,'Customer Info'!A3564:E4063,5,FALSE),"Not Found")</f>
        <v>Not Found</v>
      </c>
      <c r="J3572" s="2">
        <v>7141</v>
      </c>
      <c r="K3572" s="2">
        <v>6541</v>
      </c>
      <c r="L3572" s="2">
        <v>1</v>
      </c>
      <c r="M3572" s="7">
        <f t="shared" si="275"/>
        <v>6541</v>
      </c>
      <c r="N3572" s="7">
        <f t="shared" si="276"/>
        <v>7141</v>
      </c>
      <c r="O3572" s="2">
        <v>39</v>
      </c>
      <c r="P3572" s="8">
        <f t="shared" si="277"/>
        <v>7180</v>
      </c>
      <c r="Q3572" s="8">
        <f t="shared" si="278"/>
        <v>600</v>
      </c>
      <c r="R3572" s="2" t="s">
        <v>28</v>
      </c>
      <c r="S3572" s="9">
        <f t="shared" si="279"/>
        <v>359</v>
      </c>
    </row>
    <row r="3573" spans="1:19" x14ac:dyDescent="0.3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str">
        <f>IFERROR(VLOOKUP('Customer Info'!A3565,'Customer Info'!A3565:C4064,2,FALSE),"Not Found")</f>
        <v>Not Found</v>
      </c>
      <c r="H3573" s="6" t="str">
        <f>IFERROR(VLOOKUP('Customer Info'!A3565,'Customer Info'!A3565:C4064,3,FALSE),"Not Found")</f>
        <v>Not Found</v>
      </c>
      <c r="I3573" s="6" t="str">
        <f>IFERROR(VLOOKUP('Customer Info'!A3565,'Customer Info'!A3565:E4064,5,FALSE),"Not Found")</f>
        <v>Not Found</v>
      </c>
      <c r="J3573" s="2">
        <v>4846</v>
      </c>
      <c r="K3573" s="2">
        <v>4492</v>
      </c>
      <c r="L3573" s="2">
        <v>2</v>
      </c>
      <c r="M3573" s="7">
        <f t="shared" si="275"/>
        <v>8984</v>
      </c>
      <c r="N3573" s="7">
        <f t="shared" si="276"/>
        <v>9692</v>
      </c>
      <c r="O3573" s="2">
        <v>64</v>
      </c>
      <c r="P3573" s="8">
        <f t="shared" si="277"/>
        <v>9756</v>
      </c>
      <c r="Q3573" s="8">
        <f t="shared" si="278"/>
        <v>5200</v>
      </c>
      <c r="R3573" s="2" t="s">
        <v>28</v>
      </c>
      <c r="S3573" s="9">
        <f t="shared" si="279"/>
        <v>487.8</v>
      </c>
    </row>
    <row r="3574" spans="1:19" x14ac:dyDescent="0.3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str">
        <f>IFERROR(VLOOKUP('Customer Info'!A3566,'Customer Info'!A3566:C4065,2,FALSE),"Not Found")</f>
        <v>Not Found</v>
      </c>
      <c r="H3574" s="6" t="str">
        <f>IFERROR(VLOOKUP('Customer Info'!A3566,'Customer Info'!A3566:C4065,3,FALSE),"Not Found")</f>
        <v>Not Found</v>
      </c>
      <c r="I3574" s="6" t="str">
        <f>IFERROR(VLOOKUP('Customer Info'!A3566,'Customer Info'!A3566:E4065,5,FALSE),"Not Found")</f>
        <v>Not Found</v>
      </c>
      <c r="J3574" s="2">
        <v>142</v>
      </c>
      <c r="K3574" s="2">
        <v>129</v>
      </c>
      <c r="L3574" s="2">
        <v>2</v>
      </c>
      <c r="M3574" s="7">
        <f t="shared" si="275"/>
        <v>258</v>
      </c>
      <c r="N3574" s="7">
        <f t="shared" si="276"/>
        <v>284</v>
      </c>
      <c r="O3574" s="2">
        <v>30</v>
      </c>
      <c r="P3574" s="8">
        <f t="shared" si="277"/>
        <v>314</v>
      </c>
      <c r="Q3574" s="8">
        <f t="shared" si="278"/>
        <v>155</v>
      </c>
      <c r="R3574" s="2" t="s">
        <v>50</v>
      </c>
      <c r="S3574" s="9">
        <f t="shared" si="279"/>
        <v>6.28</v>
      </c>
    </row>
    <row r="3575" spans="1:19" x14ac:dyDescent="0.3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str">
        <f>IFERROR(VLOOKUP('Customer Info'!A3567,'Customer Info'!A3567:C4066,2,FALSE),"Not Found")</f>
        <v>Not Found</v>
      </c>
      <c r="H3575" s="6" t="str">
        <f>IFERROR(VLOOKUP('Customer Info'!A3567,'Customer Info'!A3567:C4066,3,FALSE),"Not Found")</f>
        <v>Not Found</v>
      </c>
      <c r="I3575" s="6" t="str">
        <f>IFERROR(VLOOKUP('Customer Info'!A3567,'Customer Info'!A3567:E4066,5,FALSE),"Not Found")</f>
        <v>Not Found</v>
      </c>
      <c r="J3575" s="2">
        <v>1808</v>
      </c>
      <c r="K3575" s="2">
        <v>1740</v>
      </c>
      <c r="L3575" s="2">
        <v>1</v>
      </c>
      <c r="M3575" s="7">
        <f t="shared" si="275"/>
        <v>1740</v>
      </c>
      <c r="N3575" s="7">
        <f t="shared" si="276"/>
        <v>1808</v>
      </c>
      <c r="O3575" s="2">
        <v>29</v>
      </c>
      <c r="P3575" s="8">
        <f t="shared" si="277"/>
        <v>1837</v>
      </c>
      <c r="Q3575" s="8">
        <f t="shared" si="278"/>
        <v>68</v>
      </c>
      <c r="R3575" s="2" t="s">
        <v>28</v>
      </c>
      <c r="S3575" s="9">
        <f t="shared" si="279"/>
        <v>36.74</v>
      </c>
    </row>
    <row r="3576" spans="1:19" x14ac:dyDescent="0.3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str">
        <f>IFERROR(VLOOKUP('Customer Info'!A3568,'Customer Info'!A3568:C4067,2,FALSE),"Not Found")</f>
        <v>Not Found</v>
      </c>
      <c r="H3576" s="6" t="str">
        <f>IFERROR(VLOOKUP('Customer Info'!A3568,'Customer Info'!A3568:C4067,3,FALSE),"Not Found")</f>
        <v>Not Found</v>
      </c>
      <c r="I3576" s="6" t="str">
        <f>IFERROR(VLOOKUP('Customer Info'!A3568,'Customer Info'!A3568:E4067,5,FALSE),"Not Found")</f>
        <v>Not Found</v>
      </c>
      <c r="J3576" s="2">
        <v>2951</v>
      </c>
      <c r="K3576" s="2">
        <v>2786</v>
      </c>
      <c r="L3576" s="2">
        <v>3</v>
      </c>
      <c r="M3576" s="7">
        <f t="shared" si="275"/>
        <v>8358</v>
      </c>
      <c r="N3576" s="7">
        <f t="shared" si="276"/>
        <v>8853</v>
      </c>
      <c r="O3576" s="2">
        <v>82</v>
      </c>
      <c r="P3576" s="8">
        <f t="shared" si="277"/>
        <v>8935</v>
      </c>
      <c r="Q3576" s="8">
        <f t="shared" si="278"/>
        <v>6067</v>
      </c>
      <c r="R3576" s="2" t="s">
        <v>28</v>
      </c>
      <c r="S3576" s="9">
        <f t="shared" si="279"/>
        <v>446.75</v>
      </c>
    </row>
    <row r="3577" spans="1:19" x14ac:dyDescent="0.3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str">
        <f>IFERROR(VLOOKUP('Customer Info'!A3569,'Customer Info'!A3569:C4068,2,FALSE),"Not Found")</f>
        <v>Not Found</v>
      </c>
      <c r="H3577" s="6" t="str">
        <f>IFERROR(VLOOKUP('Customer Info'!A3569,'Customer Info'!A3569:C4068,3,FALSE),"Not Found")</f>
        <v>Not Found</v>
      </c>
      <c r="I3577" s="6" t="str">
        <f>IFERROR(VLOOKUP('Customer Info'!A3569,'Customer Info'!A3569:E4068,5,FALSE),"Not Found")</f>
        <v>Not Found</v>
      </c>
      <c r="J3577" s="2">
        <v>288</v>
      </c>
      <c r="K3577" s="2">
        <v>264</v>
      </c>
      <c r="L3577" s="2">
        <v>1</v>
      </c>
      <c r="M3577" s="7">
        <f t="shared" si="275"/>
        <v>264</v>
      </c>
      <c r="N3577" s="7">
        <f t="shared" si="276"/>
        <v>288</v>
      </c>
      <c r="O3577" s="2">
        <v>54</v>
      </c>
      <c r="P3577" s="8">
        <f t="shared" si="277"/>
        <v>342</v>
      </c>
      <c r="Q3577" s="8">
        <f t="shared" si="278"/>
        <v>24</v>
      </c>
      <c r="R3577" s="2" t="s">
        <v>28</v>
      </c>
      <c r="S3577" s="9">
        <f t="shared" si="279"/>
        <v>6.84</v>
      </c>
    </row>
    <row r="3578" spans="1:19" x14ac:dyDescent="0.3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str">
        <f>IFERROR(VLOOKUP('Customer Info'!A3570,'Customer Info'!A3570:C4069,2,FALSE),"Not Found")</f>
        <v>Not Found</v>
      </c>
      <c r="H3578" s="6" t="str">
        <f>IFERROR(VLOOKUP('Customer Info'!A3570,'Customer Info'!A3570:C4069,3,FALSE),"Not Found")</f>
        <v>Not Found</v>
      </c>
      <c r="I3578" s="6" t="str">
        <f>IFERROR(VLOOKUP('Customer Info'!A3570,'Customer Info'!A3570:E4069,5,FALSE),"Not Found")</f>
        <v>Not Found</v>
      </c>
      <c r="J3578" s="2">
        <v>144</v>
      </c>
      <c r="K3578" s="2">
        <v>132</v>
      </c>
      <c r="L3578" s="2">
        <v>4</v>
      </c>
      <c r="M3578" s="7">
        <f t="shared" si="275"/>
        <v>528</v>
      </c>
      <c r="N3578" s="7">
        <f t="shared" si="276"/>
        <v>576</v>
      </c>
      <c r="O3578" s="2">
        <v>30</v>
      </c>
      <c r="P3578" s="8">
        <f t="shared" si="277"/>
        <v>606</v>
      </c>
      <c r="Q3578" s="8">
        <f t="shared" si="278"/>
        <v>444</v>
      </c>
      <c r="R3578" s="2" t="s">
        <v>50</v>
      </c>
      <c r="S3578" s="9">
        <f t="shared" si="279"/>
        <v>12.120000000000001</v>
      </c>
    </row>
    <row r="3579" spans="1:19" x14ac:dyDescent="0.3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str">
        <f>IFERROR(VLOOKUP('Customer Info'!A3571,'Customer Info'!A3571:C4070,2,FALSE),"Not Found")</f>
        <v>Not Found</v>
      </c>
      <c r="H3579" s="6" t="str">
        <f>IFERROR(VLOOKUP('Customer Info'!A3571,'Customer Info'!A3571:C4070,3,FALSE),"Not Found")</f>
        <v>Not Found</v>
      </c>
      <c r="I3579" s="6" t="str">
        <f>IFERROR(VLOOKUP('Customer Info'!A3571,'Customer Info'!A3571:E4070,5,FALSE),"Not Found")</f>
        <v>Not Found</v>
      </c>
      <c r="J3579" s="2">
        <v>6354</v>
      </c>
      <c r="K3579" s="2">
        <v>5769</v>
      </c>
      <c r="L3579" s="2">
        <v>3</v>
      </c>
      <c r="M3579" s="7">
        <f t="shared" si="275"/>
        <v>17307</v>
      </c>
      <c r="N3579" s="7">
        <f t="shared" si="276"/>
        <v>19062</v>
      </c>
      <c r="O3579" s="2">
        <v>49</v>
      </c>
      <c r="P3579" s="8">
        <f t="shared" si="277"/>
        <v>19111</v>
      </c>
      <c r="Q3579" s="8">
        <f t="shared" si="278"/>
        <v>13293</v>
      </c>
      <c r="R3579" s="2" t="s">
        <v>50</v>
      </c>
      <c r="S3579" s="9">
        <f t="shared" si="279"/>
        <v>955.55000000000007</v>
      </c>
    </row>
    <row r="3580" spans="1:19" x14ac:dyDescent="0.3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str">
        <f>IFERROR(VLOOKUP('Customer Info'!A3572,'Customer Info'!A3572:C4071,2,FALSE),"Not Found")</f>
        <v>Not Found</v>
      </c>
      <c r="H3580" s="6" t="str">
        <f>IFERROR(VLOOKUP('Customer Info'!A3572,'Customer Info'!A3572:C4071,3,FALSE),"Not Found")</f>
        <v>Not Found</v>
      </c>
      <c r="I3580" s="6" t="str">
        <f>IFERROR(VLOOKUP('Customer Info'!A3572,'Customer Info'!A3572:E4071,5,FALSE),"Not Found")</f>
        <v>Not Found</v>
      </c>
      <c r="J3580" s="2">
        <v>92</v>
      </c>
      <c r="K3580" s="2">
        <v>85</v>
      </c>
      <c r="L3580" s="2">
        <v>2</v>
      </c>
      <c r="M3580" s="7">
        <f t="shared" si="275"/>
        <v>170</v>
      </c>
      <c r="N3580" s="7">
        <f t="shared" si="276"/>
        <v>184</v>
      </c>
      <c r="O3580" s="2">
        <v>10</v>
      </c>
      <c r="P3580" s="8">
        <f t="shared" si="277"/>
        <v>194</v>
      </c>
      <c r="Q3580" s="8">
        <f t="shared" si="278"/>
        <v>99</v>
      </c>
      <c r="R3580" s="2" t="s">
        <v>56</v>
      </c>
      <c r="S3580" s="9">
        <f t="shared" si="279"/>
        <v>3.88</v>
      </c>
    </row>
    <row r="3581" spans="1:19" x14ac:dyDescent="0.3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str">
        <f>IFERROR(VLOOKUP('Customer Info'!A3573,'Customer Info'!A3573:C4072,2,FALSE),"Not Found")</f>
        <v>Not Found</v>
      </c>
      <c r="H3581" s="6" t="str">
        <f>IFERROR(VLOOKUP('Customer Info'!A3573,'Customer Info'!A3573:C4072,3,FALSE),"Not Found")</f>
        <v>Not Found</v>
      </c>
      <c r="I3581" s="6" t="str">
        <f>IFERROR(VLOOKUP('Customer Info'!A3573,'Customer Info'!A3573:E4072,5,FALSE),"Not Found")</f>
        <v>Not Found</v>
      </c>
      <c r="J3581" s="2">
        <v>1186</v>
      </c>
      <c r="K3581" s="2">
        <v>1141</v>
      </c>
      <c r="L3581" s="2">
        <v>3</v>
      </c>
      <c r="M3581" s="7">
        <f t="shared" si="275"/>
        <v>3423</v>
      </c>
      <c r="N3581" s="7">
        <f t="shared" si="276"/>
        <v>3558</v>
      </c>
      <c r="O3581" s="2">
        <v>49</v>
      </c>
      <c r="P3581" s="8">
        <f t="shared" si="277"/>
        <v>3607</v>
      </c>
      <c r="Q3581" s="8">
        <f t="shared" si="278"/>
        <v>2417</v>
      </c>
      <c r="R3581" s="2" t="s">
        <v>28</v>
      </c>
      <c r="S3581" s="9">
        <f t="shared" si="279"/>
        <v>72.14</v>
      </c>
    </row>
    <row r="3582" spans="1:19" x14ac:dyDescent="0.3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str">
        <f>IFERROR(VLOOKUP('Customer Info'!A3574,'Customer Info'!A3574:C4073,2,FALSE),"Not Found")</f>
        <v>Not Found</v>
      </c>
      <c r="H3582" s="6" t="str">
        <f>IFERROR(VLOOKUP('Customer Info'!A3574,'Customer Info'!A3574:C4073,3,FALSE),"Not Found")</f>
        <v>Not Found</v>
      </c>
      <c r="I3582" s="6" t="str">
        <f>IFERROR(VLOOKUP('Customer Info'!A3574,'Customer Info'!A3574:E4073,5,FALSE),"Not Found")</f>
        <v>Not Found</v>
      </c>
      <c r="J3582" s="2">
        <v>7361</v>
      </c>
      <c r="K3582" s="2">
        <v>6887</v>
      </c>
      <c r="L3582" s="2">
        <v>4</v>
      </c>
      <c r="M3582" s="7">
        <f t="shared" si="275"/>
        <v>27548</v>
      </c>
      <c r="N3582" s="7">
        <f t="shared" si="276"/>
        <v>29444</v>
      </c>
      <c r="O3582" s="2">
        <v>28</v>
      </c>
      <c r="P3582" s="8">
        <f t="shared" si="277"/>
        <v>29472</v>
      </c>
      <c r="Q3582" s="8">
        <f t="shared" si="278"/>
        <v>22557</v>
      </c>
      <c r="R3582" s="2" t="s">
        <v>50</v>
      </c>
      <c r="S3582" s="9">
        <f t="shared" si="279"/>
        <v>2063.0400000000004</v>
      </c>
    </row>
    <row r="3583" spans="1:19" x14ac:dyDescent="0.3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str">
        <f>IFERROR(VLOOKUP('Customer Info'!A3575,'Customer Info'!A3575:C4074,2,FALSE),"Not Found")</f>
        <v>Not Found</v>
      </c>
      <c r="H3583" s="6" t="str">
        <f>IFERROR(VLOOKUP('Customer Info'!A3575,'Customer Info'!A3575:C4074,3,FALSE),"Not Found")</f>
        <v>Not Found</v>
      </c>
      <c r="I3583" s="6" t="str">
        <f>IFERROR(VLOOKUP('Customer Info'!A3575,'Customer Info'!A3575:E4074,5,FALSE),"Not Found")</f>
        <v>Not Found</v>
      </c>
      <c r="J3583" s="2">
        <v>58</v>
      </c>
      <c r="K3583" s="2">
        <v>56</v>
      </c>
      <c r="L3583" s="2">
        <v>1</v>
      </c>
      <c r="M3583" s="7">
        <f t="shared" si="275"/>
        <v>56</v>
      </c>
      <c r="N3583" s="7">
        <f t="shared" si="276"/>
        <v>58</v>
      </c>
      <c r="O3583" s="2">
        <v>10</v>
      </c>
      <c r="P3583" s="8">
        <f t="shared" si="277"/>
        <v>68</v>
      </c>
      <c r="Q3583" s="8">
        <f t="shared" si="278"/>
        <v>2</v>
      </c>
      <c r="R3583" s="2" t="s">
        <v>28</v>
      </c>
      <c r="S3583" s="9">
        <f t="shared" si="279"/>
        <v>1.36</v>
      </c>
    </row>
    <row r="3584" spans="1:19" x14ac:dyDescent="0.3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str">
        <f>IFERROR(VLOOKUP('Customer Info'!A3576,'Customer Info'!A3576:C4075,2,FALSE),"Not Found")</f>
        <v>Not Found</v>
      </c>
      <c r="H3584" s="6" t="str">
        <f>IFERROR(VLOOKUP('Customer Info'!A3576,'Customer Info'!A3576:C4075,3,FALSE),"Not Found")</f>
        <v>Not Found</v>
      </c>
      <c r="I3584" s="6" t="str">
        <f>IFERROR(VLOOKUP('Customer Info'!A3576,'Customer Info'!A3576:E4075,5,FALSE),"Not Found")</f>
        <v>Not Found</v>
      </c>
      <c r="J3584" s="2">
        <v>886</v>
      </c>
      <c r="K3584" s="2">
        <v>796</v>
      </c>
      <c r="L3584" s="2">
        <v>9</v>
      </c>
      <c r="M3584" s="7">
        <f t="shared" si="275"/>
        <v>7164</v>
      </c>
      <c r="N3584" s="7">
        <f t="shared" si="276"/>
        <v>7974</v>
      </c>
      <c r="O3584" s="2">
        <v>71</v>
      </c>
      <c r="P3584" s="8">
        <f t="shared" si="277"/>
        <v>8045</v>
      </c>
      <c r="Q3584" s="8">
        <f t="shared" si="278"/>
        <v>7178</v>
      </c>
      <c r="R3584" s="2" t="s">
        <v>28</v>
      </c>
      <c r="S3584" s="9">
        <f t="shared" si="279"/>
        <v>402.25</v>
      </c>
    </row>
    <row r="3585" spans="1:19" x14ac:dyDescent="0.3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str">
        <f>IFERROR(VLOOKUP('Customer Info'!A3577,'Customer Info'!A3577:C4076,2,FALSE),"Not Found")</f>
        <v>Not Found</v>
      </c>
      <c r="H3585" s="6" t="str">
        <f>IFERROR(VLOOKUP('Customer Info'!A3577,'Customer Info'!A3577:C4076,3,FALSE),"Not Found")</f>
        <v>Not Found</v>
      </c>
      <c r="I3585" s="6" t="str">
        <f>IFERROR(VLOOKUP('Customer Info'!A3577,'Customer Info'!A3577:E4076,5,FALSE),"Not Found")</f>
        <v>Not Found</v>
      </c>
      <c r="J3585" s="2">
        <v>851</v>
      </c>
      <c r="K3585" s="2">
        <v>773</v>
      </c>
      <c r="L3585" s="2">
        <v>7</v>
      </c>
      <c r="M3585" s="7">
        <f t="shared" si="275"/>
        <v>5411</v>
      </c>
      <c r="N3585" s="7">
        <f t="shared" si="276"/>
        <v>5957</v>
      </c>
      <c r="O3585" s="2">
        <v>72</v>
      </c>
      <c r="P3585" s="8">
        <f t="shared" si="277"/>
        <v>6029</v>
      </c>
      <c r="Q3585" s="8">
        <f t="shared" si="278"/>
        <v>5184</v>
      </c>
      <c r="R3585" s="2" t="s">
        <v>28</v>
      </c>
      <c r="S3585" s="9">
        <f t="shared" si="279"/>
        <v>301.45</v>
      </c>
    </row>
    <row r="3586" spans="1:19" x14ac:dyDescent="0.3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str">
        <f>IFERROR(VLOOKUP('Customer Info'!A3578,'Customer Info'!A3578:C4077,2,FALSE),"Not Found")</f>
        <v>Not Found</v>
      </c>
      <c r="H3586" s="6" t="str">
        <f>IFERROR(VLOOKUP('Customer Info'!A3578,'Customer Info'!A3578:C4077,3,FALSE),"Not Found")</f>
        <v>Not Found</v>
      </c>
      <c r="I3586" s="6" t="str">
        <f>IFERROR(VLOOKUP('Customer Info'!A3578,'Customer Info'!A3578:E4077,5,FALSE),"Not Found")</f>
        <v>Not Found</v>
      </c>
      <c r="J3586" s="2">
        <v>100</v>
      </c>
      <c r="K3586" s="2">
        <v>95</v>
      </c>
      <c r="L3586" s="2">
        <v>1</v>
      </c>
      <c r="M3586" s="7">
        <f t="shared" si="275"/>
        <v>95</v>
      </c>
      <c r="N3586" s="7">
        <f t="shared" si="276"/>
        <v>100</v>
      </c>
      <c r="O3586" s="2">
        <v>10</v>
      </c>
      <c r="P3586" s="8">
        <f t="shared" si="277"/>
        <v>110</v>
      </c>
      <c r="Q3586" s="8">
        <f t="shared" si="278"/>
        <v>5</v>
      </c>
      <c r="R3586" s="2" t="s">
        <v>28</v>
      </c>
      <c r="S3586" s="9">
        <f t="shared" si="279"/>
        <v>2.2000000000000002</v>
      </c>
    </row>
    <row r="3587" spans="1:19" x14ac:dyDescent="0.3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str">
        <f>IFERROR(VLOOKUP('Customer Info'!A3579,'Customer Info'!A3579:C4078,2,FALSE),"Not Found")</f>
        <v>Not Found</v>
      </c>
      <c r="H3587" s="6" t="str">
        <f>IFERROR(VLOOKUP('Customer Info'!A3579,'Customer Info'!A3579:C4078,3,FALSE),"Not Found")</f>
        <v>Not Found</v>
      </c>
      <c r="I3587" s="6" t="str">
        <f>IFERROR(VLOOKUP('Customer Info'!A3579,'Customer Info'!A3579:E4078,5,FALSE),"Not Found")</f>
        <v>Not Found</v>
      </c>
      <c r="J3587" s="2">
        <v>1039</v>
      </c>
      <c r="K3587" s="2">
        <v>954</v>
      </c>
      <c r="L3587" s="2">
        <v>1</v>
      </c>
      <c r="M3587" s="7">
        <f t="shared" si="275"/>
        <v>954</v>
      </c>
      <c r="N3587" s="7">
        <f t="shared" si="276"/>
        <v>1039</v>
      </c>
      <c r="O3587" s="2">
        <v>63</v>
      </c>
      <c r="P3587" s="8">
        <f t="shared" si="277"/>
        <v>1102</v>
      </c>
      <c r="Q3587" s="8">
        <f t="shared" si="278"/>
        <v>85</v>
      </c>
      <c r="R3587" s="2" t="s">
        <v>28</v>
      </c>
      <c r="S3587" s="9">
        <f t="shared" si="279"/>
        <v>22.04</v>
      </c>
    </row>
    <row r="3588" spans="1:19" x14ac:dyDescent="0.3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str">
        <f>IFERROR(VLOOKUP('Customer Info'!A3580,'Customer Info'!A3580:C4079,2,FALSE),"Not Found")</f>
        <v>Not Found</v>
      </c>
      <c r="H3588" s="6" t="str">
        <f>IFERROR(VLOOKUP('Customer Info'!A3580,'Customer Info'!A3580:C4079,3,FALSE),"Not Found")</f>
        <v>Not Found</v>
      </c>
      <c r="I3588" s="6" t="str">
        <f>IFERROR(VLOOKUP('Customer Info'!A3580,'Customer Info'!A3580:E4079,5,FALSE),"Not Found")</f>
        <v>Not Found</v>
      </c>
      <c r="J3588" s="2">
        <v>30223</v>
      </c>
      <c r="K3588" s="2">
        <v>27428</v>
      </c>
      <c r="L3588" s="2">
        <v>2</v>
      </c>
      <c r="M3588" s="7">
        <f t="shared" si="275"/>
        <v>54856</v>
      </c>
      <c r="N3588" s="7">
        <f t="shared" si="276"/>
        <v>60446</v>
      </c>
      <c r="O3588" s="2">
        <v>92</v>
      </c>
      <c r="P3588" s="8">
        <f t="shared" si="277"/>
        <v>60538</v>
      </c>
      <c r="Q3588" s="8">
        <f t="shared" si="278"/>
        <v>33018</v>
      </c>
      <c r="R3588" s="2" t="s">
        <v>28</v>
      </c>
      <c r="S3588" s="9">
        <f t="shared" si="279"/>
        <v>5448.42</v>
      </c>
    </row>
    <row r="3589" spans="1:19" x14ac:dyDescent="0.3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str">
        <f>IFERROR(VLOOKUP('Customer Info'!A3581,'Customer Info'!A3581:C4080,2,FALSE),"Not Found")</f>
        <v>Not Found</v>
      </c>
      <c r="H3589" s="6" t="str">
        <f>IFERROR(VLOOKUP('Customer Info'!A3581,'Customer Info'!A3581:C4080,3,FALSE),"Not Found")</f>
        <v>Not Found</v>
      </c>
      <c r="I3589" s="6" t="str">
        <f>IFERROR(VLOOKUP('Customer Info'!A3581,'Customer Info'!A3581:E4080,5,FALSE),"Not Found")</f>
        <v>Not Found</v>
      </c>
      <c r="J3589" s="2">
        <v>2273</v>
      </c>
      <c r="K3589" s="2">
        <v>2229</v>
      </c>
      <c r="L3589" s="2">
        <v>1</v>
      </c>
      <c r="M3589" s="7">
        <f t="shared" si="275"/>
        <v>2229</v>
      </c>
      <c r="N3589" s="7">
        <f t="shared" si="276"/>
        <v>2273</v>
      </c>
      <c r="O3589" s="2">
        <v>71</v>
      </c>
      <c r="P3589" s="8">
        <f t="shared" si="277"/>
        <v>2344</v>
      </c>
      <c r="Q3589" s="8">
        <f t="shared" si="278"/>
        <v>44</v>
      </c>
      <c r="R3589" s="2" t="s">
        <v>26</v>
      </c>
      <c r="S3589" s="9">
        <f t="shared" si="279"/>
        <v>46.88</v>
      </c>
    </row>
    <row r="3590" spans="1:19" x14ac:dyDescent="0.3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str">
        <f>IFERROR(VLOOKUP('Customer Info'!A3582,'Customer Info'!A3582:C4081,2,FALSE),"Not Found")</f>
        <v>Not Found</v>
      </c>
      <c r="H3590" s="6" t="str">
        <f>IFERROR(VLOOKUP('Customer Info'!A3582,'Customer Info'!A3582:C4081,3,FALSE),"Not Found")</f>
        <v>Not Found</v>
      </c>
      <c r="I3590" s="6" t="str">
        <f>IFERROR(VLOOKUP('Customer Info'!A3582,'Customer Info'!A3582:E4081,5,FALSE),"Not Found")</f>
        <v>Not Found</v>
      </c>
      <c r="J3590" s="2">
        <v>1808</v>
      </c>
      <c r="K3590" s="2">
        <v>1740</v>
      </c>
      <c r="L3590" s="2">
        <v>3</v>
      </c>
      <c r="M3590" s="7">
        <f t="shared" si="275"/>
        <v>5220</v>
      </c>
      <c r="N3590" s="7">
        <f t="shared" si="276"/>
        <v>5424</v>
      </c>
      <c r="O3590" s="2">
        <v>35</v>
      </c>
      <c r="P3590" s="8">
        <f t="shared" si="277"/>
        <v>5459</v>
      </c>
      <c r="Q3590" s="8">
        <f t="shared" si="278"/>
        <v>3684</v>
      </c>
      <c r="R3590" s="2" t="s">
        <v>28</v>
      </c>
      <c r="S3590" s="9">
        <f t="shared" si="279"/>
        <v>272.95</v>
      </c>
    </row>
    <row r="3591" spans="1:19" x14ac:dyDescent="0.3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str">
        <f>IFERROR(VLOOKUP('Customer Info'!A3583,'Customer Info'!A3583:C4082,2,FALSE),"Not Found")</f>
        <v>Not Found</v>
      </c>
      <c r="H3591" s="6" t="str">
        <f>IFERROR(VLOOKUP('Customer Info'!A3583,'Customer Info'!A3583:C4082,3,FALSE),"Not Found")</f>
        <v>Not Found</v>
      </c>
      <c r="I3591" s="6" t="str">
        <f>IFERROR(VLOOKUP('Customer Info'!A3583,'Customer Info'!A3583:E4082,5,FALSE),"Not Found")</f>
        <v>Not Found</v>
      </c>
      <c r="J3591" s="2">
        <v>2958</v>
      </c>
      <c r="K3591" s="2">
        <v>2743</v>
      </c>
      <c r="L3591" s="2">
        <v>4</v>
      </c>
      <c r="M3591" s="7">
        <f t="shared" si="275"/>
        <v>10972</v>
      </c>
      <c r="N3591" s="7">
        <f t="shared" si="276"/>
        <v>11832</v>
      </c>
      <c r="O3591" s="2">
        <v>32</v>
      </c>
      <c r="P3591" s="8">
        <f t="shared" si="277"/>
        <v>11864</v>
      </c>
      <c r="Q3591" s="8">
        <f t="shared" si="278"/>
        <v>9089</v>
      </c>
      <c r="R3591" s="2" t="s">
        <v>50</v>
      </c>
      <c r="S3591" s="9">
        <f t="shared" si="279"/>
        <v>593.20000000000005</v>
      </c>
    </row>
    <row r="3592" spans="1:19" x14ac:dyDescent="0.3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str">
        <f>IFERROR(VLOOKUP('Customer Info'!A3584,'Customer Info'!A3584:C4083,2,FALSE),"Not Found")</f>
        <v>Not Found</v>
      </c>
      <c r="H3592" s="6" t="str">
        <f>IFERROR(VLOOKUP('Customer Info'!A3584,'Customer Info'!A3584:C4083,3,FALSE),"Not Found")</f>
        <v>Not Found</v>
      </c>
      <c r="I3592" s="6" t="str">
        <f>IFERROR(VLOOKUP('Customer Info'!A3584,'Customer Info'!A3584:E4083,5,FALSE),"Not Found")</f>
        <v>Not Found</v>
      </c>
      <c r="J3592" s="2">
        <v>2706</v>
      </c>
      <c r="K3592" s="2">
        <v>2553</v>
      </c>
      <c r="L3592" s="2">
        <v>2</v>
      </c>
      <c r="M3592" s="7">
        <f t="shared" si="275"/>
        <v>5106</v>
      </c>
      <c r="N3592" s="7">
        <f t="shared" si="276"/>
        <v>5412</v>
      </c>
      <c r="O3592" s="2">
        <v>22</v>
      </c>
      <c r="P3592" s="8">
        <f t="shared" si="277"/>
        <v>5434</v>
      </c>
      <c r="Q3592" s="8">
        <f t="shared" si="278"/>
        <v>2859</v>
      </c>
      <c r="R3592" s="2" t="s">
        <v>50</v>
      </c>
      <c r="S3592" s="9">
        <f t="shared" si="279"/>
        <v>271.7</v>
      </c>
    </row>
    <row r="3593" spans="1:19" x14ac:dyDescent="0.3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str">
        <f>IFERROR(VLOOKUP('Customer Info'!A3585,'Customer Info'!A3585:C4084,2,FALSE),"Not Found")</f>
        <v>Not Found</v>
      </c>
      <c r="H3593" s="6" t="str">
        <f>IFERROR(VLOOKUP('Customer Info'!A3585,'Customer Info'!A3585:C4084,3,FALSE),"Not Found")</f>
        <v>Not Found</v>
      </c>
      <c r="I3593" s="6" t="str">
        <f>IFERROR(VLOOKUP('Customer Info'!A3585,'Customer Info'!A3585:E4084,5,FALSE),"Not Found")</f>
        <v>Not Found</v>
      </c>
      <c r="J3593" s="2">
        <v>1305</v>
      </c>
      <c r="K3593" s="2">
        <v>1197</v>
      </c>
      <c r="L3593" s="2">
        <v>2</v>
      </c>
      <c r="M3593" s="7">
        <f t="shared" si="275"/>
        <v>2394</v>
      </c>
      <c r="N3593" s="7">
        <f t="shared" si="276"/>
        <v>2610</v>
      </c>
      <c r="O3593" s="2">
        <v>76</v>
      </c>
      <c r="P3593" s="8">
        <f t="shared" si="277"/>
        <v>2686</v>
      </c>
      <c r="Q3593" s="8">
        <f t="shared" si="278"/>
        <v>1413</v>
      </c>
      <c r="R3593" s="2" t="s">
        <v>28</v>
      </c>
      <c r="S3593" s="9">
        <f t="shared" si="279"/>
        <v>53.72</v>
      </c>
    </row>
    <row r="3594" spans="1:19" x14ac:dyDescent="0.3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str">
        <f>IFERROR(VLOOKUP('Customer Info'!A3586,'Customer Info'!A3586:C4085,2,FALSE),"Not Found")</f>
        <v>Not Found</v>
      </c>
      <c r="H3594" s="6" t="str">
        <f>IFERROR(VLOOKUP('Customer Info'!A3586,'Customer Info'!A3586:C4085,3,FALSE),"Not Found")</f>
        <v>Not Found</v>
      </c>
      <c r="I3594" s="6" t="str">
        <f>IFERROR(VLOOKUP('Customer Info'!A3586,'Customer Info'!A3586:E4085,5,FALSE),"Not Found")</f>
        <v>Not Found</v>
      </c>
      <c r="J3594" s="2">
        <v>123</v>
      </c>
      <c r="K3594" s="2">
        <v>115</v>
      </c>
      <c r="L3594" s="2">
        <v>2</v>
      </c>
      <c r="M3594" s="7">
        <f t="shared" si="275"/>
        <v>230</v>
      </c>
      <c r="N3594" s="7">
        <f t="shared" si="276"/>
        <v>246</v>
      </c>
      <c r="O3594" s="2">
        <v>30</v>
      </c>
      <c r="P3594" s="8">
        <f t="shared" si="277"/>
        <v>276</v>
      </c>
      <c r="Q3594" s="8">
        <f t="shared" si="278"/>
        <v>131</v>
      </c>
      <c r="R3594" s="2" t="s">
        <v>28</v>
      </c>
      <c r="S3594" s="9">
        <f t="shared" si="279"/>
        <v>5.5200000000000005</v>
      </c>
    </row>
    <row r="3595" spans="1:19" x14ac:dyDescent="0.3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str">
        <f>IFERROR(VLOOKUP('Customer Info'!A3587,'Customer Info'!A3587:C4086,2,FALSE),"Not Found")</f>
        <v>Not Found</v>
      </c>
      <c r="H3595" s="6" t="str">
        <f>IFERROR(VLOOKUP('Customer Info'!A3587,'Customer Info'!A3587:C4086,3,FALSE),"Not Found")</f>
        <v>Not Found</v>
      </c>
      <c r="I3595" s="6" t="str">
        <f>IFERROR(VLOOKUP('Customer Info'!A3587,'Customer Info'!A3587:E4086,5,FALSE),"Not Found")</f>
        <v>Not Found</v>
      </c>
      <c r="J3595" s="2">
        <v>183</v>
      </c>
      <c r="K3595" s="2">
        <v>168</v>
      </c>
      <c r="L3595" s="2">
        <v>4</v>
      </c>
      <c r="M3595" s="7">
        <f t="shared" ref="M3595:M3658" si="280">$K3595*$L3595</f>
        <v>672</v>
      </c>
      <c r="N3595" s="7">
        <f t="shared" ref="N3595:N3658" si="281">$J3595*$L3595</f>
        <v>732</v>
      </c>
      <c r="O3595" s="2">
        <v>30</v>
      </c>
      <c r="P3595" s="8">
        <f t="shared" ref="P3595:P3658" si="282">$N3595+$O3595</f>
        <v>762</v>
      </c>
      <c r="Q3595" s="8">
        <f t="shared" ref="Q3595:Q3658" si="283">$N3595-$K3595</f>
        <v>564</v>
      </c>
      <c r="R3595" s="2" t="s">
        <v>26</v>
      </c>
      <c r="S3595" s="9">
        <f t="shared" ref="S3595:S3658" si="284" xml:space="preserve"> P3595 * VLOOKUP(P3595, $T$2:$U$6, 2, TRUE)</f>
        <v>15.24</v>
      </c>
    </row>
    <row r="3596" spans="1:19" x14ac:dyDescent="0.3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str">
        <f>IFERROR(VLOOKUP('Customer Info'!A3588,'Customer Info'!A3588:C4087,2,FALSE),"Not Found")</f>
        <v>Not Found</v>
      </c>
      <c r="H3596" s="6" t="str">
        <f>IFERROR(VLOOKUP('Customer Info'!A3588,'Customer Info'!A3588:C4087,3,FALSE),"Not Found")</f>
        <v>Not Found</v>
      </c>
      <c r="I3596" s="6" t="str">
        <f>IFERROR(VLOOKUP('Customer Info'!A3588,'Customer Info'!A3588:E4087,5,FALSE),"Not Found")</f>
        <v>Not Found</v>
      </c>
      <c r="J3596" s="2">
        <v>6481</v>
      </c>
      <c r="K3596" s="2">
        <v>5884</v>
      </c>
      <c r="L3596" s="2">
        <v>6</v>
      </c>
      <c r="M3596" s="7">
        <f t="shared" si="280"/>
        <v>35304</v>
      </c>
      <c r="N3596" s="7">
        <f t="shared" si="281"/>
        <v>38886</v>
      </c>
      <c r="O3596" s="2">
        <v>77</v>
      </c>
      <c r="P3596" s="8">
        <f t="shared" si="282"/>
        <v>38963</v>
      </c>
      <c r="Q3596" s="8">
        <f t="shared" si="283"/>
        <v>33002</v>
      </c>
      <c r="R3596" s="2" t="s">
        <v>28</v>
      </c>
      <c r="S3596" s="9">
        <f t="shared" si="284"/>
        <v>2727.4100000000003</v>
      </c>
    </row>
    <row r="3597" spans="1:19" x14ac:dyDescent="0.3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str">
        <f>IFERROR(VLOOKUP('Customer Info'!A3589,'Customer Info'!A3589:C4088,2,FALSE),"Not Found")</f>
        <v>Not Found</v>
      </c>
      <c r="H3597" s="6" t="str">
        <f>IFERROR(VLOOKUP('Customer Info'!A3589,'Customer Info'!A3589:C4088,3,FALSE),"Not Found")</f>
        <v>Not Found</v>
      </c>
      <c r="I3597" s="6" t="str">
        <f>IFERROR(VLOOKUP('Customer Info'!A3589,'Customer Info'!A3589:E4088,5,FALSE),"Not Found")</f>
        <v>Not Found</v>
      </c>
      <c r="J3597" s="2">
        <v>1441</v>
      </c>
      <c r="K3597" s="2">
        <v>1360</v>
      </c>
      <c r="L3597" s="2">
        <v>2</v>
      </c>
      <c r="M3597" s="7">
        <f t="shared" si="280"/>
        <v>2720</v>
      </c>
      <c r="N3597" s="7">
        <f t="shared" si="281"/>
        <v>2882</v>
      </c>
      <c r="O3597" s="2">
        <v>93</v>
      </c>
      <c r="P3597" s="8">
        <f t="shared" si="282"/>
        <v>2975</v>
      </c>
      <c r="Q3597" s="8">
        <f t="shared" si="283"/>
        <v>1522</v>
      </c>
      <c r="R3597" s="2" t="s">
        <v>50</v>
      </c>
      <c r="S3597" s="9">
        <f t="shared" si="284"/>
        <v>59.5</v>
      </c>
    </row>
    <row r="3598" spans="1:19" x14ac:dyDescent="0.3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str">
        <f>IFERROR(VLOOKUP('Customer Info'!A3590,'Customer Info'!A3590:C4089,2,FALSE),"Not Found")</f>
        <v>Not Found</v>
      </c>
      <c r="H3598" s="6" t="str">
        <f>IFERROR(VLOOKUP('Customer Info'!A3590,'Customer Info'!A3590:C4089,3,FALSE),"Not Found")</f>
        <v>Not Found</v>
      </c>
      <c r="I3598" s="6" t="str">
        <f>IFERROR(VLOOKUP('Customer Info'!A3590,'Customer Info'!A3590:E4089,5,FALSE),"Not Found")</f>
        <v>Not Found</v>
      </c>
      <c r="J3598" s="2">
        <v>393</v>
      </c>
      <c r="K3598" s="2">
        <v>374</v>
      </c>
      <c r="L3598" s="2">
        <v>2</v>
      </c>
      <c r="M3598" s="7">
        <f t="shared" si="280"/>
        <v>748</v>
      </c>
      <c r="N3598" s="7">
        <f t="shared" si="281"/>
        <v>786</v>
      </c>
      <c r="O3598" s="2">
        <v>78</v>
      </c>
      <c r="P3598" s="8">
        <f t="shared" si="282"/>
        <v>864</v>
      </c>
      <c r="Q3598" s="8">
        <f t="shared" si="283"/>
        <v>412</v>
      </c>
      <c r="R3598" s="2" t="s">
        <v>50</v>
      </c>
      <c r="S3598" s="9">
        <f t="shared" si="284"/>
        <v>17.28</v>
      </c>
    </row>
    <row r="3599" spans="1:19" x14ac:dyDescent="0.3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str">
        <f>IFERROR(VLOOKUP('Customer Info'!A3591,'Customer Info'!A3591:C4090,2,FALSE),"Not Found")</f>
        <v>Not Found</v>
      </c>
      <c r="H3599" s="6" t="str">
        <f>IFERROR(VLOOKUP('Customer Info'!A3591,'Customer Info'!A3591:C4090,3,FALSE),"Not Found")</f>
        <v>Not Found</v>
      </c>
      <c r="I3599" s="6" t="str">
        <f>IFERROR(VLOOKUP('Customer Info'!A3591,'Customer Info'!A3591:E4090,5,FALSE),"Not Found")</f>
        <v>Not Found</v>
      </c>
      <c r="J3599" s="2">
        <v>101</v>
      </c>
      <c r="K3599" s="2">
        <v>98</v>
      </c>
      <c r="L3599" s="2">
        <v>4</v>
      </c>
      <c r="M3599" s="7">
        <f t="shared" si="280"/>
        <v>392</v>
      </c>
      <c r="N3599" s="7">
        <f t="shared" si="281"/>
        <v>404</v>
      </c>
      <c r="O3599" s="2">
        <v>10</v>
      </c>
      <c r="P3599" s="8">
        <f t="shared" si="282"/>
        <v>414</v>
      </c>
      <c r="Q3599" s="8">
        <f t="shared" si="283"/>
        <v>306</v>
      </c>
      <c r="R3599" s="2" t="s">
        <v>28</v>
      </c>
      <c r="S3599" s="9">
        <f t="shared" si="284"/>
        <v>8.2799999999999994</v>
      </c>
    </row>
    <row r="3600" spans="1:19" x14ac:dyDescent="0.3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str">
        <f>IFERROR(VLOOKUP('Customer Info'!A3592,'Customer Info'!A3592:C4091,2,FALSE),"Not Found")</f>
        <v>Not Found</v>
      </c>
      <c r="H3600" s="6" t="str">
        <f>IFERROR(VLOOKUP('Customer Info'!A3592,'Customer Info'!A3592:C4091,3,FALSE),"Not Found")</f>
        <v>Not Found</v>
      </c>
      <c r="I3600" s="6" t="str">
        <f>IFERROR(VLOOKUP('Customer Info'!A3592,'Customer Info'!A3592:E4091,5,FALSE),"Not Found")</f>
        <v>Not Found</v>
      </c>
      <c r="J3600" s="2">
        <v>7922</v>
      </c>
      <c r="K3600" s="2">
        <v>7328</v>
      </c>
      <c r="L3600" s="2">
        <v>1</v>
      </c>
      <c r="M3600" s="7">
        <f t="shared" si="280"/>
        <v>7328</v>
      </c>
      <c r="N3600" s="7">
        <f t="shared" si="281"/>
        <v>7922</v>
      </c>
      <c r="O3600" s="2">
        <v>88</v>
      </c>
      <c r="P3600" s="8">
        <f t="shared" si="282"/>
        <v>8010</v>
      </c>
      <c r="Q3600" s="8">
        <f t="shared" si="283"/>
        <v>594</v>
      </c>
      <c r="R3600" s="2" t="s">
        <v>50</v>
      </c>
      <c r="S3600" s="9">
        <f t="shared" si="284"/>
        <v>400.5</v>
      </c>
    </row>
    <row r="3601" spans="1:19" x14ac:dyDescent="0.3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str">
        <f>IFERROR(VLOOKUP('Customer Info'!A3593,'Customer Info'!A3593:C4092,2,FALSE),"Not Found")</f>
        <v>Not Found</v>
      </c>
      <c r="H3601" s="6" t="str">
        <f>IFERROR(VLOOKUP('Customer Info'!A3593,'Customer Info'!A3593:C4092,3,FALSE),"Not Found")</f>
        <v>Not Found</v>
      </c>
      <c r="I3601" s="6" t="str">
        <f>IFERROR(VLOOKUP('Customer Info'!A3593,'Customer Info'!A3593:E4092,5,FALSE),"Not Found")</f>
        <v>Not Found</v>
      </c>
      <c r="J3601" s="2">
        <v>4704</v>
      </c>
      <c r="K3601" s="2">
        <v>4361</v>
      </c>
      <c r="L3601" s="2">
        <v>3</v>
      </c>
      <c r="M3601" s="7">
        <f t="shared" si="280"/>
        <v>13083</v>
      </c>
      <c r="N3601" s="7">
        <f t="shared" si="281"/>
        <v>14112</v>
      </c>
      <c r="O3601" s="2">
        <v>63</v>
      </c>
      <c r="P3601" s="8">
        <f t="shared" si="282"/>
        <v>14175</v>
      </c>
      <c r="Q3601" s="8">
        <f t="shared" si="283"/>
        <v>9751</v>
      </c>
      <c r="R3601" s="2" t="s">
        <v>28</v>
      </c>
      <c r="S3601" s="9">
        <f t="shared" si="284"/>
        <v>708.75</v>
      </c>
    </row>
    <row r="3602" spans="1:19" x14ac:dyDescent="0.3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str">
        <f>IFERROR(VLOOKUP('Customer Info'!A3594,'Customer Info'!A3594:C4093,2,FALSE),"Not Found")</f>
        <v>Not Found</v>
      </c>
      <c r="H3602" s="6" t="str">
        <f>IFERROR(VLOOKUP('Customer Info'!A3594,'Customer Info'!A3594:C4093,3,FALSE),"Not Found")</f>
        <v>Not Found</v>
      </c>
      <c r="I3602" s="6" t="str">
        <f>IFERROR(VLOOKUP('Customer Info'!A3594,'Customer Info'!A3594:E4093,5,FALSE),"Not Found")</f>
        <v>Not Found</v>
      </c>
      <c r="J3602" s="2">
        <v>3408</v>
      </c>
      <c r="K3602" s="2">
        <v>3215</v>
      </c>
      <c r="L3602" s="2">
        <v>3</v>
      </c>
      <c r="M3602" s="7">
        <f t="shared" si="280"/>
        <v>9645</v>
      </c>
      <c r="N3602" s="7">
        <f t="shared" si="281"/>
        <v>10224</v>
      </c>
      <c r="O3602" s="2">
        <v>63</v>
      </c>
      <c r="P3602" s="8">
        <f t="shared" si="282"/>
        <v>10287</v>
      </c>
      <c r="Q3602" s="8">
        <f t="shared" si="283"/>
        <v>7009</v>
      </c>
      <c r="R3602" s="2" t="s">
        <v>28</v>
      </c>
      <c r="S3602" s="9">
        <f t="shared" si="284"/>
        <v>514.35</v>
      </c>
    </row>
    <row r="3603" spans="1:19" x14ac:dyDescent="0.3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str">
        <f>IFERROR(VLOOKUP('Customer Info'!A3595,'Customer Info'!A3595:C4094,2,FALSE),"Not Found")</f>
        <v>Not Found</v>
      </c>
      <c r="H3603" s="6" t="str">
        <f>IFERROR(VLOOKUP('Customer Info'!A3595,'Customer Info'!A3595:C4094,3,FALSE),"Not Found")</f>
        <v>Not Found</v>
      </c>
      <c r="I3603" s="6" t="str">
        <f>IFERROR(VLOOKUP('Customer Info'!A3595,'Customer Info'!A3595:E4094,5,FALSE),"Not Found")</f>
        <v>Not Found</v>
      </c>
      <c r="J3603" s="2">
        <v>4246</v>
      </c>
      <c r="K3603" s="2">
        <v>3857</v>
      </c>
      <c r="L3603" s="2">
        <v>3</v>
      </c>
      <c r="M3603" s="7">
        <f t="shared" si="280"/>
        <v>11571</v>
      </c>
      <c r="N3603" s="7">
        <f t="shared" si="281"/>
        <v>12738</v>
      </c>
      <c r="O3603" s="2">
        <v>82</v>
      </c>
      <c r="P3603" s="8">
        <f t="shared" si="282"/>
        <v>12820</v>
      </c>
      <c r="Q3603" s="8">
        <f t="shared" si="283"/>
        <v>8881</v>
      </c>
      <c r="R3603" s="2" t="s">
        <v>50</v>
      </c>
      <c r="S3603" s="9">
        <f t="shared" si="284"/>
        <v>641</v>
      </c>
    </row>
    <row r="3604" spans="1:19" x14ac:dyDescent="0.3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str">
        <f>IFERROR(VLOOKUP('Customer Info'!A3596,'Customer Info'!A3596:C4095,2,FALSE),"Not Found")</f>
        <v>Not Found</v>
      </c>
      <c r="H3604" s="6" t="str">
        <f>IFERROR(VLOOKUP('Customer Info'!A3596,'Customer Info'!A3596:C4095,3,FALSE),"Not Found")</f>
        <v>Not Found</v>
      </c>
      <c r="I3604" s="6" t="str">
        <f>IFERROR(VLOOKUP('Customer Info'!A3596,'Customer Info'!A3596:E4095,5,FALSE),"Not Found")</f>
        <v>Not Found</v>
      </c>
      <c r="J3604" s="2">
        <v>2466</v>
      </c>
      <c r="K3604" s="2">
        <v>2327</v>
      </c>
      <c r="L3604" s="2">
        <v>8</v>
      </c>
      <c r="M3604" s="7">
        <f t="shared" si="280"/>
        <v>18616</v>
      </c>
      <c r="N3604" s="7">
        <f t="shared" si="281"/>
        <v>19728</v>
      </c>
      <c r="O3604" s="2">
        <v>25</v>
      </c>
      <c r="P3604" s="8">
        <f t="shared" si="282"/>
        <v>19753</v>
      </c>
      <c r="Q3604" s="8">
        <f t="shared" si="283"/>
        <v>17401</v>
      </c>
      <c r="R3604" s="2" t="s">
        <v>28</v>
      </c>
      <c r="S3604" s="9">
        <f t="shared" si="284"/>
        <v>987.65000000000009</v>
      </c>
    </row>
    <row r="3605" spans="1:19" x14ac:dyDescent="0.3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str">
        <f>IFERROR(VLOOKUP('Customer Info'!A3597,'Customer Info'!A3597:C4096,2,FALSE),"Not Found")</f>
        <v>Not Found</v>
      </c>
      <c r="H3605" s="6" t="str">
        <f>IFERROR(VLOOKUP('Customer Info'!A3597,'Customer Info'!A3597:C4096,3,FALSE),"Not Found")</f>
        <v>Not Found</v>
      </c>
      <c r="I3605" s="6" t="str">
        <f>IFERROR(VLOOKUP('Customer Info'!A3597,'Customer Info'!A3597:E4096,5,FALSE),"Not Found")</f>
        <v>Not Found</v>
      </c>
      <c r="J3605" s="2">
        <v>1321</v>
      </c>
      <c r="K3605" s="2">
        <v>1211</v>
      </c>
      <c r="L3605" s="2">
        <v>3</v>
      </c>
      <c r="M3605" s="7">
        <f t="shared" si="280"/>
        <v>3633</v>
      </c>
      <c r="N3605" s="7">
        <f t="shared" si="281"/>
        <v>3963</v>
      </c>
      <c r="O3605" s="2">
        <v>65</v>
      </c>
      <c r="P3605" s="8">
        <f t="shared" si="282"/>
        <v>4028</v>
      </c>
      <c r="Q3605" s="8">
        <f t="shared" si="283"/>
        <v>2752</v>
      </c>
      <c r="R3605" s="2" t="s">
        <v>50</v>
      </c>
      <c r="S3605" s="9">
        <f t="shared" si="284"/>
        <v>80.56</v>
      </c>
    </row>
    <row r="3606" spans="1:19" x14ac:dyDescent="0.3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str">
        <f>IFERROR(VLOOKUP('Customer Info'!A3598,'Customer Info'!A3598:C4097,2,FALSE),"Not Found")</f>
        <v>Not Found</v>
      </c>
      <c r="H3606" s="6" t="str">
        <f>IFERROR(VLOOKUP('Customer Info'!A3598,'Customer Info'!A3598:C4097,3,FALSE),"Not Found")</f>
        <v>Not Found</v>
      </c>
      <c r="I3606" s="6" t="str">
        <f>IFERROR(VLOOKUP('Customer Info'!A3598,'Customer Info'!A3598:E4097,5,FALSE),"Not Found")</f>
        <v>Not Found</v>
      </c>
      <c r="J3606" s="2">
        <v>6717</v>
      </c>
      <c r="K3606" s="2">
        <v>6288</v>
      </c>
      <c r="L3606" s="2">
        <v>4</v>
      </c>
      <c r="M3606" s="7">
        <f t="shared" si="280"/>
        <v>25152</v>
      </c>
      <c r="N3606" s="7">
        <f t="shared" si="281"/>
        <v>26868</v>
      </c>
      <c r="O3606" s="2">
        <v>75</v>
      </c>
      <c r="P3606" s="8">
        <f t="shared" si="282"/>
        <v>26943</v>
      </c>
      <c r="Q3606" s="8">
        <f t="shared" si="283"/>
        <v>20580</v>
      </c>
      <c r="R3606" s="2" t="s">
        <v>50</v>
      </c>
      <c r="S3606" s="9">
        <f t="shared" si="284"/>
        <v>1886.0100000000002</v>
      </c>
    </row>
    <row r="3607" spans="1:19" x14ac:dyDescent="0.3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str">
        <f>IFERROR(VLOOKUP('Customer Info'!A3599,'Customer Info'!A3599:C4098,2,FALSE),"Not Found")</f>
        <v>Not Found</v>
      </c>
      <c r="H3607" s="6" t="str">
        <f>IFERROR(VLOOKUP('Customer Info'!A3599,'Customer Info'!A3599:C4098,3,FALSE),"Not Found")</f>
        <v>Not Found</v>
      </c>
      <c r="I3607" s="6" t="str">
        <f>IFERROR(VLOOKUP('Customer Info'!A3599,'Customer Info'!A3599:E4098,5,FALSE),"Not Found")</f>
        <v>Not Found</v>
      </c>
      <c r="J3607" s="2">
        <v>87</v>
      </c>
      <c r="K3607" s="2">
        <v>80</v>
      </c>
      <c r="L3607" s="2">
        <v>3</v>
      </c>
      <c r="M3607" s="7">
        <f t="shared" si="280"/>
        <v>240</v>
      </c>
      <c r="N3607" s="7">
        <f t="shared" si="281"/>
        <v>261</v>
      </c>
      <c r="O3607" s="2">
        <v>10</v>
      </c>
      <c r="P3607" s="8">
        <f t="shared" si="282"/>
        <v>271</v>
      </c>
      <c r="Q3607" s="8">
        <f t="shared" si="283"/>
        <v>181</v>
      </c>
      <c r="R3607" s="2" t="s">
        <v>26</v>
      </c>
      <c r="S3607" s="9">
        <f t="shared" si="284"/>
        <v>5.42</v>
      </c>
    </row>
    <row r="3608" spans="1:19" x14ac:dyDescent="0.3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str">
        <f>IFERROR(VLOOKUP('Customer Info'!A3600,'Customer Info'!A3600:C4099,2,FALSE),"Not Found")</f>
        <v>Not Found</v>
      </c>
      <c r="H3608" s="6" t="str">
        <f>IFERROR(VLOOKUP('Customer Info'!A3600,'Customer Info'!A3600:C4099,3,FALSE),"Not Found")</f>
        <v>Not Found</v>
      </c>
      <c r="I3608" s="6" t="str">
        <f>IFERROR(VLOOKUP('Customer Info'!A3600,'Customer Info'!A3600:E4099,5,FALSE),"Not Found")</f>
        <v>Not Found</v>
      </c>
      <c r="J3608" s="2">
        <v>7691</v>
      </c>
      <c r="K3608" s="2">
        <v>7255</v>
      </c>
      <c r="L3608" s="2">
        <v>6</v>
      </c>
      <c r="M3608" s="7">
        <f t="shared" si="280"/>
        <v>43530</v>
      </c>
      <c r="N3608" s="7">
        <f t="shared" si="281"/>
        <v>46146</v>
      </c>
      <c r="O3608" s="2">
        <v>50</v>
      </c>
      <c r="P3608" s="8">
        <f t="shared" si="282"/>
        <v>46196</v>
      </c>
      <c r="Q3608" s="8">
        <f t="shared" si="283"/>
        <v>38891</v>
      </c>
      <c r="R3608" s="2" t="s">
        <v>28</v>
      </c>
      <c r="S3608" s="9">
        <f t="shared" si="284"/>
        <v>3233.7200000000003</v>
      </c>
    </row>
    <row r="3609" spans="1:19" x14ac:dyDescent="0.3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str">
        <f>IFERROR(VLOOKUP('Customer Info'!A3601,'Customer Info'!A3601:C4100,2,FALSE),"Not Found")</f>
        <v>Not Found</v>
      </c>
      <c r="H3609" s="6" t="str">
        <f>IFERROR(VLOOKUP('Customer Info'!A3601,'Customer Info'!A3601:C4100,3,FALSE),"Not Found")</f>
        <v>Not Found</v>
      </c>
      <c r="I3609" s="6" t="str">
        <f>IFERROR(VLOOKUP('Customer Info'!A3601,'Customer Info'!A3601:E4100,5,FALSE),"Not Found")</f>
        <v>Not Found</v>
      </c>
      <c r="J3609" s="2">
        <v>1901</v>
      </c>
      <c r="K3609" s="2">
        <v>1810</v>
      </c>
      <c r="L3609" s="2">
        <v>2</v>
      </c>
      <c r="M3609" s="7">
        <f t="shared" si="280"/>
        <v>3620</v>
      </c>
      <c r="N3609" s="7">
        <f t="shared" si="281"/>
        <v>3802</v>
      </c>
      <c r="O3609" s="2">
        <v>88</v>
      </c>
      <c r="P3609" s="8">
        <f t="shared" si="282"/>
        <v>3890</v>
      </c>
      <c r="Q3609" s="8">
        <f t="shared" si="283"/>
        <v>1992</v>
      </c>
      <c r="R3609" s="2" t="s">
        <v>28</v>
      </c>
      <c r="S3609" s="9">
        <f t="shared" si="284"/>
        <v>77.8</v>
      </c>
    </row>
    <row r="3610" spans="1:19" x14ac:dyDescent="0.3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str">
        <f>IFERROR(VLOOKUP('Customer Info'!A3602,'Customer Info'!A3602:C4101,2,FALSE),"Not Found")</f>
        <v>Not Found</v>
      </c>
      <c r="H3610" s="6" t="str">
        <f>IFERROR(VLOOKUP('Customer Info'!A3602,'Customer Info'!A3602:C4101,3,FALSE),"Not Found")</f>
        <v>Not Found</v>
      </c>
      <c r="I3610" s="6" t="str">
        <f>IFERROR(VLOOKUP('Customer Info'!A3602,'Customer Info'!A3602:E4101,5,FALSE),"Not Found")</f>
        <v>Not Found</v>
      </c>
      <c r="J3610" s="2">
        <v>7361</v>
      </c>
      <c r="K3610" s="2">
        <v>6887</v>
      </c>
      <c r="L3610" s="2">
        <v>3</v>
      </c>
      <c r="M3610" s="7">
        <f t="shared" si="280"/>
        <v>20661</v>
      </c>
      <c r="N3610" s="7">
        <f t="shared" si="281"/>
        <v>22083</v>
      </c>
      <c r="O3610" s="2">
        <v>89</v>
      </c>
      <c r="P3610" s="8">
        <f t="shared" si="282"/>
        <v>22172</v>
      </c>
      <c r="Q3610" s="8">
        <f t="shared" si="283"/>
        <v>15196</v>
      </c>
      <c r="R3610" s="2" t="s">
        <v>50</v>
      </c>
      <c r="S3610" s="9">
        <f t="shared" si="284"/>
        <v>1108.6000000000001</v>
      </c>
    </row>
    <row r="3611" spans="1:19" x14ac:dyDescent="0.3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str">
        <f>IFERROR(VLOOKUP('Customer Info'!A3603,'Customer Info'!A3603:C4102,2,FALSE),"Not Found")</f>
        <v>Not Found</v>
      </c>
      <c r="H3611" s="6" t="str">
        <f>IFERROR(VLOOKUP('Customer Info'!A3603,'Customer Info'!A3603:C4102,3,FALSE),"Not Found")</f>
        <v>Not Found</v>
      </c>
      <c r="I3611" s="6" t="str">
        <f>IFERROR(VLOOKUP('Customer Info'!A3603,'Customer Info'!A3603:E4102,5,FALSE),"Not Found")</f>
        <v>Not Found</v>
      </c>
      <c r="J3611" s="2">
        <v>9306</v>
      </c>
      <c r="K3611" s="2">
        <v>8461</v>
      </c>
      <c r="L3611" s="2">
        <v>7</v>
      </c>
      <c r="M3611" s="7">
        <f t="shared" si="280"/>
        <v>59227</v>
      </c>
      <c r="N3611" s="7">
        <f t="shared" si="281"/>
        <v>65142</v>
      </c>
      <c r="O3611" s="2">
        <v>100</v>
      </c>
      <c r="P3611" s="8">
        <f t="shared" si="282"/>
        <v>65242</v>
      </c>
      <c r="Q3611" s="8">
        <f t="shared" si="283"/>
        <v>56681</v>
      </c>
      <c r="R3611" s="2" t="s">
        <v>50</v>
      </c>
      <c r="S3611" s="9">
        <f t="shared" si="284"/>
        <v>5871.78</v>
      </c>
    </row>
    <row r="3612" spans="1:19" x14ac:dyDescent="0.3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str">
        <f>IFERROR(VLOOKUP('Customer Info'!A3604,'Customer Info'!A3604:C4103,2,FALSE),"Not Found")</f>
        <v>Not Found</v>
      </c>
      <c r="H3612" s="6" t="str">
        <f>IFERROR(VLOOKUP('Customer Info'!A3604,'Customer Info'!A3604:C4103,3,FALSE),"Not Found")</f>
        <v>Not Found</v>
      </c>
      <c r="I3612" s="6" t="str">
        <f>IFERROR(VLOOKUP('Customer Info'!A3604,'Customer Info'!A3604:E4103,5,FALSE),"Not Found")</f>
        <v>Not Found</v>
      </c>
      <c r="J3612" s="2">
        <v>1332</v>
      </c>
      <c r="K3612" s="2">
        <v>1209</v>
      </c>
      <c r="L3612" s="2">
        <v>2</v>
      </c>
      <c r="M3612" s="7">
        <f t="shared" si="280"/>
        <v>2418</v>
      </c>
      <c r="N3612" s="7">
        <f t="shared" si="281"/>
        <v>2664</v>
      </c>
      <c r="O3612" s="2">
        <v>71</v>
      </c>
      <c r="P3612" s="8">
        <f t="shared" si="282"/>
        <v>2735</v>
      </c>
      <c r="Q3612" s="8">
        <f t="shared" si="283"/>
        <v>1455</v>
      </c>
      <c r="R3612" s="2" t="s">
        <v>28</v>
      </c>
      <c r="S3612" s="9">
        <f t="shared" si="284"/>
        <v>54.7</v>
      </c>
    </row>
    <row r="3613" spans="1:19" x14ac:dyDescent="0.3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str">
        <f>IFERROR(VLOOKUP('Customer Info'!A3605,'Customer Info'!A3605:C4104,2,FALSE),"Not Found")</f>
        <v>Not Found</v>
      </c>
      <c r="H3613" s="6" t="str">
        <f>IFERROR(VLOOKUP('Customer Info'!A3605,'Customer Info'!A3605:C4104,3,FALSE),"Not Found")</f>
        <v>Not Found</v>
      </c>
      <c r="I3613" s="6" t="str">
        <f>IFERROR(VLOOKUP('Customer Info'!A3605,'Customer Info'!A3605:E4104,5,FALSE),"Not Found")</f>
        <v>Not Found</v>
      </c>
      <c r="J3613" s="2">
        <v>1734</v>
      </c>
      <c r="K3613" s="2">
        <v>1702</v>
      </c>
      <c r="L3613" s="2">
        <v>2</v>
      </c>
      <c r="M3613" s="7">
        <f t="shared" si="280"/>
        <v>3404</v>
      </c>
      <c r="N3613" s="7">
        <f t="shared" si="281"/>
        <v>3468</v>
      </c>
      <c r="O3613" s="2">
        <v>97</v>
      </c>
      <c r="P3613" s="8">
        <f t="shared" si="282"/>
        <v>3565</v>
      </c>
      <c r="Q3613" s="8">
        <f t="shared" si="283"/>
        <v>1766</v>
      </c>
      <c r="R3613" s="2" t="s">
        <v>26</v>
      </c>
      <c r="S3613" s="9">
        <f t="shared" si="284"/>
        <v>71.3</v>
      </c>
    </row>
    <row r="3614" spans="1:19" x14ac:dyDescent="0.3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str">
        <f>IFERROR(VLOOKUP('Customer Info'!A3606,'Customer Info'!A3606:C4105,2,FALSE),"Not Found")</f>
        <v>Not Found</v>
      </c>
      <c r="H3614" s="6" t="str">
        <f>IFERROR(VLOOKUP('Customer Info'!A3606,'Customer Info'!A3606:C4105,3,FALSE),"Not Found")</f>
        <v>Not Found</v>
      </c>
      <c r="I3614" s="6" t="str">
        <f>IFERROR(VLOOKUP('Customer Info'!A3606,'Customer Info'!A3606:E4105,5,FALSE),"Not Found")</f>
        <v>Not Found</v>
      </c>
      <c r="J3614" s="2">
        <v>3054</v>
      </c>
      <c r="K3614" s="2">
        <v>2721</v>
      </c>
      <c r="L3614" s="2">
        <v>1</v>
      </c>
      <c r="M3614" s="7">
        <f t="shared" si="280"/>
        <v>2721</v>
      </c>
      <c r="N3614" s="7">
        <f t="shared" si="281"/>
        <v>3054</v>
      </c>
      <c r="O3614" s="2">
        <v>40</v>
      </c>
      <c r="P3614" s="8">
        <f t="shared" si="282"/>
        <v>3094</v>
      </c>
      <c r="Q3614" s="8">
        <f t="shared" si="283"/>
        <v>333</v>
      </c>
      <c r="R3614" s="2" t="s">
        <v>26</v>
      </c>
      <c r="S3614" s="9">
        <f t="shared" si="284"/>
        <v>61.88</v>
      </c>
    </row>
    <row r="3615" spans="1:19" x14ac:dyDescent="0.3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str">
        <f>IFERROR(VLOOKUP('Customer Info'!A3607,'Customer Info'!A3607:C4106,2,FALSE),"Not Found")</f>
        <v>Not Found</v>
      </c>
      <c r="H3615" s="6" t="str">
        <f>IFERROR(VLOOKUP('Customer Info'!A3607,'Customer Info'!A3607:C4106,3,FALSE),"Not Found")</f>
        <v>Not Found</v>
      </c>
      <c r="I3615" s="6" t="str">
        <f>IFERROR(VLOOKUP('Customer Info'!A3607,'Customer Info'!A3607:E4106,5,FALSE),"Not Found")</f>
        <v>Not Found</v>
      </c>
      <c r="J3615" s="2">
        <v>4122</v>
      </c>
      <c r="K3615" s="2">
        <v>3781</v>
      </c>
      <c r="L3615" s="2">
        <v>6</v>
      </c>
      <c r="M3615" s="7">
        <f t="shared" si="280"/>
        <v>22686</v>
      </c>
      <c r="N3615" s="7">
        <f t="shared" si="281"/>
        <v>24732</v>
      </c>
      <c r="O3615" s="2">
        <v>34</v>
      </c>
      <c r="P3615" s="8">
        <f t="shared" si="282"/>
        <v>24766</v>
      </c>
      <c r="Q3615" s="8">
        <f t="shared" si="283"/>
        <v>20951</v>
      </c>
      <c r="R3615" s="2" t="s">
        <v>50</v>
      </c>
      <c r="S3615" s="9">
        <f t="shared" si="284"/>
        <v>1238.3000000000002</v>
      </c>
    </row>
    <row r="3616" spans="1:19" x14ac:dyDescent="0.3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str">
        <f>IFERROR(VLOOKUP('Customer Info'!A3608,'Customer Info'!A3608:C4107,2,FALSE),"Not Found")</f>
        <v>Not Found</v>
      </c>
      <c r="H3616" s="6" t="str">
        <f>IFERROR(VLOOKUP('Customer Info'!A3608,'Customer Info'!A3608:C4107,3,FALSE),"Not Found")</f>
        <v>Not Found</v>
      </c>
      <c r="I3616" s="6" t="str">
        <f>IFERROR(VLOOKUP('Customer Info'!A3608,'Customer Info'!A3608:E4107,5,FALSE),"Not Found")</f>
        <v>Not Found</v>
      </c>
      <c r="J3616" s="2">
        <v>1552</v>
      </c>
      <c r="K3616" s="2">
        <v>1466</v>
      </c>
      <c r="L3616" s="2">
        <v>2</v>
      </c>
      <c r="M3616" s="7">
        <f t="shared" si="280"/>
        <v>2932</v>
      </c>
      <c r="N3616" s="7">
        <f t="shared" si="281"/>
        <v>3104</v>
      </c>
      <c r="O3616" s="2">
        <v>21</v>
      </c>
      <c r="P3616" s="8">
        <f t="shared" si="282"/>
        <v>3125</v>
      </c>
      <c r="Q3616" s="8">
        <f t="shared" si="283"/>
        <v>1638</v>
      </c>
      <c r="R3616" s="2" t="s">
        <v>28</v>
      </c>
      <c r="S3616" s="9">
        <f t="shared" si="284"/>
        <v>62.5</v>
      </c>
    </row>
    <row r="3617" spans="1:19" x14ac:dyDescent="0.3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str">
        <f>IFERROR(VLOOKUP('Customer Info'!A3609,'Customer Info'!A3609:C4108,2,FALSE),"Not Found")</f>
        <v>Not Found</v>
      </c>
      <c r="H3617" s="6" t="str">
        <f>IFERROR(VLOOKUP('Customer Info'!A3609,'Customer Info'!A3609:C4108,3,FALSE),"Not Found")</f>
        <v>Not Found</v>
      </c>
      <c r="I3617" s="6" t="str">
        <f>IFERROR(VLOOKUP('Customer Info'!A3609,'Customer Info'!A3609:E4108,5,FALSE),"Not Found")</f>
        <v>Not Found</v>
      </c>
      <c r="J3617" s="2">
        <v>6012</v>
      </c>
      <c r="K3617" s="2">
        <v>5677</v>
      </c>
      <c r="L3617" s="2">
        <v>3</v>
      </c>
      <c r="M3617" s="7">
        <f t="shared" si="280"/>
        <v>17031</v>
      </c>
      <c r="N3617" s="7">
        <f t="shared" si="281"/>
        <v>18036</v>
      </c>
      <c r="O3617" s="2">
        <v>63</v>
      </c>
      <c r="P3617" s="8">
        <f t="shared" si="282"/>
        <v>18099</v>
      </c>
      <c r="Q3617" s="8">
        <f t="shared" si="283"/>
        <v>12359</v>
      </c>
      <c r="R3617" s="2" t="s">
        <v>50</v>
      </c>
      <c r="S3617" s="9">
        <f t="shared" si="284"/>
        <v>904.95</v>
      </c>
    </row>
    <row r="3618" spans="1:19" x14ac:dyDescent="0.3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str">
        <f>IFERROR(VLOOKUP('Customer Info'!A3610,'Customer Info'!A3610:C4109,2,FALSE),"Not Found")</f>
        <v>Not Found</v>
      </c>
      <c r="H3618" s="6" t="str">
        <f>IFERROR(VLOOKUP('Customer Info'!A3610,'Customer Info'!A3610:C4109,3,FALSE),"Not Found")</f>
        <v>Not Found</v>
      </c>
      <c r="I3618" s="6" t="str">
        <f>IFERROR(VLOOKUP('Customer Info'!A3610,'Customer Info'!A3610:E4109,5,FALSE),"Not Found")</f>
        <v>Not Found</v>
      </c>
      <c r="J3618" s="2">
        <v>167</v>
      </c>
      <c r="K3618" s="2">
        <v>155</v>
      </c>
      <c r="L3618" s="2">
        <v>2</v>
      </c>
      <c r="M3618" s="7">
        <f t="shared" si="280"/>
        <v>310</v>
      </c>
      <c r="N3618" s="7">
        <f t="shared" si="281"/>
        <v>334</v>
      </c>
      <c r="O3618" s="2">
        <v>30</v>
      </c>
      <c r="P3618" s="8">
        <f t="shared" si="282"/>
        <v>364</v>
      </c>
      <c r="Q3618" s="8">
        <f t="shared" si="283"/>
        <v>179</v>
      </c>
      <c r="R3618" s="2" t="s">
        <v>50</v>
      </c>
      <c r="S3618" s="9">
        <f t="shared" si="284"/>
        <v>7.28</v>
      </c>
    </row>
    <row r="3619" spans="1:19" x14ac:dyDescent="0.3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str">
        <f>IFERROR(VLOOKUP('Customer Info'!A3611,'Customer Info'!A3611:C4110,2,FALSE),"Not Found")</f>
        <v>Not Found</v>
      </c>
      <c r="H3619" s="6" t="str">
        <f>IFERROR(VLOOKUP('Customer Info'!A3611,'Customer Info'!A3611:C4110,3,FALSE),"Not Found")</f>
        <v>Not Found</v>
      </c>
      <c r="I3619" s="6" t="str">
        <f>IFERROR(VLOOKUP('Customer Info'!A3611,'Customer Info'!A3611:E4110,5,FALSE),"Not Found")</f>
        <v>Not Found</v>
      </c>
      <c r="J3619" s="2">
        <v>100</v>
      </c>
      <c r="K3619" s="2">
        <v>95</v>
      </c>
      <c r="L3619" s="2">
        <v>2</v>
      </c>
      <c r="M3619" s="7">
        <f t="shared" si="280"/>
        <v>190</v>
      </c>
      <c r="N3619" s="7">
        <f t="shared" si="281"/>
        <v>200</v>
      </c>
      <c r="O3619" s="2">
        <v>10</v>
      </c>
      <c r="P3619" s="8">
        <f t="shared" si="282"/>
        <v>210</v>
      </c>
      <c r="Q3619" s="8">
        <f t="shared" si="283"/>
        <v>105</v>
      </c>
      <c r="R3619" s="2" t="s">
        <v>50</v>
      </c>
      <c r="S3619" s="9">
        <f t="shared" si="284"/>
        <v>4.2</v>
      </c>
    </row>
    <row r="3620" spans="1:19" x14ac:dyDescent="0.3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str">
        <f>IFERROR(VLOOKUP('Customer Info'!A3612,'Customer Info'!A3612:C4111,2,FALSE),"Not Found")</f>
        <v>Not Found</v>
      </c>
      <c r="H3620" s="6" t="str">
        <f>IFERROR(VLOOKUP('Customer Info'!A3612,'Customer Info'!A3612:C4111,3,FALSE),"Not Found")</f>
        <v>Not Found</v>
      </c>
      <c r="I3620" s="6" t="str">
        <f>IFERROR(VLOOKUP('Customer Info'!A3612,'Customer Info'!A3612:E4111,5,FALSE),"Not Found")</f>
        <v>Not Found</v>
      </c>
      <c r="J3620" s="2">
        <v>1887</v>
      </c>
      <c r="K3620" s="2">
        <v>1763</v>
      </c>
      <c r="L3620" s="2">
        <v>3</v>
      </c>
      <c r="M3620" s="7">
        <f t="shared" si="280"/>
        <v>5289</v>
      </c>
      <c r="N3620" s="7">
        <f t="shared" si="281"/>
        <v>5661</v>
      </c>
      <c r="O3620" s="2">
        <v>20</v>
      </c>
      <c r="P3620" s="8">
        <f t="shared" si="282"/>
        <v>5681</v>
      </c>
      <c r="Q3620" s="8">
        <f t="shared" si="283"/>
        <v>3898</v>
      </c>
      <c r="R3620" s="2" t="s">
        <v>28</v>
      </c>
      <c r="S3620" s="9">
        <f t="shared" si="284"/>
        <v>284.05</v>
      </c>
    </row>
    <row r="3621" spans="1:19" x14ac:dyDescent="0.3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str">
        <f>IFERROR(VLOOKUP('Customer Info'!A3613,'Customer Info'!A3613:C4112,2,FALSE),"Not Found")</f>
        <v>Not Found</v>
      </c>
      <c r="H3621" s="6" t="str">
        <f>IFERROR(VLOOKUP('Customer Info'!A3613,'Customer Info'!A3613:C4112,3,FALSE),"Not Found")</f>
        <v>Not Found</v>
      </c>
      <c r="I3621" s="6" t="str">
        <f>IFERROR(VLOOKUP('Customer Info'!A3613,'Customer Info'!A3613:E4112,5,FALSE),"Not Found")</f>
        <v>Not Found</v>
      </c>
      <c r="J3621" s="2">
        <v>1071</v>
      </c>
      <c r="K3621" s="2">
        <v>1010</v>
      </c>
      <c r="L3621" s="2">
        <v>1</v>
      </c>
      <c r="M3621" s="7">
        <f t="shared" si="280"/>
        <v>1010</v>
      </c>
      <c r="N3621" s="7">
        <f t="shared" si="281"/>
        <v>1071</v>
      </c>
      <c r="O3621" s="2">
        <v>99</v>
      </c>
      <c r="P3621" s="8">
        <f t="shared" si="282"/>
        <v>1170</v>
      </c>
      <c r="Q3621" s="8">
        <f t="shared" si="283"/>
        <v>61</v>
      </c>
      <c r="R3621" s="2" t="s">
        <v>26</v>
      </c>
      <c r="S3621" s="9">
        <f t="shared" si="284"/>
        <v>23.400000000000002</v>
      </c>
    </row>
    <row r="3622" spans="1:19" x14ac:dyDescent="0.3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str">
        <f>IFERROR(VLOOKUP('Customer Info'!A3614,'Customer Info'!A3614:C4113,2,FALSE),"Not Found")</f>
        <v>Not Found</v>
      </c>
      <c r="H3622" s="6" t="str">
        <f>IFERROR(VLOOKUP('Customer Info'!A3614,'Customer Info'!A3614:C4113,3,FALSE),"Not Found")</f>
        <v>Not Found</v>
      </c>
      <c r="I3622" s="6" t="str">
        <f>IFERROR(VLOOKUP('Customer Info'!A3614,'Customer Info'!A3614:E4113,5,FALSE),"Not Found")</f>
        <v>Not Found</v>
      </c>
      <c r="J3622" s="2">
        <v>6337</v>
      </c>
      <c r="K3622" s="2">
        <v>6215</v>
      </c>
      <c r="L3622" s="2">
        <v>3</v>
      </c>
      <c r="M3622" s="7">
        <f t="shared" si="280"/>
        <v>18645</v>
      </c>
      <c r="N3622" s="7">
        <f t="shared" si="281"/>
        <v>19011</v>
      </c>
      <c r="O3622" s="2">
        <v>52</v>
      </c>
      <c r="P3622" s="8">
        <f t="shared" si="282"/>
        <v>19063</v>
      </c>
      <c r="Q3622" s="8">
        <f t="shared" si="283"/>
        <v>12796</v>
      </c>
      <c r="R3622" s="2" t="s">
        <v>50</v>
      </c>
      <c r="S3622" s="9">
        <f t="shared" si="284"/>
        <v>953.15000000000009</v>
      </c>
    </row>
    <row r="3623" spans="1:19" x14ac:dyDescent="0.3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str">
        <f>IFERROR(VLOOKUP('Customer Info'!A3615,'Customer Info'!A3615:C4114,2,FALSE),"Not Found")</f>
        <v>Not Found</v>
      </c>
      <c r="H3623" s="6" t="str">
        <f>IFERROR(VLOOKUP('Customer Info'!A3615,'Customer Info'!A3615:C4114,3,FALSE),"Not Found")</f>
        <v>Not Found</v>
      </c>
      <c r="I3623" s="6" t="str">
        <f>IFERROR(VLOOKUP('Customer Info'!A3615,'Customer Info'!A3615:E4114,5,FALSE),"Not Found")</f>
        <v>Not Found</v>
      </c>
      <c r="J3623" s="2">
        <v>8869</v>
      </c>
      <c r="K3623" s="2">
        <v>7906</v>
      </c>
      <c r="L3623" s="2">
        <v>3</v>
      </c>
      <c r="M3623" s="7">
        <f t="shared" si="280"/>
        <v>23718</v>
      </c>
      <c r="N3623" s="7">
        <f t="shared" si="281"/>
        <v>26607</v>
      </c>
      <c r="O3623" s="2">
        <v>76</v>
      </c>
      <c r="P3623" s="8">
        <f t="shared" si="282"/>
        <v>26683</v>
      </c>
      <c r="Q3623" s="8">
        <f t="shared" si="283"/>
        <v>18701</v>
      </c>
      <c r="R3623" s="2" t="s">
        <v>28</v>
      </c>
      <c r="S3623" s="9">
        <f t="shared" si="284"/>
        <v>1867.8100000000002</v>
      </c>
    </row>
    <row r="3624" spans="1:19" x14ac:dyDescent="0.3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str">
        <f>IFERROR(VLOOKUP('Customer Info'!A3616,'Customer Info'!A3616:C4115,2,FALSE),"Not Found")</f>
        <v>Not Found</v>
      </c>
      <c r="H3624" s="6" t="str">
        <f>IFERROR(VLOOKUP('Customer Info'!A3616,'Customer Info'!A3616:C4115,3,FALSE),"Not Found")</f>
        <v>Not Found</v>
      </c>
      <c r="I3624" s="6" t="str">
        <f>IFERROR(VLOOKUP('Customer Info'!A3616,'Customer Info'!A3616:E4115,5,FALSE),"Not Found")</f>
        <v>Not Found</v>
      </c>
      <c r="J3624" s="2">
        <v>1859</v>
      </c>
      <c r="K3624" s="2">
        <v>1755</v>
      </c>
      <c r="L3624" s="2">
        <v>5</v>
      </c>
      <c r="M3624" s="7">
        <f t="shared" si="280"/>
        <v>8775</v>
      </c>
      <c r="N3624" s="7">
        <f t="shared" si="281"/>
        <v>9295</v>
      </c>
      <c r="O3624" s="2">
        <v>22</v>
      </c>
      <c r="P3624" s="8">
        <f t="shared" si="282"/>
        <v>9317</v>
      </c>
      <c r="Q3624" s="8">
        <f t="shared" si="283"/>
        <v>7540</v>
      </c>
      <c r="R3624" s="2" t="s">
        <v>28</v>
      </c>
      <c r="S3624" s="9">
        <f t="shared" si="284"/>
        <v>465.85</v>
      </c>
    </row>
    <row r="3625" spans="1:19" x14ac:dyDescent="0.3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str">
        <f>IFERROR(VLOOKUP('Customer Info'!A3617,'Customer Info'!A3617:C4116,2,FALSE),"Not Found")</f>
        <v>Not Found</v>
      </c>
      <c r="H3625" s="6" t="str">
        <f>IFERROR(VLOOKUP('Customer Info'!A3617,'Customer Info'!A3617:C4116,3,FALSE),"Not Found")</f>
        <v>Not Found</v>
      </c>
      <c r="I3625" s="6" t="str">
        <f>IFERROR(VLOOKUP('Customer Info'!A3617,'Customer Info'!A3617:E4116,5,FALSE),"Not Found")</f>
        <v>Not Found</v>
      </c>
      <c r="J3625" s="2">
        <v>2627</v>
      </c>
      <c r="K3625" s="2">
        <v>2528</v>
      </c>
      <c r="L3625" s="2">
        <v>4</v>
      </c>
      <c r="M3625" s="7">
        <f t="shared" si="280"/>
        <v>10112</v>
      </c>
      <c r="N3625" s="7">
        <f t="shared" si="281"/>
        <v>10508</v>
      </c>
      <c r="O3625" s="2">
        <v>46</v>
      </c>
      <c r="P3625" s="8">
        <f t="shared" si="282"/>
        <v>10554</v>
      </c>
      <c r="Q3625" s="8">
        <f t="shared" si="283"/>
        <v>7980</v>
      </c>
      <c r="R3625" s="2" t="s">
        <v>28</v>
      </c>
      <c r="S3625" s="9">
        <f t="shared" si="284"/>
        <v>527.70000000000005</v>
      </c>
    </row>
    <row r="3626" spans="1:19" x14ac:dyDescent="0.3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str">
        <f>IFERROR(VLOOKUP('Customer Info'!A3618,'Customer Info'!A3618:C4117,2,FALSE),"Not Found")</f>
        <v>Not Found</v>
      </c>
      <c r="H3626" s="6" t="str">
        <f>IFERROR(VLOOKUP('Customer Info'!A3618,'Customer Info'!A3618:C4117,3,FALSE),"Not Found")</f>
        <v>Not Found</v>
      </c>
      <c r="I3626" s="6" t="str">
        <f>IFERROR(VLOOKUP('Customer Info'!A3618,'Customer Info'!A3618:E4117,5,FALSE),"Not Found")</f>
        <v>Not Found</v>
      </c>
      <c r="J3626" s="2">
        <v>6481</v>
      </c>
      <c r="K3626" s="2">
        <v>5884</v>
      </c>
      <c r="L3626" s="2">
        <v>5</v>
      </c>
      <c r="M3626" s="7">
        <f t="shared" si="280"/>
        <v>29420</v>
      </c>
      <c r="N3626" s="7">
        <f t="shared" si="281"/>
        <v>32405</v>
      </c>
      <c r="O3626" s="2">
        <v>66</v>
      </c>
      <c r="P3626" s="8">
        <f t="shared" si="282"/>
        <v>32471</v>
      </c>
      <c r="Q3626" s="8">
        <f t="shared" si="283"/>
        <v>26521</v>
      </c>
      <c r="R3626" s="2" t="s">
        <v>28</v>
      </c>
      <c r="S3626" s="9">
        <f t="shared" si="284"/>
        <v>2272.9700000000003</v>
      </c>
    </row>
    <row r="3627" spans="1:19" x14ac:dyDescent="0.3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str">
        <f>IFERROR(VLOOKUP('Customer Info'!A3619,'Customer Info'!A3619:C4118,2,FALSE),"Not Found")</f>
        <v>Not Found</v>
      </c>
      <c r="H3627" s="6" t="str">
        <f>IFERROR(VLOOKUP('Customer Info'!A3619,'Customer Info'!A3619:C4118,3,FALSE),"Not Found")</f>
        <v>Not Found</v>
      </c>
      <c r="I3627" s="6" t="str">
        <f>IFERROR(VLOOKUP('Customer Info'!A3619,'Customer Info'!A3619:E4118,5,FALSE),"Not Found")</f>
        <v>Not Found</v>
      </c>
      <c r="J3627" s="2">
        <v>8495</v>
      </c>
      <c r="K3627" s="2">
        <v>7647</v>
      </c>
      <c r="L3627" s="2">
        <v>2</v>
      </c>
      <c r="M3627" s="7">
        <f t="shared" si="280"/>
        <v>15294</v>
      </c>
      <c r="N3627" s="7">
        <f t="shared" si="281"/>
        <v>16990</v>
      </c>
      <c r="O3627" s="2">
        <v>23</v>
      </c>
      <c r="P3627" s="8">
        <f t="shared" si="282"/>
        <v>17013</v>
      </c>
      <c r="Q3627" s="8">
        <f t="shared" si="283"/>
        <v>9343</v>
      </c>
      <c r="R3627" s="2" t="s">
        <v>28</v>
      </c>
      <c r="S3627" s="9">
        <f t="shared" si="284"/>
        <v>850.65000000000009</v>
      </c>
    </row>
    <row r="3628" spans="1:19" x14ac:dyDescent="0.3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str">
        <f>IFERROR(VLOOKUP('Customer Info'!A3620,'Customer Info'!A3620:C4119,2,FALSE),"Not Found")</f>
        <v>Not Found</v>
      </c>
      <c r="H3628" s="6" t="str">
        <f>IFERROR(VLOOKUP('Customer Info'!A3620,'Customer Info'!A3620:C4119,3,FALSE),"Not Found")</f>
        <v>Not Found</v>
      </c>
      <c r="I3628" s="6" t="str">
        <f>IFERROR(VLOOKUP('Customer Info'!A3620,'Customer Info'!A3620:E4119,5,FALSE),"Not Found")</f>
        <v>Not Found</v>
      </c>
      <c r="J3628" s="2">
        <v>2733</v>
      </c>
      <c r="K3628" s="2">
        <v>2579</v>
      </c>
      <c r="L3628" s="2">
        <v>11</v>
      </c>
      <c r="M3628" s="7">
        <f t="shared" si="280"/>
        <v>28369</v>
      </c>
      <c r="N3628" s="7">
        <f t="shared" si="281"/>
        <v>30063</v>
      </c>
      <c r="O3628" s="2">
        <v>59</v>
      </c>
      <c r="P3628" s="8">
        <f t="shared" si="282"/>
        <v>30122</v>
      </c>
      <c r="Q3628" s="8">
        <f t="shared" si="283"/>
        <v>27484</v>
      </c>
      <c r="R3628" s="2" t="s">
        <v>28</v>
      </c>
      <c r="S3628" s="9">
        <f t="shared" si="284"/>
        <v>2108.5400000000004</v>
      </c>
    </row>
    <row r="3629" spans="1:19" x14ac:dyDescent="0.3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str">
        <f>IFERROR(VLOOKUP('Customer Info'!A3621,'Customer Info'!A3621:C4120,2,FALSE),"Not Found")</f>
        <v>Not Found</v>
      </c>
      <c r="H3629" s="6" t="str">
        <f>IFERROR(VLOOKUP('Customer Info'!A3621,'Customer Info'!A3621:C4120,3,FALSE),"Not Found")</f>
        <v>Not Found</v>
      </c>
      <c r="I3629" s="6" t="str">
        <f>IFERROR(VLOOKUP('Customer Info'!A3621,'Customer Info'!A3621:E4120,5,FALSE),"Not Found")</f>
        <v>Not Found</v>
      </c>
      <c r="J3629" s="2">
        <v>2706</v>
      </c>
      <c r="K3629" s="2">
        <v>2553</v>
      </c>
      <c r="L3629" s="2">
        <v>2</v>
      </c>
      <c r="M3629" s="7">
        <f t="shared" si="280"/>
        <v>5106</v>
      </c>
      <c r="N3629" s="7">
        <f t="shared" si="281"/>
        <v>5412</v>
      </c>
      <c r="O3629" s="2">
        <v>54</v>
      </c>
      <c r="P3629" s="8">
        <f t="shared" si="282"/>
        <v>5466</v>
      </c>
      <c r="Q3629" s="8">
        <f t="shared" si="283"/>
        <v>2859</v>
      </c>
      <c r="R3629" s="2" t="s">
        <v>50</v>
      </c>
      <c r="S3629" s="9">
        <f t="shared" si="284"/>
        <v>273.3</v>
      </c>
    </row>
    <row r="3630" spans="1:19" x14ac:dyDescent="0.3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str">
        <f>IFERROR(VLOOKUP('Customer Info'!A3622,'Customer Info'!A3622:C4121,2,FALSE),"Not Found")</f>
        <v>Not Found</v>
      </c>
      <c r="H3630" s="6" t="str">
        <f>IFERROR(VLOOKUP('Customer Info'!A3622,'Customer Info'!A3622:C4121,3,FALSE),"Not Found")</f>
        <v>Not Found</v>
      </c>
      <c r="I3630" s="6" t="str">
        <f>IFERROR(VLOOKUP('Customer Info'!A3622,'Customer Info'!A3622:E4121,5,FALSE),"Not Found")</f>
        <v>Not Found</v>
      </c>
      <c r="J3630" s="2">
        <v>144</v>
      </c>
      <c r="K3630" s="2">
        <v>132</v>
      </c>
      <c r="L3630" s="2">
        <v>3</v>
      </c>
      <c r="M3630" s="7">
        <f t="shared" si="280"/>
        <v>396</v>
      </c>
      <c r="N3630" s="7">
        <f t="shared" si="281"/>
        <v>432</v>
      </c>
      <c r="O3630" s="2">
        <v>30</v>
      </c>
      <c r="P3630" s="8">
        <f t="shared" si="282"/>
        <v>462</v>
      </c>
      <c r="Q3630" s="8">
        <f t="shared" si="283"/>
        <v>300</v>
      </c>
      <c r="R3630" s="2" t="s">
        <v>50</v>
      </c>
      <c r="S3630" s="9">
        <f t="shared" si="284"/>
        <v>9.24</v>
      </c>
    </row>
    <row r="3631" spans="1:19" x14ac:dyDescent="0.3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str">
        <f>IFERROR(VLOOKUP('Customer Info'!A3623,'Customer Info'!A3623:C4122,2,FALSE),"Not Found")</f>
        <v>Not Found</v>
      </c>
      <c r="H3631" s="6" t="str">
        <f>IFERROR(VLOOKUP('Customer Info'!A3623,'Customer Info'!A3623:C4122,3,FALSE),"Not Found")</f>
        <v>Not Found</v>
      </c>
      <c r="I3631" s="6" t="str">
        <f>IFERROR(VLOOKUP('Customer Info'!A3623,'Customer Info'!A3623:E4122,5,FALSE),"Not Found")</f>
        <v>Not Found</v>
      </c>
      <c r="J3631" s="2">
        <v>175</v>
      </c>
      <c r="K3631" s="2">
        <v>158</v>
      </c>
      <c r="L3631" s="2">
        <v>2</v>
      </c>
      <c r="M3631" s="7">
        <f t="shared" si="280"/>
        <v>316</v>
      </c>
      <c r="N3631" s="7">
        <f t="shared" si="281"/>
        <v>350</v>
      </c>
      <c r="O3631" s="2">
        <v>30</v>
      </c>
      <c r="P3631" s="8">
        <f t="shared" si="282"/>
        <v>380</v>
      </c>
      <c r="Q3631" s="8">
        <f t="shared" si="283"/>
        <v>192</v>
      </c>
      <c r="R3631" s="2" t="s">
        <v>50</v>
      </c>
      <c r="S3631" s="9">
        <f t="shared" si="284"/>
        <v>7.6000000000000005</v>
      </c>
    </row>
    <row r="3632" spans="1:19" x14ac:dyDescent="0.3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str">
        <f>IFERROR(VLOOKUP('Customer Info'!A3624,'Customer Info'!A3624:C4123,2,FALSE),"Not Found")</f>
        <v>Not Found</v>
      </c>
      <c r="H3632" s="6" t="str">
        <f>IFERROR(VLOOKUP('Customer Info'!A3624,'Customer Info'!A3624:C4123,3,FALSE),"Not Found")</f>
        <v>Not Found</v>
      </c>
      <c r="I3632" s="6" t="str">
        <f>IFERROR(VLOOKUP('Customer Info'!A3624,'Customer Info'!A3624:E4123,5,FALSE),"Not Found")</f>
        <v>Not Found</v>
      </c>
      <c r="J3632" s="2">
        <v>6520</v>
      </c>
      <c r="K3632" s="2">
        <v>5985</v>
      </c>
      <c r="L3632" s="2">
        <v>4</v>
      </c>
      <c r="M3632" s="7">
        <f t="shared" si="280"/>
        <v>23940</v>
      </c>
      <c r="N3632" s="7">
        <f t="shared" si="281"/>
        <v>26080</v>
      </c>
      <c r="O3632" s="2">
        <v>23</v>
      </c>
      <c r="P3632" s="8">
        <f t="shared" si="282"/>
        <v>26103</v>
      </c>
      <c r="Q3632" s="8">
        <f t="shared" si="283"/>
        <v>20095</v>
      </c>
      <c r="R3632" s="2" t="s">
        <v>50</v>
      </c>
      <c r="S3632" s="9">
        <f t="shared" si="284"/>
        <v>1827.2100000000003</v>
      </c>
    </row>
    <row r="3633" spans="1:19" x14ac:dyDescent="0.3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str">
        <f>IFERROR(VLOOKUP('Customer Info'!A3625,'Customer Info'!A3625:C4124,2,FALSE),"Not Found")</f>
        <v>Not Found</v>
      </c>
      <c r="H3633" s="6" t="str">
        <f>IFERROR(VLOOKUP('Customer Info'!A3625,'Customer Info'!A3625:C4124,3,FALSE),"Not Found")</f>
        <v>Not Found</v>
      </c>
      <c r="I3633" s="6" t="str">
        <f>IFERROR(VLOOKUP('Customer Info'!A3625,'Customer Info'!A3625:E4124,5,FALSE),"Not Found")</f>
        <v>Not Found</v>
      </c>
      <c r="J3633" s="2">
        <v>8399</v>
      </c>
      <c r="K3633" s="2">
        <v>8001</v>
      </c>
      <c r="L3633" s="2">
        <v>9</v>
      </c>
      <c r="M3633" s="7">
        <f t="shared" si="280"/>
        <v>72009</v>
      </c>
      <c r="N3633" s="7">
        <f t="shared" si="281"/>
        <v>75591</v>
      </c>
      <c r="O3633" s="2">
        <v>54</v>
      </c>
      <c r="P3633" s="8">
        <f t="shared" si="282"/>
        <v>75645</v>
      </c>
      <c r="Q3633" s="8">
        <f t="shared" si="283"/>
        <v>67590</v>
      </c>
      <c r="R3633" s="2" t="s">
        <v>28</v>
      </c>
      <c r="S3633" s="9">
        <f t="shared" si="284"/>
        <v>6808.05</v>
      </c>
    </row>
    <row r="3634" spans="1:19" x14ac:dyDescent="0.3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str">
        <f>IFERROR(VLOOKUP('Customer Info'!A3626,'Customer Info'!A3626:C4125,2,FALSE),"Not Found")</f>
        <v>Not Found</v>
      </c>
      <c r="H3634" s="6" t="str">
        <f>IFERROR(VLOOKUP('Customer Info'!A3626,'Customer Info'!A3626:C4125,3,FALSE),"Not Found")</f>
        <v>Not Found</v>
      </c>
      <c r="I3634" s="6" t="str">
        <f>IFERROR(VLOOKUP('Customer Info'!A3626,'Customer Info'!A3626:E4125,5,FALSE),"Not Found")</f>
        <v>Not Found</v>
      </c>
      <c r="J3634" s="2">
        <v>520</v>
      </c>
      <c r="K3634" s="2">
        <v>477</v>
      </c>
      <c r="L3634" s="2">
        <v>3</v>
      </c>
      <c r="M3634" s="7">
        <f t="shared" si="280"/>
        <v>1431</v>
      </c>
      <c r="N3634" s="7">
        <f t="shared" si="281"/>
        <v>1560</v>
      </c>
      <c r="O3634" s="2">
        <v>54</v>
      </c>
      <c r="P3634" s="8">
        <f t="shared" si="282"/>
        <v>1614</v>
      </c>
      <c r="Q3634" s="8">
        <f t="shared" si="283"/>
        <v>1083</v>
      </c>
      <c r="R3634" s="2" t="s">
        <v>56</v>
      </c>
      <c r="S3634" s="9">
        <f t="shared" si="284"/>
        <v>32.28</v>
      </c>
    </row>
    <row r="3635" spans="1:19" x14ac:dyDescent="0.3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str">
        <f>IFERROR(VLOOKUP('Customer Info'!A3627,'Customer Info'!A3627:C4126,2,FALSE),"Not Found")</f>
        <v>Not Found</v>
      </c>
      <c r="H3635" s="6" t="str">
        <f>IFERROR(VLOOKUP('Customer Info'!A3627,'Customer Info'!A3627:C4126,3,FALSE),"Not Found")</f>
        <v>Not Found</v>
      </c>
      <c r="I3635" s="6" t="str">
        <f>IFERROR(VLOOKUP('Customer Info'!A3627,'Customer Info'!A3627:E4126,5,FALSE),"Not Found")</f>
        <v>Not Found</v>
      </c>
      <c r="J3635" s="2">
        <v>60</v>
      </c>
      <c r="K3635" s="2">
        <v>58</v>
      </c>
      <c r="L3635" s="2">
        <v>3</v>
      </c>
      <c r="M3635" s="7">
        <f t="shared" si="280"/>
        <v>174</v>
      </c>
      <c r="N3635" s="7">
        <f t="shared" si="281"/>
        <v>180</v>
      </c>
      <c r="O3635" s="2">
        <v>10</v>
      </c>
      <c r="P3635" s="8">
        <f t="shared" si="282"/>
        <v>190</v>
      </c>
      <c r="Q3635" s="8">
        <f t="shared" si="283"/>
        <v>122</v>
      </c>
      <c r="R3635" s="2" t="s">
        <v>28</v>
      </c>
      <c r="S3635" s="9">
        <f t="shared" si="284"/>
        <v>3.8000000000000003</v>
      </c>
    </row>
    <row r="3636" spans="1:19" x14ac:dyDescent="0.3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str">
        <f>IFERROR(VLOOKUP('Customer Info'!A3628,'Customer Info'!A3628:C4127,2,FALSE),"Not Found")</f>
        <v>Not Found</v>
      </c>
      <c r="H3636" s="6" t="str">
        <f>IFERROR(VLOOKUP('Customer Info'!A3628,'Customer Info'!A3628:C4127,3,FALSE),"Not Found")</f>
        <v>Not Found</v>
      </c>
      <c r="I3636" s="6" t="str">
        <f>IFERROR(VLOOKUP('Customer Info'!A3628,'Customer Info'!A3628:E4127,5,FALSE),"Not Found")</f>
        <v>Not Found</v>
      </c>
      <c r="J3636" s="2">
        <v>199</v>
      </c>
      <c r="K3636" s="2">
        <v>176</v>
      </c>
      <c r="L3636" s="2">
        <v>4</v>
      </c>
      <c r="M3636" s="7">
        <f t="shared" si="280"/>
        <v>704</v>
      </c>
      <c r="N3636" s="7">
        <f t="shared" si="281"/>
        <v>796</v>
      </c>
      <c r="O3636" s="2">
        <v>30</v>
      </c>
      <c r="P3636" s="8">
        <f t="shared" si="282"/>
        <v>826</v>
      </c>
      <c r="Q3636" s="8">
        <f t="shared" si="283"/>
        <v>620</v>
      </c>
      <c r="R3636" s="2" t="s">
        <v>50</v>
      </c>
      <c r="S3636" s="9">
        <f t="shared" si="284"/>
        <v>16.52</v>
      </c>
    </row>
    <row r="3637" spans="1:19" x14ac:dyDescent="0.3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str">
        <f>IFERROR(VLOOKUP('Customer Info'!A3629,'Customer Info'!A3629:C4128,2,FALSE),"Not Found")</f>
        <v>Not Found</v>
      </c>
      <c r="H3637" s="6" t="str">
        <f>IFERROR(VLOOKUP('Customer Info'!A3629,'Customer Info'!A3629:C4128,3,FALSE),"Not Found")</f>
        <v>Not Found</v>
      </c>
      <c r="I3637" s="6" t="str">
        <f>IFERROR(VLOOKUP('Customer Info'!A3629,'Customer Info'!A3629:E4128,5,FALSE),"Not Found")</f>
        <v>Not Found</v>
      </c>
      <c r="J3637" s="2">
        <v>8889</v>
      </c>
      <c r="K3637" s="2">
        <v>8469</v>
      </c>
      <c r="L3637" s="2">
        <v>1</v>
      </c>
      <c r="M3637" s="7">
        <f t="shared" si="280"/>
        <v>8469</v>
      </c>
      <c r="N3637" s="7">
        <f t="shared" si="281"/>
        <v>8889</v>
      </c>
      <c r="O3637" s="2">
        <v>80</v>
      </c>
      <c r="P3637" s="8">
        <f t="shared" si="282"/>
        <v>8969</v>
      </c>
      <c r="Q3637" s="8">
        <f t="shared" si="283"/>
        <v>420</v>
      </c>
      <c r="R3637" s="2" t="s">
        <v>28</v>
      </c>
      <c r="S3637" s="9">
        <f t="shared" si="284"/>
        <v>448.45000000000005</v>
      </c>
    </row>
    <row r="3638" spans="1:19" x14ac:dyDescent="0.3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str">
        <f>IFERROR(VLOOKUP('Customer Info'!A3630,'Customer Info'!A3630:C4129,2,FALSE),"Not Found")</f>
        <v>Not Found</v>
      </c>
      <c r="H3638" s="6" t="str">
        <f>IFERROR(VLOOKUP('Customer Info'!A3630,'Customer Info'!A3630:C4129,3,FALSE),"Not Found")</f>
        <v>Not Found</v>
      </c>
      <c r="I3638" s="6" t="str">
        <f>IFERROR(VLOOKUP('Customer Info'!A3630,'Customer Info'!A3630:E4129,5,FALSE),"Not Found")</f>
        <v>Not Found</v>
      </c>
      <c r="J3638" s="2">
        <v>175</v>
      </c>
      <c r="K3638" s="2">
        <v>158</v>
      </c>
      <c r="L3638" s="2">
        <v>3</v>
      </c>
      <c r="M3638" s="7">
        <f t="shared" si="280"/>
        <v>474</v>
      </c>
      <c r="N3638" s="7">
        <f t="shared" si="281"/>
        <v>525</v>
      </c>
      <c r="O3638" s="2">
        <v>30</v>
      </c>
      <c r="P3638" s="8">
        <f t="shared" si="282"/>
        <v>555</v>
      </c>
      <c r="Q3638" s="8">
        <f t="shared" si="283"/>
        <v>367</v>
      </c>
      <c r="R3638" s="2" t="s">
        <v>28</v>
      </c>
      <c r="S3638" s="9">
        <f t="shared" si="284"/>
        <v>11.1</v>
      </c>
    </row>
    <row r="3639" spans="1:19" x14ac:dyDescent="0.3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str">
        <f>IFERROR(VLOOKUP('Customer Info'!A3631,'Customer Info'!A3631:C4130,2,FALSE),"Not Found")</f>
        <v>Not Found</v>
      </c>
      <c r="H3639" s="6" t="str">
        <f>IFERROR(VLOOKUP('Customer Info'!A3631,'Customer Info'!A3631:C4130,3,FALSE),"Not Found")</f>
        <v>Not Found</v>
      </c>
      <c r="I3639" s="6" t="str">
        <f>IFERROR(VLOOKUP('Customer Info'!A3631,'Customer Info'!A3631:E4130,5,FALSE),"Not Found")</f>
        <v>Not Found</v>
      </c>
      <c r="J3639" s="2">
        <v>2088</v>
      </c>
      <c r="K3639" s="2">
        <v>1970</v>
      </c>
      <c r="L3639" s="2">
        <v>4</v>
      </c>
      <c r="M3639" s="7">
        <f t="shared" si="280"/>
        <v>7880</v>
      </c>
      <c r="N3639" s="7">
        <f t="shared" si="281"/>
        <v>8352</v>
      </c>
      <c r="O3639" s="2">
        <v>63</v>
      </c>
      <c r="P3639" s="8">
        <f t="shared" si="282"/>
        <v>8415</v>
      </c>
      <c r="Q3639" s="8">
        <f t="shared" si="283"/>
        <v>6382</v>
      </c>
      <c r="R3639" s="2" t="s">
        <v>50</v>
      </c>
      <c r="S3639" s="9">
        <f t="shared" si="284"/>
        <v>420.75</v>
      </c>
    </row>
    <row r="3640" spans="1:19" x14ac:dyDescent="0.3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str">
        <f>IFERROR(VLOOKUP('Customer Info'!A3632,'Customer Info'!A3632:C4131,2,FALSE),"Not Found")</f>
        <v>Not Found</v>
      </c>
      <c r="H3640" s="6" t="str">
        <f>IFERROR(VLOOKUP('Customer Info'!A3632,'Customer Info'!A3632:C4131,3,FALSE),"Not Found")</f>
        <v>Not Found</v>
      </c>
      <c r="I3640" s="6" t="str">
        <f>IFERROR(VLOOKUP('Customer Info'!A3632,'Customer Info'!A3632:E4131,5,FALSE),"Not Found")</f>
        <v>Not Found</v>
      </c>
      <c r="J3640" s="2">
        <v>4808</v>
      </c>
      <c r="K3640" s="2">
        <v>4453</v>
      </c>
      <c r="L3640" s="2">
        <v>5</v>
      </c>
      <c r="M3640" s="7">
        <f t="shared" si="280"/>
        <v>22265</v>
      </c>
      <c r="N3640" s="7">
        <f t="shared" si="281"/>
        <v>24040</v>
      </c>
      <c r="O3640" s="2">
        <v>58</v>
      </c>
      <c r="P3640" s="8">
        <f t="shared" si="282"/>
        <v>24098</v>
      </c>
      <c r="Q3640" s="8">
        <f t="shared" si="283"/>
        <v>19587</v>
      </c>
      <c r="R3640" s="2" t="s">
        <v>50</v>
      </c>
      <c r="S3640" s="9">
        <f t="shared" si="284"/>
        <v>1204.9000000000001</v>
      </c>
    </row>
    <row r="3641" spans="1:19" x14ac:dyDescent="0.3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str">
        <f>IFERROR(VLOOKUP('Customer Info'!A3633,'Customer Info'!A3633:C4132,2,FALSE),"Not Found")</f>
        <v>Not Found</v>
      </c>
      <c r="H3641" s="6" t="str">
        <f>IFERROR(VLOOKUP('Customer Info'!A3633,'Customer Info'!A3633:C4132,3,FALSE),"Not Found")</f>
        <v>Not Found</v>
      </c>
      <c r="I3641" s="6" t="str">
        <f>IFERROR(VLOOKUP('Customer Info'!A3633,'Customer Info'!A3633:E4132,5,FALSE),"Not Found")</f>
        <v>Not Found</v>
      </c>
      <c r="J3641" s="2">
        <v>202</v>
      </c>
      <c r="K3641" s="2">
        <v>187</v>
      </c>
      <c r="L3641" s="2">
        <v>2</v>
      </c>
      <c r="M3641" s="7">
        <f t="shared" si="280"/>
        <v>374</v>
      </c>
      <c r="N3641" s="7">
        <f t="shared" si="281"/>
        <v>404</v>
      </c>
      <c r="O3641" s="2">
        <v>30</v>
      </c>
      <c r="P3641" s="8">
        <f t="shared" si="282"/>
        <v>434</v>
      </c>
      <c r="Q3641" s="8">
        <f t="shared" si="283"/>
        <v>217</v>
      </c>
      <c r="R3641" s="2" t="s">
        <v>28</v>
      </c>
      <c r="S3641" s="9">
        <f t="shared" si="284"/>
        <v>8.68</v>
      </c>
    </row>
    <row r="3642" spans="1:19" x14ac:dyDescent="0.3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str">
        <f>IFERROR(VLOOKUP('Customer Info'!A3634,'Customer Info'!A3634:C4133,2,FALSE),"Not Found")</f>
        <v>Not Found</v>
      </c>
      <c r="H3642" s="6" t="str">
        <f>IFERROR(VLOOKUP('Customer Info'!A3634,'Customer Info'!A3634:C4133,3,FALSE),"Not Found")</f>
        <v>Not Found</v>
      </c>
      <c r="I3642" s="6" t="str">
        <f>IFERROR(VLOOKUP('Customer Info'!A3634,'Customer Info'!A3634:E4133,5,FALSE),"Not Found")</f>
        <v>Not Found</v>
      </c>
      <c r="J3642" s="2">
        <v>6635</v>
      </c>
      <c r="K3642" s="2">
        <v>6321</v>
      </c>
      <c r="L3642" s="2">
        <v>6</v>
      </c>
      <c r="M3642" s="7">
        <f t="shared" si="280"/>
        <v>37926</v>
      </c>
      <c r="N3642" s="7">
        <f t="shared" si="281"/>
        <v>39810</v>
      </c>
      <c r="O3642" s="2">
        <v>92</v>
      </c>
      <c r="P3642" s="8">
        <f t="shared" si="282"/>
        <v>39902</v>
      </c>
      <c r="Q3642" s="8">
        <f t="shared" si="283"/>
        <v>33489</v>
      </c>
      <c r="R3642" s="2" t="s">
        <v>28</v>
      </c>
      <c r="S3642" s="9">
        <f t="shared" si="284"/>
        <v>2793.1400000000003</v>
      </c>
    </row>
    <row r="3643" spans="1:19" x14ac:dyDescent="0.3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str">
        <f>IFERROR(VLOOKUP('Customer Info'!A3635,'Customer Info'!A3635:C4134,2,FALSE),"Not Found")</f>
        <v>Not Found</v>
      </c>
      <c r="H3643" s="6" t="str">
        <f>IFERROR(VLOOKUP('Customer Info'!A3635,'Customer Info'!A3635:C4134,3,FALSE),"Not Found")</f>
        <v>Not Found</v>
      </c>
      <c r="I3643" s="6" t="str">
        <f>IFERROR(VLOOKUP('Customer Info'!A3635,'Customer Info'!A3635:E4134,5,FALSE),"Not Found")</f>
        <v>Not Found</v>
      </c>
      <c r="J3643" s="2">
        <v>1372</v>
      </c>
      <c r="K3643" s="2">
        <v>1308</v>
      </c>
      <c r="L3643" s="2">
        <v>1</v>
      </c>
      <c r="M3643" s="7">
        <f t="shared" si="280"/>
        <v>1308</v>
      </c>
      <c r="N3643" s="7">
        <f t="shared" si="281"/>
        <v>1372</v>
      </c>
      <c r="O3643" s="2">
        <v>69</v>
      </c>
      <c r="P3643" s="8">
        <f t="shared" si="282"/>
        <v>1441</v>
      </c>
      <c r="Q3643" s="8">
        <f t="shared" si="283"/>
        <v>64</v>
      </c>
      <c r="R3643" s="2" t="s">
        <v>50</v>
      </c>
      <c r="S3643" s="9">
        <f t="shared" si="284"/>
        <v>28.82</v>
      </c>
    </row>
    <row r="3644" spans="1:19" x14ac:dyDescent="0.3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str">
        <f>IFERROR(VLOOKUP('Customer Info'!A3636,'Customer Info'!A3636:C4135,2,FALSE),"Not Found")</f>
        <v>Not Found</v>
      </c>
      <c r="H3644" s="6" t="str">
        <f>IFERROR(VLOOKUP('Customer Info'!A3636,'Customer Info'!A3636:C4135,3,FALSE),"Not Found")</f>
        <v>Not Found</v>
      </c>
      <c r="I3644" s="6" t="str">
        <f>IFERROR(VLOOKUP('Customer Info'!A3636,'Customer Info'!A3636:E4135,5,FALSE),"Not Found")</f>
        <v>Not Found</v>
      </c>
      <c r="J3644" s="2">
        <v>3184</v>
      </c>
      <c r="K3644" s="2">
        <v>2947</v>
      </c>
      <c r="L3644" s="2">
        <v>4</v>
      </c>
      <c r="M3644" s="7">
        <f t="shared" si="280"/>
        <v>11788</v>
      </c>
      <c r="N3644" s="7">
        <f t="shared" si="281"/>
        <v>12736</v>
      </c>
      <c r="O3644" s="2">
        <v>67</v>
      </c>
      <c r="P3644" s="8">
        <f t="shared" si="282"/>
        <v>12803</v>
      </c>
      <c r="Q3644" s="8">
        <f t="shared" si="283"/>
        <v>9789</v>
      </c>
      <c r="R3644" s="2" t="s">
        <v>50</v>
      </c>
      <c r="S3644" s="9">
        <f t="shared" si="284"/>
        <v>640.15000000000009</v>
      </c>
    </row>
    <row r="3645" spans="1:19" x14ac:dyDescent="0.3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str">
        <f>IFERROR(VLOOKUP('Customer Info'!A3637,'Customer Info'!A3637:C4136,2,FALSE),"Not Found")</f>
        <v>Not Found</v>
      </c>
      <c r="H3645" s="6" t="str">
        <f>IFERROR(VLOOKUP('Customer Info'!A3637,'Customer Info'!A3637:C4136,3,FALSE),"Not Found")</f>
        <v>Not Found</v>
      </c>
      <c r="I3645" s="6" t="str">
        <f>IFERROR(VLOOKUP('Customer Info'!A3637,'Customer Info'!A3637:E4136,5,FALSE),"Not Found")</f>
        <v>Not Found</v>
      </c>
      <c r="J3645" s="2">
        <v>7361</v>
      </c>
      <c r="K3645" s="2">
        <v>6887</v>
      </c>
      <c r="L3645" s="2">
        <v>1</v>
      </c>
      <c r="M3645" s="7">
        <f t="shared" si="280"/>
        <v>6887</v>
      </c>
      <c r="N3645" s="7">
        <f t="shared" si="281"/>
        <v>7361</v>
      </c>
      <c r="O3645" s="2">
        <v>87</v>
      </c>
      <c r="P3645" s="8">
        <f t="shared" si="282"/>
        <v>7448</v>
      </c>
      <c r="Q3645" s="8">
        <f t="shared" si="283"/>
        <v>474</v>
      </c>
      <c r="R3645" s="2" t="s">
        <v>26</v>
      </c>
      <c r="S3645" s="9">
        <f t="shared" si="284"/>
        <v>372.40000000000003</v>
      </c>
    </row>
    <row r="3646" spans="1:19" x14ac:dyDescent="0.3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str">
        <f>IFERROR(VLOOKUP('Customer Info'!A3638,'Customer Info'!A3638:C4137,2,FALSE),"Not Found")</f>
        <v>Not Found</v>
      </c>
      <c r="H3646" s="6" t="str">
        <f>IFERROR(VLOOKUP('Customer Info'!A3638,'Customer Info'!A3638:C4137,3,FALSE),"Not Found")</f>
        <v>Not Found</v>
      </c>
      <c r="I3646" s="6" t="str">
        <f>IFERROR(VLOOKUP('Customer Info'!A3638,'Customer Info'!A3638:E4137,5,FALSE),"Not Found")</f>
        <v>Not Found</v>
      </c>
      <c r="J3646" s="2">
        <v>3354</v>
      </c>
      <c r="K3646" s="2">
        <v>3102</v>
      </c>
      <c r="L3646" s="2">
        <v>1</v>
      </c>
      <c r="M3646" s="7">
        <f t="shared" si="280"/>
        <v>3102</v>
      </c>
      <c r="N3646" s="7">
        <f t="shared" si="281"/>
        <v>3354</v>
      </c>
      <c r="O3646" s="2">
        <v>21</v>
      </c>
      <c r="P3646" s="8">
        <f t="shared" si="282"/>
        <v>3375</v>
      </c>
      <c r="Q3646" s="8">
        <f t="shared" si="283"/>
        <v>252</v>
      </c>
      <c r="R3646" s="2" t="s">
        <v>28</v>
      </c>
      <c r="S3646" s="9">
        <f t="shared" si="284"/>
        <v>67.5</v>
      </c>
    </row>
    <row r="3647" spans="1:19" x14ac:dyDescent="0.3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str">
        <f>IFERROR(VLOOKUP('Customer Info'!A3639,'Customer Info'!A3639:C4138,2,FALSE),"Not Found")</f>
        <v>Not Found</v>
      </c>
      <c r="H3647" s="6" t="str">
        <f>IFERROR(VLOOKUP('Customer Info'!A3639,'Customer Info'!A3639:C4138,3,FALSE),"Not Found")</f>
        <v>Not Found</v>
      </c>
      <c r="I3647" s="6" t="str">
        <f>IFERROR(VLOOKUP('Customer Info'!A3639,'Customer Info'!A3639:E4138,5,FALSE),"Not Found")</f>
        <v>Not Found</v>
      </c>
      <c r="J3647" s="2">
        <v>1552</v>
      </c>
      <c r="K3647" s="2">
        <v>1466</v>
      </c>
      <c r="L3647" s="2">
        <v>7</v>
      </c>
      <c r="M3647" s="7">
        <f t="shared" si="280"/>
        <v>10262</v>
      </c>
      <c r="N3647" s="7">
        <f t="shared" si="281"/>
        <v>10864</v>
      </c>
      <c r="O3647" s="2">
        <v>84</v>
      </c>
      <c r="P3647" s="8">
        <f t="shared" si="282"/>
        <v>10948</v>
      </c>
      <c r="Q3647" s="8">
        <f t="shared" si="283"/>
        <v>9398</v>
      </c>
      <c r="R3647" s="2" t="s">
        <v>50</v>
      </c>
      <c r="S3647" s="9">
        <f t="shared" si="284"/>
        <v>547.4</v>
      </c>
    </row>
    <row r="3648" spans="1:19" x14ac:dyDescent="0.3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str">
        <f>IFERROR(VLOOKUP('Customer Info'!A3640,'Customer Info'!A3640:C4139,2,FALSE),"Not Found")</f>
        <v>Not Found</v>
      </c>
      <c r="H3648" s="6" t="str">
        <f>IFERROR(VLOOKUP('Customer Info'!A3640,'Customer Info'!A3640:C4139,3,FALSE),"Not Found")</f>
        <v>Not Found</v>
      </c>
      <c r="I3648" s="6" t="str">
        <f>IFERROR(VLOOKUP('Customer Info'!A3640,'Customer Info'!A3640:E4139,5,FALSE),"Not Found")</f>
        <v>Not Found</v>
      </c>
      <c r="J3648" s="2">
        <v>92</v>
      </c>
      <c r="K3648" s="2">
        <v>82</v>
      </c>
      <c r="L3648" s="2">
        <v>3</v>
      </c>
      <c r="M3648" s="7">
        <f t="shared" si="280"/>
        <v>246</v>
      </c>
      <c r="N3648" s="7">
        <f t="shared" si="281"/>
        <v>276</v>
      </c>
      <c r="O3648" s="2">
        <v>10</v>
      </c>
      <c r="P3648" s="8">
        <f t="shared" si="282"/>
        <v>286</v>
      </c>
      <c r="Q3648" s="8">
        <f t="shared" si="283"/>
        <v>194</v>
      </c>
      <c r="R3648" s="2" t="s">
        <v>28</v>
      </c>
      <c r="S3648" s="9">
        <f t="shared" si="284"/>
        <v>5.72</v>
      </c>
    </row>
    <row r="3649" spans="1:19" x14ac:dyDescent="0.3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str">
        <f>IFERROR(VLOOKUP('Customer Info'!A3641,'Customer Info'!A3641:C4140,2,FALSE),"Not Found")</f>
        <v>Not Found</v>
      </c>
      <c r="H3649" s="6" t="str">
        <f>IFERROR(VLOOKUP('Customer Info'!A3641,'Customer Info'!A3641:C4140,3,FALSE),"Not Found")</f>
        <v>Not Found</v>
      </c>
      <c r="I3649" s="6" t="str">
        <f>IFERROR(VLOOKUP('Customer Info'!A3641,'Customer Info'!A3641:E4140,5,FALSE),"Not Found")</f>
        <v>Not Found</v>
      </c>
      <c r="J3649" s="2">
        <v>1774</v>
      </c>
      <c r="K3649" s="2">
        <v>1642</v>
      </c>
      <c r="L3649" s="2">
        <v>4</v>
      </c>
      <c r="M3649" s="7">
        <f t="shared" si="280"/>
        <v>6568</v>
      </c>
      <c r="N3649" s="7">
        <f t="shared" si="281"/>
        <v>7096</v>
      </c>
      <c r="O3649" s="2">
        <v>51</v>
      </c>
      <c r="P3649" s="8">
        <f t="shared" si="282"/>
        <v>7147</v>
      </c>
      <c r="Q3649" s="8">
        <f t="shared" si="283"/>
        <v>5454</v>
      </c>
      <c r="R3649" s="2" t="s">
        <v>50</v>
      </c>
      <c r="S3649" s="9">
        <f t="shared" si="284"/>
        <v>357.35</v>
      </c>
    </row>
    <row r="3650" spans="1:19" x14ac:dyDescent="0.3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str">
        <f>IFERROR(VLOOKUP('Customer Info'!A3642,'Customer Info'!A3642:C4141,2,FALSE),"Not Found")</f>
        <v>Not Found</v>
      </c>
      <c r="H3650" s="6" t="str">
        <f>IFERROR(VLOOKUP('Customer Info'!A3642,'Customer Info'!A3642:C4141,3,FALSE),"Not Found")</f>
        <v>Not Found</v>
      </c>
      <c r="I3650" s="6" t="str">
        <f>IFERROR(VLOOKUP('Customer Info'!A3642,'Customer Info'!A3642:E4141,5,FALSE),"Not Found")</f>
        <v>Not Found</v>
      </c>
      <c r="J3650" s="2">
        <v>914</v>
      </c>
      <c r="K3650" s="2">
        <v>830</v>
      </c>
      <c r="L3650" s="2">
        <v>3</v>
      </c>
      <c r="M3650" s="7">
        <f t="shared" si="280"/>
        <v>2490</v>
      </c>
      <c r="N3650" s="7">
        <f t="shared" si="281"/>
        <v>2742</v>
      </c>
      <c r="O3650" s="2">
        <v>26</v>
      </c>
      <c r="P3650" s="8">
        <f t="shared" si="282"/>
        <v>2768</v>
      </c>
      <c r="Q3650" s="8">
        <f t="shared" si="283"/>
        <v>1912</v>
      </c>
      <c r="R3650" s="2" t="s">
        <v>28</v>
      </c>
      <c r="S3650" s="9">
        <f t="shared" si="284"/>
        <v>55.36</v>
      </c>
    </row>
    <row r="3651" spans="1:19" x14ac:dyDescent="0.3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str">
        <f>IFERROR(VLOOKUP('Customer Info'!A3643,'Customer Info'!A3643:C4142,2,FALSE),"Not Found")</f>
        <v>Not Found</v>
      </c>
      <c r="H3651" s="6" t="str">
        <f>IFERROR(VLOOKUP('Customer Info'!A3643,'Customer Info'!A3643:C4142,3,FALSE),"Not Found")</f>
        <v>Not Found</v>
      </c>
      <c r="I3651" s="6" t="str">
        <f>IFERROR(VLOOKUP('Customer Info'!A3643,'Customer Info'!A3643:E4142,5,FALSE),"Not Found")</f>
        <v>Not Found</v>
      </c>
      <c r="J3651" s="2">
        <v>1798</v>
      </c>
      <c r="K3651" s="2">
        <v>1650</v>
      </c>
      <c r="L3651" s="2">
        <v>4</v>
      </c>
      <c r="M3651" s="7">
        <f t="shared" si="280"/>
        <v>6600</v>
      </c>
      <c r="N3651" s="7">
        <f t="shared" si="281"/>
        <v>7192</v>
      </c>
      <c r="O3651" s="2">
        <v>84</v>
      </c>
      <c r="P3651" s="8">
        <f t="shared" si="282"/>
        <v>7276</v>
      </c>
      <c r="Q3651" s="8">
        <f t="shared" si="283"/>
        <v>5542</v>
      </c>
      <c r="R3651" s="2" t="s">
        <v>28</v>
      </c>
      <c r="S3651" s="9">
        <f t="shared" si="284"/>
        <v>363.8</v>
      </c>
    </row>
    <row r="3652" spans="1:19" x14ac:dyDescent="0.3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str">
        <f>IFERROR(VLOOKUP('Customer Info'!A3644,'Customer Info'!A3644:C4143,2,FALSE),"Not Found")</f>
        <v>Not Found</v>
      </c>
      <c r="H3652" s="6" t="str">
        <f>IFERROR(VLOOKUP('Customer Info'!A3644,'Customer Info'!A3644:C4143,3,FALSE),"Not Found")</f>
        <v>Not Found</v>
      </c>
      <c r="I3652" s="6" t="str">
        <f>IFERROR(VLOOKUP('Customer Info'!A3644,'Customer Info'!A3644:E4143,5,FALSE),"Not Found")</f>
        <v>Not Found</v>
      </c>
      <c r="J3652" s="2">
        <v>2271</v>
      </c>
      <c r="K3652" s="2">
        <v>2144</v>
      </c>
      <c r="L3652" s="2">
        <v>5</v>
      </c>
      <c r="M3652" s="7">
        <f t="shared" si="280"/>
        <v>10720</v>
      </c>
      <c r="N3652" s="7">
        <f t="shared" si="281"/>
        <v>11355</v>
      </c>
      <c r="O3652" s="2">
        <v>46</v>
      </c>
      <c r="P3652" s="8">
        <f t="shared" si="282"/>
        <v>11401</v>
      </c>
      <c r="Q3652" s="8">
        <f t="shared" si="283"/>
        <v>9211</v>
      </c>
      <c r="R3652" s="2" t="s">
        <v>28</v>
      </c>
      <c r="S3652" s="9">
        <f t="shared" si="284"/>
        <v>570.05000000000007</v>
      </c>
    </row>
    <row r="3653" spans="1:19" x14ac:dyDescent="0.3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str">
        <f>IFERROR(VLOOKUP('Customer Info'!A3645,'Customer Info'!A3645:C4144,2,FALSE),"Not Found")</f>
        <v>Not Found</v>
      </c>
      <c r="H3653" s="6" t="str">
        <f>IFERROR(VLOOKUP('Customer Info'!A3645,'Customer Info'!A3645:C4144,3,FALSE),"Not Found")</f>
        <v>Not Found</v>
      </c>
      <c r="I3653" s="6" t="str">
        <f>IFERROR(VLOOKUP('Customer Info'!A3645,'Customer Info'!A3645:E4144,5,FALSE),"Not Found")</f>
        <v>Not Found</v>
      </c>
      <c r="J3653" s="2">
        <v>8619</v>
      </c>
      <c r="K3653" s="2">
        <v>7759</v>
      </c>
      <c r="L3653" s="2">
        <v>3</v>
      </c>
      <c r="M3653" s="7">
        <f t="shared" si="280"/>
        <v>23277</v>
      </c>
      <c r="N3653" s="7">
        <f t="shared" si="281"/>
        <v>25857</v>
      </c>
      <c r="O3653" s="2">
        <v>28</v>
      </c>
      <c r="P3653" s="8">
        <f t="shared" si="282"/>
        <v>25885</v>
      </c>
      <c r="Q3653" s="8">
        <f t="shared" si="283"/>
        <v>18098</v>
      </c>
      <c r="R3653" s="2" t="s">
        <v>50</v>
      </c>
      <c r="S3653" s="9">
        <f t="shared" si="284"/>
        <v>1811.9500000000003</v>
      </c>
    </row>
    <row r="3654" spans="1:19" x14ac:dyDescent="0.3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str">
        <f>IFERROR(VLOOKUP('Customer Info'!A3646,'Customer Info'!A3646:C4145,2,FALSE),"Not Found")</f>
        <v>Not Found</v>
      </c>
      <c r="H3654" s="6" t="str">
        <f>IFERROR(VLOOKUP('Customer Info'!A3646,'Customer Info'!A3646:C4145,3,FALSE),"Not Found")</f>
        <v>Not Found</v>
      </c>
      <c r="I3654" s="6" t="str">
        <f>IFERROR(VLOOKUP('Customer Info'!A3646,'Customer Info'!A3646:E4145,5,FALSE),"Not Found")</f>
        <v>Not Found</v>
      </c>
      <c r="J3654" s="2">
        <v>882</v>
      </c>
      <c r="K3654" s="2">
        <v>818</v>
      </c>
      <c r="L3654" s="2">
        <v>3</v>
      </c>
      <c r="M3654" s="7">
        <f t="shared" si="280"/>
        <v>2454</v>
      </c>
      <c r="N3654" s="7">
        <f t="shared" si="281"/>
        <v>2646</v>
      </c>
      <c r="O3654" s="2">
        <v>87</v>
      </c>
      <c r="P3654" s="8">
        <f t="shared" si="282"/>
        <v>2733</v>
      </c>
      <c r="Q3654" s="8">
        <f t="shared" si="283"/>
        <v>1828</v>
      </c>
      <c r="R3654" s="2" t="s">
        <v>28</v>
      </c>
      <c r="S3654" s="9">
        <f t="shared" si="284"/>
        <v>54.660000000000004</v>
      </c>
    </row>
    <row r="3655" spans="1:19" x14ac:dyDescent="0.3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str">
        <f>IFERROR(VLOOKUP('Customer Info'!A3647,'Customer Info'!A3647:C4146,2,FALSE),"Not Found")</f>
        <v>Not Found</v>
      </c>
      <c r="H3655" s="6" t="str">
        <f>IFERROR(VLOOKUP('Customer Info'!A3647,'Customer Info'!A3647:C4146,3,FALSE),"Not Found")</f>
        <v>Not Found</v>
      </c>
      <c r="I3655" s="6" t="str">
        <f>IFERROR(VLOOKUP('Customer Info'!A3647,'Customer Info'!A3647:E4146,5,FALSE),"Not Found")</f>
        <v>Not Found</v>
      </c>
      <c r="J3655" s="2">
        <v>63</v>
      </c>
      <c r="K3655" s="2">
        <v>59</v>
      </c>
      <c r="L3655" s="2">
        <v>1</v>
      </c>
      <c r="M3655" s="7">
        <f t="shared" si="280"/>
        <v>59</v>
      </c>
      <c r="N3655" s="7">
        <f t="shared" si="281"/>
        <v>63</v>
      </c>
      <c r="O3655" s="2">
        <v>10</v>
      </c>
      <c r="P3655" s="8">
        <f t="shared" si="282"/>
        <v>73</v>
      </c>
      <c r="Q3655" s="8">
        <f t="shared" si="283"/>
        <v>4</v>
      </c>
      <c r="R3655" s="2" t="s">
        <v>50</v>
      </c>
      <c r="S3655" s="9">
        <f t="shared" si="284"/>
        <v>1.46</v>
      </c>
    </row>
    <row r="3656" spans="1:19" x14ac:dyDescent="0.3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str">
        <f>IFERROR(VLOOKUP('Customer Info'!A3648,'Customer Info'!A3648:C4147,2,FALSE),"Not Found")</f>
        <v>Not Found</v>
      </c>
      <c r="H3656" s="6" t="str">
        <f>IFERROR(VLOOKUP('Customer Info'!A3648,'Customer Info'!A3648:C4147,3,FALSE),"Not Found")</f>
        <v>Not Found</v>
      </c>
      <c r="I3656" s="6" t="str">
        <f>IFERROR(VLOOKUP('Customer Info'!A3648,'Customer Info'!A3648:E4147,5,FALSE),"Not Found")</f>
        <v>Not Found</v>
      </c>
      <c r="J3656" s="2">
        <v>8630</v>
      </c>
      <c r="K3656" s="2">
        <v>8303</v>
      </c>
      <c r="L3656" s="2">
        <v>2</v>
      </c>
      <c r="M3656" s="7">
        <f t="shared" si="280"/>
        <v>16606</v>
      </c>
      <c r="N3656" s="7">
        <f t="shared" si="281"/>
        <v>17260</v>
      </c>
      <c r="O3656" s="2">
        <v>50</v>
      </c>
      <c r="P3656" s="8">
        <f t="shared" si="282"/>
        <v>17310</v>
      </c>
      <c r="Q3656" s="8">
        <f t="shared" si="283"/>
        <v>8957</v>
      </c>
      <c r="R3656" s="2" t="s">
        <v>50</v>
      </c>
      <c r="S3656" s="9">
        <f t="shared" si="284"/>
        <v>865.5</v>
      </c>
    </row>
    <row r="3657" spans="1:19" x14ac:dyDescent="0.3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str">
        <f>IFERROR(VLOOKUP('Customer Info'!A3649,'Customer Info'!A3649:C4148,2,FALSE),"Not Found")</f>
        <v>Not Found</v>
      </c>
      <c r="H3657" s="6" t="str">
        <f>IFERROR(VLOOKUP('Customer Info'!A3649,'Customer Info'!A3649:C4148,3,FALSE),"Not Found")</f>
        <v>Not Found</v>
      </c>
      <c r="I3657" s="6" t="str">
        <f>IFERROR(VLOOKUP('Customer Info'!A3649,'Customer Info'!A3649:E4148,5,FALSE),"Not Found")</f>
        <v>Not Found</v>
      </c>
      <c r="J3657" s="2">
        <v>1887</v>
      </c>
      <c r="K3657" s="2">
        <v>1763</v>
      </c>
      <c r="L3657" s="2">
        <v>2</v>
      </c>
      <c r="M3657" s="7">
        <f t="shared" si="280"/>
        <v>3526</v>
      </c>
      <c r="N3657" s="7">
        <f t="shared" si="281"/>
        <v>3774</v>
      </c>
      <c r="O3657" s="2">
        <v>23</v>
      </c>
      <c r="P3657" s="8">
        <f t="shared" si="282"/>
        <v>3797</v>
      </c>
      <c r="Q3657" s="8">
        <f t="shared" si="283"/>
        <v>2011</v>
      </c>
      <c r="R3657" s="2" t="s">
        <v>50</v>
      </c>
      <c r="S3657" s="9">
        <f t="shared" si="284"/>
        <v>75.94</v>
      </c>
    </row>
    <row r="3658" spans="1:19" x14ac:dyDescent="0.3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str">
        <f>IFERROR(VLOOKUP('Customer Info'!A3650,'Customer Info'!A3650:C4149,2,FALSE),"Not Found")</f>
        <v>Not Found</v>
      </c>
      <c r="H3658" s="6" t="str">
        <f>IFERROR(VLOOKUP('Customer Info'!A3650,'Customer Info'!A3650:C4149,3,FALSE),"Not Found")</f>
        <v>Not Found</v>
      </c>
      <c r="I3658" s="6" t="str">
        <f>IFERROR(VLOOKUP('Customer Info'!A3650,'Customer Info'!A3650:E4149,5,FALSE),"Not Found")</f>
        <v>Not Found</v>
      </c>
      <c r="J3658" s="2">
        <v>6274</v>
      </c>
      <c r="K3658" s="2">
        <v>6093</v>
      </c>
      <c r="L3658" s="2">
        <v>3</v>
      </c>
      <c r="M3658" s="7">
        <f t="shared" si="280"/>
        <v>18279</v>
      </c>
      <c r="N3658" s="7">
        <f t="shared" si="281"/>
        <v>18822</v>
      </c>
      <c r="O3658" s="2">
        <v>44</v>
      </c>
      <c r="P3658" s="8">
        <f t="shared" si="282"/>
        <v>18866</v>
      </c>
      <c r="Q3658" s="8">
        <f t="shared" si="283"/>
        <v>12729</v>
      </c>
      <c r="R3658" s="2" t="s">
        <v>50</v>
      </c>
      <c r="S3658" s="9">
        <f t="shared" si="284"/>
        <v>943.30000000000007</v>
      </c>
    </row>
    <row r="3659" spans="1:19" x14ac:dyDescent="0.3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str">
        <f>IFERROR(VLOOKUP('Customer Info'!A3651,'Customer Info'!A3651:C4150,2,FALSE),"Not Found")</f>
        <v>Not Found</v>
      </c>
      <c r="H3659" s="6" t="str">
        <f>IFERROR(VLOOKUP('Customer Info'!A3651,'Customer Info'!A3651:C4150,3,FALSE),"Not Found")</f>
        <v>Not Found</v>
      </c>
      <c r="I3659" s="6" t="str">
        <f>IFERROR(VLOOKUP('Customer Info'!A3651,'Customer Info'!A3651:E4150,5,FALSE),"Not Found")</f>
        <v>Not Found</v>
      </c>
      <c r="J3659" s="2">
        <v>5836</v>
      </c>
      <c r="K3659" s="2">
        <v>5457</v>
      </c>
      <c r="L3659" s="2">
        <v>2</v>
      </c>
      <c r="M3659" s="7">
        <f t="shared" ref="M3659:M3722" si="285">$K3659*$L3659</f>
        <v>10914</v>
      </c>
      <c r="N3659" s="7">
        <f t="shared" ref="N3659:N3722" si="286">$J3659*$L3659</f>
        <v>11672</v>
      </c>
      <c r="O3659" s="2">
        <v>29</v>
      </c>
      <c r="P3659" s="8">
        <f t="shared" ref="P3659:P3722" si="287">$N3659+$O3659</f>
        <v>11701</v>
      </c>
      <c r="Q3659" s="8">
        <f t="shared" ref="Q3659:Q3722" si="288">$N3659-$K3659</f>
        <v>6215</v>
      </c>
      <c r="R3659" s="2" t="s">
        <v>50</v>
      </c>
      <c r="S3659" s="9">
        <f t="shared" ref="S3659:S3722" si="289" xml:space="preserve"> P3659 * VLOOKUP(P3659, $T$2:$U$6, 2, TRUE)</f>
        <v>585.05000000000007</v>
      </c>
    </row>
    <row r="3660" spans="1:19" x14ac:dyDescent="0.3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str">
        <f>IFERROR(VLOOKUP('Customer Info'!A3652,'Customer Info'!A3652:C4151,2,FALSE),"Not Found")</f>
        <v>Not Found</v>
      </c>
      <c r="H3660" s="6" t="str">
        <f>IFERROR(VLOOKUP('Customer Info'!A3652,'Customer Info'!A3652:C4151,3,FALSE),"Not Found")</f>
        <v>Not Found</v>
      </c>
      <c r="I3660" s="6" t="str">
        <f>IFERROR(VLOOKUP('Customer Info'!A3652,'Customer Info'!A3652:E4151,5,FALSE),"Not Found")</f>
        <v>Not Found</v>
      </c>
      <c r="J3660" s="2">
        <v>626</v>
      </c>
      <c r="K3660" s="2">
        <v>559</v>
      </c>
      <c r="L3660" s="2">
        <v>2</v>
      </c>
      <c r="M3660" s="7">
        <f t="shared" si="285"/>
        <v>1118</v>
      </c>
      <c r="N3660" s="7">
        <f t="shared" si="286"/>
        <v>1252</v>
      </c>
      <c r="O3660" s="2">
        <v>95</v>
      </c>
      <c r="P3660" s="8">
        <f t="shared" si="287"/>
        <v>1347</v>
      </c>
      <c r="Q3660" s="8">
        <f t="shared" si="288"/>
        <v>693</v>
      </c>
      <c r="R3660" s="2" t="s">
        <v>50</v>
      </c>
      <c r="S3660" s="9">
        <f t="shared" si="289"/>
        <v>26.94</v>
      </c>
    </row>
    <row r="3661" spans="1:19" x14ac:dyDescent="0.3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str">
        <f>IFERROR(VLOOKUP('Customer Info'!A3653,'Customer Info'!A3653:C4152,2,FALSE),"Not Found")</f>
        <v>Not Found</v>
      </c>
      <c r="H3661" s="6" t="str">
        <f>IFERROR(VLOOKUP('Customer Info'!A3653,'Customer Info'!A3653:C4152,3,FALSE),"Not Found")</f>
        <v>Not Found</v>
      </c>
      <c r="I3661" s="6" t="str">
        <f>IFERROR(VLOOKUP('Customer Info'!A3653,'Customer Info'!A3653:E4152,5,FALSE),"Not Found")</f>
        <v>Not Found</v>
      </c>
      <c r="J3661" s="2">
        <v>8199</v>
      </c>
      <c r="K3661" s="2">
        <v>7523</v>
      </c>
      <c r="L3661" s="2">
        <v>2</v>
      </c>
      <c r="M3661" s="7">
        <f t="shared" si="285"/>
        <v>15046</v>
      </c>
      <c r="N3661" s="7">
        <f t="shared" si="286"/>
        <v>16398</v>
      </c>
      <c r="O3661" s="2">
        <v>89</v>
      </c>
      <c r="P3661" s="8">
        <f t="shared" si="287"/>
        <v>16487</v>
      </c>
      <c r="Q3661" s="8">
        <f t="shared" si="288"/>
        <v>8875</v>
      </c>
      <c r="R3661" s="2" t="s">
        <v>28</v>
      </c>
      <c r="S3661" s="9">
        <f t="shared" si="289"/>
        <v>824.35</v>
      </c>
    </row>
    <row r="3662" spans="1:19" x14ac:dyDescent="0.3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str">
        <f>IFERROR(VLOOKUP('Customer Info'!A3654,'Customer Info'!A3654:C4153,2,FALSE),"Not Found")</f>
        <v>Not Found</v>
      </c>
      <c r="H3662" s="6" t="str">
        <f>IFERROR(VLOOKUP('Customer Info'!A3654,'Customer Info'!A3654:C4153,3,FALSE),"Not Found")</f>
        <v>Not Found</v>
      </c>
      <c r="I3662" s="6" t="str">
        <f>IFERROR(VLOOKUP('Customer Info'!A3654,'Customer Info'!A3654:E4153,5,FALSE),"Not Found")</f>
        <v>Not Found</v>
      </c>
      <c r="J3662" s="2">
        <v>3224</v>
      </c>
      <c r="K3662" s="2">
        <v>2901</v>
      </c>
      <c r="L3662" s="2">
        <v>1</v>
      </c>
      <c r="M3662" s="7">
        <f t="shared" si="285"/>
        <v>2901</v>
      </c>
      <c r="N3662" s="7">
        <f t="shared" si="286"/>
        <v>3224</v>
      </c>
      <c r="O3662" s="2">
        <v>76</v>
      </c>
      <c r="P3662" s="8">
        <f t="shared" si="287"/>
        <v>3300</v>
      </c>
      <c r="Q3662" s="8">
        <f t="shared" si="288"/>
        <v>323</v>
      </c>
      <c r="R3662" s="2" t="s">
        <v>28</v>
      </c>
      <c r="S3662" s="9">
        <f t="shared" si="289"/>
        <v>66</v>
      </c>
    </row>
    <row r="3663" spans="1:19" x14ac:dyDescent="0.3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str">
        <f>IFERROR(VLOOKUP('Customer Info'!A3655,'Customer Info'!A3655:C4154,2,FALSE),"Not Found")</f>
        <v>Not Found</v>
      </c>
      <c r="H3663" s="6" t="str">
        <f>IFERROR(VLOOKUP('Customer Info'!A3655,'Customer Info'!A3655:C4154,3,FALSE),"Not Found")</f>
        <v>Not Found</v>
      </c>
      <c r="I3663" s="6" t="str">
        <f>IFERROR(VLOOKUP('Customer Info'!A3655,'Customer Info'!A3655:E4154,5,FALSE),"Not Found")</f>
        <v>Not Found</v>
      </c>
      <c r="J3663" s="2">
        <v>2747</v>
      </c>
      <c r="K3663" s="2">
        <v>2545</v>
      </c>
      <c r="L3663" s="2">
        <v>4</v>
      </c>
      <c r="M3663" s="7">
        <f t="shared" si="285"/>
        <v>10180</v>
      </c>
      <c r="N3663" s="7">
        <f t="shared" si="286"/>
        <v>10988</v>
      </c>
      <c r="O3663" s="2">
        <v>56</v>
      </c>
      <c r="P3663" s="8">
        <f t="shared" si="287"/>
        <v>11044</v>
      </c>
      <c r="Q3663" s="8">
        <f t="shared" si="288"/>
        <v>8443</v>
      </c>
      <c r="R3663" s="2" t="s">
        <v>28</v>
      </c>
      <c r="S3663" s="9">
        <f t="shared" si="289"/>
        <v>552.20000000000005</v>
      </c>
    </row>
    <row r="3664" spans="1:19" x14ac:dyDescent="0.3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str">
        <f>IFERROR(VLOOKUP('Customer Info'!A3656,'Customer Info'!A3656:C4155,2,FALSE),"Not Found")</f>
        <v>Not Found</v>
      </c>
      <c r="H3664" s="6" t="str">
        <f>IFERROR(VLOOKUP('Customer Info'!A3656,'Customer Info'!A3656:C4155,3,FALSE),"Not Found")</f>
        <v>Not Found</v>
      </c>
      <c r="I3664" s="6" t="str">
        <f>IFERROR(VLOOKUP('Customer Info'!A3656,'Customer Info'!A3656:E4155,5,FALSE),"Not Found")</f>
        <v>Not Found</v>
      </c>
      <c r="J3664" s="2">
        <v>4737</v>
      </c>
      <c r="K3664" s="2">
        <v>4473</v>
      </c>
      <c r="L3664" s="2">
        <v>2</v>
      </c>
      <c r="M3664" s="7">
        <f t="shared" si="285"/>
        <v>8946</v>
      </c>
      <c r="N3664" s="7">
        <f t="shared" si="286"/>
        <v>9474</v>
      </c>
      <c r="O3664" s="2">
        <v>65</v>
      </c>
      <c r="P3664" s="8">
        <f t="shared" si="287"/>
        <v>9539</v>
      </c>
      <c r="Q3664" s="8">
        <f t="shared" si="288"/>
        <v>5001</v>
      </c>
      <c r="R3664" s="2" t="s">
        <v>28</v>
      </c>
      <c r="S3664" s="9">
        <f t="shared" si="289"/>
        <v>476.95000000000005</v>
      </c>
    </row>
    <row r="3665" spans="1:19" x14ac:dyDescent="0.3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str">
        <f>IFERROR(VLOOKUP('Customer Info'!A3657,'Customer Info'!A3657:C4156,2,FALSE),"Not Found")</f>
        <v>Not Found</v>
      </c>
      <c r="H3665" s="6" t="str">
        <f>IFERROR(VLOOKUP('Customer Info'!A3657,'Customer Info'!A3657:C4156,3,FALSE),"Not Found")</f>
        <v>Not Found</v>
      </c>
      <c r="I3665" s="6" t="str">
        <f>IFERROR(VLOOKUP('Customer Info'!A3657,'Customer Info'!A3657:E4156,5,FALSE),"Not Found")</f>
        <v>Not Found</v>
      </c>
      <c r="J3665" s="2">
        <v>8878</v>
      </c>
      <c r="K3665" s="2">
        <v>7914</v>
      </c>
      <c r="L3665" s="2">
        <v>2</v>
      </c>
      <c r="M3665" s="7">
        <f t="shared" si="285"/>
        <v>15828</v>
      </c>
      <c r="N3665" s="7">
        <f t="shared" si="286"/>
        <v>17756</v>
      </c>
      <c r="O3665" s="2">
        <v>90</v>
      </c>
      <c r="P3665" s="8">
        <f t="shared" si="287"/>
        <v>17846</v>
      </c>
      <c r="Q3665" s="8">
        <f t="shared" si="288"/>
        <v>9842</v>
      </c>
      <c r="R3665" s="2" t="s">
        <v>56</v>
      </c>
      <c r="S3665" s="9">
        <f t="shared" si="289"/>
        <v>892.30000000000007</v>
      </c>
    </row>
    <row r="3666" spans="1:19" x14ac:dyDescent="0.3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str">
        <f>IFERROR(VLOOKUP('Customer Info'!A3658,'Customer Info'!A3658:C4157,2,FALSE),"Not Found")</f>
        <v>Not Found</v>
      </c>
      <c r="H3666" s="6" t="str">
        <f>IFERROR(VLOOKUP('Customer Info'!A3658,'Customer Info'!A3658:C4157,3,FALSE),"Not Found")</f>
        <v>Not Found</v>
      </c>
      <c r="I3666" s="6" t="str">
        <f>IFERROR(VLOOKUP('Customer Info'!A3658,'Customer Info'!A3658:E4157,5,FALSE),"Not Found")</f>
        <v>Not Found</v>
      </c>
      <c r="J3666" s="2">
        <v>1653</v>
      </c>
      <c r="K3666" s="2">
        <v>1560</v>
      </c>
      <c r="L3666" s="2">
        <v>2</v>
      </c>
      <c r="M3666" s="7">
        <f t="shared" si="285"/>
        <v>3120</v>
      </c>
      <c r="N3666" s="7">
        <f t="shared" si="286"/>
        <v>3306</v>
      </c>
      <c r="O3666" s="2">
        <v>67</v>
      </c>
      <c r="P3666" s="8">
        <f t="shared" si="287"/>
        <v>3373</v>
      </c>
      <c r="Q3666" s="8">
        <f t="shared" si="288"/>
        <v>1746</v>
      </c>
      <c r="R3666" s="2" t="s">
        <v>28</v>
      </c>
      <c r="S3666" s="9">
        <f t="shared" si="289"/>
        <v>67.460000000000008</v>
      </c>
    </row>
    <row r="3667" spans="1:19" x14ac:dyDescent="0.3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str">
        <f>IFERROR(VLOOKUP('Customer Info'!A3659,'Customer Info'!A3659:C4158,2,FALSE),"Not Found")</f>
        <v>Not Found</v>
      </c>
      <c r="H3667" s="6" t="str">
        <f>IFERROR(VLOOKUP('Customer Info'!A3659,'Customer Info'!A3659:C4158,3,FALSE),"Not Found")</f>
        <v>Not Found</v>
      </c>
      <c r="I3667" s="6" t="str">
        <f>IFERROR(VLOOKUP('Customer Info'!A3659,'Customer Info'!A3659:E4158,5,FALSE),"Not Found")</f>
        <v>Not Found</v>
      </c>
      <c r="J3667" s="2">
        <v>5836</v>
      </c>
      <c r="K3667" s="2">
        <v>5457</v>
      </c>
      <c r="L3667" s="2">
        <v>1</v>
      </c>
      <c r="M3667" s="7">
        <f t="shared" si="285"/>
        <v>5457</v>
      </c>
      <c r="N3667" s="7">
        <f t="shared" si="286"/>
        <v>5836</v>
      </c>
      <c r="O3667" s="2">
        <v>59</v>
      </c>
      <c r="P3667" s="8">
        <f t="shared" si="287"/>
        <v>5895</v>
      </c>
      <c r="Q3667" s="8">
        <f t="shared" si="288"/>
        <v>379</v>
      </c>
      <c r="R3667" s="2" t="s">
        <v>50</v>
      </c>
      <c r="S3667" s="9">
        <f t="shared" si="289"/>
        <v>294.75</v>
      </c>
    </row>
    <row r="3668" spans="1:19" x14ac:dyDescent="0.3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str">
        <f>IFERROR(VLOOKUP('Customer Info'!A3660,'Customer Info'!A3660:C4159,2,FALSE),"Not Found")</f>
        <v>Not Found</v>
      </c>
      <c r="H3668" s="6" t="str">
        <f>IFERROR(VLOOKUP('Customer Info'!A3660,'Customer Info'!A3660:C4159,3,FALSE),"Not Found")</f>
        <v>Not Found</v>
      </c>
      <c r="I3668" s="6" t="str">
        <f>IFERROR(VLOOKUP('Customer Info'!A3660,'Customer Info'!A3660:E4159,5,FALSE),"Not Found")</f>
        <v>Not Found</v>
      </c>
      <c r="J3668" s="2">
        <v>119</v>
      </c>
      <c r="K3668" s="2">
        <v>112</v>
      </c>
      <c r="L3668" s="2">
        <v>2</v>
      </c>
      <c r="M3668" s="7">
        <f t="shared" si="285"/>
        <v>224</v>
      </c>
      <c r="N3668" s="7">
        <f t="shared" si="286"/>
        <v>238</v>
      </c>
      <c r="O3668" s="2">
        <v>30</v>
      </c>
      <c r="P3668" s="8">
        <f t="shared" si="287"/>
        <v>268</v>
      </c>
      <c r="Q3668" s="8">
        <f t="shared" si="288"/>
        <v>126</v>
      </c>
      <c r="R3668" s="2" t="s">
        <v>28</v>
      </c>
      <c r="S3668" s="9">
        <f t="shared" si="289"/>
        <v>5.36</v>
      </c>
    </row>
    <row r="3669" spans="1:19" x14ac:dyDescent="0.3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str">
        <f>IFERROR(VLOOKUP('Customer Info'!A3661,'Customer Info'!A3661:C4160,2,FALSE),"Not Found")</f>
        <v>Not Found</v>
      </c>
      <c r="H3669" s="6" t="str">
        <f>IFERROR(VLOOKUP('Customer Info'!A3661,'Customer Info'!A3661:C4160,3,FALSE),"Not Found")</f>
        <v>Not Found</v>
      </c>
      <c r="I3669" s="6" t="str">
        <f>IFERROR(VLOOKUP('Customer Info'!A3661,'Customer Info'!A3661:E4160,5,FALSE),"Not Found")</f>
        <v>Not Found</v>
      </c>
      <c r="J3669" s="2">
        <v>1246</v>
      </c>
      <c r="K3669" s="2">
        <v>1164</v>
      </c>
      <c r="L3669" s="2">
        <v>4</v>
      </c>
      <c r="M3669" s="7">
        <f t="shared" si="285"/>
        <v>4656</v>
      </c>
      <c r="N3669" s="7">
        <f t="shared" si="286"/>
        <v>4984</v>
      </c>
      <c r="O3669" s="2">
        <v>76</v>
      </c>
      <c r="P3669" s="8">
        <f t="shared" si="287"/>
        <v>5060</v>
      </c>
      <c r="Q3669" s="8">
        <f t="shared" si="288"/>
        <v>3820</v>
      </c>
      <c r="R3669" s="2" t="s">
        <v>28</v>
      </c>
      <c r="S3669" s="9">
        <f t="shared" si="289"/>
        <v>253</v>
      </c>
    </row>
    <row r="3670" spans="1:19" x14ac:dyDescent="0.3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str">
        <f>IFERROR(VLOOKUP('Customer Info'!A3662,'Customer Info'!A3662:C4161,2,FALSE),"Not Found")</f>
        <v>Not Found</v>
      </c>
      <c r="H3670" s="6" t="str">
        <f>IFERROR(VLOOKUP('Customer Info'!A3662,'Customer Info'!A3662:C4161,3,FALSE),"Not Found")</f>
        <v>Not Found</v>
      </c>
      <c r="I3670" s="6" t="str">
        <f>IFERROR(VLOOKUP('Customer Info'!A3662,'Customer Info'!A3662:E4161,5,FALSE),"Not Found")</f>
        <v>Not Found</v>
      </c>
      <c r="J3670" s="2">
        <v>7508</v>
      </c>
      <c r="K3670" s="2">
        <v>6956</v>
      </c>
      <c r="L3670" s="2">
        <v>2</v>
      </c>
      <c r="M3670" s="7">
        <f t="shared" si="285"/>
        <v>13912</v>
      </c>
      <c r="N3670" s="7">
        <f t="shared" si="286"/>
        <v>15016</v>
      </c>
      <c r="O3670" s="2">
        <v>48</v>
      </c>
      <c r="P3670" s="8">
        <f t="shared" si="287"/>
        <v>15064</v>
      </c>
      <c r="Q3670" s="8">
        <f t="shared" si="288"/>
        <v>8060</v>
      </c>
      <c r="R3670" s="2" t="s">
        <v>28</v>
      </c>
      <c r="S3670" s="9">
        <f t="shared" si="289"/>
        <v>753.2</v>
      </c>
    </row>
    <row r="3671" spans="1:19" x14ac:dyDescent="0.3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str">
        <f>IFERROR(VLOOKUP('Customer Info'!A3663,'Customer Info'!A3663:C4162,2,FALSE),"Not Found")</f>
        <v>Not Found</v>
      </c>
      <c r="H3671" s="6" t="str">
        <f>IFERROR(VLOOKUP('Customer Info'!A3663,'Customer Info'!A3663:C4162,3,FALSE),"Not Found")</f>
        <v>Not Found</v>
      </c>
      <c r="I3671" s="6" t="str">
        <f>IFERROR(VLOOKUP('Customer Info'!A3663,'Customer Info'!A3663:E4162,5,FALSE),"Not Found")</f>
        <v>Not Found</v>
      </c>
      <c r="J3671" s="2">
        <v>918</v>
      </c>
      <c r="K3671" s="2">
        <v>859</v>
      </c>
      <c r="L3671" s="2">
        <v>3</v>
      </c>
      <c r="M3671" s="7">
        <f t="shared" si="285"/>
        <v>2577</v>
      </c>
      <c r="N3671" s="7">
        <f t="shared" si="286"/>
        <v>2754</v>
      </c>
      <c r="O3671" s="2">
        <v>86</v>
      </c>
      <c r="P3671" s="8">
        <f t="shared" si="287"/>
        <v>2840</v>
      </c>
      <c r="Q3671" s="8">
        <f t="shared" si="288"/>
        <v>1895</v>
      </c>
      <c r="R3671" s="2" t="s">
        <v>28</v>
      </c>
      <c r="S3671" s="9">
        <f t="shared" si="289"/>
        <v>56.800000000000004</v>
      </c>
    </row>
    <row r="3672" spans="1:19" x14ac:dyDescent="0.3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str">
        <f>IFERROR(VLOOKUP('Customer Info'!A3664,'Customer Info'!A3664:C4163,2,FALSE),"Not Found")</f>
        <v>Not Found</v>
      </c>
      <c r="H3672" s="6" t="str">
        <f>IFERROR(VLOOKUP('Customer Info'!A3664,'Customer Info'!A3664:C4163,3,FALSE),"Not Found")</f>
        <v>Not Found</v>
      </c>
      <c r="I3672" s="6" t="str">
        <f>IFERROR(VLOOKUP('Customer Info'!A3664,'Customer Info'!A3664:E4163,5,FALSE),"Not Found")</f>
        <v>Not Found</v>
      </c>
      <c r="J3672" s="2">
        <v>1071</v>
      </c>
      <c r="K3672" s="2">
        <v>1010</v>
      </c>
      <c r="L3672" s="2">
        <v>1</v>
      </c>
      <c r="M3672" s="7">
        <f t="shared" si="285"/>
        <v>1010</v>
      </c>
      <c r="N3672" s="7">
        <f t="shared" si="286"/>
        <v>1071</v>
      </c>
      <c r="O3672" s="2">
        <v>58</v>
      </c>
      <c r="P3672" s="8">
        <f t="shared" si="287"/>
        <v>1129</v>
      </c>
      <c r="Q3672" s="8">
        <f t="shared" si="288"/>
        <v>61</v>
      </c>
      <c r="R3672" s="2" t="s">
        <v>50</v>
      </c>
      <c r="S3672" s="9">
        <f t="shared" si="289"/>
        <v>22.580000000000002</v>
      </c>
    </row>
    <row r="3673" spans="1:19" x14ac:dyDescent="0.3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str">
        <f>IFERROR(VLOOKUP('Customer Info'!A3665,'Customer Info'!A3665:C4164,2,FALSE),"Not Found")</f>
        <v>Not Found</v>
      </c>
      <c r="H3673" s="6" t="str">
        <f>IFERROR(VLOOKUP('Customer Info'!A3665,'Customer Info'!A3665:C4164,3,FALSE),"Not Found")</f>
        <v>Not Found</v>
      </c>
      <c r="I3673" s="6" t="str">
        <f>IFERROR(VLOOKUP('Customer Info'!A3665,'Customer Info'!A3665:E4164,5,FALSE),"Not Found")</f>
        <v>Not Found</v>
      </c>
      <c r="J3673" s="2">
        <v>3176</v>
      </c>
      <c r="K3673" s="2">
        <v>3116</v>
      </c>
      <c r="L3673" s="2">
        <v>1</v>
      </c>
      <c r="M3673" s="7">
        <f t="shared" si="285"/>
        <v>3116</v>
      </c>
      <c r="N3673" s="7">
        <f t="shared" si="286"/>
        <v>3176</v>
      </c>
      <c r="O3673" s="2">
        <v>69</v>
      </c>
      <c r="P3673" s="8">
        <f t="shared" si="287"/>
        <v>3245</v>
      </c>
      <c r="Q3673" s="8">
        <f t="shared" si="288"/>
        <v>60</v>
      </c>
      <c r="R3673" s="2" t="s">
        <v>50</v>
      </c>
      <c r="S3673" s="9">
        <f t="shared" si="289"/>
        <v>64.900000000000006</v>
      </c>
    </row>
    <row r="3674" spans="1:19" x14ac:dyDescent="0.3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str">
        <f>IFERROR(VLOOKUP('Customer Info'!A3666,'Customer Info'!A3666:C4165,2,FALSE),"Not Found")</f>
        <v>Not Found</v>
      </c>
      <c r="H3674" s="6" t="str">
        <f>IFERROR(VLOOKUP('Customer Info'!A3666,'Customer Info'!A3666:C4165,3,FALSE),"Not Found")</f>
        <v>Not Found</v>
      </c>
      <c r="I3674" s="6" t="str">
        <f>IFERROR(VLOOKUP('Customer Info'!A3666,'Customer Info'!A3666:E4165,5,FALSE),"Not Found")</f>
        <v>Not Found</v>
      </c>
      <c r="J3674" s="2">
        <v>3275</v>
      </c>
      <c r="K3674" s="2">
        <v>3090</v>
      </c>
      <c r="L3674" s="2">
        <v>1</v>
      </c>
      <c r="M3674" s="7">
        <f t="shared" si="285"/>
        <v>3090</v>
      </c>
      <c r="N3674" s="7">
        <f t="shared" si="286"/>
        <v>3275</v>
      </c>
      <c r="O3674" s="2">
        <v>22</v>
      </c>
      <c r="P3674" s="8">
        <f t="shared" si="287"/>
        <v>3297</v>
      </c>
      <c r="Q3674" s="8">
        <f t="shared" si="288"/>
        <v>185</v>
      </c>
      <c r="R3674" s="2" t="s">
        <v>28</v>
      </c>
      <c r="S3674" s="9">
        <f t="shared" si="289"/>
        <v>65.94</v>
      </c>
    </row>
    <row r="3675" spans="1:19" x14ac:dyDescent="0.3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str">
        <f>IFERROR(VLOOKUP('Customer Info'!A3667,'Customer Info'!A3667:C4166,2,FALSE),"Not Found")</f>
        <v>Not Found</v>
      </c>
      <c r="H3675" s="6" t="str">
        <f>IFERROR(VLOOKUP('Customer Info'!A3667,'Customer Info'!A3667:C4166,3,FALSE),"Not Found")</f>
        <v>Not Found</v>
      </c>
      <c r="I3675" s="6" t="str">
        <f>IFERROR(VLOOKUP('Customer Info'!A3667,'Customer Info'!A3667:E4166,5,FALSE),"Not Found")</f>
        <v>Not Found</v>
      </c>
      <c r="J3675" s="2">
        <v>4002</v>
      </c>
      <c r="K3675" s="2">
        <v>3744</v>
      </c>
      <c r="L3675" s="2">
        <v>1</v>
      </c>
      <c r="M3675" s="7">
        <f t="shared" si="285"/>
        <v>3744</v>
      </c>
      <c r="N3675" s="7">
        <f t="shared" si="286"/>
        <v>4002</v>
      </c>
      <c r="O3675" s="2">
        <v>24</v>
      </c>
      <c r="P3675" s="8">
        <f t="shared" si="287"/>
        <v>4026</v>
      </c>
      <c r="Q3675" s="8">
        <f t="shared" si="288"/>
        <v>258</v>
      </c>
      <c r="R3675" s="2" t="s">
        <v>50</v>
      </c>
      <c r="S3675" s="9">
        <f t="shared" si="289"/>
        <v>80.52</v>
      </c>
    </row>
    <row r="3676" spans="1:19" x14ac:dyDescent="0.3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str">
        <f>IFERROR(VLOOKUP('Customer Info'!A3668,'Customer Info'!A3668:C4167,2,FALSE),"Not Found")</f>
        <v>Not Found</v>
      </c>
      <c r="H3676" s="6" t="str">
        <f>IFERROR(VLOOKUP('Customer Info'!A3668,'Customer Info'!A3668:C4167,3,FALSE),"Not Found")</f>
        <v>Not Found</v>
      </c>
      <c r="I3676" s="6" t="str">
        <f>IFERROR(VLOOKUP('Customer Info'!A3668,'Customer Info'!A3668:E4167,5,FALSE),"Not Found")</f>
        <v>Not Found</v>
      </c>
      <c r="J3676" s="2">
        <v>2829</v>
      </c>
      <c r="K3676" s="2">
        <v>2596</v>
      </c>
      <c r="L3676" s="2">
        <v>1</v>
      </c>
      <c r="M3676" s="7">
        <f t="shared" si="285"/>
        <v>2596</v>
      </c>
      <c r="N3676" s="7">
        <f t="shared" si="286"/>
        <v>2829</v>
      </c>
      <c r="O3676" s="2">
        <v>82</v>
      </c>
      <c r="P3676" s="8">
        <f t="shared" si="287"/>
        <v>2911</v>
      </c>
      <c r="Q3676" s="8">
        <f t="shared" si="288"/>
        <v>233</v>
      </c>
      <c r="R3676" s="2" t="s">
        <v>50</v>
      </c>
      <c r="S3676" s="9">
        <f t="shared" si="289"/>
        <v>58.22</v>
      </c>
    </row>
    <row r="3677" spans="1:19" x14ac:dyDescent="0.3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str">
        <f>IFERROR(VLOOKUP('Customer Info'!A3669,'Customer Info'!A3669:C4168,2,FALSE),"Not Found")</f>
        <v>Not Found</v>
      </c>
      <c r="H3677" s="6" t="str">
        <f>IFERROR(VLOOKUP('Customer Info'!A3669,'Customer Info'!A3669:C4168,3,FALSE),"Not Found")</f>
        <v>Not Found</v>
      </c>
      <c r="I3677" s="6" t="str">
        <f>IFERROR(VLOOKUP('Customer Info'!A3669,'Customer Info'!A3669:E4168,5,FALSE),"Not Found")</f>
        <v>Not Found</v>
      </c>
      <c r="J3677" s="2">
        <v>2365</v>
      </c>
      <c r="K3677" s="2">
        <v>2232</v>
      </c>
      <c r="L3677" s="2">
        <v>3</v>
      </c>
      <c r="M3677" s="7">
        <f t="shared" si="285"/>
        <v>6696</v>
      </c>
      <c r="N3677" s="7">
        <f t="shared" si="286"/>
        <v>7095</v>
      </c>
      <c r="O3677" s="2">
        <v>26</v>
      </c>
      <c r="P3677" s="8">
        <f t="shared" si="287"/>
        <v>7121</v>
      </c>
      <c r="Q3677" s="8">
        <f t="shared" si="288"/>
        <v>4863</v>
      </c>
      <c r="R3677" s="2" t="s">
        <v>28</v>
      </c>
      <c r="S3677" s="9">
        <f t="shared" si="289"/>
        <v>356.05</v>
      </c>
    </row>
    <row r="3678" spans="1:19" x14ac:dyDescent="0.3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str">
        <f>IFERROR(VLOOKUP('Customer Info'!A3670,'Customer Info'!A3670:C4169,2,FALSE),"Not Found")</f>
        <v>Not Found</v>
      </c>
      <c r="H3678" s="6" t="str">
        <f>IFERROR(VLOOKUP('Customer Info'!A3670,'Customer Info'!A3670:C4169,3,FALSE),"Not Found")</f>
        <v>Not Found</v>
      </c>
      <c r="I3678" s="6" t="str">
        <f>IFERROR(VLOOKUP('Customer Info'!A3670,'Customer Info'!A3670:E4169,5,FALSE),"Not Found")</f>
        <v>Not Found</v>
      </c>
      <c r="J3678" s="2">
        <v>1222</v>
      </c>
      <c r="K3678" s="2">
        <v>1187</v>
      </c>
      <c r="L3678" s="2">
        <v>6</v>
      </c>
      <c r="M3678" s="7">
        <f t="shared" si="285"/>
        <v>7122</v>
      </c>
      <c r="N3678" s="7">
        <f t="shared" si="286"/>
        <v>7332</v>
      </c>
      <c r="O3678" s="2">
        <v>97</v>
      </c>
      <c r="P3678" s="8">
        <f t="shared" si="287"/>
        <v>7429</v>
      </c>
      <c r="Q3678" s="8">
        <f t="shared" si="288"/>
        <v>6145</v>
      </c>
      <c r="R3678" s="2" t="s">
        <v>28</v>
      </c>
      <c r="S3678" s="9">
        <f t="shared" si="289"/>
        <v>371.45000000000005</v>
      </c>
    </row>
    <row r="3679" spans="1:19" x14ac:dyDescent="0.3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str">
        <f>IFERROR(VLOOKUP('Customer Info'!A3671,'Customer Info'!A3671:C4170,2,FALSE),"Not Found")</f>
        <v>Not Found</v>
      </c>
      <c r="H3679" s="6" t="str">
        <f>IFERROR(VLOOKUP('Customer Info'!A3671,'Customer Info'!A3671:C4170,3,FALSE),"Not Found")</f>
        <v>Not Found</v>
      </c>
      <c r="I3679" s="6" t="str">
        <f>IFERROR(VLOOKUP('Customer Info'!A3671,'Customer Info'!A3671:E4170,5,FALSE),"Not Found")</f>
        <v>Not Found</v>
      </c>
      <c r="J3679" s="2">
        <v>96</v>
      </c>
      <c r="K3679" s="2">
        <v>87</v>
      </c>
      <c r="L3679" s="2">
        <v>1</v>
      </c>
      <c r="M3679" s="7">
        <f t="shared" si="285"/>
        <v>87</v>
      </c>
      <c r="N3679" s="7">
        <f t="shared" si="286"/>
        <v>96</v>
      </c>
      <c r="O3679" s="2">
        <v>10</v>
      </c>
      <c r="P3679" s="8">
        <f t="shared" si="287"/>
        <v>106</v>
      </c>
      <c r="Q3679" s="8">
        <f t="shared" si="288"/>
        <v>9</v>
      </c>
      <c r="R3679" s="2" t="s">
        <v>28</v>
      </c>
      <c r="S3679" s="9">
        <f t="shared" si="289"/>
        <v>2.12</v>
      </c>
    </row>
    <row r="3680" spans="1:19" x14ac:dyDescent="0.3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str">
        <f>IFERROR(VLOOKUP('Customer Info'!A3672,'Customer Info'!A3672:C4171,2,FALSE),"Not Found")</f>
        <v>Not Found</v>
      </c>
      <c r="H3680" s="6" t="str">
        <f>IFERROR(VLOOKUP('Customer Info'!A3672,'Customer Info'!A3672:C4171,3,FALSE),"Not Found")</f>
        <v>Not Found</v>
      </c>
      <c r="I3680" s="6" t="str">
        <f>IFERROR(VLOOKUP('Customer Info'!A3672,'Customer Info'!A3672:E4171,5,FALSE),"Not Found")</f>
        <v>Not Found</v>
      </c>
      <c r="J3680" s="2">
        <v>279</v>
      </c>
      <c r="K3680" s="2">
        <v>254</v>
      </c>
      <c r="L3680" s="2">
        <v>1</v>
      </c>
      <c r="M3680" s="7">
        <f t="shared" si="285"/>
        <v>254</v>
      </c>
      <c r="N3680" s="7">
        <f t="shared" si="286"/>
        <v>279</v>
      </c>
      <c r="O3680" s="2">
        <v>64</v>
      </c>
      <c r="P3680" s="8">
        <f t="shared" si="287"/>
        <v>343</v>
      </c>
      <c r="Q3680" s="8">
        <f t="shared" si="288"/>
        <v>25</v>
      </c>
      <c r="R3680" s="2" t="s">
        <v>50</v>
      </c>
      <c r="S3680" s="9">
        <f t="shared" si="289"/>
        <v>6.86</v>
      </c>
    </row>
    <row r="3681" spans="1:19" x14ac:dyDescent="0.3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str">
        <f>IFERROR(VLOOKUP('Customer Info'!A3673,'Customer Info'!A3673:C4172,2,FALSE),"Not Found")</f>
        <v>Not Found</v>
      </c>
      <c r="H3681" s="6" t="str">
        <f>IFERROR(VLOOKUP('Customer Info'!A3673,'Customer Info'!A3673:C4172,3,FALSE),"Not Found")</f>
        <v>Not Found</v>
      </c>
      <c r="I3681" s="6" t="str">
        <f>IFERROR(VLOOKUP('Customer Info'!A3673,'Customer Info'!A3673:E4172,5,FALSE),"Not Found")</f>
        <v>Not Found</v>
      </c>
      <c r="J3681" s="2">
        <v>2551</v>
      </c>
      <c r="K3681" s="2">
        <v>2456</v>
      </c>
      <c r="L3681" s="2">
        <v>1</v>
      </c>
      <c r="M3681" s="7">
        <f t="shared" si="285"/>
        <v>2456</v>
      </c>
      <c r="N3681" s="7">
        <f t="shared" si="286"/>
        <v>2551</v>
      </c>
      <c r="O3681" s="2">
        <v>39</v>
      </c>
      <c r="P3681" s="8">
        <f t="shared" si="287"/>
        <v>2590</v>
      </c>
      <c r="Q3681" s="8">
        <f t="shared" si="288"/>
        <v>95</v>
      </c>
      <c r="R3681" s="2" t="s">
        <v>28</v>
      </c>
      <c r="S3681" s="9">
        <f t="shared" si="289"/>
        <v>51.800000000000004</v>
      </c>
    </row>
    <row r="3682" spans="1:19" x14ac:dyDescent="0.3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str">
        <f>IFERROR(VLOOKUP('Customer Info'!A3674,'Customer Info'!A3674:C4173,2,FALSE),"Not Found")</f>
        <v>Not Found</v>
      </c>
      <c r="H3682" s="6" t="str">
        <f>IFERROR(VLOOKUP('Customer Info'!A3674,'Customer Info'!A3674:C4173,3,FALSE),"Not Found")</f>
        <v>Not Found</v>
      </c>
      <c r="I3682" s="6" t="str">
        <f>IFERROR(VLOOKUP('Customer Info'!A3674,'Customer Info'!A3674:E4173,5,FALSE),"Not Found")</f>
        <v>Not Found</v>
      </c>
      <c r="J3682" s="2">
        <v>4798</v>
      </c>
      <c r="K3682" s="2">
        <v>4448</v>
      </c>
      <c r="L3682" s="2">
        <v>3</v>
      </c>
      <c r="M3682" s="7">
        <f t="shared" si="285"/>
        <v>13344</v>
      </c>
      <c r="N3682" s="7">
        <f t="shared" si="286"/>
        <v>14394</v>
      </c>
      <c r="O3682" s="2">
        <v>56</v>
      </c>
      <c r="P3682" s="8">
        <f t="shared" si="287"/>
        <v>14450</v>
      </c>
      <c r="Q3682" s="8">
        <f t="shared" si="288"/>
        <v>9946</v>
      </c>
      <c r="R3682" s="2" t="s">
        <v>28</v>
      </c>
      <c r="S3682" s="9">
        <f t="shared" si="289"/>
        <v>722.5</v>
      </c>
    </row>
    <row r="3683" spans="1:19" x14ac:dyDescent="0.3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str">
        <f>IFERROR(VLOOKUP('Customer Info'!A3675,'Customer Info'!A3675:C4174,2,FALSE),"Not Found")</f>
        <v>Not Found</v>
      </c>
      <c r="H3683" s="6" t="str">
        <f>IFERROR(VLOOKUP('Customer Info'!A3675,'Customer Info'!A3675:C4174,3,FALSE),"Not Found")</f>
        <v>Not Found</v>
      </c>
      <c r="I3683" s="6" t="str">
        <f>IFERROR(VLOOKUP('Customer Info'!A3675,'Customer Info'!A3675:E4174,5,FALSE),"Not Found")</f>
        <v>Not Found</v>
      </c>
      <c r="J3683" s="2">
        <v>1385</v>
      </c>
      <c r="K3683" s="2">
        <v>1295</v>
      </c>
      <c r="L3683" s="2">
        <v>4</v>
      </c>
      <c r="M3683" s="7">
        <f t="shared" si="285"/>
        <v>5180</v>
      </c>
      <c r="N3683" s="7">
        <f t="shared" si="286"/>
        <v>5540</v>
      </c>
      <c r="O3683" s="2">
        <v>62</v>
      </c>
      <c r="P3683" s="8">
        <f t="shared" si="287"/>
        <v>5602</v>
      </c>
      <c r="Q3683" s="8">
        <f t="shared" si="288"/>
        <v>4245</v>
      </c>
      <c r="R3683" s="2" t="s">
        <v>28</v>
      </c>
      <c r="S3683" s="9">
        <f t="shared" si="289"/>
        <v>280.10000000000002</v>
      </c>
    </row>
    <row r="3684" spans="1:19" x14ac:dyDescent="0.3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str">
        <f>IFERROR(VLOOKUP('Customer Info'!A3676,'Customer Info'!A3676:C4175,2,FALSE),"Not Found")</f>
        <v>Not Found</v>
      </c>
      <c r="H3684" s="6" t="str">
        <f>IFERROR(VLOOKUP('Customer Info'!A3676,'Customer Info'!A3676:C4175,3,FALSE),"Not Found")</f>
        <v>Not Found</v>
      </c>
      <c r="I3684" s="6" t="str">
        <f>IFERROR(VLOOKUP('Customer Info'!A3676,'Customer Info'!A3676:E4175,5,FALSE),"Not Found")</f>
        <v>Not Found</v>
      </c>
      <c r="J3684" s="2">
        <v>8160</v>
      </c>
      <c r="K3684" s="2">
        <v>7475</v>
      </c>
      <c r="L3684" s="2">
        <v>5</v>
      </c>
      <c r="M3684" s="7">
        <f t="shared" si="285"/>
        <v>37375</v>
      </c>
      <c r="N3684" s="7">
        <f t="shared" si="286"/>
        <v>40800</v>
      </c>
      <c r="O3684" s="2">
        <v>44</v>
      </c>
      <c r="P3684" s="8">
        <f t="shared" si="287"/>
        <v>40844</v>
      </c>
      <c r="Q3684" s="8">
        <f t="shared" si="288"/>
        <v>33325</v>
      </c>
      <c r="R3684" s="2" t="s">
        <v>28</v>
      </c>
      <c r="S3684" s="9">
        <f t="shared" si="289"/>
        <v>2859.0800000000004</v>
      </c>
    </row>
    <row r="3685" spans="1:19" x14ac:dyDescent="0.3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str">
        <f>IFERROR(VLOOKUP('Customer Info'!A3677,'Customer Info'!A3677:C4176,2,FALSE),"Not Found")</f>
        <v>Not Found</v>
      </c>
      <c r="H3685" s="6" t="str">
        <f>IFERROR(VLOOKUP('Customer Info'!A3677,'Customer Info'!A3677:C4176,3,FALSE),"Not Found")</f>
        <v>Not Found</v>
      </c>
      <c r="I3685" s="6" t="str">
        <f>IFERROR(VLOOKUP('Customer Info'!A3677,'Customer Info'!A3677:E4176,5,FALSE),"Not Found")</f>
        <v>Not Found</v>
      </c>
      <c r="J3685" s="2">
        <v>60</v>
      </c>
      <c r="K3685" s="2">
        <v>56</v>
      </c>
      <c r="L3685" s="2">
        <v>2</v>
      </c>
      <c r="M3685" s="7">
        <f t="shared" si="285"/>
        <v>112</v>
      </c>
      <c r="N3685" s="7">
        <f t="shared" si="286"/>
        <v>120</v>
      </c>
      <c r="O3685" s="2">
        <v>10</v>
      </c>
      <c r="P3685" s="8">
        <f t="shared" si="287"/>
        <v>130</v>
      </c>
      <c r="Q3685" s="8">
        <f t="shared" si="288"/>
        <v>64</v>
      </c>
      <c r="R3685" s="2" t="s">
        <v>50</v>
      </c>
      <c r="S3685" s="9">
        <f t="shared" si="289"/>
        <v>2.6</v>
      </c>
    </row>
    <row r="3686" spans="1:19" x14ac:dyDescent="0.3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str">
        <f>IFERROR(VLOOKUP('Customer Info'!A3678,'Customer Info'!A3678:C4177,2,FALSE),"Not Found")</f>
        <v>Not Found</v>
      </c>
      <c r="H3686" s="6" t="str">
        <f>IFERROR(VLOOKUP('Customer Info'!A3678,'Customer Info'!A3678:C4177,3,FALSE),"Not Found")</f>
        <v>Not Found</v>
      </c>
      <c r="I3686" s="6" t="str">
        <f>IFERROR(VLOOKUP('Customer Info'!A3678,'Customer Info'!A3678:E4177,5,FALSE),"Not Found")</f>
        <v>Not Found</v>
      </c>
      <c r="J3686" s="2">
        <v>136</v>
      </c>
      <c r="K3686" s="2">
        <v>130</v>
      </c>
      <c r="L3686" s="2">
        <v>2</v>
      </c>
      <c r="M3686" s="7">
        <f t="shared" si="285"/>
        <v>260</v>
      </c>
      <c r="N3686" s="7">
        <f t="shared" si="286"/>
        <v>272</v>
      </c>
      <c r="O3686" s="2">
        <v>30</v>
      </c>
      <c r="P3686" s="8">
        <f t="shared" si="287"/>
        <v>302</v>
      </c>
      <c r="Q3686" s="8">
        <f t="shared" si="288"/>
        <v>142</v>
      </c>
      <c r="R3686" s="2" t="s">
        <v>28</v>
      </c>
      <c r="S3686" s="9">
        <f t="shared" si="289"/>
        <v>6.04</v>
      </c>
    </row>
    <row r="3687" spans="1:19" x14ac:dyDescent="0.3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str">
        <f>IFERROR(VLOOKUP('Customer Info'!A3679,'Customer Info'!A3679:C4178,2,FALSE),"Not Found")</f>
        <v>Not Found</v>
      </c>
      <c r="H3687" s="6" t="str">
        <f>IFERROR(VLOOKUP('Customer Info'!A3679,'Customer Info'!A3679:C4178,3,FALSE),"Not Found")</f>
        <v>Not Found</v>
      </c>
      <c r="I3687" s="6" t="str">
        <f>IFERROR(VLOOKUP('Customer Info'!A3679,'Customer Info'!A3679:E4178,5,FALSE),"Not Found")</f>
        <v>Not Found</v>
      </c>
      <c r="J3687" s="2">
        <v>6598</v>
      </c>
      <c r="K3687" s="2">
        <v>6346</v>
      </c>
      <c r="L3687" s="2">
        <v>2</v>
      </c>
      <c r="M3687" s="7">
        <f t="shared" si="285"/>
        <v>12692</v>
      </c>
      <c r="N3687" s="7">
        <f t="shared" si="286"/>
        <v>13196</v>
      </c>
      <c r="O3687" s="2">
        <v>65</v>
      </c>
      <c r="P3687" s="8">
        <f t="shared" si="287"/>
        <v>13261</v>
      </c>
      <c r="Q3687" s="8">
        <f t="shared" si="288"/>
        <v>6850</v>
      </c>
      <c r="R3687" s="2" t="s">
        <v>26</v>
      </c>
      <c r="S3687" s="9">
        <f t="shared" si="289"/>
        <v>663.05000000000007</v>
      </c>
    </row>
    <row r="3688" spans="1:19" x14ac:dyDescent="0.3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str">
        <f>IFERROR(VLOOKUP('Customer Info'!A3680,'Customer Info'!A3680:C4179,2,FALSE),"Not Found")</f>
        <v>Not Found</v>
      </c>
      <c r="H3688" s="6" t="str">
        <f>IFERROR(VLOOKUP('Customer Info'!A3680,'Customer Info'!A3680:C4179,3,FALSE),"Not Found")</f>
        <v>Not Found</v>
      </c>
      <c r="I3688" s="6" t="str">
        <f>IFERROR(VLOOKUP('Customer Info'!A3680,'Customer Info'!A3680:E4179,5,FALSE),"Not Found")</f>
        <v>Not Found</v>
      </c>
      <c r="J3688" s="2">
        <v>2787</v>
      </c>
      <c r="K3688" s="2">
        <v>2681</v>
      </c>
      <c r="L3688" s="2">
        <v>2</v>
      </c>
      <c r="M3688" s="7">
        <f t="shared" si="285"/>
        <v>5362</v>
      </c>
      <c r="N3688" s="7">
        <f t="shared" si="286"/>
        <v>5574</v>
      </c>
      <c r="O3688" s="2">
        <v>96</v>
      </c>
      <c r="P3688" s="8">
        <f t="shared" si="287"/>
        <v>5670</v>
      </c>
      <c r="Q3688" s="8">
        <f t="shared" si="288"/>
        <v>2893</v>
      </c>
      <c r="R3688" s="2" t="s">
        <v>26</v>
      </c>
      <c r="S3688" s="9">
        <f t="shared" si="289"/>
        <v>283.5</v>
      </c>
    </row>
    <row r="3689" spans="1:19" x14ac:dyDescent="0.3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str">
        <f>IFERROR(VLOOKUP('Customer Info'!A3681,'Customer Info'!A3681:C4180,2,FALSE),"Not Found")</f>
        <v>Not Found</v>
      </c>
      <c r="H3689" s="6" t="str">
        <f>IFERROR(VLOOKUP('Customer Info'!A3681,'Customer Info'!A3681:C4180,3,FALSE),"Not Found")</f>
        <v>Not Found</v>
      </c>
      <c r="I3689" s="6" t="str">
        <f>IFERROR(VLOOKUP('Customer Info'!A3681,'Customer Info'!A3681:E4180,5,FALSE),"Not Found")</f>
        <v>Not Found</v>
      </c>
      <c r="J3689" s="2">
        <v>60</v>
      </c>
      <c r="K3689" s="2">
        <v>55</v>
      </c>
      <c r="L3689" s="2">
        <v>6</v>
      </c>
      <c r="M3689" s="7">
        <f t="shared" si="285"/>
        <v>330</v>
      </c>
      <c r="N3689" s="7">
        <f t="shared" si="286"/>
        <v>360</v>
      </c>
      <c r="O3689" s="2">
        <v>10</v>
      </c>
      <c r="P3689" s="8">
        <f t="shared" si="287"/>
        <v>370</v>
      </c>
      <c r="Q3689" s="8">
        <f t="shared" si="288"/>
        <v>305</v>
      </c>
      <c r="R3689" s="2" t="s">
        <v>28</v>
      </c>
      <c r="S3689" s="9">
        <f t="shared" si="289"/>
        <v>7.4</v>
      </c>
    </row>
    <row r="3690" spans="1:19" x14ac:dyDescent="0.3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str">
        <f>IFERROR(VLOOKUP('Customer Info'!A3682,'Customer Info'!A3682:C4181,2,FALSE),"Not Found")</f>
        <v>Not Found</v>
      </c>
      <c r="H3690" s="6" t="str">
        <f>IFERROR(VLOOKUP('Customer Info'!A3682,'Customer Info'!A3682:C4181,3,FALSE),"Not Found")</f>
        <v>Not Found</v>
      </c>
      <c r="I3690" s="6" t="str">
        <f>IFERROR(VLOOKUP('Customer Info'!A3682,'Customer Info'!A3682:E4181,5,FALSE),"Not Found")</f>
        <v>Not Found</v>
      </c>
      <c r="J3690" s="2">
        <v>1925</v>
      </c>
      <c r="K3690" s="2">
        <v>1834</v>
      </c>
      <c r="L3690" s="2">
        <v>3</v>
      </c>
      <c r="M3690" s="7">
        <f t="shared" si="285"/>
        <v>5502</v>
      </c>
      <c r="N3690" s="7">
        <f t="shared" si="286"/>
        <v>5775</v>
      </c>
      <c r="O3690" s="2">
        <v>83</v>
      </c>
      <c r="P3690" s="8">
        <f t="shared" si="287"/>
        <v>5858</v>
      </c>
      <c r="Q3690" s="8">
        <f t="shared" si="288"/>
        <v>3941</v>
      </c>
      <c r="R3690" s="2" t="s">
        <v>26</v>
      </c>
      <c r="S3690" s="9">
        <f t="shared" si="289"/>
        <v>292.90000000000003</v>
      </c>
    </row>
    <row r="3691" spans="1:19" x14ac:dyDescent="0.3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str">
        <f>IFERROR(VLOOKUP('Customer Info'!A3683,'Customer Info'!A3683:C4182,2,FALSE),"Not Found")</f>
        <v>Not Found</v>
      </c>
      <c r="H3691" s="6" t="str">
        <f>IFERROR(VLOOKUP('Customer Info'!A3683,'Customer Info'!A3683:C4182,3,FALSE),"Not Found")</f>
        <v>Not Found</v>
      </c>
      <c r="I3691" s="6" t="str">
        <f>IFERROR(VLOOKUP('Customer Info'!A3683,'Customer Info'!A3683:E4182,5,FALSE),"Not Found")</f>
        <v>Not Found</v>
      </c>
      <c r="J3691" s="2">
        <v>2017</v>
      </c>
      <c r="K3691" s="2">
        <v>1834</v>
      </c>
      <c r="L3691" s="2">
        <v>2</v>
      </c>
      <c r="M3691" s="7">
        <f t="shared" si="285"/>
        <v>3668</v>
      </c>
      <c r="N3691" s="7">
        <f t="shared" si="286"/>
        <v>4034</v>
      </c>
      <c r="O3691" s="2">
        <v>47</v>
      </c>
      <c r="P3691" s="8">
        <f t="shared" si="287"/>
        <v>4081</v>
      </c>
      <c r="Q3691" s="8">
        <f t="shared" si="288"/>
        <v>2200</v>
      </c>
      <c r="R3691" s="2" t="s">
        <v>28</v>
      </c>
      <c r="S3691" s="9">
        <f t="shared" si="289"/>
        <v>81.62</v>
      </c>
    </row>
    <row r="3692" spans="1:19" x14ac:dyDescent="0.3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str">
        <f>IFERROR(VLOOKUP('Customer Info'!A3684,'Customer Info'!A3684:C4183,2,FALSE),"Not Found")</f>
        <v>Not Found</v>
      </c>
      <c r="H3692" s="6" t="str">
        <f>IFERROR(VLOOKUP('Customer Info'!A3684,'Customer Info'!A3684:C4183,3,FALSE),"Not Found")</f>
        <v>Not Found</v>
      </c>
      <c r="I3692" s="6" t="str">
        <f>IFERROR(VLOOKUP('Customer Info'!A3684,'Customer Info'!A3684:E4183,5,FALSE),"Not Found")</f>
        <v>Not Found</v>
      </c>
      <c r="J3692" s="2">
        <v>8773</v>
      </c>
      <c r="K3692" s="2">
        <v>8115</v>
      </c>
      <c r="L3692" s="2">
        <v>4</v>
      </c>
      <c r="M3692" s="7">
        <f t="shared" si="285"/>
        <v>32460</v>
      </c>
      <c r="N3692" s="7">
        <f t="shared" si="286"/>
        <v>35092</v>
      </c>
      <c r="O3692" s="2">
        <v>100</v>
      </c>
      <c r="P3692" s="8">
        <f t="shared" si="287"/>
        <v>35192</v>
      </c>
      <c r="Q3692" s="8">
        <f t="shared" si="288"/>
        <v>26977</v>
      </c>
      <c r="R3692" s="2" t="s">
        <v>50</v>
      </c>
      <c r="S3692" s="9">
        <f t="shared" si="289"/>
        <v>2463.44</v>
      </c>
    </row>
    <row r="3693" spans="1:19" x14ac:dyDescent="0.3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str">
        <f>IFERROR(VLOOKUP('Customer Info'!A3685,'Customer Info'!A3685:C4184,2,FALSE),"Not Found")</f>
        <v>Not Found</v>
      </c>
      <c r="H3693" s="6" t="str">
        <f>IFERROR(VLOOKUP('Customer Info'!A3685,'Customer Info'!A3685:C4184,3,FALSE),"Not Found")</f>
        <v>Not Found</v>
      </c>
      <c r="I3693" s="6" t="str">
        <f>IFERROR(VLOOKUP('Customer Info'!A3685,'Customer Info'!A3685:E4184,5,FALSE),"Not Found")</f>
        <v>Not Found</v>
      </c>
      <c r="J3693" s="2">
        <v>8026</v>
      </c>
      <c r="K3693" s="2">
        <v>7572</v>
      </c>
      <c r="L3693" s="2">
        <v>2</v>
      </c>
      <c r="M3693" s="7">
        <f t="shared" si="285"/>
        <v>15144</v>
      </c>
      <c r="N3693" s="7">
        <f t="shared" si="286"/>
        <v>16052</v>
      </c>
      <c r="O3693" s="2">
        <v>65</v>
      </c>
      <c r="P3693" s="8">
        <f t="shared" si="287"/>
        <v>16117</v>
      </c>
      <c r="Q3693" s="8">
        <f t="shared" si="288"/>
        <v>8480</v>
      </c>
      <c r="R3693" s="2" t="s">
        <v>50</v>
      </c>
      <c r="S3693" s="9">
        <f t="shared" si="289"/>
        <v>805.85</v>
      </c>
    </row>
    <row r="3694" spans="1:19" x14ac:dyDescent="0.3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str">
        <f>IFERROR(VLOOKUP('Customer Info'!A3686,'Customer Info'!A3686:C4185,2,FALSE),"Not Found")</f>
        <v>Not Found</v>
      </c>
      <c r="H3694" s="6" t="str">
        <f>IFERROR(VLOOKUP('Customer Info'!A3686,'Customer Info'!A3686:C4185,3,FALSE),"Not Found")</f>
        <v>Not Found</v>
      </c>
      <c r="I3694" s="6" t="str">
        <f>IFERROR(VLOOKUP('Customer Info'!A3686,'Customer Info'!A3686:E4185,5,FALSE),"Not Found")</f>
        <v>Not Found</v>
      </c>
      <c r="J3694" s="2">
        <v>3256</v>
      </c>
      <c r="K3694" s="2">
        <v>2959</v>
      </c>
      <c r="L3694" s="2">
        <v>4</v>
      </c>
      <c r="M3694" s="7">
        <f t="shared" si="285"/>
        <v>11836</v>
      </c>
      <c r="N3694" s="7">
        <f t="shared" si="286"/>
        <v>13024</v>
      </c>
      <c r="O3694" s="2">
        <v>70</v>
      </c>
      <c r="P3694" s="8">
        <f t="shared" si="287"/>
        <v>13094</v>
      </c>
      <c r="Q3694" s="8">
        <f t="shared" si="288"/>
        <v>10065</v>
      </c>
      <c r="R3694" s="2" t="s">
        <v>28</v>
      </c>
      <c r="S3694" s="9">
        <f t="shared" si="289"/>
        <v>654.70000000000005</v>
      </c>
    </row>
    <row r="3695" spans="1:19" x14ac:dyDescent="0.3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str">
        <f>IFERROR(VLOOKUP('Customer Info'!A3687,'Customer Info'!A3687:C4186,2,FALSE),"Not Found")</f>
        <v>Not Found</v>
      </c>
      <c r="H3695" s="6" t="str">
        <f>IFERROR(VLOOKUP('Customer Info'!A3687,'Customer Info'!A3687:C4186,3,FALSE),"Not Found")</f>
        <v>Not Found</v>
      </c>
      <c r="I3695" s="6" t="str">
        <f>IFERROR(VLOOKUP('Customer Info'!A3687,'Customer Info'!A3687:E4186,5,FALSE),"Not Found")</f>
        <v>Not Found</v>
      </c>
      <c r="J3695" s="2">
        <v>139</v>
      </c>
      <c r="K3695" s="2">
        <v>133</v>
      </c>
      <c r="L3695" s="2">
        <v>6</v>
      </c>
      <c r="M3695" s="7">
        <f t="shared" si="285"/>
        <v>798</v>
      </c>
      <c r="N3695" s="7">
        <f t="shared" si="286"/>
        <v>834</v>
      </c>
      <c r="O3695" s="2">
        <v>30</v>
      </c>
      <c r="P3695" s="8">
        <f t="shared" si="287"/>
        <v>864</v>
      </c>
      <c r="Q3695" s="8">
        <f t="shared" si="288"/>
        <v>701</v>
      </c>
      <c r="R3695" s="2" t="s">
        <v>28</v>
      </c>
      <c r="S3695" s="9">
        <f t="shared" si="289"/>
        <v>17.28</v>
      </c>
    </row>
    <row r="3696" spans="1:19" x14ac:dyDescent="0.3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str">
        <f>IFERROR(VLOOKUP('Customer Info'!A3688,'Customer Info'!A3688:C4187,2,FALSE),"Not Found")</f>
        <v>Not Found</v>
      </c>
      <c r="H3696" s="6" t="str">
        <f>IFERROR(VLOOKUP('Customer Info'!A3688,'Customer Info'!A3688:C4187,3,FALSE),"Not Found")</f>
        <v>Not Found</v>
      </c>
      <c r="I3696" s="6" t="str">
        <f>IFERROR(VLOOKUP('Customer Info'!A3688,'Customer Info'!A3688:E4187,5,FALSE),"Not Found")</f>
        <v>Not Found</v>
      </c>
      <c r="J3696" s="2">
        <v>210</v>
      </c>
      <c r="K3696" s="2">
        <v>191</v>
      </c>
      <c r="L3696" s="2">
        <v>2</v>
      </c>
      <c r="M3696" s="7">
        <f t="shared" si="285"/>
        <v>382</v>
      </c>
      <c r="N3696" s="7">
        <f t="shared" si="286"/>
        <v>420</v>
      </c>
      <c r="O3696" s="2">
        <v>79</v>
      </c>
      <c r="P3696" s="8">
        <f t="shared" si="287"/>
        <v>499</v>
      </c>
      <c r="Q3696" s="8">
        <f t="shared" si="288"/>
        <v>229</v>
      </c>
      <c r="R3696" s="2" t="s">
        <v>50</v>
      </c>
      <c r="S3696" s="9">
        <f t="shared" si="289"/>
        <v>9.98</v>
      </c>
    </row>
    <row r="3697" spans="1:19" x14ac:dyDescent="0.3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str">
        <f>IFERROR(VLOOKUP('Customer Info'!A3689,'Customer Info'!A3689:C4188,2,FALSE),"Not Found")</f>
        <v>Not Found</v>
      </c>
      <c r="H3697" s="6" t="str">
        <f>IFERROR(VLOOKUP('Customer Info'!A3689,'Customer Info'!A3689:C4188,3,FALSE),"Not Found")</f>
        <v>Not Found</v>
      </c>
      <c r="I3697" s="6" t="str">
        <f>IFERROR(VLOOKUP('Customer Info'!A3689,'Customer Info'!A3689:E4188,5,FALSE),"Not Found")</f>
        <v>Not Found</v>
      </c>
      <c r="J3697" s="2">
        <v>1048</v>
      </c>
      <c r="K3697" s="2">
        <v>979</v>
      </c>
      <c r="L3697" s="2">
        <v>1</v>
      </c>
      <c r="M3697" s="7">
        <f t="shared" si="285"/>
        <v>979</v>
      </c>
      <c r="N3697" s="7">
        <f t="shared" si="286"/>
        <v>1048</v>
      </c>
      <c r="O3697" s="2">
        <v>49</v>
      </c>
      <c r="P3697" s="8">
        <f t="shared" si="287"/>
        <v>1097</v>
      </c>
      <c r="Q3697" s="8">
        <f t="shared" si="288"/>
        <v>69</v>
      </c>
      <c r="R3697" s="2" t="s">
        <v>26</v>
      </c>
      <c r="S3697" s="9">
        <f t="shared" si="289"/>
        <v>21.94</v>
      </c>
    </row>
    <row r="3698" spans="1:19" x14ac:dyDescent="0.3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str">
        <f>IFERROR(VLOOKUP('Customer Info'!A3690,'Customer Info'!A3690:C4189,2,FALSE),"Not Found")</f>
        <v>Not Found</v>
      </c>
      <c r="H3698" s="6" t="str">
        <f>IFERROR(VLOOKUP('Customer Info'!A3690,'Customer Info'!A3690:C4189,3,FALSE),"Not Found")</f>
        <v>Not Found</v>
      </c>
      <c r="I3698" s="6" t="str">
        <f>IFERROR(VLOOKUP('Customer Info'!A3690,'Customer Info'!A3690:E4189,5,FALSE),"Not Found")</f>
        <v>Not Found</v>
      </c>
      <c r="J3698" s="2">
        <v>56</v>
      </c>
      <c r="K3698" s="2">
        <v>54</v>
      </c>
      <c r="L3698" s="2">
        <v>4</v>
      </c>
      <c r="M3698" s="7">
        <f t="shared" si="285"/>
        <v>216</v>
      </c>
      <c r="N3698" s="7">
        <f t="shared" si="286"/>
        <v>224</v>
      </c>
      <c r="O3698" s="2">
        <v>10</v>
      </c>
      <c r="P3698" s="8">
        <f t="shared" si="287"/>
        <v>234</v>
      </c>
      <c r="Q3698" s="8">
        <f t="shared" si="288"/>
        <v>170</v>
      </c>
      <c r="R3698" s="2" t="s">
        <v>28</v>
      </c>
      <c r="S3698" s="9">
        <f t="shared" si="289"/>
        <v>4.68</v>
      </c>
    </row>
    <row r="3699" spans="1:19" x14ac:dyDescent="0.3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str">
        <f>IFERROR(VLOOKUP('Customer Info'!A3691,'Customer Info'!A3691:C4190,2,FALSE),"Not Found")</f>
        <v>Not Found</v>
      </c>
      <c r="H3699" s="6" t="str">
        <f>IFERROR(VLOOKUP('Customer Info'!A3691,'Customer Info'!A3691:C4190,3,FALSE),"Not Found")</f>
        <v>Not Found</v>
      </c>
      <c r="I3699" s="6" t="str">
        <f>IFERROR(VLOOKUP('Customer Info'!A3691,'Customer Info'!A3691:E4190,5,FALSE),"Not Found")</f>
        <v>Not Found</v>
      </c>
      <c r="J3699" s="2">
        <v>2747</v>
      </c>
      <c r="K3699" s="2">
        <v>2545</v>
      </c>
      <c r="L3699" s="2">
        <v>3</v>
      </c>
      <c r="M3699" s="7">
        <f t="shared" si="285"/>
        <v>7635</v>
      </c>
      <c r="N3699" s="7">
        <f t="shared" si="286"/>
        <v>8241</v>
      </c>
      <c r="O3699" s="2">
        <v>81</v>
      </c>
      <c r="P3699" s="8">
        <f t="shared" si="287"/>
        <v>8322</v>
      </c>
      <c r="Q3699" s="8">
        <f t="shared" si="288"/>
        <v>5696</v>
      </c>
      <c r="R3699" s="2" t="s">
        <v>26</v>
      </c>
      <c r="S3699" s="9">
        <f t="shared" si="289"/>
        <v>416.1</v>
      </c>
    </row>
    <row r="3700" spans="1:19" x14ac:dyDescent="0.3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str">
        <f>IFERROR(VLOOKUP('Customer Info'!A3692,'Customer Info'!A3692:C4191,2,FALSE),"Not Found")</f>
        <v>Not Found</v>
      </c>
      <c r="H3700" s="6" t="str">
        <f>IFERROR(VLOOKUP('Customer Info'!A3692,'Customer Info'!A3692:C4191,3,FALSE),"Not Found")</f>
        <v>Not Found</v>
      </c>
      <c r="I3700" s="6" t="str">
        <f>IFERROR(VLOOKUP('Customer Info'!A3692,'Customer Info'!A3692:E4191,5,FALSE),"Not Found")</f>
        <v>Not Found</v>
      </c>
      <c r="J3700" s="2">
        <v>4784</v>
      </c>
      <c r="K3700" s="2">
        <v>4518</v>
      </c>
      <c r="L3700" s="2">
        <v>4</v>
      </c>
      <c r="M3700" s="7">
        <f t="shared" si="285"/>
        <v>18072</v>
      </c>
      <c r="N3700" s="7">
        <f t="shared" si="286"/>
        <v>19136</v>
      </c>
      <c r="O3700" s="2">
        <v>85</v>
      </c>
      <c r="P3700" s="8">
        <f t="shared" si="287"/>
        <v>19221</v>
      </c>
      <c r="Q3700" s="8">
        <f t="shared" si="288"/>
        <v>14618</v>
      </c>
      <c r="R3700" s="2" t="s">
        <v>28</v>
      </c>
      <c r="S3700" s="9">
        <f t="shared" si="289"/>
        <v>961.05000000000007</v>
      </c>
    </row>
    <row r="3701" spans="1:19" x14ac:dyDescent="0.3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str">
        <f>IFERROR(VLOOKUP('Customer Info'!A3693,'Customer Info'!A3693:C4192,2,FALSE),"Not Found")</f>
        <v>Not Found</v>
      </c>
      <c r="H3701" s="6" t="str">
        <f>IFERROR(VLOOKUP('Customer Info'!A3693,'Customer Info'!A3693:C4192,3,FALSE),"Not Found")</f>
        <v>Not Found</v>
      </c>
      <c r="I3701" s="6" t="str">
        <f>IFERROR(VLOOKUP('Customer Info'!A3693,'Customer Info'!A3693:E4192,5,FALSE),"Not Found")</f>
        <v>Not Found</v>
      </c>
      <c r="J3701" s="2">
        <v>4122</v>
      </c>
      <c r="K3701" s="2">
        <v>3781</v>
      </c>
      <c r="L3701" s="2">
        <v>4</v>
      </c>
      <c r="M3701" s="7">
        <f t="shared" si="285"/>
        <v>15124</v>
      </c>
      <c r="N3701" s="7">
        <f t="shared" si="286"/>
        <v>16488</v>
      </c>
      <c r="O3701" s="2">
        <v>23</v>
      </c>
      <c r="P3701" s="8">
        <f t="shared" si="287"/>
        <v>16511</v>
      </c>
      <c r="Q3701" s="8">
        <f t="shared" si="288"/>
        <v>12707</v>
      </c>
      <c r="R3701" s="2" t="s">
        <v>50</v>
      </c>
      <c r="S3701" s="9">
        <f t="shared" si="289"/>
        <v>825.55000000000007</v>
      </c>
    </row>
    <row r="3702" spans="1:19" x14ac:dyDescent="0.3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str">
        <f>IFERROR(VLOOKUP('Customer Info'!A3694,'Customer Info'!A3694:C4193,2,FALSE),"Not Found")</f>
        <v>Not Found</v>
      </c>
      <c r="H3702" s="6" t="str">
        <f>IFERROR(VLOOKUP('Customer Info'!A3694,'Customer Info'!A3694:C4193,3,FALSE),"Not Found")</f>
        <v>Not Found</v>
      </c>
      <c r="I3702" s="6" t="str">
        <f>IFERROR(VLOOKUP('Customer Info'!A3694,'Customer Info'!A3694:E4193,5,FALSE),"Not Found")</f>
        <v>Not Found</v>
      </c>
      <c r="J3702" s="2">
        <v>101</v>
      </c>
      <c r="K3702" s="2">
        <v>98</v>
      </c>
      <c r="L3702" s="2">
        <v>2</v>
      </c>
      <c r="M3702" s="7">
        <f t="shared" si="285"/>
        <v>196</v>
      </c>
      <c r="N3702" s="7">
        <f t="shared" si="286"/>
        <v>202</v>
      </c>
      <c r="O3702" s="2">
        <v>10</v>
      </c>
      <c r="P3702" s="8">
        <f t="shared" si="287"/>
        <v>212</v>
      </c>
      <c r="Q3702" s="8">
        <f t="shared" si="288"/>
        <v>104</v>
      </c>
      <c r="R3702" s="2" t="s">
        <v>50</v>
      </c>
      <c r="S3702" s="9">
        <f t="shared" si="289"/>
        <v>4.24</v>
      </c>
    </row>
    <row r="3703" spans="1:19" x14ac:dyDescent="0.3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str">
        <f>IFERROR(VLOOKUP('Customer Info'!A3695,'Customer Info'!A3695:C4194,2,FALSE),"Not Found")</f>
        <v>Not Found</v>
      </c>
      <c r="H3703" s="6" t="str">
        <f>IFERROR(VLOOKUP('Customer Info'!A3695,'Customer Info'!A3695:C4194,3,FALSE),"Not Found")</f>
        <v>Not Found</v>
      </c>
      <c r="I3703" s="6" t="str">
        <f>IFERROR(VLOOKUP('Customer Info'!A3695,'Customer Info'!A3695:E4194,5,FALSE),"Not Found")</f>
        <v>Not Found</v>
      </c>
      <c r="J3703" s="2">
        <v>1734</v>
      </c>
      <c r="K3703" s="2">
        <v>1702</v>
      </c>
      <c r="L3703" s="2">
        <v>3</v>
      </c>
      <c r="M3703" s="7">
        <f t="shared" si="285"/>
        <v>5106</v>
      </c>
      <c r="N3703" s="7">
        <f t="shared" si="286"/>
        <v>5202</v>
      </c>
      <c r="O3703" s="2">
        <v>39</v>
      </c>
      <c r="P3703" s="8">
        <f t="shared" si="287"/>
        <v>5241</v>
      </c>
      <c r="Q3703" s="8">
        <f t="shared" si="288"/>
        <v>3500</v>
      </c>
      <c r="R3703" s="2" t="s">
        <v>28</v>
      </c>
      <c r="S3703" s="9">
        <f t="shared" si="289"/>
        <v>262.05</v>
      </c>
    </row>
    <row r="3704" spans="1:19" x14ac:dyDescent="0.3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str">
        <f>IFERROR(VLOOKUP('Customer Info'!A3696,'Customer Info'!A3696:C4195,2,FALSE),"Not Found")</f>
        <v>Not Found</v>
      </c>
      <c r="H3704" s="6" t="str">
        <f>IFERROR(VLOOKUP('Customer Info'!A3696,'Customer Info'!A3696:C4195,3,FALSE),"Not Found")</f>
        <v>Not Found</v>
      </c>
      <c r="I3704" s="6" t="str">
        <f>IFERROR(VLOOKUP('Customer Info'!A3696,'Customer Info'!A3696:E4195,5,FALSE),"Not Found")</f>
        <v>Not Found</v>
      </c>
      <c r="J3704" s="2">
        <v>139</v>
      </c>
      <c r="K3704" s="2">
        <v>133</v>
      </c>
      <c r="L3704" s="2">
        <v>3</v>
      </c>
      <c r="M3704" s="7">
        <f t="shared" si="285"/>
        <v>399</v>
      </c>
      <c r="N3704" s="7">
        <f t="shared" si="286"/>
        <v>417</v>
      </c>
      <c r="O3704" s="2">
        <v>30</v>
      </c>
      <c r="P3704" s="8">
        <f t="shared" si="287"/>
        <v>447</v>
      </c>
      <c r="Q3704" s="8">
        <f t="shared" si="288"/>
        <v>284</v>
      </c>
      <c r="R3704" s="2" t="s">
        <v>28</v>
      </c>
      <c r="S3704" s="9">
        <f t="shared" si="289"/>
        <v>8.94</v>
      </c>
    </row>
    <row r="3705" spans="1:19" x14ac:dyDescent="0.3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str">
        <f>IFERROR(VLOOKUP('Customer Info'!A3697,'Customer Info'!A3697:C4196,2,FALSE),"Not Found")</f>
        <v>Not Found</v>
      </c>
      <c r="H3705" s="6" t="str">
        <f>IFERROR(VLOOKUP('Customer Info'!A3697,'Customer Info'!A3697:C4196,3,FALSE),"Not Found")</f>
        <v>Not Found</v>
      </c>
      <c r="I3705" s="6" t="str">
        <f>IFERROR(VLOOKUP('Customer Info'!A3697,'Customer Info'!A3697:E4196,5,FALSE),"Not Found")</f>
        <v>Not Found</v>
      </c>
      <c r="J3705" s="2">
        <v>139</v>
      </c>
      <c r="K3705" s="2">
        <v>133</v>
      </c>
      <c r="L3705" s="2">
        <v>3</v>
      </c>
      <c r="M3705" s="7">
        <f t="shared" si="285"/>
        <v>399</v>
      </c>
      <c r="N3705" s="7">
        <f t="shared" si="286"/>
        <v>417</v>
      </c>
      <c r="O3705" s="2">
        <v>30</v>
      </c>
      <c r="P3705" s="8">
        <f t="shared" si="287"/>
        <v>447</v>
      </c>
      <c r="Q3705" s="8">
        <f t="shared" si="288"/>
        <v>284</v>
      </c>
      <c r="R3705" s="2" t="s">
        <v>28</v>
      </c>
      <c r="S3705" s="9">
        <f t="shared" si="289"/>
        <v>8.94</v>
      </c>
    </row>
    <row r="3706" spans="1:19" x14ac:dyDescent="0.3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str">
        <f>IFERROR(VLOOKUP('Customer Info'!A3698,'Customer Info'!A3698:C4197,2,FALSE),"Not Found")</f>
        <v>Not Found</v>
      </c>
      <c r="H3706" s="6" t="str">
        <f>IFERROR(VLOOKUP('Customer Info'!A3698,'Customer Info'!A3698:C4197,3,FALSE),"Not Found")</f>
        <v>Not Found</v>
      </c>
      <c r="I3706" s="6" t="str">
        <f>IFERROR(VLOOKUP('Customer Info'!A3698,'Customer Info'!A3698:E4197,5,FALSE),"Not Found")</f>
        <v>Not Found</v>
      </c>
      <c r="J3706" s="2">
        <v>3288</v>
      </c>
      <c r="K3706" s="2">
        <v>3041</v>
      </c>
      <c r="L3706" s="2">
        <v>4</v>
      </c>
      <c r="M3706" s="7">
        <f t="shared" si="285"/>
        <v>12164</v>
      </c>
      <c r="N3706" s="7">
        <f t="shared" si="286"/>
        <v>13152</v>
      </c>
      <c r="O3706" s="2">
        <v>51</v>
      </c>
      <c r="P3706" s="8">
        <f t="shared" si="287"/>
        <v>13203</v>
      </c>
      <c r="Q3706" s="8">
        <f t="shared" si="288"/>
        <v>10111</v>
      </c>
      <c r="R3706" s="2" t="s">
        <v>50</v>
      </c>
      <c r="S3706" s="9">
        <f t="shared" si="289"/>
        <v>660.15000000000009</v>
      </c>
    </row>
    <row r="3707" spans="1:19" x14ac:dyDescent="0.3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str">
        <f>IFERROR(VLOOKUP('Customer Info'!A3699,'Customer Info'!A3699:C4198,2,FALSE),"Not Found")</f>
        <v>Not Found</v>
      </c>
      <c r="H3707" s="6" t="str">
        <f>IFERROR(VLOOKUP('Customer Info'!A3699,'Customer Info'!A3699:C4198,3,FALSE),"Not Found")</f>
        <v>Not Found</v>
      </c>
      <c r="I3707" s="6" t="str">
        <f>IFERROR(VLOOKUP('Customer Info'!A3699,'Customer Info'!A3699:E4198,5,FALSE),"Not Found")</f>
        <v>Not Found</v>
      </c>
      <c r="J3707" s="2">
        <v>1654</v>
      </c>
      <c r="K3707" s="2">
        <v>1577</v>
      </c>
      <c r="L3707" s="2">
        <v>1</v>
      </c>
      <c r="M3707" s="7">
        <f t="shared" si="285"/>
        <v>1577</v>
      </c>
      <c r="N3707" s="7">
        <f t="shared" si="286"/>
        <v>1654</v>
      </c>
      <c r="O3707" s="2">
        <v>21</v>
      </c>
      <c r="P3707" s="8">
        <f t="shared" si="287"/>
        <v>1675</v>
      </c>
      <c r="Q3707" s="8">
        <f t="shared" si="288"/>
        <v>77</v>
      </c>
      <c r="R3707" s="2" t="s">
        <v>50</v>
      </c>
      <c r="S3707" s="9">
        <f t="shared" si="289"/>
        <v>33.5</v>
      </c>
    </row>
    <row r="3708" spans="1:19" x14ac:dyDescent="0.3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str">
        <f>IFERROR(VLOOKUP('Customer Info'!A3700,'Customer Info'!A3700:C4199,2,FALSE),"Not Found")</f>
        <v>Not Found</v>
      </c>
      <c r="H3708" s="6" t="str">
        <f>IFERROR(VLOOKUP('Customer Info'!A3700,'Customer Info'!A3700:C4199,3,FALSE),"Not Found")</f>
        <v>Not Found</v>
      </c>
      <c r="I3708" s="6" t="str">
        <f>IFERROR(VLOOKUP('Customer Info'!A3700,'Customer Info'!A3700:E4199,5,FALSE),"Not Found")</f>
        <v>Not Found</v>
      </c>
      <c r="J3708" s="2">
        <v>2790</v>
      </c>
      <c r="K3708" s="2">
        <v>2557</v>
      </c>
      <c r="L3708" s="2">
        <v>3</v>
      </c>
      <c r="M3708" s="7">
        <f t="shared" si="285"/>
        <v>7671</v>
      </c>
      <c r="N3708" s="7">
        <f t="shared" si="286"/>
        <v>8370</v>
      </c>
      <c r="O3708" s="2">
        <v>94</v>
      </c>
      <c r="P3708" s="8">
        <f t="shared" si="287"/>
        <v>8464</v>
      </c>
      <c r="Q3708" s="8">
        <f t="shared" si="288"/>
        <v>5813</v>
      </c>
      <c r="R3708" s="2" t="s">
        <v>28</v>
      </c>
      <c r="S3708" s="9">
        <f t="shared" si="289"/>
        <v>423.20000000000005</v>
      </c>
    </row>
    <row r="3709" spans="1:19" x14ac:dyDescent="0.3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str">
        <f>IFERROR(VLOOKUP('Customer Info'!A3701,'Customer Info'!A3701:C4200,2,FALSE),"Not Found")</f>
        <v>Not Found</v>
      </c>
      <c r="H3709" s="6" t="str">
        <f>IFERROR(VLOOKUP('Customer Info'!A3701,'Customer Info'!A3701:C4200,3,FALSE),"Not Found")</f>
        <v>Not Found</v>
      </c>
      <c r="I3709" s="6" t="str">
        <f>IFERROR(VLOOKUP('Customer Info'!A3701,'Customer Info'!A3701:E4200,5,FALSE),"Not Found")</f>
        <v>Not Found</v>
      </c>
      <c r="J3709" s="2">
        <v>2453</v>
      </c>
      <c r="K3709" s="2">
        <v>2336</v>
      </c>
      <c r="L3709" s="2">
        <v>3</v>
      </c>
      <c r="M3709" s="7">
        <f t="shared" si="285"/>
        <v>7008</v>
      </c>
      <c r="N3709" s="7">
        <f t="shared" si="286"/>
        <v>7359</v>
      </c>
      <c r="O3709" s="2">
        <v>47</v>
      </c>
      <c r="P3709" s="8">
        <f t="shared" si="287"/>
        <v>7406</v>
      </c>
      <c r="Q3709" s="8">
        <f t="shared" si="288"/>
        <v>5023</v>
      </c>
      <c r="R3709" s="2" t="s">
        <v>28</v>
      </c>
      <c r="S3709" s="9">
        <f t="shared" si="289"/>
        <v>370.3</v>
      </c>
    </row>
    <row r="3710" spans="1:19" x14ac:dyDescent="0.3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str">
        <f>IFERROR(VLOOKUP('Customer Info'!A3702,'Customer Info'!A3702:C4201,2,FALSE),"Not Found")</f>
        <v>Not Found</v>
      </c>
      <c r="H3710" s="6" t="str">
        <f>IFERROR(VLOOKUP('Customer Info'!A3702,'Customer Info'!A3702:C4201,3,FALSE),"Not Found")</f>
        <v>Not Found</v>
      </c>
      <c r="I3710" s="6" t="str">
        <f>IFERROR(VLOOKUP('Customer Info'!A3702,'Customer Info'!A3702:E4201,5,FALSE),"Not Found")</f>
        <v>Not Found</v>
      </c>
      <c r="J3710" s="2">
        <v>695</v>
      </c>
      <c r="K3710" s="2">
        <v>661</v>
      </c>
      <c r="L3710" s="2">
        <v>6</v>
      </c>
      <c r="M3710" s="7">
        <f t="shared" si="285"/>
        <v>3966</v>
      </c>
      <c r="N3710" s="7">
        <f t="shared" si="286"/>
        <v>4170</v>
      </c>
      <c r="O3710" s="2">
        <v>50</v>
      </c>
      <c r="P3710" s="8">
        <f t="shared" si="287"/>
        <v>4220</v>
      </c>
      <c r="Q3710" s="8">
        <f t="shared" si="288"/>
        <v>3509</v>
      </c>
      <c r="R3710" s="2" t="s">
        <v>28</v>
      </c>
      <c r="S3710" s="9">
        <f t="shared" si="289"/>
        <v>84.4</v>
      </c>
    </row>
    <row r="3711" spans="1:19" x14ac:dyDescent="0.3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str">
        <f>IFERROR(VLOOKUP('Customer Info'!A3703,'Customer Info'!A3703:C4202,2,FALSE),"Not Found")</f>
        <v>Not Found</v>
      </c>
      <c r="H3711" s="6" t="str">
        <f>IFERROR(VLOOKUP('Customer Info'!A3703,'Customer Info'!A3703:C4202,3,FALSE),"Not Found")</f>
        <v>Not Found</v>
      </c>
      <c r="I3711" s="6" t="str">
        <f>IFERROR(VLOOKUP('Customer Info'!A3703,'Customer Info'!A3703:E4202,5,FALSE),"Not Found")</f>
        <v>Not Found</v>
      </c>
      <c r="J3711" s="2">
        <v>3053</v>
      </c>
      <c r="K3711" s="2">
        <v>2937</v>
      </c>
      <c r="L3711" s="2">
        <v>2</v>
      </c>
      <c r="M3711" s="7">
        <f t="shared" si="285"/>
        <v>5874</v>
      </c>
      <c r="N3711" s="7">
        <f t="shared" si="286"/>
        <v>6106</v>
      </c>
      <c r="O3711" s="2">
        <v>29</v>
      </c>
      <c r="P3711" s="8">
        <f t="shared" si="287"/>
        <v>6135</v>
      </c>
      <c r="Q3711" s="8">
        <f t="shared" si="288"/>
        <v>3169</v>
      </c>
      <c r="R3711" s="2" t="s">
        <v>28</v>
      </c>
      <c r="S3711" s="9">
        <f t="shared" si="289"/>
        <v>306.75</v>
      </c>
    </row>
    <row r="3712" spans="1:19" x14ac:dyDescent="0.3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str">
        <f>IFERROR(VLOOKUP('Customer Info'!A3704,'Customer Info'!A3704:C4203,2,FALSE),"Not Found")</f>
        <v>Not Found</v>
      </c>
      <c r="H3712" s="6" t="str">
        <f>IFERROR(VLOOKUP('Customer Info'!A3704,'Customer Info'!A3704:C4203,3,FALSE),"Not Found")</f>
        <v>Not Found</v>
      </c>
      <c r="I3712" s="6" t="str">
        <f>IFERROR(VLOOKUP('Customer Info'!A3704,'Customer Info'!A3704:E4203,5,FALSE),"Not Found")</f>
        <v>Not Found</v>
      </c>
      <c r="J3712" s="2">
        <v>191</v>
      </c>
      <c r="K3712" s="2">
        <v>170</v>
      </c>
      <c r="L3712" s="2">
        <v>2</v>
      </c>
      <c r="M3712" s="7">
        <f t="shared" si="285"/>
        <v>340</v>
      </c>
      <c r="N3712" s="7">
        <f t="shared" si="286"/>
        <v>382</v>
      </c>
      <c r="O3712" s="2">
        <v>30</v>
      </c>
      <c r="P3712" s="8">
        <f t="shared" si="287"/>
        <v>412</v>
      </c>
      <c r="Q3712" s="8">
        <f t="shared" si="288"/>
        <v>212</v>
      </c>
      <c r="R3712" s="2" t="s">
        <v>50</v>
      </c>
      <c r="S3712" s="9">
        <f t="shared" si="289"/>
        <v>8.24</v>
      </c>
    </row>
    <row r="3713" spans="1:19" x14ac:dyDescent="0.3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str">
        <f>IFERROR(VLOOKUP('Customer Info'!A3705,'Customer Info'!A3705:C4204,2,FALSE),"Not Found")</f>
        <v>Not Found</v>
      </c>
      <c r="H3713" s="6" t="str">
        <f>IFERROR(VLOOKUP('Customer Info'!A3705,'Customer Info'!A3705:C4204,3,FALSE),"Not Found")</f>
        <v>Not Found</v>
      </c>
      <c r="I3713" s="6" t="str">
        <f>IFERROR(VLOOKUP('Customer Info'!A3705,'Customer Info'!A3705:E4204,5,FALSE),"Not Found")</f>
        <v>Not Found</v>
      </c>
      <c r="J3713" s="2">
        <v>2205</v>
      </c>
      <c r="K3713" s="2">
        <v>2061</v>
      </c>
      <c r="L3713" s="2">
        <v>6</v>
      </c>
      <c r="M3713" s="7">
        <f t="shared" si="285"/>
        <v>12366</v>
      </c>
      <c r="N3713" s="7">
        <f t="shared" si="286"/>
        <v>13230</v>
      </c>
      <c r="O3713" s="2">
        <v>33</v>
      </c>
      <c r="P3713" s="8">
        <f t="shared" si="287"/>
        <v>13263</v>
      </c>
      <c r="Q3713" s="8">
        <f t="shared" si="288"/>
        <v>11169</v>
      </c>
      <c r="R3713" s="2" t="s">
        <v>50</v>
      </c>
      <c r="S3713" s="9">
        <f t="shared" si="289"/>
        <v>663.15000000000009</v>
      </c>
    </row>
    <row r="3714" spans="1:19" x14ac:dyDescent="0.3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str">
        <f>IFERROR(VLOOKUP('Customer Info'!A3706,'Customer Info'!A3706:C4205,2,FALSE),"Not Found")</f>
        <v>Not Found</v>
      </c>
      <c r="H3714" s="6" t="str">
        <f>IFERROR(VLOOKUP('Customer Info'!A3706,'Customer Info'!A3706:C4205,3,FALSE),"Not Found")</f>
        <v>Not Found</v>
      </c>
      <c r="I3714" s="6" t="str">
        <f>IFERROR(VLOOKUP('Customer Info'!A3706,'Customer Info'!A3706:E4205,5,FALSE),"Not Found")</f>
        <v>Not Found</v>
      </c>
      <c r="J3714" s="2">
        <v>1770</v>
      </c>
      <c r="K3714" s="2">
        <v>1592</v>
      </c>
      <c r="L3714" s="2">
        <v>6</v>
      </c>
      <c r="M3714" s="7">
        <f t="shared" si="285"/>
        <v>9552</v>
      </c>
      <c r="N3714" s="7">
        <f t="shared" si="286"/>
        <v>10620</v>
      </c>
      <c r="O3714" s="2">
        <v>68</v>
      </c>
      <c r="P3714" s="8">
        <f t="shared" si="287"/>
        <v>10688</v>
      </c>
      <c r="Q3714" s="8">
        <f t="shared" si="288"/>
        <v>9028</v>
      </c>
      <c r="R3714" s="2" t="s">
        <v>28</v>
      </c>
      <c r="S3714" s="9">
        <f t="shared" si="289"/>
        <v>534.4</v>
      </c>
    </row>
    <row r="3715" spans="1:19" x14ac:dyDescent="0.3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str">
        <f>IFERROR(VLOOKUP('Customer Info'!A3707,'Customer Info'!A3707:C4206,2,FALSE),"Not Found")</f>
        <v>Not Found</v>
      </c>
      <c r="H3715" s="6" t="str">
        <f>IFERROR(VLOOKUP('Customer Info'!A3707,'Customer Info'!A3707:C4206,3,FALSE),"Not Found")</f>
        <v>Not Found</v>
      </c>
      <c r="I3715" s="6" t="str">
        <f>IFERROR(VLOOKUP('Customer Info'!A3707,'Customer Info'!A3707:E4206,5,FALSE),"Not Found")</f>
        <v>Not Found</v>
      </c>
      <c r="J3715" s="2">
        <v>1569</v>
      </c>
      <c r="K3715" s="2">
        <v>1466</v>
      </c>
      <c r="L3715" s="2">
        <v>4</v>
      </c>
      <c r="M3715" s="7">
        <f t="shared" si="285"/>
        <v>5864</v>
      </c>
      <c r="N3715" s="7">
        <f t="shared" si="286"/>
        <v>6276</v>
      </c>
      <c r="O3715" s="2">
        <v>96</v>
      </c>
      <c r="P3715" s="8">
        <f t="shared" si="287"/>
        <v>6372</v>
      </c>
      <c r="Q3715" s="8">
        <f t="shared" si="288"/>
        <v>4810</v>
      </c>
      <c r="R3715" s="2" t="s">
        <v>26</v>
      </c>
      <c r="S3715" s="9">
        <f t="shared" si="289"/>
        <v>318.60000000000002</v>
      </c>
    </row>
    <row r="3716" spans="1:19" x14ac:dyDescent="0.3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str">
        <f>IFERROR(VLOOKUP('Customer Info'!A3708,'Customer Info'!A3708:C4207,2,FALSE),"Not Found")</f>
        <v>Not Found</v>
      </c>
      <c r="H3716" s="6" t="str">
        <f>IFERROR(VLOOKUP('Customer Info'!A3708,'Customer Info'!A3708:C4207,3,FALSE),"Not Found")</f>
        <v>Not Found</v>
      </c>
      <c r="I3716" s="6" t="str">
        <f>IFERROR(VLOOKUP('Customer Info'!A3708,'Customer Info'!A3708:E4207,5,FALSE),"Not Found")</f>
        <v>Not Found</v>
      </c>
      <c r="J3716" s="2">
        <v>214</v>
      </c>
      <c r="K3716" s="2">
        <v>200</v>
      </c>
      <c r="L3716" s="2">
        <v>2</v>
      </c>
      <c r="M3716" s="7">
        <f t="shared" si="285"/>
        <v>400</v>
      </c>
      <c r="N3716" s="7">
        <f t="shared" si="286"/>
        <v>428</v>
      </c>
      <c r="O3716" s="2">
        <v>89</v>
      </c>
      <c r="P3716" s="8">
        <f t="shared" si="287"/>
        <v>517</v>
      </c>
      <c r="Q3716" s="8">
        <f t="shared" si="288"/>
        <v>228</v>
      </c>
      <c r="R3716" s="2" t="s">
        <v>28</v>
      </c>
      <c r="S3716" s="9">
        <f t="shared" si="289"/>
        <v>10.34</v>
      </c>
    </row>
    <row r="3717" spans="1:19" x14ac:dyDescent="0.3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str">
        <f>IFERROR(VLOOKUP('Customer Info'!A3709,'Customer Info'!A3709:C4208,2,FALSE),"Not Found")</f>
        <v>Not Found</v>
      </c>
      <c r="H3717" s="6" t="str">
        <f>IFERROR(VLOOKUP('Customer Info'!A3709,'Customer Info'!A3709:C4208,3,FALSE),"Not Found")</f>
        <v>Not Found</v>
      </c>
      <c r="I3717" s="6" t="str">
        <f>IFERROR(VLOOKUP('Customer Info'!A3709,'Customer Info'!A3709:E4208,5,FALSE),"Not Found")</f>
        <v>Not Found</v>
      </c>
      <c r="J3717" s="2">
        <v>5882</v>
      </c>
      <c r="K3717" s="2">
        <v>5713</v>
      </c>
      <c r="L3717" s="2">
        <v>4</v>
      </c>
      <c r="M3717" s="7">
        <f t="shared" si="285"/>
        <v>22852</v>
      </c>
      <c r="N3717" s="7">
        <f t="shared" si="286"/>
        <v>23528</v>
      </c>
      <c r="O3717" s="2">
        <v>66</v>
      </c>
      <c r="P3717" s="8">
        <f t="shared" si="287"/>
        <v>23594</v>
      </c>
      <c r="Q3717" s="8">
        <f t="shared" si="288"/>
        <v>17815</v>
      </c>
      <c r="R3717" s="2" t="s">
        <v>28</v>
      </c>
      <c r="S3717" s="9">
        <f t="shared" si="289"/>
        <v>1179.7</v>
      </c>
    </row>
    <row r="3718" spans="1:19" x14ac:dyDescent="0.3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str">
        <f>IFERROR(VLOOKUP('Customer Info'!A3710,'Customer Info'!A3710:C4209,2,FALSE),"Not Found")</f>
        <v>Not Found</v>
      </c>
      <c r="H3718" s="6" t="str">
        <f>IFERROR(VLOOKUP('Customer Info'!A3710,'Customer Info'!A3710:C4209,3,FALSE),"Not Found")</f>
        <v>Not Found</v>
      </c>
      <c r="I3718" s="6" t="str">
        <f>IFERROR(VLOOKUP('Customer Info'!A3710,'Customer Info'!A3710:E4209,5,FALSE),"Not Found")</f>
        <v>Not Found</v>
      </c>
      <c r="J3718" s="2">
        <v>170</v>
      </c>
      <c r="K3718" s="2">
        <v>153</v>
      </c>
      <c r="L3718" s="2">
        <v>1</v>
      </c>
      <c r="M3718" s="7">
        <f t="shared" si="285"/>
        <v>153</v>
      </c>
      <c r="N3718" s="7">
        <f t="shared" si="286"/>
        <v>170</v>
      </c>
      <c r="O3718" s="2">
        <v>30</v>
      </c>
      <c r="P3718" s="8">
        <f t="shared" si="287"/>
        <v>200</v>
      </c>
      <c r="Q3718" s="8">
        <f t="shared" si="288"/>
        <v>17</v>
      </c>
      <c r="R3718" s="2" t="s">
        <v>50</v>
      </c>
      <c r="S3718" s="9">
        <f t="shared" si="289"/>
        <v>4</v>
      </c>
    </row>
    <row r="3719" spans="1:19" x14ac:dyDescent="0.3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str">
        <f>IFERROR(VLOOKUP('Customer Info'!A3711,'Customer Info'!A3711:C4210,2,FALSE),"Not Found")</f>
        <v>Not Found</v>
      </c>
      <c r="H3719" s="6" t="str">
        <f>IFERROR(VLOOKUP('Customer Info'!A3711,'Customer Info'!A3711:C4210,3,FALSE),"Not Found")</f>
        <v>Not Found</v>
      </c>
      <c r="I3719" s="6" t="str">
        <f>IFERROR(VLOOKUP('Customer Info'!A3711,'Customer Info'!A3711:E4210,5,FALSE),"Not Found")</f>
        <v>Not Found</v>
      </c>
      <c r="J3719" s="2">
        <v>3041</v>
      </c>
      <c r="K3719" s="2">
        <v>2927</v>
      </c>
      <c r="L3719" s="2">
        <v>2</v>
      </c>
      <c r="M3719" s="7">
        <f t="shared" si="285"/>
        <v>5854</v>
      </c>
      <c r="N3719" s="7">
        <f t="shared" si="286"/>
        <v>6082</v>
      </c>
      <c r="O3719" s="2">
        <v>37</v>
      </c>
      <c r="P3719" s="8">
        <f t="shared" si="287"/>
        <v>6119</v>
      </c>
      <c r="Q3719" s="8">
        <f t="shared" si="288"/>
        <v>3155</v>
      </c>
      <c r="R3719" s="2" t="s">
        <v>50</v>
      </c>
      <c r="S3719" s="9">
        <f t="shared" si="289"/>
        <v>305.95</v>
      </c>
    </row>
    <row r="3720" spans="1:19" x14ac:dyDescent="0.3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str">
        <f>IFERROR(VLOOKUP('Customer Info'!A3712,'Customer Info'!A3712:C4211,2,FALSE),"Not Found")</f>
        <v>Not Found</v>
      </c>
      <c r="H3720" s="6" t="str">
        <f>IFERROR(VLOOKUP('Customer Info'!A3712,'Customer Info'!A3712:C4211,3,FALSE),"Not Found")</f>
        <v>Not Found</v>
      </c>
      <c r="I3720" s="6" t="str">
        <f>IFERROR(VLOOKUP('Customer Info'!A3712,'Customer Info'!A3712:E4211,5,FALSE),"Not Found")</f>
        <v>Not Found</v>
      </c>
      <c r="J3720" s="2">
        <v>6337</v>
      </c>
      <c r="K3720" s="2">
        <v>6215</v>
      </c>
      <c r="L3720" s="2">
        <v>3</v>
      </c>
      <c r="M3720" s="7">
        <f t="shared" si="285"/>
        <v>18645</v>
      </c>
      <c r="N3720" s="7">
        <f t="shared" si="286"/>
        <v>19011</v>
      </c>
      <c r="O3720" s="2">
        <v>66</v>
      </c>
      <c r="P3720" s="8">
        <f t="shared" si="287"/>
        <v>19077</v>
      </c>
      <c r="Q3720" s="8">
        <f t="shared" si="288"/>
        <v>12796</v>
      </c>
      <c r="R3720" s="2" t="s">
        <v>28</v>
      </c>
      <c r="S3720" s="9">
        <f t="shared" si="289"/>
        <v>953.85</v>
      </c>
    </row>
    <row r="3721" spans="1:19" x14ac:dyDescent="0.3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str">
        <f>IFERROR(VLOOKUP('Customer Info'!A3713,'Customer Info'!A3713:C4212,2,FALSE),"Not Found")</f>
        <v>Not Found</v>
      </c>
      <c r="H3721" s="6" t="str">
        <f>IFERROR(VLOOKUP('Customer Info'!A3713,'Customer Info'!A3713:C4212,3,FALSE),"Not Found")</f>
        <v>Not Found</v>
      </c>
      <c r="I3721" s="6" t="str">
        <f>IFERROR(VLOOKUP('Customer Info'!A3713,'Customer Info'!A3713:E4212,5,FALSE),"Not Found")</f>
        <v>Not Found</v>
      </c>
      <c r="J3721" s="2">
        <v>222</v>
      </c>
      <c r="K3721" s="2">
        <v>204</v>
      </c>
      <c r="L3721" s="2">
        <v>3</v>
      </c>
      <c r="M3721" s="7">
        <f t="shared" si="285"/>
        <v>612</v>
      </c>
      <c r="N3721" s="7">
        <f t="shared" si="286"/>
        <v>666</v>
      </c>
      <c r="O3721" s="2">
        <v>78</v>
      </c>
      <c r="P3721" s="8">
        <f t="shared" si="287"/>
        <v>744</v>
      </c>
      <c r="Q3721" s="8">
        <f t="shared" si="288"/>
        <v>462</v>
      </c>
      <c r="R3721" s="2" t="s">
        <v>50</v>
      </c>
      <c r="S3721" s="9">
        <f t="shared" si="289"/>
        <v>14.88</v>
      </c>
    </row>
    <row r="3722" spans="1:19" x14ac:dyDescent="0.3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str">
        <f>IFERROR(VLOOKUP('Customer Info'!A3714,'Customer Info'!A3714:C4213,2,FALSE),"Not Found")</f>
        <v>Not Found</v>
      </c>
      <c r="H3722" s="6" t="str">
        <f>IFERROR(VLOOKUP('Customer Info'!A3714,'Customer Info'!A3714:C4213,3,FALSE),"Not Found")</f>
        <v>Not Found</v>
      </c>
      <c r="I3722" s="6" t="str">
        <f>IFERROR(VLOOKUP('Customer Info'!A3714,'Customer Info'!A3714:E4213,5,FALSE),"Not Found")</f>
        <v>Not Found</v>
      </c>
      <c r="J3722" s="2">
        <v>92</v>
      </c>
      <c r="K3722" s="2">
        <v>85</v>
      </c>
      <c r="L3722" s="2">
        <v>6</v>
      </c>
      <c r="M3722" s="7">
        <f t="shared" si="285"/>
        <v>510</v>
      </c>
      <c r="N3722" s="7">
        <f t="shared" si="286"/>
        <v>552</v>
      </c>
      <c r="O3722" s="2">
        <v>10</v>
      </c>
      <c r="P3722" s="8">
        <f t="shared" si="287"/>
        <v>562</v>
      </c>
      <c r="Q3722" s="8">
        <f t="shared" si="288"/>
        <v>467</v>
      </c>
      <c r="R3722" s="2" t="s">
        <v>28</v>
      </c>
      <c r="S3722" s="9">
        <f t="shared" si="289"/>
        <v>11.24</v>
      </c>
    </row>
    <row r="3723" spans="1:19" x14ac:dyDescent="0.3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str">
        <f>IFERROR(VLOOKUP('Customer Info'!A3715,'Customer Info'!A3715:C4214,2,FALSE),"Not Found")</f>
        <v>Not Found</v>
      </c>
      <c r="H3723" s="6" t="str">
        <f>IFERROR(VLOOKUP('Customer Info'!A3715,'Customer Info'!A3715:C4214,3,FALSE),"Not Found")</f>
        <v>Not Found</v>
      </c>
      <c r="I3723" s="6" t="str">
        <f>IFERROR(VLOOKUP('Customer Info'!A3715,'Customer Info'!A3715:E4214,5,FALSE),"Not Found")</f>
        <v>Not Found</v>
      </c>
      <c r="J3723" s="2">
        <v>167</v>
      </c>
      <c r="K3723" s="2">
        <v>152</v>
      </c>
      <c r="L3723" s="2">
        <v>1</v>
      </c>
      <c r="M3723" s="7">
        <f t="shared" ref="M3723:M3786" si="290">$K3723*$L3723</f>
        <v>152</v>
      </c>
      <c r="N3723" s="7">
        <f t="shared" ref="N3723:N3786" si="291">$J3723*$L3723</f>
        <v>167</v>
      </c>
      <c r="O3723" s="2">
        <v>30</v>
      </c>
      <c r="P3723" s="8">
        <f t="shared" ref="P3723:P3786" si="292">$N3723+$O3723</f>
        <v>197</v>
      </c>
      <c r="Q3723" s="8">
        <f t="shared" ref="Q3723:Q3786" si="293">$N3723-$K3723</f>
        <v>15</v>
      </c>
      <c r="R3723" s="2" t="s">
        <v>28</v>
      </c>
      <c r="S3723" s="9">
        <f t="shared" ref="S3723:S3786" si="294" xml:space="preserve"> P3723 * VLOOKUP(P3723, $T$2:$U$6, 2, TRUE)</f>
        <v>3.94</v>
      </c>
    </row>
    <row r="3724" spans="1:19" x14ac:dyDescent="0.3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str">
        <f>IFERROR(VLOOKUP('Customer Info'!A3716,'Customer Info'!A3716:C4215,2,FALSE),"Not Found")</f>
        <v>Not Found</v>
      </c>
      <c r="H3724" s="6" t="str">
        <f>IFERROR(VLOOKUP('Customer Info'!A3716,'Customer Info'!A3716:C4215,3,FALSE),"Not Found")</f>
        <v>Not Found</v>
      </c>
      <c r="I3724" s="6" t="str">
        <f>IFERROR(VLOOKUP('Customer Info'!A3716,'Customer Info'!A3716:E4215,5,FALSE),"Not Found")</f>
        <v>Not Found</v>
      </c>
      <c r="J3724" s="2">
        <v>140</v>
      </c>
      <c r="K3724" s="2">
        <v>137</v>
      </c>
      <c r="L3724" s="2">
        <v>1</v>
      </c>
      <c r="M3724" s="7">
        <f t="shared" si="290"/>
        <v>137</v>
      </c>
      <c r="N3724" s="7">
        <f t="shared" si="291"/>
        <v>140</v>
      </c>
      <c r="O3724" s="2">
        <v>30</v>
      </c>
      <c r="P3724" s="8">
        <f t="shared" si="292"/>
        <v>170</v>
      </c>
      <c r="Q3724" s="8">
        <f t="shared" si="293"/>
        <v>3</v>
      </c>
      <c r="R3724" s="2" t="s">
        <v>28</v>
      </c>
      <c r="S3724" s="9">
        <f t="shared" si="294"/>
        <v>3.4</v>
      </c>
    </row>
    <row r="3725" spans="1:19" x14ac:dyDescent="0.3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str">
        <f>IFERROR(VLOOKUP('Customer Info'!A3717,'Customer Info'!A3717:C4216,2,FALSE),"Not Found")</f>
        <v>Not Found</v>
      </c>
      <c r="H3725" s="6" t="str">
        <f>IFERROR(VLOOKUP('Customer Info'!A3717,'Customer Info'!A3717:C4216,3,FALSE),"Not Found")</f>
        <v>Not Found</v>
      </c>
      <c r="I3725" s="6" t="str">
        <f>IFERROR(VLOOKUP('Customer Info'!A3717,'Customer Info'!A3717:E4216,5,FALSE),"Not Found")</f>
        <v>Not Found</v>
      </c>
      <c r="J3725" s="2">
        <v>1623</v>
      </c>
      <c r="K3725" s="2">
        <v>1546</v>
      </c>
      <c r="L3725" s="2">
        <v>6</v>
      </c>
      <c r="M3725" s="7">
        <f t="shared" si="290"/>
        <v>9276</v>
      </c>
      <c r="N3725" s="7">
        <f t="shared" si="291"/>
        <v>9738</v>
      </c>
      <c r="O3725" s="2">
        <v>59</v>
      </c>
      <c r="P3725" s="8">
        <f t="shared" si="292"/>
        <v>9797</v>
      </c>
      <c r="Q3725" s="8">
        <f t="shared" si="293"/>
        <v>8192</v>
      </c>
      <c r="R3725" s="2" t="s">
        <v>56</v>
      </c>
      <c r="S3725" s="9">
        <f t="shared" si="294"/>
        <v>489.85</v>
      </c>
    </row>
    <row r="3726" spans="1:19" x14ac:dyDescent="0.3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str">
        <f>IFERROR(VLOOKUP('Customer Info'!A3718,'Customer Info'!A3718:C4217,2,FALSE),"Not Found")</f>
        <v>Not Found</v>
      </c>
      <c r="H3726" s="6" t="str">
        <f>IFERROR(VLOOKUP('Customer Info'!A3718,'Customer Info'!A3718:C4217,3,FALSE),"Not Found")</f>
        <v>Not Found</v>
      </c>
      <c r="I3726" s="6" t="str">
        <f>IFERROR(VLOOKUP('Customer Info'!A3718,'Customer Info'!A3718:E4217,5,FALSE),"Not Found")</f>
        <v>Not Found</v>
      </c>
      <c r="J3726" s="2">
        <v>151</v>
      </c>
      <c r="K3726" s="2">
        <v>139</v>
      </c>
      <c r="L3726" s="2">
        <v>5</v>
      </c>
      <c r="M3726" s="7">
        <f t="shared" si="290"/>
        <v>695</v>
      </c>
      <c r="N3726" s="7">
        <f t="shared" si="291"/>
        <v>755</v>
      </c>
      <c r="O3726" s="2">
        <v>30</v>
      </c>
      <c r="P3726" s="8">
        <f t="shared" si="292"/>
        <v>785</v>
      </c>
      <c r="Q3726" s="8">
        <f t="shared" si="293"/>
        <v>616</v>
      </c>
      <c r="R3726" s="2" t="s">
        <v>50</v>
      </c>
      <c r="S3726" s="9">
        <f t="shared" si="294"/>
        <v>15.700000000000001</v>
      </c>
    </row>
    <row r="3727" spans="1:19" x14ac:dyDescent="0.3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str">
        <f>IFERROR(VLOOKUP('Customer Info'!A3719,'Customer Info'!A3719:C4218,2,FALSE),"Not Found")</f>
        <v>Not Found</v>
      </c>
      <c r="H3727" s="6" t="str">
        <f>IFERROR(VLOOKUP('Customer Info'!A3719,'Customer Info'!A3719:C4218,3,FALSE),"Not Found")</f>
        <v>Not Found</v>
      </c>
      <c r="I3727" s="6" t="str">
        <f>IFERROR(VLOOKUP('Customer Info'!A3719,'Customer Info'!A3719:E4218,5,FALSE),"Not Found")</f>
        <v>Not Found</v>
      </c>
      <c r="J3727" s="2">
        <v>129</v>
      </c>
      <c r="K3727" s="2">
        <v>118</v>
      </c>
      <c r="L3727" s="2">
        <v>5</v>
      </c>
      <c r="M3727" s="7">
        <f t="shared" si="290"/>
        <v>590</v>
      </c>
      <c r="N3727" s="7">
        <f t="shared" si="291"/>
        <v>645</v>
      </c>
      <c r="O3727" s="2">
        <v>30</v>
      </c>
      <c r="P3727" s="8">
        <f t="shared" si="292"/>
        <v>675</v>
      </c>
      <c r="Q3727" s="8">
        <f t="shared" si="293"/>
        <v>527</v>
      </c>
      <c r="R3727" s="2" t="s">
        <v>50</v>
      </c>
      <c r="S3727" s="9">
        <f t="shared" si="294"/>
        <v>13.5</v>
      </c>
    </row>
    <row r="3728" spans="1:19" x14ac:dyDescent="0.3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str">
        <f>IFERROR(VLOOKUP('Customer Info'!A3720,'Customer Info'!A3720:C4219,2,FALSE),"Not Found")</f>
        <v>Not Found</v>
      </c>
      <c r="H3728" s="6" t="str">
        <f>IFERROR(VLOOKUP('Customer Info'!A3720,'Customer Info'!A3720:C4219,3,FALSE),"Not Found")</f>
        <v>Not Found</v>
      </c>
      <c r="I3728" s="6" t="str">
        <f>IFERROR(VLOOKUP('Customer Info'!A3720,'Customer Info'!A3720:E4219,5,FALSE),"Not Found")</f>
        <v>Not Found</v>
      </c>
      <c r="J3728" s="2">
        <v>185</v>
      </c>
      <c r="K3728" s="2">
        <v>171</v>
      </c>
      <c r="L3728" s="2">
        <v>2</v>
      </c>
      <c r="M3728" s="7">
        <f t="shared" si="290"/>
        <v>342</v>
      </c>
      <c r="N3728" s="7">
        <f t="shared" si="291"/>
        <v>370</v>
      </c>
      <c r="O3728" s="2">
        <v>30</v>
      </c>
      <c r="P3728" s="8">
        <f t="shared" si="292"/>
        <v>400</v>
      </c>
      <c r="Q3728" s="8">
        <f t="shared" si="293"/>
        <v>199</v>
      </c>
      <c r="R3728" s="2" t="s">
        <v>50</v>
      </c>
      <c r="S3728" s="9">
        <f t="shared" si="294"/>
        <v>8</v>
      </c>
    </row>
    <row r="3729" spans="1:19" x14ac:dyDescent="0.3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str">
        <f>IFERROR(VLOOKUP('Customer Info'!A3721,'Customer Info'!A3721:C4220,2,FALSE),"Not Found")</f>
        <v>Not Found</v>
      </c>
      <c r="H3729" s="6" t="str">
        <f>IFERROR(VLOOKUP('Customer Info'!A3721,'Customer Info'!A3721:C4220,3,FALSE),"Not Found")</f>
        <v>Not Found</v>
      </c>
      <c r="I3729" s="6" t="str">
        <f>IFERROR(VLOOKUP('Customer Info'!A3721,'Customer Info'!A3721:E4220,5,FALSE),"Not Found")</f>
        <v>Not Found</v>
      </c>
      <c r="J3729" s="2">
        <v>4798</v>
      </c>
      <c r="K3729" s="2">
        <v>4448</v>
      </c>
      <c r="L3729" s="2">
        <v>1</v>
      </c>
      <c r="M3729" s="7">
        <f t="shared" si="290"/>
        <v>4448</v>
      </c>
      <c r="N3729" s="7">
        <f t="shared" si="291"/>
        <v>4798</v>
      </c>
      <c r="O3729" s="2">
        <v>90</v>
      </c>
      <c r="P3729" s="8">
        <f t="shared" si="292"/>
        <v>4888</v>
      </c>
      <c r="Q3729" s="8">
        <f t="shared" si="293"/>
        <v>350</v>
      </c>
      <c r="R3729" s="2" t="s">
        <v>50</v>
      </c>
      <c r="S3729" s="9">
        <f t="shared" si="294"/>
        <v>97.76</v>
      </c>
    </row>
    <row r="3730" spans="1:19" x14ac:dyDescent="0.3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str">
        <f>IFERROR(VLOOKUP('Customer Info'!A3722,'Customer Info'!A3722:C4221,2,FALSE),"Not Found")</f>
        <v>Not Found</v>
      </c>
      <c r="H3730" s="6" t="str">
        <f>IFERROR(VLOOKUP('Customer Info'!A3722,'Customer Info'!A3722:C4221,3,FALSE),"Not Found")</f>
        <v>Not Found</v>
      </c>
      <c r="I3730" s="6" t="str">
        <f>IFERROR(VLOOKUP('Customer Info'!A3722,'Customer Info'!A3722:E4221,5,FALSE),"Not Found")</f>
        <v>Not Found</v>
      </c>
      <c r="J3730" s="2">
        <v>3184</v>
      </c>
      <c r="K3730" s="2">
        <v>2947</v>
      </c>
      <c r="L3730" s="2">
        <v>5</v>
      </c>
      <c r="M3730" s="7">
        <f t="shared" si="290"/>
        <v>14735</v>
      </c>
      <c r="N3730" s="7">
        <f t="shared" si="291"/>
        <v>15920</v>
      </c>
      <c r="O3730" s="2">
        <v>87</v>
      </c>
      <c r="P3730" s="8">
        <f t="shared" si="292"/>
        <v>16007</v>
      </c>
      <c r="Q3730" s="8">
        <f t="shared" si="293"/>
        <v>12973</v>
      </c>
      <c r="R3730" s="2" t="s">
        <v>50</v>
      </c>
      <c r="S3730" s="9">
        <f t="shared" si="294"/>
        <v>800.35</v>
      </c>
    </row>
    <row r="3731" spans="1:19" x14ac:dyDescent="0.3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str">
        <f>IFERROR(VLOOKUP('Customer Info'!A3723,'Customer Info'!A3723:C4222,2,FALSE),"Not Found")</f>
        <v>Not Found</v>
      </c>
      <c r="H3731" s="6" t="str">
        <f>IFERROR(VLOOKUP('Customer Info'!A3723,'Customer Info'!A3723:C4222,3,FALSE),"Not Found")</f>
        <v>Not Found</v>
      </c>
      <c r="I3731" s="6" t="str">
        <f>IFERROR(VLOOKUP('Customer Info'!A3723,'Customer Info'!A3723:E4222,5,FALSE),"Not Found")</f>
        <v>Not Found</v>
      </c>
      <c r="J3731" s="2">
        <v>60</v>
      </c>
      <c r="K3731" s="2">
        <v>58</v>
      </c>
      <c r="L3731" s="2">
        <v>7</v>
      </c>
      <c r="M3731" s="7">
        <f t="shared" si="290"/>
        <v>406</v>
      </c>
      <c r="N3731" s="7">
        <f t="shared" si="291"/>
        <v>420</v>
      </c>
      <c r="O3731" s="2">
        <v>10</v>
      </c>
      <c r="P3731" s="8">
        <f t="shared" si="292"/>
        <v>430</v>
      </c>
      <c r="Q3731" s="8">
        <f t="shared" si="293"/>
        <v>362</v>
      </c>
      <c r="R3731" s="2" t="s">
        <v>26</v>
      </c>
      <c r="S3731" s="9">
        <f t="shared" si="294"/>
        <v>8.6</v>
      </c>
    </row>
    <row r="3732" spans="1:19" x14ac:dyDescent="0.3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str">
        <f>IFERROR(VLOOKUP('Customer Info'!A3724,'Customer Info'!A3724:C4223,2,FALSE),"Not Found")</f>
        <v>Not Found</v>
      </c>
      <c r="H3732" s="6" t="str">
        <f>IFERROR(VLOOKUP('Customer Info'!A3724,'Customer Info'!A3724:C4223,3,FALSE),"Not Found")</f>
        <v>Not Found</v>
      </c>
      <c r="I3732" s="6" t="str">
        <f>IFERROR(VLOOKUP('Customer Info'!A3724,'Customer Info'!A3724:E4223,5,FALSE),"Not Found")</f>
        <v>Not Found</v>
      </c>
      <c r="J3732" s="2">
        <v>9214</v>
      </c>
      <c r="K3732" s="2">
        <v>8295</v>
      </c>
      <c r="L3732" s="2">
        <v>3</v>
      </c>
      <c r="M3732" s="7">
        <f t="shared" si="290"/>
        <v>24885</v>
      </c>
      <c r="N3732" s="7">
        <f t="shared" si="291"/>
        <v>27642</v>
      </c>
      <c r="O3732" s="2">
        <v>57</v>
      </c>
      <c r="P3732" s="8">
        <f t="shared" si="292"/>
        <v>27699</v>
      </c>
      <c r="Q3732" s="8">
        <f t="shared" si="293"/>
        <v>19347</v>
      </c>
      <c r="R3732" s="2" t="s">
        <v>28</v>
      </c>
      <c r="S3732" s="9">
        <f t="shared" si="294"/>
        <v>1938.9300000000003</v>
      </c>
    </row>
    <row r="3733" spans="1:19" x14ac:dyDescent="0.3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str">
        <f>IFERROR(VLOOKUP('Customer Info'!A3725,'Customer Info'!A3725:C4224,2,FALSE),"Not Found")</f>
        <v>Not Found</v>
      </c>
      <c r="H3733" s="6" t="str">
        <f>IFERROR(VLOOKUP('Customer Info'!A3725,'Customer Info'!A3725:C4224,3,FALSE),"Not Found")</f>
        <v>Not Found</v>
      </c>
      <c r="I3733" s="6" t="str">
        <f>IFERROR(VLOOKUP('Customer Info'!A3725,'Customer Info'!A3725:E4224,5,FALSE),"Not Found")</f>
        <v>Not Found</v>
      </c>
      <c r="J3733" s="2">
        <v>1169</v>
      </c>
      <c r="K3733" s="2">
        <v>1072</v>
      </c>
      <c r="L3733" s="2">
        <v>1</v>
      </c>
      <c r="M3733" s="7">
        <f t="shared" si="290"/>
        <v>1072</v>
      </c>
      <c r="N3733" s="7">
        <f t="shared" si="291"/>
        <v>1169</v>
      </c>
      <c r="O3733" s="2">
        <v>97</v>
      </c>
      <c r="P3733" s="8">
        <f t="shared" si="292"/>
        <v>1266</v>
      </c>
      <c r="Q3733" s="8">
        <f t="shared" si="293"/>
        <v>97</v>
      </c>
      <c r="R3733" s="2" t="s">
        <v>56</v>
      </c>
      <c r="S3733" s="9">
        <f t="shared" si="294"/>
        <v>25.32</v>
      </c>
    </row>
    <row r="3734" spans="1:19" x14ac:dyDescent="0.3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str">
        <f>IFERROR(VLOOKUP('Customer Info'!A3726,'Customer Info'!A3726:C4225,2,FALSE),"Not Found")</f>
        <v>Not Found</v>
      </c>
      <c r="H3734" s="6" t="str">
        <f>IFERROR(VLOOKUP('Customer Info'!A3726,'Customer Info'!A3726:C4225,3,FALSE),"Not Found")</f>
        <v>Not Found</v>
      </c>
      <c r="I3734" s="6" t="str">
        <f>IFERROR(VLOOKUP('Customer Info'!A3726,'Customer Info'!A3726:E4225,5,FALSE),"Not Found")</f>
        <v>Not Found</v>
      </c>
      <c r="J3734" s="2">
        <v>7609</v>
      </c>
      <c r="K3734" s="2">
        <v>7248</v>
      </c>
      <c r="L3734" s="2">
        <v>2</v>
      </c>
      <c r="M3734" s="7">
        <f t="shared" si="290"/>
        <v>14496</v>
      </c>
      <c r="N3734" s="7">
        <f t="shared" si="291"/>
        <v>15218</v>
      </c>
      <c r="O3734" s="2">
        <v>84</v>
      </c>
      <c r="P3734" s="8">
        <f t="shared" si="292"/>
        <v>15302</v>
      </c>
      <c r="Q3734" s="8">
        <f t="shared" si="293"/>
        <v>7970</v>
      </c>
      <c r="R3734" s="2" t="s">
        <v>28</v>
      </c>
      <c r="S3734" s="9">
        <f t="shared" si="294"/>
        <v>765.1</v>
      </c>
    </row>
    <row r="3735" spans="1:19" x14ac:dyDescent="0.3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str">
        <f>IFERROR(VLOOKUP('Customer Info'!A3727,'Customer Info'!A3727:C4226,2,FALSE),"Not Found")</f>
        <v>Not Found</v>
      </c>
      <c r="H3735" s="6" t="str">
        <f>IFERROR(VLOOKUP('Customer Info'!A3727,'Customer Info'!A3727:C4226,3,FALSE),"Not Found")</f>
        <v>Not Found</v>
      </c>
      <c r="I3735" s="6" t="str">
        <f>IFERROR(VLOOKUP('Customer Info'!A3727,'Customer Info'!A3727:E4226,5,FALSE),"Not Found")</f>
        <v>Not Found</v>
      </c>
      <c r="J3735" s="2">
        <v>1718</v>
      </c>
      <c r="K3735" s="2">
        <v>1545</v>
      </c>
      <c r="L3735" s="2">
        <v>4</v>
      </c>
      <c r="M3735" s="7">
        <f t="shared" si="290"/>
        <v>6180</v>
      </c>
      <c r="N3735" s="7">
        <f t="shared" si="291"/>
        <v>6872</v>
      </c>
      <c r="O3735" s="2">
        <v>46</v>
      </c>
      <c r="P3735" s="8">
        <f t="shared" si="292"/>
        <v>6918</v>
      </c>
      <c r="Q3735" s="8">
        <f t="shared" si="293"/>
        <v>5327</v>
      </c>
      <c r="R3735" s="2" t="s">
        <v>26</v>
      </c>
      <c r="S3735" s="9">
        <f t="shared" si="294"/>
        <v>345.90000000000003</v>
      </c>
    </row>
    <row r="3736" spans="1:19" x14ac:dyDescent="0.3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str">
        <f>IFERROR(VLOOKUP('Customer Info'!A3728,'Customer Info'!A3728:C4227,2,FALSE),"Not Found")</f>
        <v>Not Found</v>
      </c>
      <c r="H3736" s="6" t="str">
        <f>IFERROR(VLOOKUP('Customer Info'!A3728,'Customer Info'!A3728:C4227,3,FALSE),"Not Found")</f>
        <v>Not Found</v>
      </c>
      <c r="I3736" s="6" t="str">
        <f>IFERROR(VLOOKUP('Customer Info'!A3728,'Customer Info'!A3728:E4227,5,FALSE),"Not Found")</f>
        <v>Not Found</v>
      </c>
      <c r="J3736" s="2">
        <v>1686</v>
      </c>
      <c r="K3736" s="2">
        <v>1591</v>
      </c>
      <c r="L3736" s="2">
        <v>3</v>
      </c>
      <c r="M3736" s="7">
        <f t="shared" si="290"/>
        <v>4773</v>
      </c>
      <c r="N3736" s="7">
        <f t="shared" si="291"/>
        <v>5058</v>
      </c>
      <c r="O3736" s="2">
        <v>70</v>
      </c>
      <c r="P3736" s="8">
        <f t="shared" si="292"/>
        <v>5128</v>
      </c>
      <c r="Q3736" s="8">
        <f t="shared" si="293"/>
        <v>3467</v>
      </c>
      <c r="R3736" s="2" t="s">
        <v>28</v>
      </c>
      <c r="S3736" s="9">
        <f t="shared" si="294"/>
        <v>256.40000000000003</v>
      </c>
    </row>
    <row r="3737" spans="1:19" x14ac:dyDescent="0.3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str">
        <f>IFERROR(VLOOKUP('Customer Info'!A3729,'Customer Info'!A3729:C4228,2,FALSE),"Not Found")</f>
        <v>Not Found</v>
      </c>
      <c r="H3737" s="6" t="str">
        <f>IFERROR(VLOOKUP('Customer Info'!A3729,'Customer Info'!A3729:C4228,3,FALSE),"Not Found")</f>
        <v>Not Found</v>
      </c>
      <c r="I3737" s="6" t="str">
        <f>IFERROR(VLOOKUP('Customer Info'!A3729,'Customer Info'!A3729:E4228,5,FALSE),"Not Found")</f>
        <v>Not Found</v>
      </c>
      <c r="J3737" s="2">
        <v>1222</v>
      </c>
      <c r="K3737" s="2">
        <v>1187</v>
      </c>
      <c r="L3737" s="2">
        <v>5</v>
      </c>
      <c r="M3737" s="7">
        <f t="shared" si="290"/>
        <v>5935</v>
      </c>
      <c r="N3737" s="7">
        <f t="shared" si="291"/>
        <v>6110</v>
      </c>
      <c r="O3737" s="2">
        <v>47</v>
      </c>
      <c r="P3737" s="8">
        <f t="shared" si="292"/>
        <v>6157</v>
      </c>
      <c r="Q3737" s="8">
        <f t="shared" si="293"/>
        <v>4923</v>
      </c>
      <c r="R3737" s="2" t="s">
        <v>50</v>
      </c>
      <c r="S3737" s="9">
        <f t="shared" si="294"/>
        <v>307.85000000000002</v>
      </c>
    </row>
    <row r="3738" spans="1:19" x14ac:dyDescent="0.3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str">
        <f>IFERROR(VLOOKUP('Customer Info'!A3730,'Customer Info'!A3730:C4229,2,FALSE),"Not Found")</f>
        <v>Not Found</v>
      </c>
      <c r="H3738" s="6" t="str">
        <f>IFERROR(VLOOKUP('Customer Info'!A3730,'Customer Info'!A3730:C4229,3,FALSE),"Not Found")</f>
        <v>Not Found</v>
      </c>
      <c r="I3738" s="6" t="str">
        <f>IFERROR(VLOOKUP('Customer Info'!A3730,'Customer Info'!A3730:E4229,5,FALSE),"Not Found")</f>
        <v>Not Found</v>
      </c>
      <c r="J3738" s="2">
        <v>2540</v>
      </c>
      <c r="K3738" s="2">
        <v>2397</v>
      </c>
      <c r="L3738" s="2">
        <v>4</v>
      </c>
      <c r="M3738" s="7">
        <f t="shared" si="290"/>
        <v>9588</v>
      </c>
      <c r="N3738" s="7">
        <f t="shared" si="291"/>
        <v>10160</v>
      </c>
      <c r="O3738" s="2">
        <v>57</v>
      </c>
      <c r="P3738" s="8">
        <f t="shared" si="292"/>
        <v>10217</v>
      </c>
      <c r="Q3738" s="8">
        <f t="shared" si="293"/>
        <v>7763</v>
      </c>
      <c r="R3738" s="2" t="s">
        <v>28</v>
      </c>
      <c r="S3738" s="9">
        <f t="shared" si="294"/>
        <v>510.85</v>
      </c>
    </row>
    <row r="3739" spans="1:19" x14ac:dyDescent="0.3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str">
        <f>IFERROR(VLOOKUP('Customer Info'!A3731,'Customer Info'!A3731:C4230,2,FALSE),"Not Found")</f>
        <v>Not Found</v>
      </c>
      <c r="H3739" s="6" t="str">
        <f>IFERROR(VLOOKUP('Customer Info'!A3731,'Customer Info'!A3731:C4230,3,FALSE),"Not Found")</f>
        <v>Not Found</v>
      </c>
      <c r="I3739" s="6" t="str">
        <f>IFERROR(VLOOKUP('Customer Info'!A3731,'Customer Info'!A3731:E4230,5,FALSE),"Not Found")</f>
        <v>Not Found</v>
      </c>
      <c r="J3739" s="2">
        <v>151</v>
      </c>
      <c r="K3739" s="2">
        <v>139</v>
      </c>
      <c r="L3739" s="2">
        <v>4</v>
      </c>
      <c r="M3739" s="7">
        <f t="shared" si="290"/>
        <v>556</v>
      </c>
      <c r="N3739" s="7">
        <f t="shared" si="291"/>
        <v>604</v>
      </c>
      <c r="O3739" s="2">
        <v>30</v>
      </c>
      <c r="P3739" s="8">
        <f t="shared" si="292"/>
        <v>634</v>
      </c>
      <c r="Q3739" s="8">
        <f t="shared" si="293"/>
        <v>465</v>
      </c>
      <c r="R3739" s="2" t="s">
        <v>28</v>
      </c>
      <c r="S3739" s="9">
        <f t="shared" si="294"/>
        <v>12.68</v>
      </c>
    </row>
    <row r="3740" spans="1:19" x14ac:dyDescent="0.3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str">
        <f>IFERROR(VLOOKUP('Customer Info'!A3732,'Customer Info'!A3732:C4231,2,FALSE),"Not Found")</f>
        <v>Not Found</v>
      </c>
      <c r="H3740" s="6" t="str">
        <f>IFERROR(VLOOKUP('Customer Info'!A3732,'Customer Info'!A3732:C4231,3,FALSE),"Not Found")</f>
        <v>Not Found</v>
      </c>
      <c r="I3740" s="6" t="str">
        <f>IFERROR(VLOOKUP('Customer Info'!A3732,'Customer Info'!A3732:E4231,5,FALSE),"Not Found")</f>
        <v>Not Found</v>
      </c>
      <c r="J3740" s="2">
        <v>6400</v>
      </c>
      <c r="K3740" s="2">
        <v>6401</v>
      </c>
      <c r="L3740" s="2">
        <v>2</v>
      </c>
      <c r="M3740" s="7">
        <f t="shared" si="290"/>
        <v>12802</v>
      </c>
      <c r="N3740" s="7">
        <f t="shared" si="291"/>
        <v>12800</v>
      </c>
      <c r="O3740" s="2">
        <v>25</v>
      </c>
      <c r="P3740" s="8">
        <f t="shared" si="292"/>
        <v>12825</v>
      </c>
      <c r="Q3740" s="8">
        <f t="shared" si="293"/>
        <v>6399</v>
      </c>
      <c r="R3740" s="2" t="s">
        <v>28</v>
      </c>
      <c r="S3740" s="9">
        <f t="shared" si="294"/>
        <v>641.25</v>
      </c>
    </row>
    <row r="3741" spans="1:19" x14ac:dyDescent="0.3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str">
        <f>IFERROR(VLOOKUP('Customer Info'!A3733,'Customer Info'!A3733:C4232,2,FALSE),"Not Found")</f>
        <v>Not Found</v>
      </c>
      <c r="H3741" s="6" t="str">
        <f>IFERROR(VLOOKUP('Customer Info'!A3733,'Customer Info'!A3733:C4232,3,FALSE),"Not Found")</f>
        <v>Not Found</v>
      </c>
      <c r="I3741" s="6" t="str">
        <f>IFERROR(VLOOKUP('Customer Info'!A3733,'Customer Info'!A3733:E4232,5,FALSE),"Not Found")</f>
        <v>Not Found</v>
      </c>
      <c r="J3741" s="2">
        <v>68</v>
      </c>
      <c r="K3741" s="2">
        <v>63</v>
      </c>
      <c r="L3741" s="2">
        <v>2</v>
      </c>
      <c r="M3741" s="7">
        <f t="shared" si="290"/>
        <v>126</v>
      </c>
      <c r="N3741" s="7">
        <f t="shared" si="291"/>
        <v>136</v>
      </c>
      <c r="O3741" s="2">
        <v>10</v>
      </c>
      <c r="P3741" s="8">
        <f t="shared" si="292"/>
        <v>146</v>
      </c>
      <c r="Q3741" s="8">
        <f t="shared" si="293"/>
        <v>73</v>
      </c>
      <c r="R3741" s="2" t="s">
        <v>50</v>
      </c>
      <c r="S3741" s="9">
        <f t="shared" si="294"/>
        <v>2.92</v>
      </c>
    </row>
    <row r="3742" spans="1:19" x14ac:dyDescent="0.3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str">
        <f>IFERROR(VLOOKUP('Customer Info'!A3734,'Customer Info'!A3734:C4233,2,FALSE),"Not Found")</f>
        <v>Not Found</v>
      </c>
      <c r="H3742" s="6" t="str">
        <f>IFERROR(VLOOKUP('Customer Info'!A3734,'Customer Info'!A3734:C4233,3,FALSE),"Not Found")</f>
        <v>Not Found</v>
      </c>
      <c r="I3742" s="6" t="str">
        <f>IFERROR(VLOOKUP('Customer Info'!A3734,'Customer Info'!A3734:E4233,5,FALSE),"Not Found")</f>
        <v>Not Found</v>
      </c>
      <c r="J3742" s="2">
        <v>140</v>
      </c>
      <c r="K3742" s="2">
        <v>137</v>
      </c>
      <c r="L3742" s="2">
        <v>4</v>
      </c>
      <c r="M3742" s="7">
        <f t="shared" si="290"/>
        <v>548</v>
      </c>
      <c r="N3742" s="7">
        <f t="shared" si="291"/>
        <v>560</v>
      </c>
      <c r="O3742" s="2">
        <v>30</v>
      </c>
      <c r="P3742" s="8">
        <f t="shared" si="292"/>
        <v>590</v>
      </c>
      <c r="Q3742" s="8">
        <f t="shared" si="293"/>
        <v>423</v>
      </c>
      <c r="R3742" s="2" t="s">
        <v>28</v>
      </c>
      <c r="S3742" s="9">
        <f t="shared" si="294"/>
        <v>11.8</v>
      </c>
    </row>
    <row r="3743" spans="1:19" x14ac:dyDescent="0.3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str">
        <f>IFERROR(VLOOKUP('Customer Info'!A3735,'Customer Info'!A3735:C4234,2,FALSE),"Not Found")</f>
        <v>Not Found</v>
      </c>
      <c r="H3743" s="6" t="str">
        <f>IFERROR(VLOOKUP('Customer Info'!A3735,'Customer Info'!A3735:C4234,3,FALSE),"Not Found")</f>
        <v>Not Found</v>
      </c>
      <c r="I3743" s="6" t="str">
        <f>IFERROR(VLOOKUP('Customer Info'!A3735,'Customer Info'!A3735:E4234,5,FALSE),"Not Found")</f>
        <v>Not Found</v>
      </c>
      <c r="J3743" s="2">
        <v>4577</v>
      </c>
      <c r="K3743" s="2">
        <v>4280</v>
      </c>
      <c r="L3743" s="2">
        <v>1</v>
      </c>
      <c r="M3743" s="7">
        <f t="shared" si="290"/>
        <v>4280</v>
      </c>
      <c r="N3743" s="7">
        <f t="shared" si="291"/>
        <v>4577</v>
      </c>
      <c r="O3743" s="2">
        <v>64</v>
      </c>
      <c r="P3743" s="8">
        <f t="shared" si="292"/>
        <v>4641</v>
      </c>
      <c r="Q3743" s="8">
        <f t="shared" si="293"/>
        <v>297</v>
      </c>
      <c r="R3743" s="2" t="s">
        <v>50</v>
      </c>
      <c r="S3743" s="9">
        <f t="shared" si="294"/>
        <v>92.820000000000007</v>
      </c>
    </row>
    <row r="3744" spans="1:19" x14ac:dyDescent="0.3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str">
        <f>IFERROR(VLOOKUP('Customer Info'!A3736,'Customer Info'!A3736:C4235,2,FALSE),"Not Found")</f>
        <v>Not Found</v>
      </c>
      <c r="H3744" s="6" t="str">
        <f>IFERROR(VLOOKUP('Customer Info'!A3736,'Customer Info'!A3736:C4235,3,FALSE),"Not Found")</f>
        <v>Not Found</v>
      </c>
      <c r="I3744" s="6" t="str">
        <f>IFERROR(VLOOKUP('Customer Info'!A3736,'Customer Info'!A3736:E4235,5,FALSE),"Not Found")</f>
        <v>Not Found</v>
      </c>
      <c r="J3744" s="2">
        <v>69</v>
      </c>
      <c r="K3744" s="2">
        <v>63</v>
      </c>
      <c r="L3744" s="2">
        <v>3</v>
      </c>
      <c r="M3744" s="7">
        <f t="shared" si="290"/>
        <v>189</v>
      </c>
      <c r="N3744" s="7">
        <f t="shared" si="291"/>
        <v>207</v>
      </c>
      <c r="O3744" s="2">
        <v>10</v>
      </c>
      <c r="P3744" s="8">
        <f t="shared" si="292"/>
        <v>217</v>
      </c>
      <c r="Q3744" s="8">
        <f t="shared" si="293"/>
        <v>144</v>
      </c>
      <c r="R3744" s="2" t="s">
        <v>50</v>
      </c>
      <c r="S3744" s="9">
        <f t="shared" si="294"/>
        <v>4.34</v>
      </c>
    </row>
    <row r="3745" spans="1:19" x14ac:dyDescent="0.3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str">
        <f>IFERROR(VLOOKUP('Customer Info'!A3737,'Customer Info'!A3737:C4236,2,FALSE),"Not Found")</f>
        <v>Not Found</v>
      </c>
      <c r="H3745" s="6" t="str">
        <f>IFERROR(VLOOKUP('Customer Info'!A3737,'Customer Info'!A3737:C4236,3,FALSE),"Not Found")</f>
        <v>Not Found</v>
      </c>
      <c r="I3745" s="6" t="str">
        <f>IFERROR(VLOOKUP('Customer Info'!A3737,'Customer Info'!A3737:E4236,5,FALSE),"Not Found")</f>
        <v>Not Found</v>
      </c>
      <c r="J3745" s="2">
        <v>3289</v>
      </c>
      <c r="K3745" s="2">
        <v>3105</v>
      </c>
      <c r="L3745" s="2">
        <v>4</v>
      </c>
      <c r="M3745" s="7">
        <f t="shared" si="290"/>
        <v>12420</v>
      </c>
      <c r="N3745" s="7">
        <f t="shared" si="291"/>
        <v>13156</v>
      </c>
      <c r="O3745" s="2">
        <v>37</v>
      </c>
      <c r="P3745" s="8">
        <f t="shared" si="292"/>
        <v>13193</v>
      </c>
      <c r="Q3745" s="8">
        <f t="shared" si="293"/>
        <v>10051</v>
      </c>
      <c r="R3745" s="2" t="s">
        <v>28</v>
      </c>
      <c r="S3745" s="9">
        <f t="shared" si="294"/>
        <v>659.65000000000009</v>
      </c>
    </row>
    <row r="3746" spans="1:19" x14ac:dyDescent="0.3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str">
        <f>IFERROR(VLOOKUP('Customer Info'!A3738,'Customer Info'!A3738:C4237,2,FALSE),"Not Found")</f>
        <v>Not Found</v>
      </c>
      <c r="H3746" s="6" t="str">
        <f>IFERROR(VLOOKUP('Customer Info'!A3738,'Customer Info'!A3738:C4237,3,FALSE),"Not Found")</f>
        <v>Not Found</v>
      </c>
      <c r="I3746" s="6" t="str">
        <f>IFERROR(VLOOKUP('Customer Info'!A3738,'Customer Info'!A3738:E4237,5,FALSE),"Not Found")</f>
        <v>Not Found</v>
      </c>
      <c r="J3746" s="2">
        <v>2747</v>
      </c>
      <c r="K3746" s="2">
        <v>2545</v>
      </c>
      <c r="L3746" s="2">
        <v>2</v>
      </c>
      <c r="M3746" s="7">
        <f t="shared" si="290"/>
        <v>5090</v>
      </c>
      <c r="N3746" s="7">
        <f t="shared" si="291"/>
        <v>5494</v>
      </c>
      <c r="O3746" s="2">
        <v>86</v>
      </c>
      <c r="P3746" s="8">
        <f t="shared" si="292"/>
        <v>5580</v>
      </c>
      <c r="Q3746" s="8">
        <f t="shared" si="293"/>
        <v>2949</v>
      </c>
      <c r="R3746" s="2" t="s">
        <v>28</v>
      </c>
      <c r="S3746" s="9">
        <f t="shared" si="294"/>
        <v>279</v>
      </c>
    </row>
    <row r="3747" spans="1:19" x14ac:dyDescent="0.3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str">
        <f>IFERROR(VLOOKUP('Customer Info'!A3739,'Customer Info'!A3739:C4238,2,FALSE),"Not Found")</f>
        <v>Not Found</v>
      </c>
      <c r="H3747" s="6" t="str">
        <f>IFERROR(VLOOKUP('Customer Info'!A3739,'Customer Info'!A3739:C4238,3,FALSE),"Not Found")</f>
        <v>Not Found</v>
      </c>
      <c r="I3747" s="6" t="str">
        <f>IFERROR(VLOOKUP('Customer Info'!A3739,'Customer Info'!A3739:E4238,5,FALSE),"Not Found")</f>
        <v>Not Found</v>
      </c>
      <c r="J3747" s="2">
        <v>1399</v>
      </c>
      <c r="K3747" s="2">
        <v>1333</v>
      </c>
      <c r="L3747" s="2">
        <v>6</v>
      </c>
      <c r="M3747" s="7">
        <f t="shared" si="290"/>
        <v>7998</v>
      </c>
      <c r="N3747" s="7">
        <f t="shared" si="291"/>
        <v>8394</v>
      </c>
      <c r="O3747" s="2">
        <v>21</v>
      </c>
      <c r="P3747" s="8">
        <f t="shared" si="292"/>
        <v>8415</v>
      </c>
      <c r="Q3747" s="8">
        <f t="shared" si="293"/>
        <v>7061</v>
      </c>
      <c r="R3747" s="2" t="s">
        <v>28</v>
      </c>
      <c r="S3747" s="9">
        <f t="shared" si="294"/>
        <v>420.75</v>
      </c>
    </row>
    <row r="3748" spans="1:19" x14ac:dyDescent="0.3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str">
        <f>IFERROR(VLOOKUP('Customer Info'!A3740,'Customer Info'!A3740:C4239,2,FALSE),"Not Found")</f>
        <v>Not Found</v>
      </c>
      <c r="H3748" s="6" t="str">
        <f>IFERROR(VLOOKUP('Customer Info'!A3740,'Customer Info'!A3740:C4239,3,FALSE),"Not Found")</f>
        <v>Not Found</v>
      </c>
      <c r="I3748" s="6" t="str">
        <f>IFERROR(VLOOKUP('Customer Info'!A3740,'Customer Info'!A3740:E4239,5,FALSE),"Not Found")</f>
        <v>Not Found</v>
      </c>
      <c r="J3748" s="2">
        <v>175</v>
      </c>
      <c r="K3748" s="2">
        <v>158</v>
      </c>
      <c r="L3748" s="2">
        <v>1</v>
      </c>
      <c r="M3748" s="7">
        <f t="shared" si="290"/>
        <v>158</v>
      </c>
      <c r="N3748" s="7">
        <f t="shared" si="291"/>
        <v>175</v>
      </c>
      <c r="O3748" s="2">
        <v>30</v>
      </c>
      <c r="P3748" s="8">
        <f t="shared" si="292"/>
        <v>205</v>
      </c>
      <c r="Q3748" s="8">
        <f t="shared" si="293"/>
        <v>17</v>
      </c>
      <c r="R3748" s="2" t="s">
        <v>28</v>
      </c>
      <c r="S3748" s="9">
        <f t="shared" si="294"/>
        <v>4.0999999999999996</v>
      </c>
    </row>
    <row r="3749" spans="1:19" x14ac:dyDescent="0.3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str">
        <f>IFERROR(VLOOKUP('Customer Info'!A3741,'Customer Info'!A3741:C4240,2,FALSE),"Not Found")</f>
        <v>Not Found</v>
      </c>
      <c r="H3749" s="6" t="str">
        <f>IFERROR(VLOOKUP('Customer Info'!A3741,'Customer Info'!A3741:C4240,3,FALSE),"Not Found")</f>
        <v>Not Found</v>
      </c>
      <c r="I3749" s="6" t="str">
        <f>IFERROR(VLOOKUP('Customer Info'!A3741,'Customer Info'!A3741:E4240,5,FALSE),"Not Found")</f>
        <v>Not Found</v>
      </c>
      <c r="J3749" s="2">
        <v>4846</v>
      </c>
      <c r="K3749" s="2">
        <v>4492</v>
      </c>
      <c r="L3749" s="2">
        <v>2</v>
      </c>
      <c r="M3749" s="7">
        <f t="shared" si="290"/>
        <v>8984</v>
      </c>
      <c r="N3749" s="7">
        <f t="shared" si="291"/>
        <v>9692</v>
      </c>
      <c r="O3749" s="2">
        <v>41</v>
      </c>
      <c r="P3749" s="8">
        <f t="shared" si="292"/>
        <v>9733</v>
      </c>
      <c r="Q3749" s="8">
        <f t="shared" si="293"/>
        <v>5200</v>
      </c>
      <c r="R3749" s="2" t="s">
        <v>28</v>
      </c>
      <c r="S3749" s="9">
        <f t="shared" si="294"/>
        <v>486.65000000000003</v>
      </c>
    </row>
    <row r="3750" spans="1:19" x14ac:dyDescent="0.3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str">
        <f>IFERROR(VLOOKUP('Customer Info'!A3742,'Customer Info'!A3742:C4241,2,FALSE),"Not Found")</f>
        <v>Not Found</v>
      </c>
      <c r="H3750" s="6" t="str">
        <f>IFERROR(VLOOKUP('Customer Info'!A3742,'Customer Info'!A3742:C4241,3,FALSE),"Not Found")</f>
        <v>Not Found</v>
      </c>
      <c r="I3750" s="6" t="str">
        <f>IFERROR(VLOOKUP('Customer Info'!A3742,'Customer Info'!A3742:E4241,5,FALSE),"Not Found")</f>
        <v>Not Found</v>
      </c>
      <c r="J3750" s="2">
        <v>6768</v>
      </c>
      <c r="K3750" s="2">
        <v>6512</v>
      </c>
      <c r="L3750" s="2">
        <v>2</v>
      </c>
      <c r="M3750" s="7">
        <f t="shared" si="290"/>
        <v>13024</v>
      </c>
      <c r="N3750" s="7">
        <f t="shared" si="291"/>
        <v>13536</v>
      </c>
      <c r="O3750" s="2">
        <v>28</v>
      </c>
      <c r="P3750" s="8">
        <f t="shared" si="292"/>
        <v>13564</v>
      </c>
      <c r="Q3750" s="8">
        <f t="shared" si="293"/>
        <v>7024</v>
      </c>
      <c r="R3750" s="2" t="s">
        <v>28</v>
      </c>
      <c r="S3750" s="9">
        <f t="shared" si="294"/>
        <v>678.2</v>
      </c>
    </row>
    <row r="3751" spans="1:19" x14ac:dyDescent="0.3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str">
        <f>IFERROR(VLOOKUP('Customer Info'!A3743,'Customer Info'!A3743:C4242,2,FALSE),"Not Found")</f>
        <v>Not Found</v>
      </c>
      <c r="H3751" s="6" t="str">
        <f>IFERROR(VLOOKUP('Customer Info'!A3743,'Customer Info'!A3743:C4242,3,FALSE),"Not Found")</f>
        <v>Not Found</v>
      </c>
      <c r="I3751" s="6" t="str">
        <f>IFERROR(VLOOKUP('Customer Info'!A3743,'Customer Info'!A3743:E4242,5,FALSE),"Not Found")</f>
        <v>Not Found</v>
      </c>
      <c r="J3751" s="2">
        <v>1808</v>
      </c>
      <c r="K3751" s="2">
        <v>1740</v>
      </c>
      <c r="L3751" s="2">
        <v>3</v>
      </c>
      <c r="M3751" s="7">
        <f t="shared" si="290"/>
        <v>5220</v>
      </c>
      <c r="N3751" s="7">
        <f t="shared" si="291"/>
        <v>5424</v>
      </c>
      <c r="O3751" s="2">
        <v>42</v>
      </c>
      <c r="P3751" s="8">
        <f t="shared" si="292"/>
        <v>5466</v>
      </c>
      <c r="Q3751" s="8">
        <f t="shared" si="293"/>
        <v>3684</v>
      </c>
      <c r="R3751" s="2" t="s">
        <v>50</v>
      </c>
      <c r="S3751" s="9">
        <f t="shared" si="294"/>
        <v>273.3</v>
      </c>
    </row>
    <row r="3752" spans="1:19" x14ac:dyDescent="0.3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str">
        <f>IFERROR(VLOOKUP('Customer Info'!A3744,'Customer Info'!A3744:C4243,2,FALSE),"Not Found")</f>
        <v>Not Found</v>
      </c>
      <c r="H3752" s="6" t="str">
        <f>IFERROR(VLOOKUP('Customer Info'!A3744,'Customer Info'!A3744:C4243,3,FALSE),"Not Found")</f>
        <v>Not Found</v>
      </c>
      <c r="I3752" s="6" t="str">
        <f>IFERROR(VLOOKUP('Customer Info'!A3744,'Customer Info'!A3744:E4243,5,FALSE),"Not Found")</f>
        <v>Not Found</v>
      </c>
      <c r="J3752" s="2">
        <v>145</v>
      </c>
      <c r="K3752" s="2">
        <v>130</v>
      </c>
      <c r="L3752" s="2">
        <v>2</v>
      </c>
      <c r="M3752" s="7">
        <f t="shared" si="290"/>
        <v>260</v>
      </c>
      <c r="N3752" s="7">
        <f t="shared" si="291"/>
        <v>290</v>
      </c>
      <c r="O3752" s="2">
        <v>30</v>
      </c>
      <c r="P3752" s="8">
        <f t="shared" si="292"/>
        <v>320</v>
      </c>
      <c r="Q3752" s="8">
        <f t="shared" si="293"/>
        <v>160</v>
      </c>
      <c r="R3752" s="2" t="s">
        <v>28</v>
      </c>
      <c r="S3752" s="9">
        <f t="shared" si="294"/>
        <v>6.4</v>
      </c>
    </row>
    <row r="3753" spans="1:19" x14ac:dyDescent="0.3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str">
        <f>IFERROR(VLOOKUP('Customer Info'!A3745,'Customer Info'!A3745:C4244,2,FALSE),"Not Found")</f>
        <v>Not Found</v>
      </c>
      <c r="H3753" s="6" t="str">
        <f>IFERROR(VLOOKUP('Customer Info'!A3745,'Customer Info'!A3745:C4244,3,FALSE),"Not Found")</f>
        <v>Not Found</v>
      </c>
      <c r="I3753" s="6" t="str">
        <f>IFERROR(VLOOKUP('Customer Info'!A3745,'Customer Info'!A3745:E4244,5,FALSE),"Not Found")</f>
        <v>Not Found</v>
      </c>
      <c r="J3753" s="2">
        <v>6481</v>
      </c>
      <c r="K3753" s="2">
        <v>5884</v>
      </c>
      <c r="L3753" s="2">
        <v>1</v>
      </c>
      <c r="M3753" s="7">
        <f t="shared" si="290"/>
        <v>5884</v>
      </c>
      <c r="N3753" s="7">
        <f t="shared" si="291"/>
        <v>6481</v>
      </c>
      <c r="O3753" s="2">
        <v>38</v>
      </c>
      <c r="P3753" s="8">
        <f t="shared" si="292"/>
        <v>6519</v>
      </c>
      <c r="Q3753" s="8">
        <f t="shared" si="293"/>
        <v>597</v>
      </c>
      <c r="R3753" s="2" t="s">
        <v>28</v>
      </c>
      <c r="S3753" s="9">
        <f t="shared" si="294"/>
        <v>325.95000000000005</v>
      </c>
    </row>
    <row r="3754" spans="1:19" x14ac:dyDescent="0.3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str">
        <f>IFERROR(VLOOKUP('Customer Info'!A3746,'Customer Info'!A3746:C4245,2,FALSE),"Not Found")</f>
        <v>Not Found</v>
      </c>
      <c r="H3754" s="6" t="str">
        <f>IFERROR(VLOOKUP('Customer Info'!A3746,'Customer Info'!A3746:C4245,3,FALSE),"Not Found")</f>
        <v>Not Found</v>
      </c>
      <c r="I3754" s="6" t="str">
        <f>IFERROR(VLOOKUP('Customer Info'!A3746,'Customer Info'!A3746:E4245,5,FALSE),"Not Found")</f>
        <v>Not Found</v>
      </c>
      <c r="J3754" s="2">
        <v>829</v>
      </c>
      <c r="K3754" s="2">
        <v>761</v>
      </c>
      <c r="L3754" s="2">
        <v>1</v>
      </c>
      <c r="M3754" s="7">
        <f t="shared" si="290"/>
        <v>761</v>
      </c>
      <c r="N3754" s="7">
        <f t="shared" si="291"/>
        <v>829</v>
      </c>
      <c r="O3754" s="2">
        <v>87</v>
      </c>
      <c r="P3754" s="8">
        <f t="shared" si="292"/>
        <v>916</v>
      </c>
      <c r="Q3754" s="8">
        <f t="shared" si="293"/>
        <v>68</v>
      </c>
      <c r="R3754" s="2" t="s">
        <v>28</v>
      </c>
      <c r="S3754" s="9">
        <f t="shared" si="294"/>
        <v>18.32</v>
      </c>
    </row>
    <row r="3755" spans="1:19" x14ac:dyDescent="0.3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str">
        <f>IFERROR(VLOOKUP('Customer Info'!A3747,'Customer Info'!A3747:C4246,2,FALSE),"Not Found")</f>
        <v>Not Found</v>
      </c>
      <c r="H3755" s="6" t="str">
        <f>IFERROR(VLOOKUP('Customer Info'!A3747,'Customer Info'!A3747:C4246,3,FALSE),"Not Found")</f>
        <v>Not Found</v>
      </c>
      <c r="I3755" s="6" t="str">
        <f>IFERROR(VLOOKUP('Customer Info'!A3747,'Customer Info'!A3747:E4246,5,FALSE),"Not Found")</f>
        <v>Not Found</v>
      </c>
      <c r="J3755" s="2">
        <v>658</v>
      </c>
      <c r="K3755" s="2">
        <v>615</v>
      </c>
      <c r="L3755" s="2">
        <v>7</v>
      </c>
      <c r="M3755" s="7">
        <f t="shared" si="290"/>
        <v>4305</v>
      </c>
      <c r="N3755" s="7">
        <f t="shared" si="291"/>
        <v>4606</v>
      </c>
      <c r="O3755" s="2">
        <v>36</v>
      </c>
      <c r="P3755" s="8">
        <f t="shared" si="292"/>
        <v>4642</v>
      </c>
      <c r="Q3755" s="8">
        <f t="shared" si="293"/>
        <v>3991</v>
      </c>
      <c r="R3755" s="2" t="s">
        <v>28</v>
      </c>
      <c r="S3755" s="9">
        <f t="shared" si="294"/>
        <v>92.84</v>
      </c>
    </row>
    <row r="3756" spans="1:19" x14ac:dyDescent="0.3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str">
        <f>IFERROR(VLOOKUP('Customer Info'!A3748,'Customer Info'!A3748:C4247,2,FALSE),"Not Found")</f>
        <v>Not Found</v>
      </c>
      <c r="H3756" s="6" t="str">
        <f>IFERROR(VLOOKUP('Customer Info'!A3748,'Customer Info'!A3748:C4247,3,FALSE),"Not Found")</f>
        <v>Not Found</v>
      </c>
      <c r="I3756" s="6" t="str">
        <f>IFERROR(VLOOKUP('Customer Info'!A3748,'Customer Info'!A3748:E4247,5,FALSE),"Not Found")</f>
        <v>Not Found</v>
      </c>
      <c r="J3756" s="2">
        <v>2829</v>
      </c>
      <c r="K3756" s="2">
        <v>2596</v>
      </c>
      <c r="L3756" s="2">
        <v>1</v>
      </c>
      <c r="M3756" s="7">
        <f t="shared" si="290"/>
        <v>2596</v>
      </c>
      <c r="N3756" s="7">
        <f t="shared" si="291"/>
        <v>2829</v>
      </c>
      <c r="O3756" s="2">
        <v>76</v>
      </c>
      <c r="P3756" s="8">
        <f t="shared" si="292"/>
        <v>2905</v>
      </c>
      <c r="Q3756" s="8">
        <f t="shared" si="293"/>
        <v>233</v>
      </c>
      <c r="R3756" s="2" t="s">
        <v>28</v>
      </c>
      <c r="S3756" s="9">
        <f t="shared" si="294"/>
        <v>58.1</v>
      </c>
    </row>
    <row r="3757" spans="1:19" x14ac:dyDescent="0.3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str">
        <f>IFERROR(VLOOKUP('Customer Info'!A3749,'Customer Info'!A3749:C4248,2,FALSE),"Not Found")</f>
        <v>Not Found</v>
      </c>
      <c r="H3757" s="6" t="str">
        <f>IFERROR(VLOOKUP('Customer Info'!A3749,'Customer Info'!A3749:C4248,3,FALSE),"Not Found")</f>
        <v>Not Found</v>
      </c>
      <c r="I3757" s="6" t="str">
        <f>IFERROR(VLOOKUP('Customer Info'!A3749,'Customer Info'!A3749:E4248,5,FALSE),"Not Found")</f>
        <v>Not Found</v>
      </c>
      <c r="J3757" s="2">
        <v>6520</v>
      </c>
      <c r="K3757" s="2">
        <v>5985</v>
      </c>
      <c r="L3757" s="2">
        <v>3</v>
      </c>
      <c r="M3757" s="7">
        <f t="shared" si="290"/>
        <v>17955</v>
      </c>
      <c r="N3757" s="7">
        <f t="shared" si="291"/>
        <v>19560</v>
      </c>
      <c r="O3757" s="2">
        <v>62</v>
      </c>
      <c r="P3757" s="8">
        <f t="shared" si="292"/>
        <v>19622</v>
      </c>
      <c r="Q3757" s="8">
        <f t="shared" si="293"/>
        <v>13575</v>
      </c>
      <c r="R3757" s="2" t="s">
        <v>50</v>
      </c>
      <c r="S3757" s="9">
        <f t="shared" si="294"/>
        <v>981.1</v>
      </c>
    </row>
    <row r="3758" spans="1:19" x14ac:dyDescent="0.3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str">
        <f>IFERROR(VLOOKUP('Customer Info'!A3750,'Customer Info'!A3750:C4249,2,FALSE),"Not Found")</f>
        <v>Not Found</v>
      </c>
      <c r="H3758" s="6" t="str">
        <f>IFERROR(VLOOKUP('Customer Info'!A3750,'Customer Info'!A3750:C4249,3,FALSE),"Not Found")</f>
        <v>Not Found</v>
      </c>
      <c r="I3758" s="6" t="str">
        <f>IFERROR(VLOOKUP('Customer Info'!A3750,'Customer Info'!A3750:E4249,5,FALSE),"Not Found")</f>
        <v>Not Found</v>
      </c>
      <c r="J3758" s="2">
        <v>2706</v>
      </c>
      <c r="K3758" s="2">
        <v>2553</v>
      </c>
      <c r="L3758" s="2">
        <v>4</v>
      </c>
      <c r="M3758" s="7">
        <f t="shared" si="290"/>
        <v>10212</v>
      </c>
      <c r="N3758" s="7">
        <f t="shared" si="291"/>
        <v>10824</v>
      </c>
      <c r="O3758" s="2">
        <v>30</v>
      </c>
      <c r="P3758" s="8">
        <f t="shared" si="292"/>
        <v>10854</v>
      </c>
      <c r="Q3758" s="8">
        <f t="shared" si="293"/>
        <v>8271</v>
      </c>
      <c r="R3758" s="2" t="s">
        <v>28</v>
      </c>
      <c r="S3758" s="9">
        <f t="shared" si="294"/>
        <v>542.70000000000005</v>
      </c>
    </row>
    <row r="3759" spans="1:19" x14ac:dyDescent="0.3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str">
        <f>IFERROR(VLOOKUP('Customer Info'!A3751,'Customer Info'!A3751:C4250,2,FALSE),"Not Found")</f>
        <v>Not Found</v>
      </c>
      <c r="H3759" s="6" t="str">
        <f>IFERROR(VLOOKUP('Customer Info'!A3751,'Customer Info'!A3751:C4250,3,FALSE),"Not Found")</f>
        <v>Not Found</v>
      </c>
      <c r="I3759" s="6" t="str">
        <f>IFERROR(VLOOKUP('Customer Info'!A3751,'Customer Info'!A3751:E4250,5,FALSE),"Not Found")</f>
        <v>Not Found</v>
      </c>
      <c r="J3759" s="2">
        <v>1498</v>
      </c>
      <c r="K3759" s="2">
        <v>1335</v>
      </c>
      <c r="L3759" s="2">
        <v>2</v>
      </c>
      <c r="M3759" s="7">
        <f t="shared" si="290"/>
        <v>2670</v>
      </c>
      <c r="N3759" s="7">
        <f t="shared" si="291"/>
        <v>2996</v>
      </c>
      <c r="O3759" s="2">
        <v>29</v>
      </c>
      <c r="P3759" s="8">
        <f t="shared" si="292"/>
        <v>3025</v>
      </c>
      <c r="Q3759" s="8">
        <f t="shared" si="293"/>
        <v>1661</v>
      </c>
      <c r="R3759" s="2" t="s">
        <v>28</v>
      </c>
      <c r="S3759" s="9">
        <f t="shared" si="294"/>
        <v>60.5</v>
      </c>
    </row>
    <row r="3760" spans="1:19" x14ac:dyDescent="0.3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str">
        <f>IFERROR(VLOOKUP('Customer Info'!A3752,'Customer Info'!A3752:C4251,2,FALSE),"Not Found")</f>
        <v>Not Found</v>
      </c>
      <c r="H3760" s="6" t="str">
        <f>IFERROR(VLOOKUP('Customer Info'!A3752,'Customer Info'!A3752:C4251,3,FALSE),"Not Found")</f>
        <v>Not Found</v>
      </c>
      <c r="I3760" s="6" t="str">
        <f>IFERROR(VLOOKUP('Customer Info'!A3752,'Customer Info'!A3752:E4251,5,FALSE),"Not Found")</f>
        <v>Not Found</v>
      </c>
      <c r="J3760" s="2">
        <v>968</v>
      </c>
      <c r="K3760" s="2">
        <v>913</v>
      </c>
      <c r="L3760" s="2">
        <v>1</v>
      </c>
      <c r="M3760" s="7">
        <f t="shared" si="290"/>
        <v>913</v>
      </c>
      <c r="N3760" s="7">
        <f t="shared" si="291"/>
        <v>968</v>
      </c>
      <c r="O3760" s="2">
        <v>67</v>
      </c>
      <c r="P3760" s="8">
        <f t="shared" si="292"/>
        <v>1035</v>
      </c>
      <c r="Q3760" s="8">
        <f t="shared" si="293"/>
        <v>55</v>
      </c>
      <c r="R3760" s="2" t="s">
        <v>50</v>
      </c>
      <c r="S3760" s="9">
        <f t="shared" si="294"/>
        <v>20.7</v>
      </c>
    </row>
    <row r="3761" spans="1:19" x14ac:dyDescent="0.3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str">
        <f>IFERROR(VLOOKUP('Customer Info'!A3753,'Customer Info'!A3753:C4252,2,FALSE),"Not Found")</f>
        <v>Not Found</v>
      </c>
      <c r="H3761" s="6" t="str">
        <f>IFERROR(VLOOKUP('Customer Info'!A3753,'Customer Info'!A3753:C4252,3,FALSE),"Not Found")</f>
        <v>Not Found</v>
      </c>
      <c r="I3761" s="6" t="str">
        <f>IFERROR(VLOOKUP('Customer Info'!A3753,'Customer Info'!A3753:E4252,5,FALSE),"Not Found")</f>
        <v>Not Found</v>
      </c>
      <c r="J3761" s="2">
        <v>1058</v>
      </c>
      <c r="K3761" s="2">
        <v>989</v>
      </c>
      <c r="L3761" s="2">
        <v>2</v>
      </c>
      <c r="M3761" s="7">
        <f t="shared" si="290"/>
        <v>1978</v>
      </c>
      <c r="N3761" s="7">
        <f t="shared" si="291"/>
        <v>2116</v>
      </c>
      <c r="O3761" s="2">
        <v>94</v>
      </c>
      <c r="P3761" s="8">
        <f t="shared" si="292"/>
        <v>2210</v>
      </c>
      <c r="Q3761" s="8">
        <f t="shared" si="293"/>
        <v>1127</v>
      </c>
      <c r="R3761" s="2" t="s">
        <v>26</v>
      </c>
      <c r="S3761" s="9">
        <f t="shared" si="294"/>
        <v>44.2</v>
      </c>
    </row>
    <row r="3762" spans="1:19" x14ac:dyDescent="0.3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str">
        <f>IFERROR(VLOOKUP('Customer Info'!A3754,'Customer Info'!A3754:C4253,2,FALSE),"Not Found")</f>
        <v>Not Found</v>
      </c>
      <c r="H3762" s="6" t="str">
        <f>IFERROR(VLOOKUP('Customer Info'!A3754,'Customer Info'!A3754:C4253,3,FALSE),"Not Found")</f>
        <v>Not Found</v>
      </c>
      <c r="I3762" s="6" t="str">
        <f>IFERROR(VLOOKUP('Customer Info'!A3754,'Customer Info'!A3754:E4253,5,FALSE),"Not Found")</f>
        <v>Not Found</v>
      </c>
      <c r="J3762" s="2">
        <v>2907</v>
      </c>
      <c r="K3762" s="2">
        <v>2667</v>
      </c>
      <c r="L3762" s="2">
        <v>1</v>
      </c>
      <c r="M3762" s="7">
        <f t="shared" si="290"/>
        <v>2667</v>
      </c>
      <c r="N3762" s="7">
        <f t="shared" si="291"/>
        <v>2907</v>
      </c>
      <c r="O3762" s="2">
        <v>61</v>
      </c>
      <c r="P3762" s="8">
        <f t="shared" si="292"/>
        <v>2968</v>
      </c>
      <c r="Q3762" s="8">
        <f t="shared" si="293"/>
        <v>240</v>
      </c>
      <c r="R3762" s="2" t="s">
        <v>28</v>
      </c>
      <c r="S3762" s="9">
        <f t="shared" si="294"/>
        <v>59.36</v>
      </c>
    </row>
    <row r="3763" spans="1:19" x14ac:dyDescent="0.3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str">
        <f>IFERROR(VLOOKUP('Customer Info'!A3755,'Customer Info'!A3755:C4254,2,FALSE),"Not Found")</f>
        <v>Not Found</v>
      </c>
      <c r="H3763" s="6" t="str">
        <f>IFERROR(VLOOKUP('Customer Info'!A3755,'Customer Info'!A3755:C4254,3,FALSE),"Not Found")</f>
        <v>Not Found</v>
      </c>
      <c r="I3763" s="6" t="str">
        <f>IFERROR(VLOOKUP('Customer Info'!A3755,'Customer Info'!A3755:E4254,5,FALSE),"Not Found")</f>
        <v>Not Found</v>
      </c>
      <c r="J3763" s="2">
        <v>2271</v>
      </c>
      <c r="K3763" s="2">
        <v>2144</v>
      </c>
      <c r="L3763" s="2">
        <v>4</v>
      </c>
      <c r="M3763" s="7">
        <f t="shared" si="290"/>
        <v>8576</v>
      </c>
      <c r="N3763" s="7">
        <f t="shared" si="291"/>
        <v>9084</v>
      </c>
      <c r="O3763" s="2">
        <v>26</v>
      </c>
      <c r="P3763" s="8">
        <f t="shared" si="292"/>
        <v>9110</v>
      </c>
      <c r="Q3763" s="8">
        <f t="shared" si="293"/>
        <v>6940</v>
      </c>
      <c r="R3763" s="2" t="s">
        <v>50</v>
      </c>
      <c r="S3763" s="9">
        <f t="shared" si="294"/>
        <v>455.5</v>
      </c>
    </row>
    <row r="3764" spans="1:19" x14ac:dyDescent="0.3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str">
        <f>IFERROR(VLOOKUP('Customer Info'!A3756,'Customer Info'!A3756:C4255,2,FALSE),"Not Found")</f>
        <v>Not Found</v>
      </c>
      <c r="H3764" s="6" t="str">
        <f>IFERROR(VLOOKUP('Customer Info'!A3756,'Customer Info'!A3756:C4255,3,FALSE),"Not Found")</f>
        <v>Not Found</v>
      </c>
      <c r="I3764" s="6" t="str">
        <f>IFERROR(VLOOKUP('Customer Info'!A3756,'Customer Info'!A3756:E4255,5,FALSE),"Not Found")</f>
        <v>Not Found</v>
      </c>
      <c r="J3764" s="2">
        <v>187</v>
      </c>
      <c r="K3764" s="2">
        <v>176</v>
      </c>
      <c r="L3764" s="2">
        <v>3</v>
      </c>
      <c r="M3764" s="7">
        <f t="shared" si="290"/>
        <v>528</v>
      </c>
      <c r="N3764" s="7">
        <f t="shared" si="291"/>
        <v>561</v>
      </c>
      <c r="O3764" s="2">
        <v>30</v>
      </c>
      <c r="P3764" s="8">
        <f t="shared" si="292"/>
        <v>591</v>
      </c>
      <c r="Q3764" s="8">
        <f t="shared" si="293"/>
        <v>385</v>
      </c>
      <c r="R3764" s="2" t="s">
        <v>50</v>
      </c>
      <c r="S3764" s="9">
        <f t="shared" si="294"/>
        <v>11.82</v>
      </c>
    </row>
    <row r="3765" spans="1:19" x14ac:dyDescent="0.3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str">
        <f>IFERROR(VLOOKUP('Customer Info'!A3757,'Customer Info'!A3757:C4256,2,FALSE),"Not Found")</f>
        <v>Not Found</v>
      </c>
      <c r="H3765" s="6" t="str">
        <f>IFERROR(VLOOKUP('Customer Info'!A3757,'Customer Info'!A3757:C4256,3,FALSE),"Not Found")</f>
        <v>Not Found</v>
      </c>
      <c r="I3765" s="6" t="str">
        <f>IFERROR(VLOOKUP('Customer Info'!A3757,'Customer Info'!A3757:E4256,5,FALSE),"Not Found")</f>
        <v>Not Found</v>
      </c>
      <c r="J3765" s="2">
        <v>1372</v>
      </c>
      <c r="K3765" s="2">
        <v>1308</v>
      </c>
      <c r="L3765" s="2">
        <v>3</v>
      </c>
      <c r="M3765" s="7">
        <f t="shared" si="290"/>
        <v>3924</v>
      </c>
      <c r="N3765" s="7">
        <f t="shared" si="291"/>
        <v>4116</v>
      </c>
      <c r="O3765" s="2">
        <v>59</v>
      </c>
      <c r="P3765" s="8">
        <f t="shared" si="292"/>
        <v>4175</v>
      </c>
      <c r="Q3765" s="8">
        <f t="shared" si="293"/>
        <v>2808</v>
      </c>
      <c r="R3765" s="2" t="s">
        <v>56</v>
      </c>
      <c r="S3765" s="9">
        <f t="shared" si="294"/>
        <v>83.5</v>
      </c>
    </row>
    <row r="3766" spans="1:19" x14ac:dyDescent="0.3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str">
        <f>IFERROR(VLOOKUP('Customer Info'!A3758,'Customer Info'!A3758:C4257,2,FALSE),"Not Found")</f>
        <v>Not Found</v>
      </c>
      <c r="H3766" s="6" t="str">
        <f>IFERROR(VLOOKUP('Customer Info'!A3758,'Customer Info'!A3758:C4257,3,FALSE),"Not Found")</f>
        <v>Not Found</v>
      </c>
      <c r="I3766" s="6" t="str">
        <f>IFERROR(VLOOKUP('Customer Info'!A3758,'Customer Info'!A3758:E4257,5,FALSE),"Not Found")</f>
        <v>Not Found</v>
      </c>
      <c r="J3766" s="2">
        <v>2222</v>
      </c>
      <c r="K3766" s="2">
        <v>2081</v>
      </c>
      <c r="L3766" s="2">
        <v>3</v>
      </c>
      <c r="M3766" s="7">
        <f t="shared" si="290"/>
        <v>6243</v>
      </c>
      <c r="N3766" s="7">
        <f t="shared" si="291"/>
        <v>6666</v>
      </c>
      <c r="O3766" s="2">
        <v>51</v>
      </c>
      <c r="P3766" s="8">
        <f t="shared" si="292"/>
        <v>6717</v>
      </c>
      <c r="Q3766" s="8">
        <f t="shared" si="293"/>
        <v>4585</v>
      </c>
      <c r="R3766" s="2" t="s">
        <v>26</v>
      </c>
      <c r="S3766" s="9">
        <f t="shared" si="294"/>
        <v>335.85</v>
      </c>
    </row>
    <row r="3767" spans="1:19" x14ac:dyDescent="0.3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str">
        <f>IFERROR(VLOOKUP('Customer Info'!A3759,'Customer Info'!A3759:C4258,2,FALSE),"Not Found")</f>
        <v>Not Found</v>
      </c>
      <c r="H3767" s="6" t="str">
        <f>IFERROR(VLOOKUP('Customer Info'!A3759,'Customer Info'!A3759:C4258,3,FALSE),"Not Found")</f>
        <v>Not Found</v>
      </c>
      <c r="I3767" s="6" t="str">
        <f>IFERROR(VLOOKUP('Customer Info'!A3759,'Customer Info'!A3759:E4258,5,FALSE),"Not Found")</f>
        <v>Not Found</v>
      </c>
      <c r="J3767" s="2">
        <v>148</v>
      </c>
      <c r="K3767" s="2">
        <v>136</v>
      </c>
      <c r="L3767" s="2">
        <v>7</v>
      </c>
      <c r="M3767" s="7">
        <f t="shared" si="290"/>
        <v>952</v>
      </c>
      <c r="N3767" s="7">
        <f t="shared" si="291"/>
        <v>1036</v>
      </c>
      <c r="O3767" s="2">
        <v>30</v>
      </c>
      <c r="P3767" s="8">
        <f t="shared" si="292"/>
        <v>1066</v>
      </c>
      <c r="Q3767" s="8">
        <f t="shared" si="293"/>
        <v>900</v>
      </c>
      <c r="R3767" s="2" t="s">
        <v>50</v>
      </c>
      <c r="S3767" s="9">
        <f t="shared" si="294"/>
        <v>21.32</v>
      </c>
    </row>
    <row r="3768" spans="1:19" x14ac:dyDescent="0.3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str">
        <f>IFERROR(VLOOKUP('Customer Info'!A3760,'Customer Info'!A3760:C4259,2,FALSE),"Not Found")</f>
        <v>Not Found</v>
      </c>
      <c r="H3768" s="6" t="str">
        <f>IFERROR(VLOOKUP('Customer Info'!A3760,'Customer Info'!A3760:C4259,3,FALSE),"Not Found")</f>
        <v>Not Found</v>
      </c>
      <c r="I3768" s="6" t="str">
        <f>IFERROR(VLOOKUP('Customer Info'!A3760,'Customer Info'!A3760:E4259,5,FALSE),"Not Found")</f>
        <v>Not Found</v>
      </c>
      <c r="J3768" s="2">
        <v>2205</v>
      </c>
      <c r="K3768" s="2">
        <v>2061</v>
      </c>
      <c r="L3768" s="2">
        <v>2</v>
      </c>
      <c r="M3768" s="7">
        <f t="shared" si="290"/>
        <v>4122</v>
      </c>
      <c r="N3768" s="7">
        <f t="shared" si="291"/>
        <v>4410</v>
      </c>
      <c r="O3768" s="2">
        <v>34</v>
      </c>
      <c r="P3768" s="8">
        <f t="shared" si="292"/>
        <v>4444</v>
      </c>
      <c r="Q3768" s="8">
        <f t="shared" si="293"/>
        <v>2349</v>
      </c>
      <c r="R3768" s="2" t="s">
        <v>28</v>
      </c>
      <c r="S3768" s="9">
        <f t="shared" si="294"/>
        <v>88.88</v>
      </c>
    </row>
    <row r="3769" spans="1:19" x14ac:dyDescent="0.3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str">
        <f>IFERROR(VLOOKUP('Customer Info'!A3761,'Customer Info'!A3761:C4260,2,FALSE),"Not Found")</f>
        <v>Not Found</v>
      </c>
      <c r="H3769" s="6" t="str">
        <f>IFERROR(VLOOKUP('Customer Info'!A3761,'Customer Info'!A3761:C4260,3,FALSE),"Not Found")</f>
        <v>Not Found</v>
      </c>
      <c r="I3769" s="6" t="str">
        <f>IFERROR(VLOOKUP('Customer Info'!A3761,'Customer Info'!A3761:E4260,5,FALSE),"Not Found")</f>
        <v>Not Found</v>
      </c>
      <c r="J3769" s="2">
        <v>1060</v>
      </c>
      <c r="K3769" s="2">
        <v>964</v>
      </c>
      <c r="L3769" s="2">
        <v>1</v>
      </c>
      <c r="M3769" s="7">
        <f t="shared" si="290"/>
        <v>964</v>
      </c>
      <c r="N3769" s="7">
        <f t="shared" si="291"/>
        <v>1060</v>
      </c>
      <c r="O3769" s="2">
        <v>83</v>
      </c>
      <c r="P3769" s="8">
        <f t="shared" si="292"/>
        <v>1143</v>
      </c>
      <c r="Q3769" s="8">
        <f t="shared" si="293"/>
        <v>96</v>
      </c>
      <c r="R3769" s="2" t="s">
        <v>28</v>
      </c>
      <c r="S3769" s="9">
        <f t="shared" si="294"/>
        <v>22.86</v>
      </c>
    </row>
    <row r="3770" spans="1:19" x14ac:dyDescent="0.3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str">
        <f>IFERROR(VLOOKUP('Customer Info'!A3762,'Customer Info'!A3762:C4261,2,FALSE),"Not Found")</f>
        <v>Not Found</v>
      </c>
      <c r="H3770" s="6" t="str">
        <f>IFERROR(VLOOKUP('Customer Info'!A3762,'Customer Info'!A3762:C4261,3,FALSE),"Not Found")</f>
        <v>Not Found</v>
      </c>
      <c r="I3770" s="6" t="str">
        <f>IFERROR(VLOOKUP('Customer Info'!A3762,'Customer Info'!A3762:E4261,5,FALSE),"Not Found")</f>
        <v>Not Found</v>
      </c>
      <c r="J3770" s="2">
        <v>63</v>
      </c>
      <c r="K3770" s="2">
        <v>58</v>
      </c>
      <c r="L3770" s="2">
        <v>1</v>
      </c>
      <c r="M3770" s="7">
        <f t="shared" si="290"/>
        <v>58</v>
      </c>
      <c r="N3770" s="7">
        <f t="shared" si="291"/>
        <v>63</v>
      </c>
      <c r="O3770" s="2">
        <v>10</v>
      </c>
      <c r="P3770" s="8">
        <f t="shared" si="292"/>
        <v>73</v>
      </c>
      <c r="Q3770" s="8">
        <f t="shared" si="293"/>
        <v>5</v>
      </c>
      <c r="R3770" s="2" t="s">
        <v>26</v>
      </c>
      <c r="S3770" s="9">
        <f t="shared" si="294"/>
        <v>1.46</v>
      </c>
    </row>
    <row r="3771" spans="1:19" x14ac:dyDescent="0.3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str">
        <f>IFERROR(VLOOKUP('Customer Info'!A3763,'Customer Info'!A3763:C4262,2,FALSE),"Not Found")</f>
        <v>Not Found</v>
      </c>
      <c r="H3771" s="6" t="str">
        <f>IFERROR(VLOOKUP('Customer Info'!A3763,'Customer Info'!A3763:C4262,3,FALSE),"Not Found")</f>
        <v>Not Found</v>
      </c>
      <c r="I3771" s="6" t="str">
        <f>IFERROR(VLOOKUP('Customer Info'!A3763,'Customer Info'!A3763:E4262,5,FALSE),"Not Found")</f>
        <v>Not Found</v>
      </c>
      <c r="J3771" s="2">
        <v>1845</v>
      </c>
      <c r="K3771" s="2">
        <v>1742</v>
      </c>
      <c r="L3771" s="2">
        <v>1</v>
      </c>
      <c r="M3771" s="7">
        <f t="shared" si="290"/>
        <v>1742</v>
      </c>
      <c r="N3771" s="7">
        <f t="shared" si="291"/>
        <v>1845</v>
      </c>
      <c r="O3771" s="2">
        <v>60</v>
      </c>
      <c r="P3771" s="8">
        <f t="shared" si="292"/>
        <v>1905</v>
      </c>
      <c r="Q3771" s="8">
        <f t="shared" si="293"/>
        <v>103</v>
      </c>
      <c r="R3771" s="2" t="s">
        <v>26</v>
      </c>
      <c r="S3771" s="9">
        <f t="shared" si="294"/>
        <v>38.1</v>
      </c>
    </row>
    <row r="3772" spans="1:19" x14ac:dyDescent="0.3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str">
        <f>IFERROR(VLOOKUP('Customer Info'!A3764,'Customer Info'!A3764:C4263,2,FALSE),"Not Found")</f>
        <v>Not Found</v>
      </c>
      <c r="H3772" s="6" t="str">
        <f>IFERROR(VLOOKUP('Customer Info'!A3764,'Customer Info'!A3764:C4263,3,FALSE),"Not Found")</f>
        <v>Not Found</v>
      </c>
      <c r="I3772" s="6" t="str">
        <f>IFERROR(VLOOKUP('Customer Info'!A3764,'Customer Info'!A3764:E4263,5,FALSE),"Not Found")</f>
        <v>Not Found</v>
      </c>
      <c r="J3772" s="2">
        <v>1318</v>
      </c>
      <c r="K3772" s="2">
        <v>1209</v>
      </c>
      <c r="L3772" s="2">
        <v>2</v>
      </c>
      <c r="M3772" s="7">
        <f t="shared" si="290"/>
        <v>2418</v>
      </c>
      <c r="N3772" s="7">
        <f t="shared" si="291"/>
        <v>2636</v>
      </c>
      <c r="O3772" s="2">
        <v>88</v>
      </c>
      <c r="P3772" s="8">
        <f t="shared" si="292"/>
        <v>2724</v>
      </c>
      <c r="Q3772" s="8">
        <f t="shared" si="293"/>
        <v>1427</v>
      </c>
      <c r="R3772" s="2" t="s">
        <v>28</v>
      </c>
      <c r="S3772" s="9">
        <f t="shared" si="294"/>
        <v>54.480000000000004</v>
      </c>
    </row>
    <row r="3773" spans="1:19" x14ac:dyDescent="0.3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str">
        <f>IFERROR(VLOOKUP('Customer Info'!A3765,'Customer Info'!A3765:C4264,2,FALSE),"Not Found")</f>
        <v>Not Found</v>
      </c>
      <c r="H3773" s="6" t="str">
        <f>IFERROR(VLOOKUP('Customer Info'!A3765,'Customer Info'!A3765:C4264,3,FALSE),"Not Found")</f>
        <v>Not Found</v>
      </c>
      <c r="I3773" s="6" t="str">
        <f>IFERROR(VLOOKUP('Customer Info'!A3765,'Customer Info'!A3765:E4264,5,FALSE),"Not Found")</f>
        <v>Not Found</v>
      </c>
      <c r="J3773" s="2">
        <v>60</v>
      </c>
      <c r="K3773" s="2">
        <v>56</v>
      </c>
      <c r="L3773" s="2">
        <v>5</v>
      </c>
      <c r="M3773" s="7">
        <f t="shared" si="290"/>
        <v>280</v>
      </c>
      <c r="N3773" s="7">
        <f t="shared" si="291"/>
        <v>300</v>
      </c>
      <c r="O3773" s="2">
        <v>10</v>
      </c>
      <c r="P3773" s="8">
        <f t="shared" si="292"/>
        <v>310</v>
      </c>
      <c r="Q3773" s="8">
        <f t="shared" si="293"/>
        <v>244</v>
      </c>
      <c r="R3773" s="2" t="s">
        <v>50</v>
      </c>
      <c r="S3773" s="9">
        <f t="shared" si="294"/>
        <v>6.2</v>
      </c>
    </row>
    <row r="3774" spans="1:19" x14ac:dyDescent="0.3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str">
        <f>IFERROR(VLOOKUP('Customer Info'!A3766,'Customer Info'!A3766:C4265,2,FALSE),"Not Found")</f>
        <v>Not Found</v>
      </c>
      <c r="H3774" s="6" t="str">
        <f>IFERROR(VLOOKUP('Customer Info'!A3766,'Customer Info'!A3766:C4265,3,FALSE),"Not Found")</f>
        <v>Not Found</v>
      </c>
      <c r="I3774" s="6" t="str">
        <f>IFERROR(VLOOKUP('Customer Info'!A3766,'Customer Info'!A3766:E4265,5,FALSE),"Not Found")</f>
        <v>Not Found</v>
      </c>
      <c r="J3774" s="2">
        <v>793</v>
      </c>
      <c r="K3774" s="2">
        <v>755</v>
      </c>
      <c r="L3774" s="2">
        <v>10</v>
      </c>
      <c r="M3774" s="7">
        <f t="shared" si="290"/>
        <v>7550</v>
      </c>
      <c r="N3774" s="7">
        <f t="shared" si="291"/>
        <v>7930</v>
      </c>
      <c r="O3774" s="2">
        <v>47</v>
      </c>
      <c r="P3774" s="8">
        <f t="shared" si="292"/>
        <v>7977</v>
      </c>
      <c r="Q3774" s="8">
        <f t="shared" si="293"/>
        <v>7175</v>
      </c>
      <c r="R3774" s="2" t="s">
        <v>26</v>
      </c>
      <c r="S3774" s="9">
        <f t="shared" si="294"/>
        <v>398.85</v>
      </c>
    </row>
    <row r="3775" spans="1:19" x14ac:dyDescent="0.3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str">
        <f>IFERROR(VLOOKUP('Customer Info'!A3767,'Customer Info'!A3767:C4266,2,FALSE),"Not Found")</f>
        <v>Not Found</v>
      </c>
      <c r="H3775" s="6" t="str">
        <f>IFERROR(VLOOKUP('Customer Info'!A3767,'Customer Info'!A3767:C4266,3,FALSE),"Not Found")</f>
        <v>Not Found</v>
      </c>
      <c r="I3775" s="6" t="str">
        <f>IFERROR(VLOOKUP('Customer Info'!A3767,'Customer Info'!A3767:E4266,5,FALSE),"Not Found")</f>
        <v>Not Found</v>
      </c>
      <c r="J3775" s="2">
        <v>29378</v>
      </c>
      <c r="K3775" s="2">
        <v>26912</v>
      </c>
      <c r="L3775" s="2">
        <v>5</v>
      </c>
      <c r="M3775" s="7">
        <f t="shared" si="290"/>
        <v>134560</v>
      </c>
      <c r="N3775" s="7">
        <f t="shared" si="291"/>
        <v>146890</v>
      </c>
      <c r="O3775" s="2">
        <v>34</v>
      </c>
      <c r="P3775" s="8">
        <f t="shared" si="292"/>
        <v>146924</v>
      </c>
      <c r="Q3775" s="8">
        <f t="shared" si="293"/>
        <v>119978</v>
      </c>
      <c r="R3775" s="2" t="s">
        <v>28</v>
      </c>
      <c r="S3775" s="9">
        <f t="shared" si="294"/>
        <v>17630.88</v>
      </c>
    </row>
    <row r="3776" spans="1:19" x14ac:dyDescent="0.3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str">
        <f>IFERROR(VLOOKUP('Customer Info'!A3768,'Customer Info'!A3768:C4267,2,FALSE),"Not Found")</f>
        <v>Not Found</v>
      </c>
      <c r="H3776" s="6" t="str">
        <f>IFERROR(VLOOKUP('Customer Info'!A3768,'Customer Info'!A3768:C4267,3,FALSE),"Not Found")</f>
        <v>Not Found</v>
      </c>
      <c r="I3776" s="6" t="str">
        <f>IFERROR(VLOOKUP('Customer Info'!A3768,'Customer Info'!A3768:E4267,5,FALSE),"Not Found")</f>
        <v>Not Found</v>
      </c>
      <c r="J3776" s="2">
        <v>1181</v>
      </c>
      <c r="K3776" s="2">
        <v>1136</v>
      </c>
      <c r="L3776" s="2">
        <v>1</v>
      </c>
      <c r="M3776" s="7">
        <f t="shared" si="290"/>
        <v>1136</v>
      </c>
      <c r="N3776" s="7">
        <f t="shared" si="291"/>
        <v>1181</v>
      </c>
      <c r="O3776" s="2">
        <v>26</v>
      </c>
      <c r="P3776" s="8">
        <f t="shared" si="292"/>
        <v>1207</v>
      </c>
      <c r="Q3776" s="8">
        <f t="shared" si="293"/>
        <v>45</v>
      </c>
      <c r="R3776" s="2" t="s">
        <v>50</v>
      </c>
      <c r="S3776" s="9">
        <f t="shared" si="294"/>
        <v>24.14</v>
      </c>
    </row>
    <row r="3777" spans="1:19" x14ac:dyDescent="0.3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str">
        <f>IFERROR(VLOOKUP('Customer Info'!A3769,'Customer Info'!A3769:C4268,2,FALSE),"Not Found")</f>
        <v>Not Found</v>
      </c>
      <c r="H3777" s="6" t="str">
        <f>IFERROR(VLOOKUP('Customer Info'!A3769,'Customer Info'!A3769:C4268,3,FALSE),"Not Found")</f>
        <v>Not Found</v>
      </c>
      <c r="I3777" s="6" t="str">
        <f>IFERROR(VLOOKUP('Customer Info'!A3769,'Customer Info'!A3769:E4268,5,FALSE),"Not Found")</f>
        <v>Not Found</v>
      </c>
      <c r="J3777" s="2">
        <v>1186</v>
      </c>
      <c r="K3777" s="2">
        <v>1141</v>
      </c>
      <c r="L3777" s="2">
        <v>1</v>
      </c>
      <c r="M3777" s="7">
        <f t="shared" si="290"/>
        <v>1141</v>
      </c>
      <c r="N3777" s="7">
        <f t="shared" si="291"/>
        <v>1186</v>
      </c>
      <c r="O3777" s="2">
        <v>87</v>
      </c>
      <c r="P3777" s="8">
        <f t="shared" si="292"/>
        <v>1273</v>
      </c>
      <c r="Q3777" s="8">
        <f t="shared" si="293"/>
        <v>45</v>
      </c>
      <c r="R3777" s="2" t="s">
        <v>28</v>
      </c>
      <c r="S3777" s="9">
        <f t="shared" si="294"/>
        <v>25.46</v>
      </c>
    </row>
    <row r="3778" spans="1:19" x14ac:dyDescent="0.3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str">
        <f>IFERROR(VLOOKUP('Customer Info'!A3770,'Customer Info'!A3770:C4269,2,FALSE),"Not Found")</f>
        <v>Not Found</v>
      </c>
      <c r="H3778" s="6" t="str">
        <f>IFERROR(VLOOKUP('Customer Info'!A3770,'Customer Info'!A3770:C4269,3,FALSE),"Not Found")</f>
        <v>Not Found</v>
      </c>
      <c r="I3778" s="6" t="str">
        <f>IFERROR(VLOOKUP('Customer Info'!A3770,'Customer Info'!A3770:E4269,5,FALSE),"Not Found")</f>
        <v>Not Found</v>
      </c>
      <c r="J3778" s="2">
        <v>511</v>
      </c>
      <c r="K3778" s="2">
        <v>477</v>
      </c>
      <c r="L3778" s="2">
        <v>1</v>
      </c>
      <c r="M3778" s="7">
        <f t="shared" si="290"/>
        <v>477</v>
      </c>
      <c r="N3778" s="7">
        <f t="shared" si="291"/>
        <v>511</v>
      </c>
      <c r="O3778" s="2">
        <v>22</v>
      </c>
      <c r="P3778" s="8">
        <f t="shared" si="292"/>
        <v>533</v>
      </c>
      <c r="Q3778" s="8">
        <f t="shared" si="293"/>
        <v>34</v>
      </c>
      <c r="R3778" s="2" t="s">
        <v>28</v>
      </c>
      <c r="S3778" s="9">
        <f t="shared" si="294"/>
        <v>10.66</v>
      </c>
    </row>
    <row r="3779" spans="1:19" x14ac:dyDescent="0.3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str">
        <f>IFERROR(VLOOKUP('Customer Info'!A3771,'Customer Info'!A3771:C4270,2,FALSE),"Not Found")</f>
        <v>Not Found</v>
      </c>
      <c r="H3779" s="6" t="str">
        <f>IFERROR(VLOOKUP('Customer Info'!A3771,'Customer Info'!A3771:C4270,3,FALSE),"Not Found")</f>
        <v>Not Found</v>
      </c>
      <c r="I3779" s="6" t="str">
        <f>IFERROR(VLOOKUP('Customer Info'!A3771,'Customer Info'!A3771:E4270,5,FALSE),"Not Found")</f>
        <v>Not Found</v>
      </c>
      <c r="J3779" s="2">
        <v>2466</v>
      </c>
      <c r="K3779" s="2">
        <v>2350</v>
      </c>
      <c r="L3779" s="2">
        <v>3</v>
      </c>
      <c r="M3779" s="7">
        <f t="shared" si="290"/>
        <v>7050</v>
      </c>
      <c r="N3779" s="7">
        <f t="shared" si="291"/>
        <v>7398</v>
      </c>
      <c r="O3779" s="2">
        <v>53</v>
      </c>
      <c r="P3779" s="8">
        <f t="shared" si="292"/>
        <v>7451</v>
      </c>
      <c r="Q3779" s="8">
        <f t="shared" si="293"/>
        <v>5048</v>
      </c>
      <c r="R3779" s="2" t="s">
        <v>28</v>
      </c>
      <c r="S3779" s="9">
        <f t="shared" si="294"/>
        <v>372.55</v>
      </c>
    </row>
    <row r="3780" spans="1:19" x14ac:dyDescent="0.3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str">
        <f>IFERROR(VLOOKUP('Customer Info'!A3772,'Customer Info'!A3772:C4271,2,FALSE),"Not Found")</f>
        <v>Not Found</v>
      </c>
      <c r="H3780" s="6" t="str">
        <f>IFERROR(VLOOKUP('Customer Info'!A3772,'Customer Info'!A3772:C4271,3,FALSE),"Not Found")</f>
        <v>Not Found</v>
      </c>
      <c r="I3780" s="6" t="str">
        <f>IFERROR(VLOOKUP('Customer Info'!A3772,'Customer Info'!A3772:E4271,5,FALSE),"Not Found")</f>
        <v>Not Found</v>
      </c>
      <c r="J3780" s="2">
        <v>1283</v>
      </c>
      <c r="K3780" s="2">
        <v>1187</v>
      </c>
      <c r="L3780" s="2">
        <v>2</v>
      </c>
      <c r="M3780" s="7">
        <f t="shared" si="290"/>
        <v>2374</v>
      </c>
      <c r="N3780" s="7">
        <f t="shared" si="291"/>
        <v>2566</v>
      </c>
      <c r="O3780" s="2">
        <v>43</v>
      </c>
      <c r="P3780" s="8">
        <f t="shared" si="292"/>
        <v>2609</v>
      </c>
      <c r="Q3780" s="8">
        <f t="shared" si="293"/>
        <v>1379</v>
      </c>
      <c r="R3780" s="2" t="s">
        <v>26</v>
      </c>
      <c r="S3780" s="9">
        <f t="shared" si="294"/>
        <v>52.18</v>
      </c>
    </row>
    <row r="3781" spans="1:19" x14ac:dyDescent="0.3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str">
        <f>IFERROR(VLOOKUP('Customer Info'!A3773,'Customer Info'!A3773:C4272,2,FALSE),"Not Found")</f>
        <v>Not Found</v>
      </c>
      <c r="H3781" s="6" t="str">
        <f>IFERROR(VLOOKUP('Customer Info'!A3773,'Customer Info'!A3773:C4272,3,FALSE),"Not Found")</f>
        <v>Not Found</v>
      </c>
      <c r="I3781" s="6" t="str">
        <f>IFERROR(VLOOKUP('Customer Info'!A3773,'Customer Info'!A3773:E4272,5,FALSE),"Not Found")</f>
        <v>Not Found</v>
      </c>
      <c r="J3781" s="2">
        <v>199</v>
      </c>
      <c r="K3781" s="2">
        <v>176</v>
      </c>
      <c r="L3781" s="2">
        <v>3</v>
      </c>
      <c r="M3781" s="7">
        <f t="shared" si="290"/>
        <v>528</v>
      </c>
      <c r="N3781" s="7">
        <f t="shared" si="291"/>
        <v>597</v>
      </c>
      <c r="O3781" s="2">
        <v>30</v>
      </c>
      <c r="P3781" s="8">
        <f t="shared" si="292"/>
        <v>627</v>
      </c>
      <c r="Q3781" s="8">
        <f t="shared" si="293"/>
        <v>421</v>
      </c>
      <c r="R3781" s="2" t="s">
        <v>28</v>
      </c>
      <c r="S3781" s="9">
        <f t="shared" si="294"/>
        <v>12.540000000000001</v>
      </c>
    </row>
    <row r="3782" spans="1:19" x14ac:dyDescent="0.3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str">
        <f>IFERROR(VLOOKUP('Customer Info'!A3774,'Customer Info'!A3774:C4273,2,FALSE),"Not Found")</f>
        <v>Not Found</v>
      </c>
      <c r="H3782" s="6" t="str">
        <f>IFERROR(VLOOKUP('Customer Info'!A3774,'Customer Info'!A3774:C4273,3,FALSE),"Not Found")</f>
        <v>Not Found</v>
      </c>
      <c r="I3782" s="6" t="str">
        <f>IFERROR(VLOOKUP('Customer Info'!A3774,'Customer Info'!A3774:E4273,5,FALSE),"Not Found")</f>
        <v>Not Found</v>
      </c>
      <c r="J3782" s="2">
        <v>5906</v>
      </c>
      <c r="K3782" s="2">
        <v>5266</v>
      </c>
      <c r="L3782" s="2">
        <v>6</v>
      </c>
      <c r="M3782" s="7">
        <f t="shared" si="290"/>
        <v>31596</v>
      </c>
      <c r="N3782" s="7">
        <f t="shared" si="291"/>
        <v>35436</v>
      </c>
      <c r="O3782" s="2">
        <v>22</v>
      </c>
      <c r="P3782" s="8">
        <f t="shared" si="292"/>
        <v>35458</v>
      </c>
      <c r="Q3782" s="8">
        <f t="shared" si="293"/>
        <v>30170</v>
      </c>
      <c r="R3782" s="2" t="s">
        <v>28</v>
      </c>
      <c r="S3782" s="9">
        <f t="shared" si="294"/>
        <v>2482.0600000000004</v>
      </c>
    </row>
    <row r="3783" spans="1:19" x14ac:dyDescent="0.3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str">
        <f>IFERROR(VLOOKUP('Customer Info'!A3775,'Customer Info'!A3775:C4274,2,FALSE),"Not Found")</f>
        <v>Not Found</v>
      </c>
      <c r="H3783" s="6" t="str">
        <f>IFERROR(VLOOKUP('Customer Info'!A3775,'Customer Info'!A3775:C4274,3,FALSE),"Not Found")</f>
        <v>Not Found</v>
      </c>
      <c r="I3783" s="6" t="str">
        <f>IFERROR(VLOOKUP('Customer Info'!A3775,'Customer Info'!A3775:E4274,5,FALSE),"Not Found")</f>
        <v>Not Found</v>
      </c>
      <c r="J3783" s="2">
        <v>1453</v>
      </c>
      <c r="K3783" s="2">
        <v>1411</v>
      </c>
      <c r="L3783" s="2">
        <v>1</v>
      </c>
      <c r="M3783" s="7">
        <f t="shared" si="290"/>
        <v>1411</v>
      </c>
      <c r="N3783" s="7">
        <f t="shared" si="291"/>
        <v>1453</v>
      </c>
      <c r="O3783" s="2">
        <v>76</v>
      </c>
      <c r="P3783" s="8">
        <f t="shared" si="292"/>
        <v>1529</v>
      </c>
      <c r="Q3783" s="8">
        <f t="shared" si="293"/>
        <v>42</v>
      </c>
      <c r="R3783" s="2" t="s">
        <v>50</v>
      </c>
      <c r="S3783" s="9">
        <f t="shared" si="294"/>
        <v>30.580000000000002</v>
      </c>
    </row>
    <row r="3784" spans="1:19" x14ac:dyDescent="0.3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str">
        <f>IFERROR(VLOOKUP('Customer Info'!A3776,'Customer Info'!A3776:C4275,2,FALSE),"Not Found")</f>
        <v>Not Found</v>
      </c>
      <c r="H3784" s="6" t="str">
        <f>IFERROR(VLOOKUP('Customer Info'!A3776,'Customer Info'!A3776:C4275,3,FALSE),"Not Found")</f>
        <v>Not Found</v>
      </c>
      <c r="I3784" s="6" t="str">
        <f>IFERROR(VLOOKUP('Customer Info'!A3776,'Customer Info'!A3776:E4275,5,FALSE),"Not Found")</f>
        <v>Not Found</v>
      </c>
      <c r="J3784" s="2">
        <v>9135</v>
      </c>
      <c r="K3784" s="2">
        <v>8143</v>
      </c>
      <c r="L3784" s="2">
        <v>2</v>
      </c>
      <c r="M3784" s="7">
        <f t="shared" si="290"/>
        <v>16286</v>
      </c>
      <c r="N3784" s="7">
        <f t="shared" si="291"/>
        <v>18270</v>
      </c>
      <c r="O3784" s="2">
        <v>94</v>
      </c>
      <c r="P3784" s="8">
        <f t="shared" si="292"/>
        <v>18364</v>
      </c>
      <c r="Q3784" s="8">
        <f t="shared" si="293"/>
        <v>10127</v>
      </c>
      <c r="R3784" s="2" t="s">
        <v>26</v>
      </c>
      <c r="S3784" s="9">
        <f t="shared" si="294"/>
        <v>918.2</v>
      </c>
    </row>
    <row r="3785" spans="1:19" x14ac:dyDescent="0.3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str">
        <f>IFERROR(VLOOKUP('Customer Info'!A3777,'Customer Info'!A3777:C4276,2,FALSE),"Not Found")</f>
        <v>Not Found</v>
      </c>
      <c r="H3785" s="6" t="str">
        <f>IFERROR(VLOOKUP('Customer Info'!A3777,'Customer Info'!A3777:C4276,3,FALSE),"Not Found")</f>
        <v>Not Found</v>
      </c>
      <c r="I3785" s="6" t="str">
        <f>IFERROR(VLOOKUP('Customer Info'!A3777,'Customer Info'!A3777:E4276,5,FALSE),"Not Found")</f>
        <v>Not Found</v>
      </c>
      <c r="J3785" s="2">
        <v>9306</v>
      </c>
      <c r="K3785" s="2">
        <v>8461</v>
      </c>
      <c r="L3785" s="2">
        <v>3</v>
      </c>
      <c r="M3785" s="7">
        <f t="shared" si="290"/>
        <v>25383</v>
      </c>
      <c r="N3785" s="7">
        <f t="shared" si="291"/>
        <v>27918</v>
      </c>
      <c r="O3785" s="2">
        <v>51</v>
      </c>
      <c r="P3785" s="8">
        <f t="shared" si="292"/>
        <v>27969</v>
      </c>
      <c r="Q3785" s="8">
        <f t="shared" si="293"/>
        <v>19457</v>
      </c>
      <c r="R3785" s="2" t="s">
        <v>28</v>
      </c>
      <c r="S3785" s="9">
        <f t="shared" si="294"/>
        <v>1957.8300000000002</v>
      </c>
    </row>
    <row r="3786" spans="1:19" x14ac:dyDescent="0.3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str">
        <f>IFERROR(VLOOKUP('Customer Info'!A3778,'Customer Info'!A3778:C4277,2,FALSE),"Not Found")</f>
        <v>Not Found</v>
      </c>
      <c r="H3786" s="6" t="str">
        <f>IFERROR(VLOOKUP('Customer Info'!A3778,'Customer Info'!A3778:C4277,3,FALSE),"Not Found")</f>
        <v>Not Found</v>
      </c>
      <c r="I3786" s="6" t="str">
        <f>IFERROR(VLOOKUP('Customer Info'!A3778,'Customer Info'!A3778:E4277,5,FALSE),"Not Found")</f>
        <v>Not Found</v>
      </c>
      <c r="J3786" s="2">
        <v>1882</v>
      </c>
      <c r="K3786" s="2">
        <v>1792</v>
      </c>
      <c r="L3786" s="2">
        <v>2</v>
      </c>
      <c r="M3786" s="7">
        <f t="shared" si="290"/>
        <v>3584</v>
      </c>
      <c r="N3786" s="7">
        <f t="shared" si="291"/>
        <v>3764</v>
      </c>
      <c r="O3786" s="2">
        <v>78</v>
      </c>
      <c r="P3786" s="8">
        <f t="shared" si="292"/>
        <v>3842</v>
      </c>
      <c r="Q3786" s="8">
        <f t="shared" si="293"/>
        <v>1972</v>
      </c>
      <c r="R3786" s="2" t="s">
        <v>50</v>
      </c>
      <c r="S3786" s="9">
        <f t="shared" si="294"/>
        <v>76.84</v>
      </c>
    </row>
    <row r="3787" spans="1:19" x14ac:dyDescent="0.3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str">
        <f>IFERROR(VLOOKUP('Customer Info'!A3779,'Customer Info'!A3779:C4278,2,FALSE),"Not Found")</f>
        <v>Not Found</v>
      </c>
      <c r="H3787" s="6" t="str">
        <f>IFERROR(VLOOKUP('Customer Info'!A3779,'Customer Info'!A3779:C4278,3,FALSE),"Not Found")</f>
        <v>Not Found</v>
      </c>
      <c r="I3787" s="6" t="str">
        <f>IFERROR(VLOOKUP('Customer Info'!A3779,'Customer Info'!A3779:E4278,5,FALSE),"Not Found")</f>
        <v>Not Found</v>
      </c>
      <c r="J3787" s="2">
        <v>2958</v>
      </c>
      <c r="K3787" s="2">
        <v>2743</v>
      </c>
      <c r="L3787" s="2">
        <v>2</v>
      </c>
      <c r="M3787" s="7">
        <f t="shared" ref="M3787:M3850" si="295">$K3787*$L3787</f>
        <v>5486</v>
      </c>
      <c r="N3787" s="7">
        <f t="shared" ref="N3787:N3850" si="296">$J3787*$L3787</f>
        <v>5916</v>
      </c>
      <c r="O3787" s="2">
        <v>47</v>
      </c>
      <c r="P3787" s="8">
        <f t="shared" ref="P3787:P3850" si="297">$N3787+$O3787</f>
        <v>5963</v>
      </c>
      <c r="Q3787" s="8">
        <f t="shared" ref="Q3787:Q3850" si="298">$N3787-$K3787</f>
        <v>3173</v>
      </c>
      <c r="R3787" s="2" t="s">
        <v>50</v>
      </c>
      <c r="S3787" s="9">
        <f t="shared" ref="S3787:S3850" si="299" xml:space="preserve"> P3787 * VLOOKUP(P3787, $T$2:$U$6, 2, TRUE)</f>
        <v>298.15000000000003</v>
      </c>
    </row>
    <row r="3788" spans="1:19" x14ac:dyDescent="0.3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str">
        <f>IFERROR(VLOOKUP('Customer Info'!A3780,'Customer Info'!A3780:C4279,2,FALSE),"Not Found")</f>
        <v>Not Found</v>
      </c>
      <c r="H3788" s="6" t="str">
        <f>IFERROR(VLOOKUP('Customer Info'!A3780,'Customer Info'!A3780:C4279,3,FALSE),"Not Found")</f>
        <v>Not Found</v>
      </c>
      <c r="I3788" s="6" t="str">
        <f>IFERROR(VLOOKUP('Customer Info'!A3780,'Customer Info'!A3780:E4279,5,FALSE),"Not Found")</f>
        <v>Not Found</v>
      </c>
      <c r="J3788" s="2">
        <v>8889</v>
      </c>
      <c r="K3788" s="2">
        <v>8469</v>
      </c>
      <c r="L3788" s="2">
        <v>4</v>
      </c>
      <c r="M3788" s="7">
        <f t="shared" si="295"/>
        <v>33876</v>
      </c>
      <c r="N3788" s="7">
        <f t="shared" si="296"/>
        <v>35556</v>
      </c>
      <c r="O3788" s="2">
        <v>93</v>
      </c>
      <c r="P3788" s="8">
        <f t="shared" si="297"/>
        <v>35649</v>
      </c>
      <c r="Q3788" s="8">
        <f t="shared" si="298"/>
        <v>27087</v>
      </c>
      <c r="R3788" s="2" t="s">
        <v>28</v>
      </c>
      <c r="S3788" s="9">
        <f t="shared" si="299"/>
        <v>2495.4300000000003</v>
      </c>
    </row>
    <row r="3789" spans="1:19" x14ac:dyDescent="0.3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str">
        <f>IFERROR(VLOOKUP('Customer Info'!A3781,'Customer Info'!A3781:C4280,2,FALSE),"Not Found")</f>
        <v>Not Found</v>
      </c>
      <c r="H3789" s="6" t="str">
        <f>IFERROR(VLOOKUP('Customer Info'!A3781,'Customer Info'!A3781:C4280,3,FALSE),"Not Found")</f>
        <v>Not Found</v>
      </c>
      <c r="I3789" s="6" t="str">
        <f>IFERROR(VLOOKUP('Customer Info'!A3781,'Customer Info'!A3781:E4280,5,FALSE),"Not Found")</f>
        <v>Not Found</v>
      </c>
      <c r="J3789" s="2">
        <v>1576</v>
      </c>
      <c r="K3789" s="2">
        <v>1531</v>
      </c>
      <c r="L3789" s="2">
        <v>2</v>
      </c>
      <c r="M3789" s="7">
        <f t="shared" si="295"/>
        <v>3062</v>
      </c>
      <c r="N3789" s="7">
        <f t="shared" si="296"/>
        <v>3152</v>
      </c>
      <c r="O3789" s="2">
        <v>22</v>
      </c>
      <c r="P3789" s="8">
        <f t="shared" si="297"/>
        <v>3174</v>
      </c>
      <c r="Q3789" s="8">
        <f t="shared" si="298"/>
        <v>1621</v>
      </c>
      <c r="R3789" s="2" t="s">
        <v>28</v>
      </c>
      <c r="S3789" s="9">
        <f t="shared" si="299"/>
        <v>63.480000000000004</v>
      </c>
    </row>
    <row r="3790" spans="1:19" x14ac:dyDescent="0.3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str">
        <f>IFERROR(VLOOKUP('Customer Info'!A3782,'Customer Info'!A3782:C4281,2,FALSE),"Not Found")</f>
        <v>Not Found</v>
      </c>
      <c r="H3790" s="6" t="str">
        <f>IFERROR(VLOOKUP('Customer Info'!A3782,'Customer Info'!A3782:C4281,3,FALSE),"Not Found")</f>
        <v>Not Found</v>
      </c>
      <c r="I3790" s="6" t="str">
        <f>IFERROR(VLOOKUP('Customer Info'!A3782,'Customer Info'!A3782:E4281,5,FALSE),"Not Found")</f>
        <v>Not Found</v>
      </c>
      <c r="J3790" s="2">
        <v>169</v>
      </c>
      <c r="K3790" s="2">
        <v>154</v>
      </c>
      <c r="L3790" s="2">
        <v>2</v>
      </c>
      <c r="M3790" s="7">
        <f t="shared" si="295"/>
        <v>308</v>
      </c>
      <c r="N3790" s="7">
        <f t="shared" si="296"/>
        <v>338</v>
      </c>
      <c r="O3790" s="2">
        <v>30</v>
      </c>
      <c r="P3790" s="8">
        <f t="shared" si="297"/>
        <v>368</v>
      </c>
      <c r="Q3790" s="8">
        <f t="shared" si="298"/>
        <v>184</v>
      </c>
      <c r="R3790" s="2" t="s">
        <v>28</v>
      </c>
      <c r="S3790" s="9">
        <f t="shared" si="299"/>
        <v>7.36</v>
      </c>
    </row>
    <row r="3791" spans="1:19" x14ac:dyDescent="0.3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str">
        <f>IFERROR(VLOOKUP('Customer Info'!A3783,'Customer Info'!A3783:C4282,2,FALSE),"Not Found")</f>
        <v>Not Found</v>
      </c>
      <c r="H3791" s="6" t="str">
        <f>IFERROR(VLOOKUP('Customer Info'!A3783,'Customer Info'!A3783:C4282,3,FALSE),"Not Found")</f>
        <v>Not Found</v>
      </c>
      <c r="I3791" s="6" t="str">
        <f>IFERROR(VLOOKUP('Customer Info'!A3783,'Customer Info'!A3783:E4282,5,FALSE),"Not Found")</f>
        <v>Not Found</v>
      </c>
      <c r="J3791" s="2">
        <v>127</v>
      </c>
      <c r="K3791" s="2">
        <v>116</v>
      </c>
      <c r="L3791" s="2">
        <v>3</v>
      </c>
      <c r="M3791" s="7">
        <f t="shared" si="295"/>
        <v>348</v>
      </c>
      <c r="N3791" s="7">
        <f t="shared" si="296"/>
        <v>381</v>
      </c>
      <c r="O3791" s="2">
        <v>30</v>
      </c>
      <c r="P3791" s="8">
        <f t="shared" si="297"/>
        <v>411</v>
      </c>
      <c r="Q3791" s="8">
        <f t="shared" si="298"/>
        <v>265</v>
      </c>
      <c r="R3791" s="2" t="s">
        <v>28</v>
      </c>
      <c r="S3791" s="9">
        <f t="shared" si="299"/>
        <v>8.2200000000000006</v>
      </c>
    </row>
    <row r="3792" spans="1:19" x14ac:dyDescent="0.3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str">
        <f>IFERROR(VLOOKUP('Customer Info'!A3784,'Customer Info'!A3784:C4283,2,FALSE),"Not Found")</f>
        <v>Not Found</v>
      </c>
      <c r="H3792" s="6" t="str">
        <f>IFERROR(VLOOKUP('Customer Info'!A3784,'Customer Info'!A3784:C4283,3,FALSE),"Not Found")</f>
        <v>Not Found</v>
      </c>
      <c r="I3792" s="6" t="str">
        <f>IFERROR(VLOOKUP('Customer Info'!A3784,'Customer Info'!A3784:E4283,5,FALSE),"Not Found")</f>
        <v>Not Found</v>
      </c>
      <c r="J3792" s="2">
        <v>3184</v>
      </c>
      <c r="K3792" s="2">
        <v>2947</v>
      </c>
      <c r="L3792" s="2">
        <v>4</v>
      </c>
      <c r="M3792" s="7">
        <f t="shared" si="295"/>
        <v>11788</v>
      </c>
      <c r="N3792" s="7">
        <f t="shared" si="296"/>
        <v>12736</v>
      </c>
      <c r="O3792" s="2">
        <v>63</v>
      </c>
      <c r="P3792" s="8">
        <f t="shared" si="297"/>
        <v>12799</v>
      </c>
      <c r="Q3792" s="8">
        <f t="shared" si="298"/>
        <v>9789</v>
      </c>
      <c r="R3792" s="2" t="s">
        <v>56</v>
      </c>
      <c r="S3792" s="9">
        <f t="shared" si="299"/>
        <v>639.95000000000005</v>
      </c>
    </row>
    <row r="3793" spans="1:19" x14ac:dyDescent="0.3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str">
        <f>IFERROR(VLOOKUP('Customer Info'!A3785,'Customer Info'!A3785:C4284,2,FALSE),"Not Found")</f>
        <v>Not Found</v>
      </c>
      <c r="H3793" s="6" t="str">
        <f>IFERROR(VLOOKUP('Customer Info'!A3785,'Customer Info'!A3785:C4284,3,FALSE),"Not Found")</f>
        <v>Not Found</v>
      </c>
      <c r="I3793" s="6" t="str">
        <f>IFERROR(VLOOKUP('Customer Info'!A3785,'Customer Info'!A3785:E4284,5,FALSE),"Not Found")</f>
        <v>Not Found</v>
      </c>
      <c r="J3793" s="2">
        <v>139</v>
      </c>
      <c r="K3793" s="2">
        <v>133</v>
      </c>
      <c r="L3793" s="2">
        <v>3</v>
      </c>
      <c r="M3793" s="7">
        <f t="shared" si="295"/>
        <v>399</v>
      </c>
      <c r="N3793" s="7">
        <f t="shared" si="296"/>
        <v>417</v>
      </c>
      <c r="O3793" s="2">
        <v>30</v>
      </c>
      <c r="P3793" s="8">
        <f t="shared" si="297"/>
        <v>447</v>
      </c>
      <c r="Q3793" s="8">
        <f t="shared" si="298"/>
        <v>284</v>
      </c>
      <c r="R3793" s="2" t="s">
        <v>28</v>
      </c>
      <c r="S3793" s="9">
        <f t="shared" si="299"/>
        <v>8.94</v>
      </c>
    </row>
    <row r="3794" spans="1:19" x14ac:dyDescent="0.3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str">
        <f>IFERROR(VLOOKUP('Customer Info'!A3786,'Customer Info'!A3786:C4285,2,FALSE),"Not Found")</f>
        <v>Not Found</v>
      </c>
      <c r="H3794" s="6" t="str">
        <f>IFERROR(VLOOKUP('Customer Info'!A3786,'Customer Info'!A3786:C4285,3,FALSE),"Not Found")</f>
        <v>Not Found</v>
      </c>
      <c r="I3794" s="6" t="str">
        <f>IFERROR(VLOOKUP('Customer Info'!A3786,'Customer Info'!A3786:E4285,5,FALSE),"Not Found")</f>
        <v>Not Found</v>
      </c>
      <c r="J3794" s="2">
        <v>39095</v>
      </c>
      <c r="K3794" s="2">
        <v>35516</v>
      </c>
      <c r="L3794" s="2">
        <v>4</v>
      </c>
      <c r="M3794" s="7">
        <f t="shared" si="295"/>
        <v>142064</v>
      </c>
      <c r="N3794" s="7">
        <f t="shared" si="296"/>
        <v>156380</v>
      </c>
      <c r="O3794" s="2">
        <v>98</v>
      </c>
      <c r="P3794" s="8">
        <f t="shared" si="297"/>
        <v>156478</v>
      </c>
      <c r="Q3794" s="8">
        <f t="shared" si="298"/>
        <v>120864</v>
      </c>
      <c r="R3794" s="2" t="s">
        <v>28</v>
      </c>
      <c r="S3794" s="9">
        <f t="shared" si="299"/>
        <v>18777.36</v>
      </c>
    </row>
    <row r="3795" spans="1:19" x14ac:dyDescent="0.3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str">
        <f>IFERROR(VLOOKUP('Customer Info'!A3787,'Customer Info'!A3787:C4286,2,FALSE),"Not Found")</f>
        <v>Not Found</v>
      </c>
      <c r="H3795" s="6" t="str">
        <f>IFERROR(VLOOKUP('Customer Info'!A3787,'Customer Info'!A3787:C4286,3,FALSE),"Not Found")</f>
        <v>Not Found</v>
      </c>
      <c r="I3795" s="6" t="str">
        <f>IFERROR(VLOOKUP('Customer Info'!A3787,'Customer Info'!A3787:E4286,5,FALSE),"Not Found")</f>
        <v>Not Found</v>
      </c>
      <c r="J3795" s="2">
        <v>8889</v>
      </c>
      <c r="K3795" s="2">
        <v>8469</v>
      </c>
      <c r="L3795" s="2">
        <v>2</v>
      </c>
      <c r="M3795" s="7">
        <f t="shared" si="295"/>
        <v>16938</v>
      </c>
      <c r="N3795" s="7">
        <f t="shared" si="296"/>
        <v>17778</v>
      </c>
      <c r="O3795" s="2">
        <v>95</v>
      </c>
      <c r="P3795" s="8">
        <f t="shared" si="297"/>
        <v>17873</v>
      </c>
      <c r="Q3795" s="8">
        <f t="shared" si="298"/>
        <v>9309</v>
      </c>
      <c r="R3795" s="2" t="s">
        <v>28</v>
      </c>
      <c r="S3795" s="9">
        <f t="shared" si="299"/>
        <v>893.65000000000009</v>
      </c>
    </row>
    <row r="3796" spans="1:19" x14ac:dyDescent="0.3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str">
        <f>IFERROR(VLOOKUP('Customer Info'!A3788,'Customer Info'!A3788:C4287,2,FALSE),"Not Found")</f>
        <v>Not Found</v>
      </c>
      <c r="H3796" s="6" t="str">
        <f>IFERROR(VLOOKUP('Customer Info'!A3788,'Customer Info'!A3788:C4287,3,FALSE),"Not Found")</f>
        <v>Not Found</v>
      </c>
      <c r="I3796" s="6" t="str">
        <f>IFERROR(VLOOKUP('Customer Info'!A3788,'Customer Info'!A3788:E4287,5,FALSE),"Not Found")</f>
        <v>Not Found</v>
      </c>
      <c r="J3796" s="2">
        <v>1518</v>
      </c>
      <c r="K3796" s="2">
        <v>1392</v>
      </c>
      <c r="L3796" s="2">
        <v>5</v>
      </c>
      <c r="M3796" s="7">
        <f t="shared" si="295"/>
        <v>6960</v>
      </c>
      <c r="N3796" s="7">
        <f t="shared" si="296"/>
        <v>7590</v>
      </c>
      <c r="O3796" s="2">
        <v>97</v>
      </c>
      <c r="P3796" s="8">
        <f t="shared" si="297"/>
        <v>7687</v>
      </c>
      <c r="Q3796" s="8">
        <f t="shared" si="298"/>
        <v>6198</v>
      </c>
      <c r="R3796" s="2" t="s">
        <v>28</v>
      </c>
      <c r="S3796" s="9">
        <f t="shared" si="299"/>
        <v>384.35</v>
      </c>
    </row>
    <row r="3797" spans="1:19" x14ac:dyDescent="0.3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str">
        <f>IFERROR(VLOOKUP('Customer Info'!A3789,'Customer Info'!A3789:C4288,2,FALSE),"Not Found")</f>
        <v>Not Found</v>
      </c>
      <c r="H3797" s="6" t="str">
        <f>IFERROR(VLOOKUP('Customer Info'!A3789,'Customer Info'!A3789:C4288,3,FALSE),"Not Found")</f>
        <v>Not Found</v>
      </c>
      <c r="I3797" s="6" t="str">
        <f>IFERROR(VLOOKUP('Customer Info'!A3789,'Customer Info'!A3789:E4288,5,FALSE),"Not Found")</f>
        <v>Not Found</v>
      </c>
      <c r="J3797" s="2">
        <v>81</v>
      </c>
      <c r="K3797" s="2">
        <v>77</v>
      </c>
      <c r="L3797" s="2">
        <v>5</v>
      </c>
      <c r="M3797" s="7">
        <f t="shared" si="295"/>
        <v>385</v>
      </c>
      <c r="N3797" s="7">
        <f t="shared" si="296"/>
        <v>405</v>
      </c>
      <c r="O3797" s="2">
        <v>10</v>
      </c>
      <c r="P3797" s="8">
        <f t="shared" si="297"/>
        <v>415</v>
      </c>
      <c r="Q3797" s="8">
        <f t="shared" si="298"/>
        <v>328</v>
      </c>
      <c r="R3797" s="2" t="s">
        <v>28</v>
      </c>
      <c r="S3797" s="9">
        <f t="shared" si="299"/>
        <v>8.3000000000000007</v>
      </c>
    </row>
    <row r="3798" spans="1:19" x14ac:dyDescent="0.3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str">
        <f>IFERROR(VLOOKUP('Customer Info'!A3790,'Customer Info'!A3790:C4289,2,FALSE),"Not Found")</f>
        <v>Not Found</v>
      </c>
      <c r="H3798" s="6" t="str">
        <f>IFERROR(VLOOKUP('Customer Info'!A3790,'Customer Info'!A3790:C4289,3,FALSE),"Not Found")</f>
        <v>Not Found</v>
      </c>
      <c r="I3798" s="6" t="str">
        <f>IFERROR(VLOOKUP('Customer Info'!A3790,'Customer Info'!A3790:E4289,5,FALSE),"Not Found")</f>
        <v>Not Found</v>
      </c>
      <c r="J3798" s="2">
        <v>6864</v>
      </c>
      <c r="K3798" s="2">
        <v>6667</v>
      </c>
      <c r="L3798" s="2">
        <v>2</v>
      </c>
      <c r="M3798" s="7">
        <f t="shared" si="295"/>
        <v>13334</v>
      </c>
      <c r="N3798" s="7">
        <f t="shared" si="296"/>
        <v>13728</v>
      </c>
      <c r="O3798" s="2">
        <v>95</v>
      </c>
      <c r="P3798" s="8">
        <f t="shared" si="297"/>
        <v>13823</v>
      </c>
      <c r="Q3798" s="8">
        <f t="shared" si="298"/>
        <v>7061</v>
      </c>
      <c r="R3798" s="2" t="s">
        <v>28</v>
      </c>
      <c r="S3798" s="9">
        <f t="shared" si="299"/>
        <v>691.15000000000009</v>
      </c>
    </row>
    <row r="3799" spans="1:19" x14ac:dyDescent="0.3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str">
        <f>IFERROR(VLOOKUP('Customer Info'!A3791,'Customer Info'!A3791:C4290,2,FALSE),"Not Found")</f>
        <v>Not Found</v>
      </c>
      <c r="H3799" s="6" t="str">
        <f>IFERROR(VLOOKUP('Customer Info'!A3791,'Customer Info'!A3791:C4290,3,FALSE),"Not Found")</f>
        <v>Not Found</v>
      </c>
      <c r="I3799" s="6" t="str">
        <f>IFERROR(VLOOKUP('Customer Info'!A3791,'Customer Info'!A3791:E4290,5,FALSE),"Not Found")</f>
        <v>Not Found</v>
      </c>
      <c r="J3799" s="2">
        <v>1332</v>
      </c>
      <c r="K3799" s="2">
        <v>1209</v>
      </c>
      <c r="L3799" s="2">
        <v>5</v>
      </c>
      <c r="M3799" s="7">
        <f t="shared" si="295"/>
        <v>6045</v>
      </c>
      <c r="N3799" s="7">
        <f t="shared" si="296"/>
        <v>6660</v>
      </c>
      <c r="O3799" s="2">
        <v>83</v>
      </c>
      <c r="P3799" s="8">
        <f t="shared" si="297"/>
        <v>6743</v>
      </c>
      <c r="Q3799" s="8">
        <f t="shared" si="298"/>
        <v>5451</v>
      </c>
      <c r="R3799" s="2" t="s">
        <v>26</v>
      </c>
      <c r="S3799" s="9">
        <f t="shared" si="299"/>
        <v>337.15000000000003</v>
      </c>
    </row>
    <row r="3800" spans="1:19" x14ac:dyDescent="0.3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str">
        <f>IFERROR(VLOOKUP('Customer Info'!A3792,'Customer Info'!A3792:C4291,2,FALSE),"Not Found")</f>
        <v>Not Found</v>
      </c>
      <c r="H3800" s="6" t="str">
        <f>IFERROR(VLOOKUP('Customer Info'!A3792,'Customer Info'!A3792:C4291,3,FALSE),"Not Found")</f>
        <v>Not Found</v>
      </c>
      <c r="I3800" s="6" t="str">
        <f>IFERROR(VLOOKUP('Customer Info'!A3792,'Customer Info'!A3792:E4291,5,FALSE),"Not Found")</f>
        <v>Not Found</v>
      </c>
      <c r="J3800" s="2">
        <v>1017</v>
      </c>
      <c r="K3800" s="2">
        <v>950</v>
      </c>
      <c r="L3800" s="2">
        <v>2</v>
      </c>
      <c r="M3800" s="7">
        <f t="shared" si="295"/>
        <v>1900</v>
      </c>
      <c r="N3800" s="7">
        <f t="shared" si="296"/>
        <v>2034</v>
      </c>
      <c r="O3800" s="2">
        <v>72</v>
      </c>
      <c r="P3800" s="8">
        <f t="shared" si="297"/>
        <v>2106</v>
      </c>
      <c r="Q3800" s="8">
        <f t="shared" si="298"/>
        <v>1084</v>
      </c>
      <c r="R3800" s="2" t="s">
        <v>28</v>
      </c>
      <c r="S3800" s="9">
        <f t="shared" si="299"/>
        <v>42.12</v>
      </c>
    </row>
    <row r="3801" spans="1:19" x14ac:dyDescent="0.3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str">
        <f>IFERROR(VLOOKUP('Customer Info'!A3793,'Customer Info'!A3793:C4292,2,FALSE),"Not Found")</f>
        <v>Not Found</v>
      </c>
      <c r="H3801" s="6" t="str">
        <f>IFERROR(VLOOKUP('Customer Info'!A3793,'Customer Info'!A3793:C4292,3,FALSE),"Not Found")</f>
        <v>Not Found</v>
      </c>
      <c r="I3801" s="6" t="str">
        <f>IFERROR(VLOOKUP('Customer Info'!A3793,'Customer Info'!A3793:E4292,5,FALSE),"Not Found")</f>
        <v>Not Found</v>
      </c>
      <c r="J3801" s="2">
        <v>511</v>
      </c>
      <c r="K3801" s="2">
        <v>477</v>
      </c>
      <c r="L3801" s="2">
        <v>3</v>
      </c>
      <c r="M3801" s="7">
        <f t="shared" si="295"/>
        <v>1431</v>
      </c>
      <c r="N3801" s="7">
        <f t="shared" si="296"/>
        <v>1533</v>
      </c>
      <c r="O3801" s="2">
        <v>77</v>
      </c>
      <c r="P3801" s="8">
        <f t="shared" si="297"/>
        <v>1610</v>
      </c>
      <c r="Q3801" s="8">
        <f t="shared" si="298"/>
        <v>1056</v>
      </c>
      <c r="R3801" s="2" t="s">
        <v>28</v>
      </c>
      <c r="S3801" s="9">
        <f t="shared" si="299"/>
        <v>32.200000000000003</v>
      </c>
    </row>
    <row r="3802" spans="1:19" x14ac:dyDescent="0.3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str">
        <f>IFERROR(VLOOKUP('Customer Info'!A3794,'Customer Info'!A3794:C4293,2,FALSE),"Not Found")</f>
        <v>Not Found</v>
      </c>
      <c r="H3802" s="6" t="str">
        <f>IFERROR(VLOOKUP('Customer Info'!A3794,'Customer Info'!A3794:C4293,3,FALSE),"Not Found")</f>
        <v>Not Found</v>
      </c>
      <c r="I3802" s="6" t="str">
        <f>IFERROR(VLOOKUP('Customer Info'!A3794,'Customer Info'!A3794:E4293,5,FALSE),"Not Found")</f>
        <v>Not Found</v>
      </c>
      <c r="J3802" s="2">
        <v>169</v>
      </c>
      <c r="K3802" s="2">
        <v>154</v>
      </c>
      <c r="L3802" s="2">
        <v>3</v>
      </c>
      <c r="M3802" s="7">
        <f t="shared" si="295"/>
        <v>462</v>
      </c>
      <c r="N3802" s="7">
        <f t="shared" si="296"/>
        <v>507</v>
      </c>
      <c r="O3802" s="2">
        <v>30</v>
      </c>
      <c r="P3802" s="8">
        <f t="shared" si="297"/>
        <v>537</v>
      </c>
      <c r="Q3802" s="8">
        <f t="shared" si="298"/>
        <v>353</v>
      </c>
      <c r="R3802" s="2" t="s">
        <v>28</v>
      </c>
      <c r="S3802" s="9">
        <f t="shared" si="299"/>
        <v>10.74</v>
      </c>
    </row>
    <row r="3803" spans="1:19" x14ac:dyDescent="0.3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str">
        <f>IFERROR(VLOOKUP('Customer Info'!A3795,'Customer Info'!A3795:C4294,2,FALSE),"Not Found")</f>
        <v>Not Found</v>
      </c>
      <c r="H3803" s="6" t="str">
        <f>IFERROR(VLOOKUP('Customer Info'!A3795,'Customer Info'!A3795:C4294,3,FALSE),"Not Found")</f>
        <v>Not Found</v>
      </c>
      <c r="I3803" s="6" t="str">
        <f>IFERROR(VLOOKUP('Customer Info'!A3795,'Customer Info'!A3795:E4294,5,FALSE),"Not Found")</f>
        <v>Not Found</v>
      </c>
      <c r="J3803" s="2">
        <v>445</v>
      </c>
      <c r="K3803" s="2">
        <v>415</v>
      </c>
      <c r="L3803" s="2">
        <v>5</v>
      </c>
      <c r="M3803" s="7">
        <f t="shared" si="295"/>
        <v>2075</v>
      </c>
      <c r="N3803" s="7">
        <f t="shared" si="296"/>
        <v>2225</v>
      </c>
      <c r="O3803" s="2">
        <v>20</v>
      </c>
      <c r="P3803" s="8">
        <f t="shared" si="297"/>
        <v>2245</v>
      </c>
      <c r="Q3803" s="8">
        <f t="shared" si="298"/>
        <v>1810</v>
      </c>
      <c r="R3803" s="2" t="s">
        <v>50</v>
      </c>
      <c r="S3803" s="9">
        <f t="shared" si="299"/>
        <v>44.9</v>
      </c>
    </row>
    <row r="3804" spans="1:19" x14ac:dyDescent="0.3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str">
        <f>IFERROR(VLOOKUP('Customer Info'!A3796,'Customer Info'!A3796:C4295,2,FALSE),"Not Found")</f>
        <v>Not Found</v>
      </c>
      <c r="H3804" s="6" t="str">
        <f>IFERROR(VLOOKUP('Customer Info'!A3796,'Customer Info'!A3796:C4295,3,FALSE),"Not Found")</f>
        <v>Not Found</v>
      </c>
      <c r="I3804" s="6" t="str">
        <f>IFERROR(VLOOKUP('Customer Info'!A3796,'Customer Info'!A3796:E4295,5,FALSE),"Not Found")</f>
        <v>Not Found</v>
      </c>
      <c r="J3804" s="2">
        <v>185</v>
      </c>
      <c r="K3804" s="2">
        <v>171</v>
      </c>
      <c r="L3804" s="2">
        <v>2</v>
      </c>
      <c r="M3804" s="7">
        <f t="shared" si="295"/>
        <v>342</v>
      </c>
      <c r="N3804" s="7">
        <f t="shared" si="296"/>
        <v>370</v>
      </c>
      <c r="O3804" s="2">
        <v>30</v>
      </c>
      <c r="P3804" s="8">
        <f t="shared" si="297"/>
        <v>400</v>
      </c>
      <c r="Q3804" s="8">
        <f t="shared" si="298"/>
        <v>199</v>
      </c>
      <c r="R3804" s="2" t="s">
        <v>50</v>
      </c>
      <c r="S3804" s="9">
        <f t="shared" si="299"/>
        <v>8</v>
      </c>
    </row>
    <row r="3805" spans="1:19" x14ac:dyDescent="0.3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str">
        <f>IFERROR(VLOOKUP('Customer Info'!A3797,'Customer Info'!A3797:C4296,2,FALSE),"Not Found")</f>
        <v>Not Found</v>
      </c>
      <c r="H3805" s="6" t="str">
        <f>IFERROR(VLOOKUP('Customer Info'!A3797,'Customer Info'!A3797:C4296,3,FALSE),"Not Found")</f>
        <v>Not Found</v>
      </c>
      <c r="I3805" s="6" t="str">
        <f>IFERROR(VLOOKUP('Customer Info'!A3797,'Customer Info'!A3797:E4296,5,FALSE),"Not Found")</f>
        <v>Not Found</v>
      </c>
      <c r="J3805" s="2">
        <v>809</v>
      </c>
      <c r="K3805" s="2">
        <v>770</v>
      </c>
      <c r="L3805" s="2">
        <v>4</v>
      </c>
      <c r="M3805" s="7">
        <f t="shared" si="295"/>
        <v>3080</v>
      </c>
      <c r="N3805" s="7">
        <f t="shared" si="296"/>
        <v>3236</v>
      </c>
      <c r="O3805" s="2">
        <v>93</v>
      </c>
      <c r="P3805" s="8">
        <f t="shared" si="297"/>
        <v>3329</v>
      </c>
      <c r="Q3805" s="8">
        <f t="shared" si="298"/>
        <v>2466</v>
      </c>
      <c r="R3805" s="2" t="s">
        <v>28</v>
      </c>
      <c r="S3805" s="9">
        <f t="shared" si="299"/>
        <v>66.58</v>
      </c>
    </row>
    <row r="3806" spans="1:19" x14ac:dyDescent="0.3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str">
        <f>IFERROR(VLOOKUP('Customer Info'!A3798,'Customer Info'!A3798:C4297,2,FALSE),"Not Found")</f>
        <v>Not Found</v>
      </c>
      <c r="H3806" s="6" t="str">
        <f>IFERROR(VLOOKUP('Customer Info'!A3798,'Customer Info'!A3798:C4297,3,FALSE),"Not Found")</f>
        <v>Not Found</v>
      </c>
      <c r="I3806" s="6" t="str">
        <f>IFERROR(VLOOKUP('Customer Info'!A3798,'Customer Info'!A3798:E4297,5,FALSE),"Not Found")</f>
        <v>Not Found</v>
      </c>
      <c r="J3806" s="2">
        <v>2250</v>
      </c>
      <c r="K3806" s="2">
        <v>2207</v>
      </c>
      <c r="L3806" s="2">
        <v>2</v>
      </c>
      <c r="M3806" s="7">
        <f t="shared" si="295"/>
        <v>4414</v>
      </c>
      <c r="N3806" s="7">
        <f t="shared" si="296"/>
        <v>4500</v>
      </c>
      <c r="O3806" s="2">
        <v>88</v>
      </c>
      <c r="P3806" s="8">
        <f t="shared" si="297"/>
        <v>4588</v>
      </c>
      <c r="Q3806" s="8">
        <f t="shared" si="298"/>
        <v>2293</v>
      </c>
      <c r="R3806" s="2" t="s">
        <v>28</v>
      </c>
      <c r="S3806" s="9">
        <f t="shared" si="299"/>
        <v>91.76</v>
      </c>
    </row>
    <row r="3807" spans="1:19" x14ac:dyDescent="0.3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str">
        <f>IFERROR(VLOOKUP('Customer Info'!A3799,'Customer Info'!A3799:C4298,2,FALSE),"Not Found")</f>
        <v>Not Found</v>
      </c>
      <c r="H3807" s="6" t="str">
        <f>IFERROR(VLOOKUP('Customer Info'!A3799,'Customer Info'!A3799:C4298,3,FALSE),"Not Found")</f>
        <v>Not Found</v>
      </c>
      <c r="I3807" s="6" t="str">
        <f>IFERROR(VLOOKUP('Customer Info'!A3799,'Customer Info'!A3799:E4298,5,FALSE),"Not Found")</f>
        <v>Not Found</v>
      </c>
      <c r="J3807" s="2">
        <v>932</v>
      </c>
      <c r="K3807" s="2">
        <v>838</v>
      </c>
      <c r="L3807" s="2">
        <v>2</v>
      </c>
      <c r="M3807" s="7">
        <f t="shared" si="295"/>
        <v>1676</v>
      </c>
      <c r="N3807" s="7">
        <f t="shared" si="296"/>
        <v>1864</v>
      </c>
      <c r="O3807" s="2">
        <v>74</v>
      </c>
      <c r="P3807" s="8">
        <f t="shared" si="297"/>
        <v>1938</v>
      </c>
      <c r="Q3807" s="8">
        <f t="shared" si="298"/>
        <v>1026</v>
      </c>
      <c r="R3807" s="2" t="s">
        <v>28</v>
      </c>
      <c r="S3807" s="9">
        <f t="shared" si="299"/>
        <v>38.76</v>
      </c>
    </row>
    <row r="3808" spans="1:19" x14ac:dyDescent="0.3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str">
        <f>IFERROR(VLOOKUP('Customer Info'!A3800,'Customer Info'!A3800:C4299,2,FALSE),"Not Found")</f>
        <v>Not Found</v>
      </c>
      <c r="H3808" s="6" t="str">
        <f>IFERROR(VLOOKUP('Customer Info'!A3800,'Customer Info'!A3800:C4299,3,FALSE),"Not Found")</f>
        <v>Not Found</v>
      </c>
      <c r="I3808" s="6" t="str">
        <f>IFERROR(VLOOKUP('Customer Info'!A3800,'Customer Info'!A3800:E4299,5,FALSE),"Not Found")</f>
        <v>Not Found</v>
      </c>
      <c r="J3808" s="2">
        <v>6585</v>
      </c>
      <c r="K3808" s="2">
        <v>6105</v>
      </c>
      <c r="L3808" s="2">
        <v>1</v>
      </c>
      <c r="M3808" s="7">
        <f t="shared" si="295"/>
        <v>6105</v>
      </c>
      <c r="N3808" s="7">
        <f t="shared" si="296"/>
        <v>6585</v>
      </c>
      <c r="O3808" s="2">
        <v>40</v>
      </c>
      <c r="P3808" s="8">
        <f t="shared" si="297"/>
        <v>6625</v>
      </c>
      <c r="Q3808" s="8">
        <f t="shared" si="298"/>
        <v>480</v>
      </c>
      <c r="R3808" s="2" t="s">
        <v>28</v>
      </c>
      <c r="S3808" s="9">
        <f t="shared" si="299"/>
        <v>331.25</v>
      </c>
    </row>
    <row r="3809" spans="1:19" x14ac:dyDescent="0.3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str">
        <f>IFERROR(VLOOKUP('Customer Info'!A3801,'Customer Info'!A3801:C4300,2,FALSE),"Not Found")</f>
        <v>Not Found</v>
      </c>
      <c r="H3809" s="6" t="str">
        <f>IFERROR(VLOOKUP('Customer Info'!A3801,'Customer Info'!A3801:C4300,3,FALSE),"Not Found")</f>
        <v>Not Found</v>
      </c>
      <c r="I3809" s="6" t="str">
        <f>IFERROR(VLOOKUP('Customer Info'!A3801,'Customer Info'!A3801:E4300,5,FALSE),"Not Found")</f>
        <v>Not Found</v>
      </c>
      <c r="J3809" s="2">
        <v>1752</v>
      </c>
      <c r="K3809" s="2">
        <v>1576</v>
      </c>
      <c r="L3809" s="2">
        <v>1</v>
      </c>
      <c r="M3809" s="7">
        <f t="shared" si="295"/>
        <v>1576</v>
      </c>
      <c r="N3809" s="7">
        <f t="shared" si="296"/>
        <v>1752</v>
      </c>
      <c r="O3809" s="2">
        <v>71</v>
      </c>
      <c r="P3809" s="8">
        <f t="shared" si="297"/>
        <v>1823</v>
      </c>
      <c r="Q3809" s="8">
        <f t="shared" si="298"/>
        <v>176</v>
      </c>
      <c r="R3809" s="2" t="s">
        <v>28</v>
      </c>
      <c r="S3809" s="9">
        <f t="shared" si="299"/>
        <v>36.46</v>
      </c>
    </row>
    <row r="3810" spans="1:19" x14ac:dyDescent="0.3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str">
        <f>IFERROR(VLOOKUP('Customer Info'!A3802,'Customer Info'!A3802:C4301,2,FALSE),"Not Found")</f>
        <v>Not Found</v>
      </c>
      <c r="H3810" s="6" t="str">
        <f>IFERROR(VLOOKUP('Customer Info'!A3802,'Customer Info'!A3802:C4301,3,FALSE),"Not Found")</f>
        <v>Not Found</v>
      </c>
      <c r="I3810" s="6" t="str">
        <f>IFERROR(VLOOKUP('Customer Info'!A3802,'Customer Info'!A3802:E4301,5,FALSE),"Not Found")</f>
        <v>Not Found</v>
      </c>
      <c r="J3810" s="2">
        <v>169</v>
      </c>
      <c r="K3810" s="2">
        <v>160</v>
      </c>
      <c r="L3810" s="2">
        <v>2</v>
      </c>
      <c r="M3810" s="7">
        <f t="shared" si="295"/>
        <v>320</v>
      </c>
      <c r="N3810" s="7">
        <f t="shared" si="296"/>
        <v>338</v>
      </c>
      <c r="O3810" s="2">
        <v>30</v>
      </c>
      <c r="P3810" s="8">
        <f t="shared" si="297"/>
        <v>368</v>
      </c>
      <c r="Q3810" s="8">
        <f t="shared" si="298"/>
        <v>178</v>
      </c>
      <c r="R3810" s="2" t="s">
        <v>28</v>
      </c>
      <c r="S3810" s="9">
        <f t="shared" si="299"/>
        <v>7.36</v>
      </c>
    </row>
    <row r="3811" spans="1:19" x14ac:dyDescent="0.3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str">
        <f>IFERROR(VLOOKUP('Customer Info'!A3803,'Customer Info'!A3803:C4302,2,FALSE),"Not Found")</f>
        <v>Not Found</v>
      </c>
      <c r="H3811" s="6" t="str">
        <f>IFERROR(VLOOKUP('Customer Info'!A3803,'Customer Info'!A3803:C4302,3,FALSE),"Not Found")</f>
        <v>Not Found</v>
      </c>
      <c r="I3811" s="6" t="str">
        <f>IFERROR(VLOOKUP('Customer Info'!A3803,'Customer Info'!A3803:E4302,5,FALSE),"Not Found")</f>
        <v>Not Found</v>
      </c>
      <c r="J3811" s="2">
        <v>3289</v>
      </c>
      <c r="K3811" s="2">
        <v>3105</v>
      </c>
      <c r="L3811" s="2">
        <v>14</v>
      </c>
      <c r="M3811" s="7">
        <f t="shared" si="295"/>
        <v>43470</v>
      </c>
      <c r="N3811" s="7">
        <f t="shared" si="296"/>
        <v>46046</v>
      </c>
      <c r="O3811" s="2">
        <v>65</v>
      </c>
      <c r="P3811" s="8">
        <f t="shared" si="297"/>
        <v>46111</v>
      </c>
      <c r="Q3811" s="8">
        <f t="shared" si="298"/>
        <v>42941</v>
      </c>
      <c r="R3811" s="2" t="s">
        <v>28</v>
      </c>
      <c r="S3811" s="9">
        <f t="shared" si="299"/>
        <v>3227.7700000000004</v>
      </c>
    </row>
    <row r="3812" spans="1:19" x14ac:dyDescent="0.3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str">
        <f>IFERROR(VLOOKUP('Customer Info'!A3804,'Customer Info'!A3804:C4303,2,FALSE),"Not Found")</f>
        <v>Not Found</v>
      </c>
      <c r="H3812" s="6" t="str">
        <f>IFERROR(VLOOKUP('Customer Info'!A3804,'Customer Info'!A3804:C4303,3,FALSE),"Not Found")</f>
        <v>Not Found</v>
      </c>
      <c r="I3812" s="6" t="str">
        <f>IFERROR(VLOOKUP('Customer Info'!A3804,'Customer Info'!A3804:E4303,5,FALSE),"Not Found")</f>
        <v>Not Found</v>
      </c>
      <c r="J3812" s="2">
        <v>5051</v>
      </c>
      <c r="K3812" s="2">
        <v>4634</v>
      </c>
      <c r="L3812" s="2">
        <v>5</v>
      </c>
      <c r="M3812" s="7">
        <f t="shared" si="295"/>
        <v>23170</v>
      </c>
      <c r="N3812" s="7">
        <f t="shared" si="296"/>
        <v>25255</v>
      </c>
      <c r="O3812" s="2">
        <v>45</v>
      </c>
      <c r="P3812" s="8">
        <f t="shared" si="297"/>
        <v>25300</v>
      </c>
      <c r="Q3812" s="8">
        <f t="shared" si="298"/>
        <v>20621</v>
      </c>
      <c r="R3812" s="2" t="s">
        <v>56</v>
      </c>
      <c r="S3812" s="9">
        <f t="shared" si="299"/>
        <v>1771.0000000000002</v>
      </c>
    </row>
    <row r="3813" spans="1:19" x14ac:dyDescent="0.3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str">
        <f>IFERROR(VLOOKUP('Customer Info'!A3805,'Customer Info'!A3805:C4304,2,FALSE),"Not Found")</f>
        <v>Not Found</v>
      </c>
      <c r="H3813" s="6" t="str">
        <f>IFERROR(VLOOKUP('Customer Info'!A3805,'Customer Info'!A3805:C4304,3,FALSE),"Not Found")</f>
        <v>Not Found</v>
      </c>
      <c r="I3813" s="6" t="str">
        <f>IFERROR(VLOOKUP('Customer Info'!A3805,'Customer Info'!A3805:E4304,5,FALSE),"Not Found")</f>
        <v>Not Found</v>
      </c>
      <c r="J3813" s="2">
        <v>185</v>
      </c>
      <c r="K3813" s="2">
        <v>171</v>
      </c>
      <c r="L3813" s="2">
        <v>5</v>
      </c>
      <c r="M3813" s="7">
        <f t="shared" si="295"/>
        <v>855</v>
      </c>
      <c r="N3813" s="7">
        <f t="shared" si="296"/>
        <v>925</v>
      </c>
      <c r="O3813" s="2">
        <v>30</v>
      </c>
      <c r="P3813" s="8">
        <f t="shared" si="297"/>
        <v>955</v>
      </c>
      <c r="Q3813" s="8">
        <f t="shared" si="298"/>
        <v>754</v>
      </c>
      <c r="R3813" s="2" t="s">
        <v>50</v>
      </c>
      <c r="S3813" s="9">
        <f t="shared" si="299"/>
        <v>19.100000000000001</v>
      </c>
    </row>
    <row r="3814" spans="1:19" x14ac:dyDescent="0.3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str">
        <f>IFERROR(VLOOKUP('Customer Info'!A3806,'Customer Info'!A3806:C4305,2,FALSE),"Not Found")</f>
        <v>Not Found</v>
      </c>
      <c r="H3814" s="6" t="str">
        <f>IFERROR(VLOOKUP('Customer Info'!A3806,'Customer Info'!A3806:C4305,3,FALSE),"Not Found")</f>
        <v>Not Found</v>
      </c>
      <c r="I3814" s="6" t="str">
        <f>IFERROR(VLOOKUP('Customer Info'!A3806,'Customer Info'!A3806:E4305,5,FALSE),"Not Found")</f>
        <v>Not Found</v>
      </c>
      <c r="J3814" s="2">
        <v>2250</v>
      </c>
      <c r="K3814" s="2">
        <v>2207</v>
      </c>
      <c r="L3814" s="2">
        <v>9</v>
      </c>
      <c r="M3814" s="7">
        <f t="shared" si="295"/>
        <v>19863</v>
      </c>
      <c r="N3814" s="7">
        <f t="shared" si="296"/>
        <v>20250</v>
      </c>
      <c r="O3814" s="2">
        <v>77</v>
      </c>
      <c r="P3814" s="8">
        <f t="shared" si="297"/>
        <v>20327</v>
      </c>
      <c r="Q3814" s="8">
        <f t="shared" si="298"/>
        <v>18043</v>
      </c>
      <c r="R3814" s="2" t="s">
        <v>28</v>
      </c>
      <c r="S3814" s="9">
        <f t="shared" si="299"/>
        <v>1016.35</v>
      </c>
    </row>
    <row r="3815" spans="1:19" x14ac:dyDescent="0.3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str">
        <f>IFERROR(VLOOKUP('Customer Info'!A3807,'Customer Info'!A3807:C4306,2,FALSE),"Not Found")</f>
        <v>Not Found</v>
      </c>
      <c r="H3815" s="6" t="str">
        <f>IFERROR(VLOOKUP('Customer Info'!A3807,'Customer Info'!A3807:C4306,3,FALSE),"Not Found")</f>
        <v>Not Found</v>
      </c>
      <c r="I3815" s="6" t="str">
        <f>IFERROR(VLOOKUP('Customer Info'!A3807,'Customer Info'!A3807:E4306,5,FALSE),"Not Found")</f>
        <v>Not Found</v>
      </c>
      <c r="J3815" s="2">
        <v>1447</v>
      </c>
      <c r="K3815" s="2">
        <v>1326</v>
      </c>
      <c r="L3815" s="2">
        <v>1</v>
      </c>
      <c r="M3815" s="7">
        <f t="shared" si="295"/>
        <v>1326</v>
      </c>
      <c r="N3815" s="7">
        <f t="shared" si="296"/>
        <v>1447</v>
      </c>
      <c r="O3815" s="2">
        <v>87</v>
      </c>
      <c r="P3815" s="8">
        <f t="shared" si="297"/>
        <v>1534</v>
      </c>
      <c r="Q3815" s="8">
        <f t="shared" si="298"/>
        <v>121</v>
      </c>
      <c r="R3815" s="2" t="s">
        <v>50</v>
      </c>
      <c r="S3815" s="9">
        <f t="shared" si="299"/>
        <v>30.68</v>
      </c>
    </row>
    <row r="3816" spans="1:19" x14ac:dyDescent="0.3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str">
        <f>IFERROR(VLOOKUP('Customer Info'!A3808,'Customer Info'!A3808:C4307,2,FALSE),"Not Found")</f>
        <v>Not Found</v>
      </c>
      <c r="H3816" s="6" t="str">
        <f>IFERROR(VLOOKUP('Customer Info'!A3808,'Customer Info'!A3808:C4307,3,FALSE),"Not Found")</f>
        <v>Not Found</v>
      </c>
      <c r="I3816" s="6" t="str">
        <f>IFERROR(VLOOKUP('Customer Info'!A3808,'Customer Info'!A3808:E4307,5,FALSE),"Not Found")</f>
        <v>Not Found</v>
      </c>
      <c r="J3816" s="2">
        <v>1364</v>
      </c>
      <c r="K3816" s="2">
        <v>1274</v>
      </c>
      <c r="L3816" s="2">
        <v>1</v>
      </c>
      <c r="M3816" s="7">
        <f t="shared" si="295"/>
        <v>1274</v>
      </c>
      <c r="N3816" s="7">
        <f t="shared" si="296"/>
        <v>1364</v>
      </c>
      <c r="O3816" s="2">
        <v>75</v>
      </c>
      <c r="P3816" s="8">
        <f t="shared" si="297"/>
        <v>1439</v>
      </c>
      <c r="Q3816" s="8">
        <f t="shared" si="298"/>
        <v>90</v>
      </c>
      <c r="R3816" s="2" t="s">
        <v>28</v>
      </c>
      <c r="S3816" s="9">
        <f t="shared" si="299"/>
        <v>28.78</v>
      </c>
    </row>
    <row r="3817" spans="1:19" x14ac:dyDescent="0.3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str">
        <f>IFERROR(VLOOKUP('Customer Info'!A3809,'Customer Info'!A3809:C4308,2,FALSE),"Not Found")</f>
        <v>Not Found</v>
      </c>
      <c r="H3817" s="6" t="str">
        <f>IFERROR(VLOOKUP('Customer Info'!A3809,'Customer Info'!A3809:C4308,3,FALSE),"Not Found")</f>
        <v>Not Found</v>
      </c>
      <c r="I3817" s="6" t="str">
        <f>IFERROR(VLOOKUP('Customer Info'!A3809,'Customer Info'!A3809:E4308,5,FALSE),"Not Found")</f>
        <v>Not Found</v>
      </c>
      <c r="J3817" s="2">
        <v>3354</v>
      </c>
      <c r="K3817" s="2">
        <v>3102</v>
      </c>
      <c r="L3817" s="2">
        <v>2</v>
      </c>
      <c r="M3817" s="7">
        <f t="shared" si="295"/>
        <v>6204</v>
      </c>
      <c r="N3817" s="7">
        <f t="shared" si="296"/>
        <v>6708</v>
      </c>
      <c r="O3817" s="2">
        <v>29</v>
      </c>
      <c r="P3817" s="8">
        <f t="shared" si="297"/>
        <v>6737</v>
      </c>
      <c r="Q3817" s="8">
        <f t="shared" si="298"/>
        <v>3606</v>
      </c>
      <c r="R3817" s="2" t="s">
        <v>50</v>
      </c>
      <c r="S3817" s="9">
        <f t="shared" si="299"/>
        <v>336.85</v>
      </c>
    </row>
    <row r="3818" spans="1:19" x14ac:dyDescent="0.3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str">
        <f>IFERROR(VLOOKUP('Customer Info'!A3810,'Customer Info'!A3810:C4309,2,FALSE),"Not Found")</f>
        <v>Not Found</v>
      </c>
      <c r="H3818" s="6" t="str">
        <f>IFERROR(VLOOKUP('Customer Info'!A3810,'Customer Info'!A3810:C4309,3,FALSE),"Not Found")</f>
        <v>Not Found</v>
      </c>
      <c r="I3818" s="6" t="str">
        <f>IFERROR(VLOOKUP('Customer Info'!A3810,'Customer Info'!A3810:E4309,5,FALSE),"Not Found")</f>
        <v>Not Found</v>
      </c>
      <c r="J3818" s="2">
        <v>751</v>
      </c>
      <c r="K3818" s="2">
        <v>696</v>
      </c>
      <c r="L3818" s="2">
        <v>3</v>
      </c>
      <c r="M3818" s="7">
        <f t="shared" si="295"/>
        <v>2088</v>
      </c>
      <c r="N3818" s="7">
        <f t="shared" si="296"/>
        <v>2253</v>
      </c>
      <c r="O3818" s="2">
        <v>72</v>
      </c>
      <c r="P3818" s="8">
        <f t="shared" si="297"/>
        <v>2325</v>
      </c>
      <c r="Q3818" s="8">
        <f t="shared" si="298"/>
        <v>1557</v>
      </c>
      <c r="R3818" s="2" t="s">
        <v>50</v>
      </c>
      <c r="S3818" s="9">
        <f t="shared" si="299"/>
        <v>46.5</v>
      </c>
    </row>
    <row r="3819" spans="1:19" x14ac:dyDescent="0.3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str">
        <f>IFERROR(VLOOKUP('Customer Info'!A3811,'Customer Info'!A3811:C4310,2,FALSE),"Not Found")</f>
        <v>Not Found</v>
      </c>
      <c r="H3819" s="6" t="str">
        <f>IFERROR(VLOOKUP('Customer Info'!A3811,'Customer Info'!A3811:C4310,3,FALSE),"Not Found")</f>
        <v>Not Found</v>
      </c>
      <c r="I3819" s="6" t="str">
        <f>IFERROR(VLOOKUP('Customer Info'!A3811,'Customer Info'!A3811:E4310,5,FALSE),"Not Found")</f>
        <v>Not Found</v>
      </c>
      <c r="J3819" s="2">
        <v>1772</v>
      </c>
      <c r="K3819" s="2">
        <v>1656</v>
      </c>
      <c r="L3819" s="2">
        <v>1</v>
      </c>
      <c r="M3819" s="7">
        <f t="shared" si="295"/>
        <v>1656</v>
      </c>
      <c r="N3819" s="7">
        <f t="shared" si="296"/>
        <v>1772</v>
      </c>
      <c r="O3819" s="2">
        <v>38</v>
      </c>
      <c r="P3819" s="8">
        <f t="shared" si="297"/>
        <v>1810</v>
      </c>
      <c r="Q3819" s="8">
        <f t="shared" si="298"/>
        <v>116</v>
      </c>
      <c r="R3819" s="2" t="s">
        <v>50</v>
      </c>
      <c r="S3819" s="9">
        <f t="shared" si="299"/>
        <v>36.200000000000003</v>
      </c>
    </row>
    <row r="3820" spans="1:19" x14ac:dyDescent="0.3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str">
        <f>IFERROR(VLOOKUP('Customer Info'!A3812,'Customer Info'!A3812:C4311,2,FALSE),"Not Found")</f>
        <v>Not Found</v>
      </c>
      <c r="H3820" s="6" t="str">
        <f>IFERROR(VLOOKUP('Customer Info'!A3812,'Customer Info'!A3812:C4311,3,FALSE),"Not Found")</f>
        <v>Not Found</v>
      </c>
      <c r="I3820" s="6" t="str">
        <f>IFERROR(VLOOKUP('Customer Info'!A3812,'Customer Info'!A3812:E4311,5,FALSE),"Not Found")</f>
        <v>Not Found</v>
      </c>
      <c r="J3820" s="2">
        <v>8433</v>
      </c>
      <c r="K3820" s="2">
        <v>7801</v>
      </c>
      <c r="L3820" s="2">
        <v>2</v>
      </c>
      <c r="M3820" s="7">
        <f t="shared" si="295"/>
        <v>15602</v>
      </c>
      <c r="N3820" s="7">
        <f t="shared" si="296"/>
        <v>16866</v>
      </c>
      <c r="O3820" s="2">
        <v>81</v>
      </c>
      <c r="P3820" s="8">
        <f t="shared" si="297"/>
        <v>16947</v>
      </c>
      <c r="Q3820" s="8">
        <f t="shared" si="298"/>
        <v>9065</v>
      </c>
      <c r="R3820" s="2" t="s">
        <v>28</v>
      </c>
      <c r="S3820" s="9">
        <f t="shared" si="299"/>
        <v>847.35</v>
      </c>
    </row>
    <row r="3821" spans="1:19" x14ac:dyDescent="0.3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str">
        <f>IFERROR(VLOOKUP('Customer Info'!A3813,'Customer Info'!A3813:C4312,2,FALSE),"Not Found")</f>
        <v>Not Found</v>
      </c>
      <c r="H3821" s="6" t="str">
        <f>IFERROR(VLOOKUP('Customer Info'!A3813,'Customer Info'!A3813:C4312,3,FALSE),"Not Found")</f>
        <v>Not Found</v>
      </c>
      <c r="I3821" s="6" t="str">
        <f>IFERROR(VLOOKUP('Customer Info'!A3813,'Customer Info'!A3813:E4312,5,FALSE),"Not Found")</f>
        <v>Not Found</v>
      </c>
      <c r="J3821" s="2">
        <v>123</v>
      </c>
      <c r="K3821" s="2">
        <v>115</v>
      </c>
      <c r="L3821" s="2">
        <v>1</v>
      </c>
      <c r="M3821" s="7">
        <f t="shared" si="295"/>
        <v>115</v>
      </c>
      <c r="N3821" s="7">
        <f t="shared" si="296"/>
        <v>123</v>
      </c>
      <c r="O3821" s="2">
        <v>30</v>
      </c>
      <c r="P3821" s="8">
        <f t="shared" si="297"/>
        <v>153</v>
      </c>
      <c r="Q3821" s="8">
        <f t="shared" si="298"/>
        <v>8</v>
      </c>
      <c r="R3821" s="2" t="s">
        <v>50</v>
      </c>
      <c r="S3821" s="9">
        <f t="shared" si="299"/>
        <v>3.06</v>
      </c>
    </row>
    <row r="3822" spans="1:19" x14ac:dyDescent="0.3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str">
        <f>IFERROR(VLOOKUP('Customer Info'!A3814,'Customer Info'!A3814:C4313,2,FALSE),"Not Found")</f>
        <v>Not Found</v>
      </c>
      <c r="H3822" s="6" t="str">
        <f>IFERROR(VLOOKUP('Customer Info'!A3814,'Customer Info'!A3814:C4313,3,FALSE),"Not Found")</f>
        <v>Not Found</v>
      </c>
      <c r="I3822" s="6" t="str">
        <f>IFERROR(VLOOKUP('Customer Info'!A3814,'Customer Info'!A3814:E4313,5,FALSE),"Not Found")</f>
        <v>Not Found</v>
      </c>
      <c r="J3822" s="2">
        <v>8399</v>
      </c>
      <c r="K3822" s="2">
        <v>8001</v>
      </c>
      <c r="L3822" s="2">
        <v>1</v>
      </c>
      <c r="M3822" s="7">
        <f t="shared" si="295"/>
        <v>8001</v>
      </c>
      <c r="N3822" s="7">
        <f t="shared" si="296"/>
        <v>8399</v>
      </c>
      <c r="O3822" s="2">
        <v>32</v>
      </c>
      <c r="P3822" s="8">
        <f t="shared" si="297"/>
        <v>8431</v>
      </c>
      <c r="Q3822" s="8">
        <f t="shared" si="298"/>
        <v>398</v>
      </c>
      <c r="R3822" s="2" t="s">
        <v>28</v>
      </c>
      <c r="S3822" s="9">
        <f t="shared" si="299"/>
        <v>421.55</v>
      </c>
    </row>
    <row r="3823" spans="1:19" x14ac:dyDescent="0.3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str">
        <f>IFERROR(VLOOKUP('Customer Info'!A3815,'Customer Info'!A3815:C4314,2,FALSE),"Not Found")</f>
        <v>Not Found</v>
      </c>
      <c r="H3823" s="6" t="str">
        <f>IFERROR(VLOOKUP('Customer Info'!A3815,'Customer Info'!A3815:C4314,3,FALSE),"Not Found")</f>
        <v>Not Found</v>
      </c>
      <c r="I3823" s="6" t="str">
        <f>IFERROR(VLOOKUP('Customer Info'!A3815,'Customer Info'!A3815:E4314,5,FALSE),"Not Found")</f>
        <v>Not Found</v>
      </c>
      <c r="J3823" s="2">
        <v>7922</v>
      </c>
      <c r="K3823" s="2">
        <v>7328</v>
      </c>
      <c r="L3823" s="2">
        <v>5</v>
      </c>
      <c r="M3823" s="7">
        <f t="shared" si="295"/>
        <v>36640</v>
      </c>
      <c r="N3823" s="7">
        <f t="shared" si="296"/>
        <v>39610</v>
      </c>
      <c r="O3823" s="2">
        <v>98</v>
      </c>
      <c r="P3823" s="8">
        <f t="shared" si="297"/>
        <v>39708</v>
      </c>
      <c r="Q3823" s="8">
        <f t="shared" si="298"/>
        <v>32282</v>
      </c>
      <c r="R3823" s="2" t="s">
        <v>28</v>
      </c>
      <c r="S3823" s="9">
        <f t="shared" si="299"/>
        <v>2779.5600000000004</v>
      </c>
    </row>
    <row r="3824" spans="1:19" x14ac:dyDescent="0.3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str">
        <f>IFERROR(VLOOKUP('Customer Info'!A3816,'Customer Info'!A3816:C4315,2,FALSE),"Not Found")</f>
        <v>Not Found</v>
      </c>
      <c r="H3824" s="6" t="str">
        <f>IFERROR(VLOOKUP('Customer Info'!A3816,'Customer Info'!A3816:C4315,3,FALSE),"Not Found")</f>
        <v>Not Found</v>
      </c>
      <c r="I3824" s="6" t="str">
        <f>IFERROR(VLOOKUP('Customer Info'!A3816,'Customer Info'!A3816:E4315,5,FALSE),"Not Found")</f>
        <v>Not Found</v>
      </c>
      <c r="J3824" s="2">
        <v>4761</v>
      </c>
      <c r="K3824" s="2">
        <v>4368</v>
      </c>
      <c r="L3824" s="2">
        <v>4</v>
      </c>
      <c r="M3824" s="7">
        <f t="shared" si="295"/>
        <v>17472</v>
      </c>
      <c r="N3824" s="7">
        <f t="shared" si="296"/>
        <v>19044</v>
      </c>
      <c r="O3824" s="2">
        <v>81</v>
      </c>
      <c r="P3824" s="8">
        <f t="shared" si="297"/>
        <v>19125</v>
      </c>
      <c r="Q3824" s="8">
        <f t="shared" si="298"/>
        <v>14676</v>
      </c>
      <c r="R3824" s="2" t="s">
        <v>28</v>
      </c>
      <c r="S3824" s="9">
        <f t="shared" si="299"/>
        <v>956.25</v>
      </c>
    </row>
    <row r="3825" spans="1:19" x14ac:dyDescent="0.3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str">
        <f>IFERROR(VLOOKUP('Customer Info'!A3817,'Customer Info'!A3817:C4316,2,FALSE),"Not Found")</f>
        <v>Not Found</v>
      </c>
      <c r="H3825" s="6" t="str">
        <f>IFERROR(VLOOKUP('Customer Info'!A3817,'Customer Info'!A3817:C4316,3,FALSE),"Not Found")</f>
        <v>Not Found</v>
      </c>
      <c r="I3825" s="6" t="str">
        <f>IFERROR(VLOOKUP('Customer Info'!A3817,'Customer Info'!A3817:E4316,5,FALSE),"Not Found")</f>
        <v>Not Found</v>
      </c>
      <c r="J3825" s="2">
        <v>7691</v>
      </c>
      <c r="K3825" s="2">
        <v>7255</v>
      </c>
      <c r="L3825" s="2">
        <v>7</v>
      </c>
      <c r="M3825" s="7">
        <f t="shared" si="295"/>
        <v>50785</v>
      </c>
      <c r="N3825" s="7">
        <f t="shared" si="296"/>
        <v>53837</v>
      </c>
      <c r="O3825" s="2">
        <v>21</v>
      </c>
      <c r="P3825" s="8">
        <f t="shared" si="297"/>
        <v>53858</v>
      </c>
      <c r="Q3825" s="8">
        <f t="shared" si="298"/>
        <v>46582</v>
      </c>
      <c r="R3825" s="2" t="s">
        <v>26</v>
      </c>
      <c r="S3825" s="9">
        <f t="shared" si="299"/>
        <v>4847.22</v>
      </c>
    </row>
    <row r="3826" spans="1:19" x14ac:dyDescent="0.3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str">
        <f>IFERROR(VLOOKUP('Customer Info'!A3818,'Customer Info'!A3818:C4317,2,FALSE),"Not Found")</f>
        <v>Not Found</v>
      </c>
      <c r="H3826" s="6" t="str">
        <f>IFERROR(VLOOKUP('Customer Info'!A3818,'Customer Info'!A3818:C4317,3,FALSE),"Not Found")</f>
        <v>Not Found</v>
      </c>
      <c r="I3826" s="6" t="str">
        <f>IFERROR(VLOOKUP('Customer Info'!A3818,'Customer Info'!A3818:E4317,5,FALSE),"Not Found")</f>
        <v>Not Found</v>
      </c>
      <c r="J3826" s="2">
        <v>139</v>
      </c>
      <c r="K3826" s="2">
        <v>133</v>
      </c>
      <c r="L3826" s="2">
        <v>2</v>
      </c>
      <c r="M3826" s="7">
        <f t="shared" si="295"/>
        <v>266</v>
      </c>
      <c r="N3826" s="7">
        <f t="shared" si="296"/>
        <v>278</v>
      </c>
      <c r="O3826" s="2">
        <v>30</v>
      </c>
      <c r="P3826" s="8">
        <f t="shared" si="297"/>
        <v>308</v>
      </c>
      <c r="Q3826" s="8">
        <f t="shared" si="298"/>
        <v>145</v>
      </c>
      <c r="R3826" s="2" t="s">
        <v>56</v>
      </c>
      <c r="S3826" s="9">
        <f t="shared" si="299"/>
        <v>6.16</v>
      </c>
    </row>
    <row r="3827" spans="1:19" x14ac:dyDescent="0.3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str">
        <f>IFERROR(VLOOKUP('Customer Info'!A3819,'Customer Info'!A3819:C4318,2,FALSE),"Not Found")</f>
        <v>Not Found</v>
      </c>
      <c r="H3827" s="6" t="str">
        <f>IFERROR(VLOOKUP('Customer Info'!A3819,'Customer Info'!A3819:C4318,3,FALSE),"Not Found")</f>
        <v>Not Found</v>
      </c>
      <c r="I3827" s="6" t="str">
        <f>IFERROR(VLOOKUP('Customer Info'!A3819,'Customer Info'!A3819:E4318,5,FALSE),"Not Found")</f>
        <v>Not Found</v>
      </c>
      <c r="J3827" s="2">
        <v>8160</v>
      </c>
      <c r="K3827" s="2">
        <v>7475</v>
      </c>
      <c r="L3827" s="2">
        <v>3</v>
      </c>
      <c r="M3827" s="7">
        <f t="shared" si="295"/>
        <v>22425</v>
      </c>
      <c r="N3827" s="7">
        <f t="shared" si="296"/>
        <v>24480</v>
      </c>
      <c r="O3827" s="2">
        <v>55</v>
      </c>
      <c r="P3827" s="8">
        <f t="shared" si="297"/>
        <v>24535</v>
      </c>
      <c r="Q3827" s="8">
        <f t="shared" si="298"/>
        <v>17005</v>
      </c>
      <c r="R3827" s="2" t="s">
        <v>26</v>
      </c>
      <c r="S3827" s="9">
        <f t="shared" si="299"/>
        <v>1226.75</v>
      </c>
    </row>
    <row r="3828" spans="1:19" x14ac:dyDescent="0.3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str">
        <f>IFERROR(VLOOKUP('Customer Info'!A3820,'Customer Info'!A3820:C4319,2,FALSE),"Not Found")</f>
        <v>Not Found</v>
      </c>
      <c r="H3828" s="6" t="str">
        <f>IFERROR(VLOOKUP('Customer Info'!A3820,'Customer Info'!A3820:C4319,3,FALSE),"Not Found")</f>
        <v>Not Found</v>
      </c>
      <c r="I3828" s="6" t="str">
        <f>IFERROR(VLOOKUP('Customer Info'!A3820,'Customer Info'!A3820:E4319,5,FALSE),"Not Found")</f>
        <v>Not Found</v>
      </c>
      <c r="J3828" s="2">
        <v>6864</v>
      </c>
      <c r="K3828" s="2">
        <v>6667</v>
      </c>
      <c r="L3828" s="2">
        <v>6</v>
      </c>
      <c r="M3828" s="7">
        <f t="shared" si="295"/>
        <v>40002</v>
      </c>
      <c r="N3828" s="7">
        <f t="shared" si="296"/>
        <v>41184</v>
      </c>
      <c r="O3828" s="2">
        <v>67</v>
      </c>
      <c r="P3828" s="8">
        <f t="shared" si="297"/>
        <v>41251</v>
      </c>
      <c r="Q3828" s="8">
        <f t="shared" si="298"/>
        <v>34517</v>
      </c>
      <c r="R3828" s="2" t="s">
        <v>28</v>
      </c>
      <c r="S3828" s="9">
        <f t="shared" si="299"/>
        <v>2887.57</v>
      </c>
    </row>
    <row r="3829" spans="1:19" x14ac:dyDescent="0.3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str">
        <f>IFERROR(VLOOKUP('Customer Info'!A3821,'Customer Info'!A3821:C4320,2,FALSE),"Not Found")</f>
        <v>Not Found</v>
      </c>
      <c r="H3829" s="6" t="str">
        <f>IFERROR(VLOOKUP('Customer Info'!A3821,'Customer Info'!A3821:C4320,3,FALSE),"Not Found")</f>
        <v>Not Found</v>
      </c>
      <c r="I3829" s="6" t="str">
        <f>IFERROR(VLOOKUP('Customer Info'!A3821,'Customer Info'!A3821:E4320,5,FALSE),"Not Found")</f>
        <v>Not Found</v>
      </c>
      <c r="J3829" s="2">
        <v>202</v>
      </c>
      <c r="K3829" s="2">
        <v>187</v>
      </c>
      <c r="L3829" s="2">
        <v>1</v>
      </c>
      <c r="M3829" s="7">
        <f t="shared" si="295"/>
        <v>187</v>
      </c>
      <c r="N3829" s="7">
        <f t="shared" si="296"/>
        <v>202</v>
      </c>
      <c r="O3829" s="2">
        <v>30</v>
      </c>
      <c r="P3829" s="8">
        <f t="shared" si="297"/>
        <v>232</v>
      </c>
      <c r="Q3829" s="8">
        <f t="shared" si="298"/>
        <v>15</v>
      </c>
      <c r="R3829" s="2" t="s">
        <v>50</v>
      </c>
      <c r="S3829" s="9">
        <f t="shared" si="299"/>
        <v>4.6399999999999997</v>
      </c>
    </row>
    <row r="3830" spans="1:19" x14ac:dyDescent="0.3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str">
        <f>IFERROR(VLOOKUP('Customer Info'!A3822,'Customer Info'!A3822:C4321,2,FALSE),"Not Found")</f>
        <v>Not Found</v>
      </c>
      <c r="H3830" s="6" t="str">
        <f>IFERROR(VLOOKUP('Customer Info'!A3822,'Customer Info'!A3822:C4321,3,FALSE),"Not Found")</f>
        <v>Not Found</v>
      </c>
      <c r="I3830" s="6" t="str">
        <f>IFERROR(VLOOKUP('Customer Info'!A3822,'Customer Info'!A3822:E4321,5,FALSE),"Not Found")</f>
        <v>Not Found</v>
      </c>
      <c r="J3830" s="2">
        <v>1721</v>
      </c>
      <c r="K3830" s="2">
        <v>1640</v>
      </c>
      <c r="L3830" s="2">
        <v>2</v>
      </c>
      <c r="M3830" s="7">
        <f t="shared" si="295"/>
        <v>3280</v>
      </c>
      <c r="N3830" s="7">
        <f t="shared" si="296"/>
        <v>3442</v>
      </c>
      <c r="O3830" s="2">
        <v>28</v>
      </c>
      <c r="P3830" s="8">
        <f t="shared" si="297"/>
        <v>3470</v>
      </c>
      <c r="Q3830" s="8">
        <f t="shared" si="298"/>
        <v>1802</v>
      </c>
      <c r="R3830" s="2" t="s">
        <v>28</v>
      </c>
      <c r="S3830" s="9">
        <f t="shared" si="299"/>
        <v>69.400000000000006</v>
      </c>
    </row>
    <row r="3831" spans="1:19" x14ac:dyDescent="0.3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str">
        <f>IFERROR(VLOOKUP('Customer Info'!A3823,'Customer Info'!A3823:C4322,2,FALSE),"Not Found")</f>
        <v>Not Found</v>
      </c>
      <c r="H3831" s="6" t="str">
        <f>IFERROR(VLOOKUP('Customer Info'!A3823,'Customer Info'!A3823:C4322,3,FALSE),"Not Found")</f>
        <v>Not Found</v>
      </c>
      <c r="I3831" s="6" t="str">
        <f>IFERROR(VLOOKUP('Customer Info'!A3823,'Customer Info'!A3823:E4322,5,FALSE),"Not Found")</f>
        <v>Not Found</v>
      </c>
      <c r="J3831" s="2">
        <v>279</v>
      </c>
      <c r="K3831" s="2">
        <v>254</v>
      </c>
      <c r="L3831" s="2">
        <v>3</v>
      </c>
      <c r="M3831" s="7">
        <f t="shared" si="295"/>
        <v>762</v>
      </c>
      <c r="N3831" s="7">
        <f t="shared" si="296"/>
        <v>837</v>
      </c>
      <c r="O3831" s="2">
        <v>25</v>
      </c>
      <c r="P3831" s="8">
        <f t="shared" si="297"/>
        <v>862</v>
      </c>
      <c r="Q3831" s="8">
        <f t="shared" si="298"/>
        <v>583</v>
      </c>
      <c r="R3831" s="2" t="s">
        <v>50</v>
      </c>
      <c r="S3831" s="9">
        <f t="shared" si="299"/>
        <v>17.240000000000002</v>
      </c>
    </row>
    <row r="3832" spans="1:19" x14ac:dyDescent="0.3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str">
        <f>IFERROR(VLOOKUP('Customer Info'!A3824,'Customer Info'!A3824:C4323,2,FALSE),"Not Found")</f>
        <v>Not Found</v>
      </c>
      <c r="H3832" s="6" t="str">
        <f>IFERROR(VLOOKUP('Customer Info'!A3824,'Customer Info'!A3824:C4323,3,FALSE),"Not Found")</f>
        <v>Not Found</v>
      </c>
      <c r="I3832" s="6" t="str">
        <f>IFERROR(VLOOKUP('Customer Info'!A3824,'Customer Info'!A3824:E4323,5,FALSE),"Not Found")</f>
        <v>Not Found</v>
      </c>
      <c r="J3832" s="2">
        <v>992</v>
      </c>
      <c r="K3832" s="2">
        <v>928</v>
      </c>
      <c r="L3832" s="2">
        <v>3</v>
      </c>
      <c r="M3832" s="7">
        <f t="shared" si="295"/>
        <v>2784</v>
      </c>
      <c r="N3832" s="7">
        <f t="shared" si="296"/>
        <v>2976</v>
      </c>
      <c r="O3832" s="2">
        <v>28</v>
      </c>
      <c r="P3832" s="8">
        <f t="shared" si="297"/>
        <v>3004</v>
      </c>
      <c r="Q3832" s="8">
        <f t="shared" si="298"/>
        <v>2048</v>
      </c>
      <c r="R3832" s="2" t="s">
        <v>50</v>
      </c>
      <c r="S3832" s="9">
        <f t="shared" si="299"/>
        <v>60.08</v>
      </c>
    </row>
    <row r="3833" spans="1:19" x14ac:dyDescent="0.3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str">
        <f>IFERROR(VLOOKUP('Customer Info'!A3825,'Customer Info'!A3825:C4324,2,FALSE),"Not Found")</f>
        <v>Not Found</v>
      </c>
      <c r="H3833" s="6" t="str">
        <f>IFERROR(VLOOKUP('Customer Info'!A3825,'Customer Info'!A3825:C4324,3,FALSE),"Not Found")</f>
        <v>Not Found</v>
      </c>
      <c r="I3833" s="6" t="str">
        <f>IFERROR(VLOOKUP('Customer Info'!A3825,'Customer Info'!A3825:E4324,5,FALSE),"Not Found")</f>
        <v>Not Found</v>
      </c>
      <c r="J3833" s="2">
        <v>2864</v>
      </c>
      <c r="K3833" s="2">
        <v>2754</v>
      </c>
      <c r="L3833" s="2">
        <v>8</v>
      </c>
      <c r="M3833" s="7">
        <f t="shared" si="295"/>
        <v>22032</v>
      </c>
      <c r="N3833" s="7">
        <f t="shared" si="296"/>
        <v>22912</v>
      </c>
      <c r="O3833" s="2">
        <v>47</v>
      </c>
      <c r="P3833" s="8">
        <f t="shared" si="297"/>
        <v>22959</v>
      </c>
      <c r="Q3833" s="8">
        <f t="shared" si="298"/>
        <v>20158</v>
      </c>
      <c r="R3833" s="2" t="s">
        <v>28</v>
      </c>
      <c r="S3833" s="9">
        <f t="shared" si="299"/>
        <v>1147.95</v>
      </c>
    </row>
    <row r="3834" spans="1:19" x14ac:dyDescent="0.3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str">
        <f>IFERROR(VLOOKUP('Customer Info'!A3826,'Customer Info'!A3826:C4325,2,FALSE),"Not Found")</f>
        <v>Not Found</v>
      </c>
      <c r="H3834" s="6" t="str">
        <f>IFERROR(VLOOKUP('Customer Info'!A3826,'Customer Info'!A3826:C4325,3,FALSE),"Not Found")</f>
        <v>Not Found</v>
      </c>
      <c r="I3834" s="6" t="str">
        <f>IFERROR(VLOOKUP('Customer Info'!A3826,'Customer Info'!A3826:E4325,5,FALSE),"Not Found")</f>
        <v>Not Found</v>
      </c>
      <c r="J3834" s="2">
        <v>2333</v>
      </c>
      <c r="K3834" s="2">
        <v>2060</v>
      </c>
      <c r="L3834" s="2">
        <v>4</v>
      </c>
      <c r="M3834" s="7">
        <f t="shared" si="295"/>
        <v>8240</v>
      </c>
      <c r="N3834" s="7">
        <f t="shared" si="296"/>
        <v>9332</v>
      </c>
      <c r="O3834" s="2">
        <v>30</v>
      </c>
      <c r="P3834" s="8">
        <f t="shared" si="297"/>
        <v>9362</v>
      </c>
      <c r="Q3834" s="8">
        <f t="shared" si="298"/>
        <v>7272</v>
      </c>
      <c r="R3834" s="2" t="s">
        <v>26</v>
      </c>
      <c r="S3834" s="9">
        <f t="shared" si="299"/>
        <v>468.1</v>
      </c>
    </row>
    <row r="3835" spans="1:19" x14ac:dyDescent="0.3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str">
        <f>IFERROR(VLOOKUP('Customer Info'!A3827,'Customer Info'!A3827:C4326,2,FALSE),"Not Found")</f>
        <v>Not Found</v>
      </c>
      <c r="H3835" s="6" t="str">
        <f>IFERROR(VLOOKUP('Customer Info'!A3827,'Customer Info'!A3827:C4326,3,FALSE),"Not Found")</f>
        <v>Not Found</v>
      </c>
      <c r="I3835" s="6" t="str">
        <f>IFERROR(VLOOKUP('Customer Info'!A3827,'Customer Info'!A3827:E4326,5,FALSE),"Not Found")</f>
        <v>Not Found</v>
      </c>
      <c r="J3835" s="2">
        <v>1169</v>
      </c>
      <c r="K3835" s="2">
        <v>1103</v>
      </c>
      <c r="L3835" s="2">
        <v>4</v>
      </c>
      <c r="M3835" s="7">
        <f t="shared" si="295"/>
        <v>4412</v>
      </c>
      <c r="N3835" s="7">
        <f t="shared" si="296"/>
        <v>4676</v>
      </c>
      <c r="O3835" s="2">
        <v>71</v>
      </c>
      <c r="P3835" s="8">
        <f t="shared" si="297"/>
        <v>4747</v>
      </c>
      <c r="Q3835" s="8">
        <f t="shared" si="298"/>
        <v>3573</v>
      </c>
      <c r="R3835" s="2" t="s">
        <v>28</v>
      </c>
      <c r="S3835" s="9">
        <f t="shared" si="299"/>
        <v>94.94</v>
      </c>
    </row>
    <row r="3836" spans="1:19" x14ac:dyDescent="0.3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str">
        <f>IFERROR(VLOOKUP('Customer Info'!A3828,'Customer Info'!A3828:C4327,2,FALSE),"Not Found")</f>
        <v>Not Found</v>
      </c>
      <c r="H3836" s="6" t="str">
        <f>IFERROR(VLOOKUP('Customer Info'!A3828,'Customer Info'!A3828:C4327,3,FALSE),"Not Found")</f>
        <v>Not Found</v>
      </c>
      <c r="I3836" s="6" t="str">
        <f>IFERROR(VLOOKUP('Customer Info'!A3828,'Customer Info'!A3828:E4327,5,FALSE),"Not Found")</f>
        <v>Not Found</v>
      </c>
      <c r="J3836" s="2">
        <v>4761</v>
      </c>
      <c r="K3836" s="2">
        <v>4368</v>
      </c>
      <c r="L3836" s="2">
        <v>9</v>
      </c>
      <c r="M3836" s="7">
        <f t="shared" si="295"/>
        <v>39312</v>
      </c>
      <c r="N3836" s="7">
        <f t="shared" si="296"/>
        <v>42849</v>
      </c>
      <c r="O3836" s="2">
        <v>25</v>
      </c>
      <c r="P3836" s="8">
        <f t="shared" si="297"/>
        <v>42874</v>
      </c>
      <c r="Q3836" s="8">
        <f t="shared" si="298"/>
        <v>38481</v>
      </c>
      <c r="R3836" s="2" t="s">
        <v>28</v>
      </c>
      <c r="S3836" s="9">
        <f t="shared" si="299"/>
        <v>3001.1800000000003</v>
      </c>
    </row>
    <row r="3837" spans="1:19" x14ac:dyDescent="0.3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str">
        <f>IFERROR(VLOOKUP('Customer Info'!A3829,'Customer Info'!A3829:C4328,2,FALSE),"Not Found")</f>
        <v>Not Found</v>
      </c>
      <c r="H3837" s="6" t="str">
        <f>IFERROR(VLOOKUP('Customer Info'!A3829,'Customer Info'!A3829:C4328,3,FALSE),"Not Found")</f>
        <v>Not Found</v>
      </c>
      <c r="I3837" s="6" t="str">
        <f>IFERROR(VLOOKUP('Customer Info'!A3829,'Customer Info'!A3829:E4328,5,FALSE),"Not Found")</f>
        <v>Not Found</v>
      </c>
      <c r="J3837" s="2">
        <v>63</v>
      </c>
      <c r="K3837" s="2">
        <v>59</v>
      </c>
      <c r="L3837" s="2">
        <v>1</v>
      </c>
      <c r="M3837" s="7">
        <f t="shared" si="295"/>
        <v>59</v>
      </c>
      <c r="N3837" s="7">
        <f t="shared" si="296"/>
        <v>63</v>
      </c>
      <c r="O3837" s="2">
        <v>10</v>
      </c>
      <c r="P3837" s="8">
        <f t="shared" si="297"/>
        <v>73</v>
      </c>
      <c r="Q3837" s="8">
        <f t="shared" si="298"/>
        <v>4</v>
      </c>
      <c r="R3837" s="2" t="s">
        <v>28</v>
      </c>
      <c r="S3837" s="9">
        <f t="shared" si="299"/>
        <v>1.46</v>
      </c>
    </row>
    <row r="3838" spans="1:19" x14ac:dyDescent="0.3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str">
        <f>IFERROR(VLOOKUP('Customer Info'!A3830,'Customer Info'!A3830:C4329,2,FALSE),"Not Found")</f>
        <v>Not Found</v>
      </c>
      <c r="H3838" s="6" t="str">
        <f>IFERROR(VLOOKUP('Customer Info'!A3830,'Customer Info'!A3830:C4329,3,FALSE),"Not Found")</f>
        <v>Not Found</v>
      </c>
      <c r="I3838" s="6" t="str">
        <f>IFERROR(VLOOKUP('Customer Info'!A3830,'Customer Info'!A3830:E4329,5,FALSE),"Not Found")</f>
        <v>Not Found</v>
      </c>
      <c r="J3838" s="2">
        <v>456</v>
      </c>
      <c r="K3838" s="2">
        <v>430</v>
      </c>
      <c r="L3838" s="2">
        <v>1</v>
      </c>
      <c r="M3838" s="7">
        <f t="shared" si="295"/>
        <v>430</v>
      </c>
      <c r="N3838" s="7">
        <f t="shared" si="296"/>
        <v>456</v>
      </c>
      <c r="O3838" s="2">
        <v>29</v>
      </c>
      <c r="P3838" s="8">
        <f t="shared" si="297"/>
        <v>485</v>
      </c>
      <c r="Q3838" s="8">
        <f t="shared" si="298"/>
        <v>26</v>
      </c>
      <c r="R3838" s="2" t="s">
        <v>28</v>
      </c>
      <c r="S3838" s="9">
        <f t="shared" si="299"/>
        <v>9.7000000000000011</v>
      </c>
    </row>
    <row r="3839" spans="1:19" x14ac:dyDescent="0.3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str">
        <f>IFERROR(VLOOKUP('Customer Info'!A3831,'Customer Info'!A3831:C4330,2,FALSE),"Not Found")</f>
        <v>Not Found</v>
      </c>
      <c r="H3839" s="6" t="str">
        <f>IFERROR(VLOOKUP('Customer Info'!A3831,'Customer Info'!A3831:C4330,3,FALSE),"Not Found")</f>
        <v>Not Found</v>
      </c>
      <c r="I3839" s="6" t="str">
        <f>IFERROR(VLOOKUP('Customer Info'!A3831,'Customer Info'!A3831:E4330,5,FALSE),"Not Found")</f>
        <v>Not Found</v>
      </c>
      <c r="J3839" s="2">
        <v>97</v>
      </c>
      <c r="K3839" s="2">
        <v>92</v>
      </c>
      <c r="L3839" s="2">
        <v>7</v>
      </c>
      <c r="M3839" s="7">
        <f t="shared" si="295"/>
        <v>644</v>
      </c>
      <c r="N3839" s="7">
        <f t="shared" si="296"/>
        <v>679</v>
      </c>
      <c r="O3839" s="2">
        <v>10</v>
      </c>
      <c r="P3839" s="8">
        <f t="shared" si="297"/>
        <v>689</v>
      </c>
      <c r="Q3839" s="8">
        <f t="shared" si="298"/>
        <v>587</v>
      </c>
      <c r="R3839" s="2" t="s">
        <v>28</v>
      </c>
      <c r="S3839" s="9">
        <f t="shared" si="299"/>
        <v>13.780000000000001</v>
      </c>
    </row>
    <row r="3840" spans="1:19" x14ac:dyDescent="0.3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str">
        <f>IFERROR(VLOOKUP('Customer Info'!A3832,'Customer Info'!A3832:C4331,2,FALSE),"Not Found")</f>
        <v>Not Found</v>
      </c>
      <c r="H3840" s="6" t="str">
        <f>IFERROR(VLOOKUP('Customer Info'!A3832,'Customer Info'!A3832:C4331,3,FALSE),"Not Found")</f>
        <v>Not Found</v>
      </c>
      <c r="I3840" s="6" t="str">
        <f>IFERROR(VLOOKUP('Customer Info'!A3832,'Customer Info'!A3832:E4331,5,FALSE),"Not Found")</f>
        <v>Not Found</v>
      </c>
      <c r="J3840" s="2">
        <v>2310</v>
      </c>
      <c r="K3840" s="2">
        <v>2040</v>
      </c>
      <c r="L3840" s="2">
        <v>9</v>
      </c>
      <c r="M3840" s="7">
        <f t="shared" si="295"/>
        <v>18360</v>
      </c>
      <c r="N3840" s="7">
        <f t="shared" si="296"/>
        <v>20790</v>
      </c>
      <c r="O3840" s="2">
        <v>65</v>
      </c>
      <c r="P3840" s="8">
        <f t="shared" si="297"/>
        <v>20855</v>
      </c>
      <c r="Q3840" s="8">
        <f t="shared" si="298"/>
        <v>18750</v>
      </c>
      <c r="R3840" s="2" t="s">
        <v>28</v>
      </c>
      <c r="S3840" s="9">
        <f t="shared" si="299"/>
        <v>1042.75</v>
      </c>
    </row>
    <row r="3841" spans="1:19" x14ac:dyDescent="0.3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str">
        <f>IFERROR(VLOOKUP('Customer Info'!A3833,'Customer Info'!A3833:C4332,2,FALSE),"Not Found")</f>
        <v>Not Found</v>
      </c>
      <c r="H3841" s="6" t="str">
        <f>IFERROR(VLOOKUP('Customer Info'!A3833,'Customer Info'!A3833:C4332,3,FALSE),"Not Found")</f>
        <v>Not Found</v>
      </c>
      <c r="I3841" s="6" t="str">
        <f>IFERROR(VLOOKUP('Customer Info'!A3833,'Customer Info'!A3833:E4332,5,FALSE),"Not Found")</f>
        <v>Not Found</v>
      </c>
      <c r="J3841" s="2">
        <v>516</v>
      </c>
      <c r="K3841" s="2">
        <v>473</v>
      </c>
      <c r="L3841" s="2">
        <v>3</v>
      </c>
      <c r="M3841" s="7">
        <f t="shared" si="295"/>
        <v>1419</v>
      </c>
      <c r="N3841" s="7">
        <f t="shared" si="296"/>
        <v>1548</v>
      </c>
      <c r="O3841" s="2">
        <v>89</v>
      </c>
      <c r="P3841" s="8">
        <f t="shared" si="297"/>
        <v>1637</v>
      </c>
      <c r="Q3841" s="8">
        <f t="shared" si="298"/>
        <v>1075</v>
      </c>
      <c r="R3841" s="2" t="s">
        <v>50</v>
      </c>
      <c r="S3841" s="9">
        <f t="shared" si="299"/>
        <v>32.74</v>
      </c>
    </row>
    <row r="3842" spans="1:19" x14ac:dyDescent="0.3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str">
        <f>IFERROR(VLOOKUP('Customer Info'!A3834,'Customer Info'!A3834:C4333,2,FALSE),"Not Found")</f>
        <v>Not Found</v>
      </c>
      <c r="H3842" s="6" t="str">
        <f>IFERROR(VLOOKUP('Customer Info'!A3834,'Customer Info'!A3834:C4333,3,FALSE),"Not Found")</f>
        <v>Not Found</v>
      </c>
      <c r="I3842" s="6" t="str">
        <f>IFERROR(VLOOKUP('Customer Info'!A3834,'Customer Info'!A3834:E4333,5,FALSE),"Not Found")</f>
        <v>Not Found</v>
      </c>
      <c r="J3842" s="2">
        <v>1859</v>
      </c>
      <c r="K3842" s="2">
        <v>1755</v>
      </c>
      <c r="L3842" s="2">
        <v>3</v>
      </c>
      <c r="M3842" s="7">
        <f t="shared" si="295"/>
        <v>5265</v>
      </c>
      <c r="N3842" s="7">
        <f t="shared" si="296"/>
        <v>5577</v>
      </c>
      <c r="O3842" s="2">
        <v>44</v>
      </c>
      <c r="P3842" s="8">
        <f t="shared" si="297"/>
        <v>5621</v>
      </c>
      <c r="Q3842" s="8">
        <f t="shared" si="298"/>
        <v>3822</v>
      </c>
      <c r="R3842" s="2" t="s">
        <v>28</v>
      </c>
      <c r="S3842" s="9">
        <f t="shared" si="299"/>
        <v>281.05</v>
      </c>
    </row>
    <row r="3843" spans="1:19" x14ac:dyDescent="0.3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str">
        <f>IFERROR(VLOOKUP('Customer Info'!A3835,'Customer Info'!A3835:C4334,2,FALSE),"Not Found")</f>
        <v>Not Found</v>
      </c>
      <c r="H3843" s="6" t="str">
        <f>IFERROR(VLOOKUP('Customer Info'!A3835,'Customer Info'!A3835:C4334,3,FALSE),"Not Found")</f>
        <v>Not Found</v>
      </c>
      <c r="I3843" s="6" t="str">
        <f>IFERROR(VLOOKUP('Customer Info'!A3835,'Customer Info'!A3835:E4334,5,FALSE),"Not Found")</f>
        <v>Not Found</v>
      </c>
      <c r="J3843" s="2">
        <v>8199</v>
      </c>
      <c r="K3843" s="2">
        <v>7523</v>
      </c>
      <c r="L3843" s="2">
        <v>3</v>
      </c>
      <c r="M3843" s="7">
        <f t="shared" si="295"/>
        <v>22569</v>
      </c>
      <c r="N3843" s="7">
        <f t="shared" si="296"/>
        <v>24597</v>
      </c>
      <c r="O3843" s="2">
        <v>35</v>
      </c>
      <c r="P3843" s="8">
        <f t="shared" si="297"/>
        <v>24632</v>
      </c>
      <c r="Q3843" s="8">
        <f t="shared" si="298"/>
        <v>17074</v>
      </c>
      <c r="R3843" s="2" t="s">
        <v>50</v>
      </c>
      <c r="S3843" s="9">
        <f t="shared" si="299"/>
        <v>1231.6000000000001</v>
      </c>
    </row>
    <row r="3844" spans="1:19" x14ac:dyDescent="0.3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str">
        <f>IFERROR(VLOOKUP('Customer Info'!A3836,'Customer Info'!A3836:C4335,2,FALSE),"Not Found")</f>
        <v>Not Found</v>
      </c>
      <c r="H3844" s="6" t="str">
        <f>IFERROR(VLOOKUP('Customer Info'!A3836,'Customer Info'!A3836:C4335,3,FALSE),"Not Found")</f>
        <v>Not Found</v>
      </c>
      <c r="I3844" s="6" t="str">
        <f>IFERROR(VLOOKUP('Customer Info'!A3836,'Customer Info'!A3836:E4335,5,FALSE),"Not Found")</f>
        <v>Not Found</v>
      </c>
      <c r="J3844" s="2">
        <v>1587</v>
      </c>
      <c r="K3844" s="2">
        <v>1428</v>
      </c>
      <c r="L3844" s="2">
        <v>3</v>
      </c>
      <c r="M3844" s="7">
        <f t="shared" si="295"/>
        <v>4284</v>
      </c>
      <c r="N3844" s="7">
        <f t="shared" si="296"/>
        <v>4761</v>
      </c>
      <c r="O3844" s="2">
        <v>26</v>
      </c>
      <c r="P3844" s="8">
        <f t="shared" si="297"/>
        <v>4787</v>
      </c>
      <c r="Q3844" s="8">
        <f t="shared" si="298"/>
        <v>3333</v>
      </c>
      <c r="R3844" s="2" t="s">
        <v>56</v>
      </c>
      <c r="S3844" s="9">
        <f t="shared" si="299"/>
        <v>95.740000000000009</v>
      </c>
    </row>
    <row r="3845" spans="1:19" x14ac:dyDescent="0.3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str">
        <f>IFERROR(VLOOKUP('Customer Info'!A3837,'Customer Info'!A3837:C4336,2,FALSE),"Not Found")</f>
        <v>Not Found</v>
      </c>
      <c r="H3845" s="6" t="str">
        <f>IFERROR(VLOOKUP('Customer Info'!A3837,'Customer Info'!A3837:C4336,3,FALSE),"Not Found")</f>
        <v>Not Found</v>
      </c>
      <c r="I3845" s="6" t="str">
        <f>IFERROR(VLOOKUP('Customer Info'!A3837,'Customer Info'!A3837:E4336,5,FALSE),"Not Found")</f>
        <v>Not Found</v>
      </c>
      <c r="J3845" s="2">
        <v>61</v>
      </c>
      <c r="K3845" s="2">
        <v>57</v>
      </c>
      <c r="L3845" s="2">
        <v>1</v>
      </c>
      <c r="M3845" s="7">
        <f t="shared" si="295"/>
        <v>57</v>
      </c>
      <c r="N3845" s="7">
        <f t="shared" si="296"/>
        <v>61</v>
      </c>
      <c r="O3845" s="2">
        <v>10</v>
      </c>
      <c r="P3845" s="8">
        <f t="shared" si="297"/>
        <v>71</v>
      </c>
      <c r="Q3845" s="8">
        <f t="shared" si="298"/>
        <v>4</v>
      </c>
      <c r="R3845" s="2" t="s">
        <v>50</v>
      </c>
      <c r="S3845" s="9">
        <f t="shared" si="299"/>
        <v>1.42</v>
      </c>
    </row>
    <row r="3846" spans="1:19" x14ac:dyDescent="0.3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str">
        <f>IFERROR(VLOOKUP('Customer Info'!A3838,'Customer Info'!A3838:C4337,2,FALSE),"Not Found")</f>
        <v>Not Found</v>
      </c>
      <c r="H3846" s="6" t="str">
        <f>IFERROR(VLOOKUP('Customer Info'!A3838,'Customer Info'!A3838:C4337,3,FALSE),"Not Found")</f>
        <v>Not Found</v>
      </c>
      <c r="I3846" s="6" t="str">
        <f>IFERROR(VLOOKUP('Customer Info'!A3838,'Customer Info'!A3838:E4337,5,FALSE),"Not Found")</f>
        <v>Not Found</v>
      </c>
      <c r="J3846" s="2">
        <v>1169</v>
      </c>
      <c r="K3846" s="2">
        <v>1072</v>
      </c>
      <c r="L3846" s="2">
        <v>1</v>
      </c>
      <c r="M3846" s="7">
        <f t="shared" si="295"/>
        <v>1072</v>
      </c>
      <c r="N3846" s="7">
        <f t="shared" si="296"/>
        <v>1169</v>
      </c>
      <c r="O3846" s="2">
        <v>66</v>
      </c>
      <c r="P3846" s="8">
        <f t="shared" si="297"/>
        <v>1235</v>
      </c>
      <c r="Q3846" s="8">
        <f t="shared" si="298"/>
        <v>97</v>
      </c>
      <c r="R3846" s="2" t="s">
        <v>50</v>
      </c>
      <c r="S3846" s="9">
        <f t="shared" si="299"/>
        <v>24.7</v>
      </c>
    </row>
    <row r="3847" spans="1:19" x14ac:dyDescent="0.3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str">
        <f>IFERROR(VLOOKUP('Customer Info'!A3839,'Customer Info'!A3839:C4338,2,FALSE),"Not Found")</f>
        <v>Not Found</v>
      </c>
      <c r="H3847" s="6" t="str">
        <f>IFERROR(VLOOKUP('Customer Info'!A3839,'Customer Info'!A3839:C4338,3,FALSE),"Not Found")</f>
        <v>Not Found</v>
      </c>
      <c r="I3847" s="6" t="str">
        <f>IFERROR(VLOOKUP('Customer Info'!A3839,'Customer Info'!A3839:E4338,5,FALSE),"Not Found")</f>
        <v>Not Found</v>
      </c>
      <c r="J3847" s="2">
        <v>679</v>
      </c>
      <c r="K3847" s="2">
        <v>654</v>
      </c>
      <c r="L3847" s="2">
        <v>9</v>
      </c>
      <c r="M3847" s="7">
        <f t="shared" si="295"/>
        <v>5886</v>
      </c>
      <c r="N3847" s="7">
        <f t="shared" si="296"/>
        <v>6111</v>
      </c>
      <c r="O3847" s="2">
        <v>41</v>
      </c>
      <c r="P3847" s="8">
        <f t="shared" si="297"/>
        <v>6152</v>
      </c>
      <c r="Q3847" s="8">
        <f t="shared" si="298"/>
        <v>5457</v>
      </c>
      <c r="R3847" s="2" t="s">
        <v>28</v>
      </c>
      <c r="S3847" s="9">
        <f t="shared" si="299"/>
        <v>307.60000000000002</v>
      </c>
    </row>
    <row r="3848" spans="1:19" x14ac:dyDescent="0.3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str">
        <f>IFERROR(VLOOKUP('Customer Info'!A3840,'Customer Info'!A3840:C4339,2,FALSE),"Not Found")</f>
        <v>Not Found</v>
      </c>
      <c r="H3848" s="6" t="str">
        <f>IFERROR(VLOOKUP('Customer Info'!A3840,'Customer Info'!A3840:C4339,3,FALSE),"Not Found")</f>
        <v>Not Found</v>
      </c>
      <c r="I3848" s="6" t="str">
        <f>IFERROR(VLOOKUP('Customer Info'!A3840,'Customer Info'!A3840:E4339,5,FALSE),"Not Found")</f>
        <v>Not Found</v>
      </c>
      <c r="J3848" s="2">
        <v>6027</v>
      </c>
      <c r="K3848" s="2">
        <v>5694</v>
      </c>
      <c r="L3848" s="2">
        <v>14</v>
      </c>
      <c r="M3848" s="7">
        <f t="shared" si="295"/>
        <v>79716</v>
      </c>
      <c r="N3848" s="7">
        <f t="shared" si="296"/>
        <v>84378</v>
      </c>
      <c r="O3848" s="2">
        <v>62</v>
      </c>
      <c r="P3848" s="8">
        <f t="shared" si="297"/>
        <v>84440</v>
      </c>
      <c r="Q3848" s="8">
        <f t="shared" si="298"/>
        <v>78684</v>
      </c>
      <c r="R3848" s="2" t="s">
        <v>28</v>
      </c>
      <c r="S3848" s="9">
        <f t="shared" si="299"/>
        <v>7599.5999999999995</v>
      </c>
    </row>
    <row r="3849" spans="1:19" x14ac:dyDescent="0.3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str">
        <f>IFERROR(VLOOKUP('Customer Info'!A3841,'Customer Info'!A3841:C4340,2,FALSE),"Not Found")</f>
        <v>Not Found</v>
      </c>
      <c r="H3849" s="6" t="str">
        <f>IFERROR(VLOOKUP('Customer Info'!A3841,'Customer Info'!A3841:C4340,3,FALSE),"Not Found")</f>
        <v>Not Found</v>
      </c>
      <c r="I3849" s="6" t="str">
        <f>IFERROR(VLOOKUP('Customer Info'!A3841,'Customer Info'!A3841:E4340,5,FALSE),"Not Found")</f>
        <v>Not Found</v>
      </c>
      <c r="J3849" s="2">
        <v>135</v>
      </c>
      <c r="K3849" s="2">
        <v>126</v>
      </c>
      <c r="L3849" s="2">
        <v>2</v>
      </c>
      <c r="M3849" s="7">
        <f t="shared" si="295"/>
        <v>252</v>
      </c>
      <c r="N3849" s="7">
        <f t="shared" si="296"/>
        <v>270</v>
      </c>
      <c r="O3849" s="2">
        <v>30</v>
      </c>
      <c r="P3849" s="8">
        <f t="shared" si="297"/>
        <v>300</v>
      </c>
      <c r="Q3849" s="8">
        <f t="shared" si="298"/>
        <v>144</v>
      </c>
      <c r="R3849" s="2" t="s">
        <v>28</v>
      </c>
      <c r="S3849" s="9">
        <f t="shared" si="299"/>
        <v>6</v>
      </c>
    </row>
    <row r="3850" spans="1:19" x14ac:dyDescent="0.3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str">
        <f>IFERROR(VLOOKUP('Customer Info'!A3842,'Customer Info'!A3842:C4341,2,FALSE),"Not Found")</f>
        <v>Not Found</v>
      </c>
      <c r="H3850" s="6" t="str">
        <f>IFERROR(VLOOKUP('Customer Info'!A3842,'Customer Info'!A3842:C4341,3,FALSE),"Not Found")</f>
        <v>Not Found</v>
      </c>
      <c r="I3850" s="6" t="str">
        <f>IFERROR(VLOOKUP('Customer Info'!A3842,'Customer Info'!A3842:E4341,5,FALSE),"Not Found")</f>
        <v>Not Found</v>
      </c>
      <c r="J3850" s="2">
        <v>8202</v>
      </c>
      <c r="K3850" s="2">
        <v>7594</v>
      </c>
      <c r="L3850" s="2">
        <v>5</v>
      </c>
      <c r="M3850" s="7">
        <f t="shared" si="295"/>
        <v>37970</v>
      </c>
      <c r="N3850" s="7">
        <f t="shared" si="296"/>
        <v>41010</v>
      </c>
      <c r="O3850" s="2">
        <v>86</v>
      </c>
      <c r="P3850" s="8">
        <f t="shared" si="297"/>
        <v>41096</v>
      </c>
      <c r="Q3850" s="8">
        <f t="shared" si="298"/>
        <v>33416</v>
      </c>
      <c r="R3850" s="2" t="s">
        <v>28</v>
      </c>
      <c r="S3850" s="9">
        <f t="shared" si="299"/>
        <v>2876.7200000000003</v>
      </c>
    </row>
    <row r="3851" spans="1:19" x14ac:dyDescent="0.3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str">
        <f>IFERROR(VLOOKUP('Customer Info'!A3843,'Customer Info'!A3843:C4342,2,FALSE),"Not Found")</f>
        <v>Not Found</v>
      </c>
      <c r="H3851" s="6" t="str">
        <f>IFERROR(VLOOKUP('Customer Info'!A3843,'Customer Info'!A3843:C4342,3,FALSE),"Not Found")</f>
        <v>Not Found</v>
      </c>
      <c r="I3851" s="6" t="str">
        <f>IFERROR(VLOOKUP('Customer Info'!A3843,'Customer Info'!A3843:E4342,5,FALSE),"Not Found")</f>
        <v>Not Found</v>
      </c>
      <c r="J3851" s="2">
        <v>185</v>
      </c>
      <c r="K3851" s="2">
        <v>174</v>
      </c>
      <c r="L3851" s="2">
        <v>1</v>
      </c>
      <c r="M3851" s="7">
        <f t="shared" ref="M3851:M3914" si="300">$K3851*$L3851</f>
        <v>174</v>
      </c>
      <c r="N3851" s="7">
        <f t="shared" ref="N3851:N3914" si="301">$J3851*$L3851</f>
        <v>185</v>
      </c>
      <c r="O3851" s="2">
        <v>30</v>
      </c>
      <c r="P3851" s="8">
        <f t="shared" ref="P3851:P3914" si="302">$N3851+$O3851</f>
        <v>215</v>
      </c>
      <c r="Q3851" s="8">
        <f t="shared" ref="Q3851:Q3914" si="303">$N3851-$K3851</f>
        <v>11</v>
      </c>
      <c r="R3851" s="2" t="s">
        <v>28</v>
      </c>
      <c r="S3851" s="9">
        <f t="shared" ref="S3851:S3914" si="304" xml:space="preserve"> P3851 * VLOOKUP(P3851, $T$2:$U$6, 2, TRUE)</f>
        <v>4.3</v>
      </c>
    </row>
    <row r="3852" spans="1:19" x14ac:dyDescent="0.3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str">
        <f>IFERROR(VLOOKUP('Customer Info'!A3844,'Customer Info'!A3844:C4343,2,FALSE),"Not Found")</f>
        <v>Not Found</v>
      </c>
      <c r="H3852" s="6" t="str">
        <f>IFERROR(VLOOKUP('Customer Info'!A3844,'Customer Info'!A3844:C4343,3,FALSE),"Not Found")</f>
        <v>Not Found</v>
      </c>
      <c r="I3852" s="6" t="str">
        <f>IFERROR(VLOOKUP('Customer Info'!A3844,'Customer Info'!A3844:E4343,5,FALSE),"Not Found")</f>
        <v>Not Found</v>
      </c>
      <c r="J3852" s="2">
        <v>6024</v>
      </c>
      <c r="K3852" s="2">
        <v>5424</v>
      </c>
      <c r="L3852" s="2">
        <v>3</v>
      </c>
      <c r="M3852" s="7">
        <f t="shared" si="300"/>
        <v>16272</v>
      </c>
      <c r="N3852" s="7">
        <f t="shared" si="301"/>
        <v>18072</v>
      </c>
      <c r="O3852" s="2">
        <v>84</v>
      </c>
      <c r="P3852" s="8">
        <f t="shared" si="302"/>
        <v>18156</v>
      </c>
      <c r="Q3852" s="8">
        <f t="shared" si="303"/>
        <v>12648</v>
      </c>
      <c r="R3852" s="2" t="s">
        <v>28</v>
      </c>
      <c r="S3852" s="9">
        <f t="shared" si="304"/>
        <v>907.80000000000007</v>
      </c>
    </row>
    <row r="3853" spans="1:19" x14ac:dyDescent="0.3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str">
        <f>IFERROR(VLOOKUP('Customer Info'!A3845,'Customer Info'!A3845:C4344,2,FALSE),"Not Found")</f>
        <v>Not Found</v>
      </c>
      <c r="H3853" s="6" t="str">
        <f>IFERROR(VLOOKUP('Customer Info'!A3845,'Customer Info'!A3845:C4344,3,FALSE),"Not Found")</f>
        <v>Not Found</v>
      </c>
      <c r="I3853" s="6" t="str">
        <f>IFERROR(VLOOKUP('Customer Info'!A3845,'Customer Info'!A3845:E4344,5,FALSE),"Not Found")</f>
        <v>Not Found</v>
      </c>
      <c r="J3853" s="2">
        <v>279</v>
      </c>
      <c r="K3853" s="2">
        <v>254</v>
      </c>
      <c r="L3853" s="2">
        <v>1</v>
      </c>
      <c r="M3853" s="7">
        <f t="shared" si="300"/>
        <v>254</v>
      </c>
      <c r="N3853" s="7">
        <f t="shared" si="301"/>
        <v>279</v>
      </c>
      <c r="O3853" s="2">
        <v>88</v>
      </c>
      <c r="P3853" s="8">
        <f t="shared" si="302"/>
        <v>367</v>
      </c>
      <c r="Q3853" s="8">
        <f t="shared" si="303"/>
        <v>25</v>
      </c>
      <c r="R3853" s="2" t="s">
        <v>50</v>
      </c>
      <c r="S3853" s="9">
        <f t="shared" si="304"/>
        <v>7.34</v>
      </c>
    </row>
    <row r="3854" spans="1:19" x14ac:dyDescent="0.3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str">
        <f>IFERROR(VLOOKUP('Customer Info'!A3846,'Customer Info'!A3846:C4345,2,FALSE),"Not Found")</f>
        <v>Not Found</v>
      </c>
      <c r="H3854" s="6" t="str">
        <f>IFERROR(VLOOKUP('Customer Info'!A3846,'Customer Info'!A3846:C4345,3,FALSE),"Not Found")</f>
        <v>Not Found</v>
      </c>
      <c r="I3854" s="6" t="str">
        <f>IFERROR(VLOOKUP('Customer Info'!A3846,'Customer Info'!A3846:E4345,5,FALSE),"Not Found")</f>
        <v>Not Found</v>
      </c>
      <c r="J3854" s="2">
        <v>4808</v>
      </c>
      <c r="K3854" s="2">
        <v>4453</v>
      </c>
      <c r="L3854" s="2">
        <v>2</v>
      </c>
      <c r="M3854" s="7">
        <f t="shared" si="300"/>
        <v>8906</v>
      </c>
      <c r="N3854" s="7">
        <f t="shared" si="301"/>
        <v>9616</v>
      </c>
      <c r="O3854" s="2">
        <v>66</v>
      </c>
      <c r="P3854" s="8">
        <f t="shared" si="302"/>
        <v>9682</v>
      </c>
      <c r="Q3854" s="8">
        <f t="shared" si="303"/>
        <v>5163</v>
      </c>
      <c r="R3854" s="2" t="s">
        <v>28</v>
      </c>
      <c r="S3854" s="9">
        <f t="shared" si="304"/>
        <v>484.1</v>
      </c>
    </row>
    <row r="3855" spans="1:19" x14ac:dyDescent="0.3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str">
        <f>IFERROR(VLOOKUP('Customer Info'!A3847,'Customer Info'!A3847:C4346,2,FALSE),"Not Found")</f>
        <v>Not Found</v>
      </c>
      <c r="H3855" s="6" t="str">
        <f>IFERROR(VLOOKUP('Customer Info'!A3847,'Customer Info'!A3847:C4346,3,FALSE),"Not Found")</f>
        <v>Not Found</v>
      </c>
      <c r="I3855" s="6" t="str">
        <f>IFERROR(VLOOKUP('Customer Info'!A3847,'Customer Info'!A3847:E4346,5,FALSE),"Not Found")</f>
        <v>Not Found</v>
      </c>
      <c r="J3855" s="2">
        <v>886</v>
      </c>
      <c r="K3855" s="2">
        <v>796</v>
      </c>
      <c r="L3855" s="2">
        <v>2</v>
      </c>
      <c r="M3855" s="7">
        <f t="shared" si="300"/>
        <v>1592</v>
      </c>
      <c r="N3855" s="7">
        <f t="shared" si="301"/>
        <v>1772</v>
      </c>
      <c r="O3855" s="2">
        <v>41</v>
      </c>
      <c r="P3855" s="8">
        <f t="shared" si="302"/>
        <v>1813</v>
      </c>
      <c r="Q3855" s="8">
        <f t="shared" si="303"/>
        <v>976</v>
      </c>
      <c r="R3855" s="2" t="s">
        <v>50</v>
      </c>
      <c r="S3855" s="9">
        <f t="shared" si="304"/>
        <v>36.26</v>
      </c>
    </row>
    <row r="3856" spans="1:19" x14ac:dyDescent="0.3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str">
        <f>IFERROR(VLOOKUP('Customer Info'!A3848,'Customer Info'!A3848:C4347,2,FALSE),"Not Found")</f>
        <v>Not Found</v>
      </c>
      <c r="H3856" s="6" t="str">
        <f>IFERROR(VLOOKUP('Customer Info'!A3848,'Customer Info'!A3848:C4347,3,FALSE),"Not Found")</f>
        <v>Not Found</v>
      </c>
      <c r="I3856" s="6" t="str">
        <f>IFERROR(VLOOKUP('Customer Info'!A3848,'Customer Info'!A3848:E4347,5,FALSE),"Not Found")</f>
        <v>Not Found</v>
      </c>
      <c r="J3856" s="2">
        <v>8738</v>
      </c>
      <c r="K3856" s="2">
        <v>8162</v>
      </c>
      <c r="L3856" s="2">
        <v>1</v>
      </c>
      <c r="M3856" s="7">
        <f t="shared" si="300"/>
        <v>8162</v>
      </c>
      <c r="N3856" s="7">
        <f t="shared" si="301"/>
        <v>8738</v>
      </c>
      <c r="O3856" s="2">
        <v>63</v>
      </c>
      <c r="P3856" s="8">
        <f t="shared" si="302"/>
        <v>8801</v>
      </c>
      <c r="Q3856" s="8">
        <f t="shared" si="303"/>
        <v>576</v>
      </c>
      <c r="R3856" s="2" t="s">
        <v>28</v>
      </c>
      <c r="S3856" s="9">
        <f t="shared" si="304"/>
        <v>440.05</v>
      </c>
    </row>
    <row r="3857" spans="1:19" x14ac:dyDescent="0.3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str">
        <f>IFERROR(VLOOKUP('Customer Info'!A3849,'Customer Info'!A3849:C4348,2,FALSE),"Not Found")</f>
        <v>Not Found</v>
      </c>
      <c r="H3857" s="6" t="str">
        <f>IFERROR(VLOOKUP('Customer Info'!A3849,'Customer Info'!A3849:C4348,3,FALSE),"Not Found")</f>
        <v>Not Found</v>
      </c>
      <c r="I3857" s="6" t="str">
        <f>IFERROR(VLOOKUP('Customer Info'!A3849,'Customer Info'!A3849:E4348,5,FALSE),"Not Found")</f>
        <v>Not Found</v>
      </c>
      <c r="J3857" s="2">
        <v>3053</v>
      </c>
      <c r="K3857" s="2">
        <v>2937</v>
      </c>
      <c r="L3857" s="2">
        <v>1</v>
      </c>
      <c r="M3857" s="7">
        <f t="shared" si="300"/>
        <v>2937</v>
      </c>
      <c r="N3857" s="7">
        <f t="shared" si="301"/>
        <v>3053</v>
      </c>
      <c r="O3857" s="2">
        <v>35</v>
      </c>
      <c r="P3857" s="8">
        <f t="shared" si="302"/>
        <v>3088</v>
      </c>
      <c r="Q3857" s="8">
        <f t="shared" si="303"/>
        <v>116</v>
      </c>
      <c r="R3857" s="2" t="s">
        <v>28</v>
      </c>
      <c r="S3857" s="9">
        <f t="shared" si="304"/>
        <v>61.76</v>
      </c>
    </row>
    <row r="3858" spans="1:19" x14ac:dyDescent="0.3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str">
        <f>IFERROR(VLOOKUP('Customer Info'!A3850,'Customer Info'!A3850:C4349,2,FALSE),"Not Found")</f>
        <v>Not Found</v>
      </c>
      <c r="H3858" s="6" t="str">
        <f>IFERROR(VLOOKUP('Customer Info'!A3850,'Customer Info'!A3850:C4349,3,FALSE),"Not Found")</f>
        <v>Not Found</v>
      </c>
      <c r="I3858" s="6" t="str">
        <f>IFERROR(VLOOKUP('Customer Info'!A3850,'Customer Info'!A3850:E4349,5,FALSE),"Not Found")</f>
        <v>Not Found</v>
      </c>
      <c r="J3858" s="2">
        <v>8967</v>
      </c>
      <c r="K3858" s="2">
        <v>8151</v>
      </c>
      <c r="L3858" s="2">
        <v>3</v>
      </c>
      <c r="M3858" s="7">
        <f t="shared" si="300"/>
        <v>24453</v>
      </c>
      <c r="N3858" s="7">
        <f t="shared" si="301"/>
        <v>26901</v>
      </c>
      <c r="O3858" s="2">
        <v>52</v>
      </c>
      <c r="P3858" s="8">
        <f t="shared" si="302"/>
        <v>26953</v>
      </c>
      <c r="Q3858" s="8">
        <f t="shared" si="303"/>
        <v>18750</v>
      </c>
      <c r="R3858" s="2" t="s">
        <v>50</v>
      </c>
      <c r="S3858" s="9">
        <f t="shared" si="304"/>
        <v>1886.7100000000003</v>
      </c>
    </row>
    <row r="3859" spans="1:19" x14ac:dyDescent="0.3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str">
        <f>IFERROR(VLOOKUP('Customer Info'!A3851,'Customer Info'!A3851:C4350,2,FALSE),"Not Found")</f>
        <v>Not Found</v>
      </c>
      <c r="H3859" s="6" t="str">
        <f>IFERROR(VLOOKUP('Customer Info'!A3851,'Customer Info'!A3851:C4350,3,FALSE),"Not Found")</f>
        <v>Not Found</v>
      </c>
      <c r="I3859" s="6" t="str">
        <f>IFERROR(VLOOKUP('Customer Info'!A3851,'Customer Info'!A3851:E4350,5,FALSE),"Not Found")</f>
        <v>Not Found</v>
      </c>
      <c r="J3859" s="2">
        <v>516</v>
      </c>
      <c r="K3859" s="2">
        <v>473</v>
      </c>
      <c r="L3859" s="2">
        <v>2</v>
      </c>
      <c r="M3859" s="7">
        <f t="shared" si="300"/>
        <v>946</v>
      </c>
      <c r="N3859" s="7">
        <f t="shared" si="301"/>
        <v>1032</v>
      </c>
      <c r="O3859" s="2">
        <v>21</v>
      </c>
      <c r="P3859" s="8">
        <f t="shared" si="302"/>
        <v>1053</v>
      </c>
      <c r="Q3859" s="8">
        <f t="shared" si="303"/>
        <v>559</v>
      </c>
      <c r="R3859" s="2" t="s">
        <v>28</v>
      </c>
      <c r="S3859" s="9">
        <f t="shared" si="304"/>
        <v>21.06</v>
      </c>
    </row>
    <row r="3860" spans="1:19" x14ac:dyDescent="0.3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str">
        <f>IFERROR(VLOOKUP('Customer Info'!A3852,'Customer Info'!A3852:C4351,2,FALSE),"Not Found")</f>
        <v>Not Found</v>
      </c>
      <c r="H3860" s="6" t="str">
        <f>IFERROR(VLOOKUP('Customer Info'!A3852,'Customer Info'!A3852:C4351,3,FALSE),"Not Found")</f>
        <v>Not Found</v>
      </c>
      <c r="I3860" s="6" t="str">
        <f>IFERROR(VLOOKUP('Customer Info'!A3852,'Customer Info'!A3852:E4351,5,FALSE),"Not Found")</f>
        <v>Not Found</v>
      </c>
      <c r="J3860" s="2">
        <v>7508</v>
      </c>
      <c r="K3860" s="2">
        <v>6956</v>
      </c>
      <c r="L3860" s="2">
        <v>3</v>
      </c>
      <c r="M3860" s="7">
        <f t="shared" si="300"/>
        <v>20868</v>
      </c>
      <c r="N3860" s="7">
        <f t="shared" si="301"/>
        <v>22524</v>
      </c>
      <c r="O3860" s="2">
        <v>76</v>
      </c>
      <c r="P3860" s="8">
        <f t="shared" si="302"/>
        <v>22600</v>
      </c>
      <c r="Q3860" s="8">
        <f t="shared" si="303"/>
        <v>15568</v>
      </c>
      <c r="R3860" s="2" t="s">
        <v>50</v>
      </c>
      <c r="S3860" s="9">
        <f t="shared" si="304"/>
        <v>1130</v>
      </c>
    </row>
    <row r="3861" spans="1:19" x14ac:dyDescent="0.3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str">
        <f>IFERROR(VLOOKUP('Customer Info'!A3853,'Customer Info'!A3853:C4352,2,FALSE),"Not Found")</f>
        <v>Not Found</v>
      </c>
      <c r="H3861" s="6" t="str">
        <f>IFERROR(VLOOKUP('Customer Info'!A3853,'Customer Info'!A3853:C4352,3,FALSE),"Not Found")</f>
        <v>Not Found</v>
      </c>
      <c r="I3861" s="6" t="str">
        <f>IFERROR(VLOOKUP('Customer Info'!A3853,'Customer Info'!A3853:E4352,5,FALSE),"Not Found")</f>
        <v>Not Found</v>
      </c>
      <c r="J3861" s="2">
        <v>2515</v>
      </c>
      <c r="K3861" s="2">
        <v>2397</v>
      </c>
      <c r="L3861" s="2">
        <v>5</v>
      </c>
      <c r="M3861" s="7">
        <f t="shared" si="300"/>
        <v>11985</v>
      </c>
      <c r="N3861" s="7">
        <f t="shared" si="301"/>
        <v>12575</v>
      </c>
      <c r="O3861" s="2">
        <v>24</v>
      </c>
      <c r="P3861" s="8">
        <f t="shared" si="302"/>
        <v>12599</v>
      </c>
      <c r="Q3861" s="8">
        <f t="shared" si="303"/>
        <v>10178</v>
      </c>
      <c r="R3861" s="2" t="s">
        <v>28</v>
      </c>
      <c r="S3861" s="9">
        <f t="shared" si="304"/>
        <v>629.95000000000005</v>
      </c>
    </row>
    <row r="3862" spans="1:19" x14ac:dyDescent="0.3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str">
        <f>IFERROR(VLOOKUP('Customer Info'!A3854,'Customer Info'!A3854:C4353,2,FALSE),"Not Found")</f>
        <v>Not Found</v>
      </c>
      <c r="H3862" s="6" t="str">
        <f>IFERROR(VLOOKUP('Customer Info'!A3854,'Customer Info'!A3854:C4353,3,FALSE),"Not Found")</f>
        <v>Not Found</v>
      </c>
      <c r="I3862" s="6" t="str">
        <f>IFERROR(VLOOKUP('Customer Info'!A3854,'Customer Info'!A3854:E4353,5,FALSE),"Not Found")</f>
        <v>Not Found</v>
      </c>
      <c r="J3862" s="2">
        <v>183</v>
      </c>
      <c r="K3862" s="2">
        <v>168</v>
      </c>
      <c r="L3862" s="2">
        <v>1</v>
      </c>
      <c r="M3862" s="7">
        <f t="shared" si="300"/>
        <v>168</v>
      </c>
      <c r="N3862" s="7">
        <f t="shared" si="301"/>
        <v>183</v>
      </c>
      <c r="O3862" s="2">
        <v>30</v>
      </c>
      <c r="P3862" s="8">
        <f t="shared" si="302"/>
        <v>213</v>
      </c>
      <c r="Q3862" s="8">
        <f t="shared" si="303"/>
        <v>15</v>
      </c>
      <c r="R3862" s="2" t="s">
        <v>56</v>
      </c>
      <c r="S3862" s="9">
        <f t="shared" si="304"/>
        <v>4.26</v>
      </c>
    </row>
    <row r="3863" spans="1:19" x14ac:dyDescent="0.3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str">
        <f>IFERROR(VLOOKUP('Customer Info'!A3855,'Customer Info'!A3855:C4354,2,FALSE),"Not Found")</f>
        <v>Not Found</v>
      </c>
      <c r="H3863" s="6" t="str">
        <f>IFERROR(VLOOKUP('Customer Info'!A3855,'Customer Info'!A3855:C4354,3,FALSE),"Not Found")</f>
        <v>Not Found</v>
      </c>
      <c r="I3863" s="6" t="str">
        <f>IFERROR(VLOOKUP('Customer Info'!A3855,'Customer Info'!A3855:E4354,5,FALSE),"Not Found")</f>
        <v>Not Found</v>
      </c>
      <c r="J3863" s="2">
        <v>69</v>
      </c>
      <c r="K3863" s="2">
        <v>64</v>
      </c>
      <c r="L3863" s="2">
        <v>5</v>
      </c>
      <c r="M3863" s="7">
        <f t="shared" si="300"/>
        <v>320</v>
      </c>
      <c r="N3863" s="7">
        <f t="shared" si="301"/>
        <v>345</v>
      </c>
      <c r="O3863" s="2">
        <v>10</v>
      </c>
      <c r="P3863" s="8">
        <f t="shared" si="302"/>
        <v>355</v>
      </c>
      <c r="Q3863" s="8">
        <f t="shared" si="303"/>
        <v>281</v>
      </c>
      <c r="R3863" s="2" t="s">
        <v>26</v>
      </c>
      <c r="S3863" s="9">
        <f t="shared" si="304"/>
        <v>7.1000000000000005</v>
      </c>
    </row>
    <row r="3864" spans="1:19" x14ac:dyDescent="0.3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str">
        <f>IFERROR(VLOOKUP('Customer Info'!A3856,'Customer Info'!A3856:C4355,2,FALSE),"Not Found")</f>
        <v>Not Found</v>
      </c>
      <c r="H3864" s="6" t="str">
        <f>IFERROR(VLOOKUP('Customer Info'!A3856,'Customer Info'!A3856:C4355,3,FALSE),"Not Found")</f>
        <v>Not Found</v>
      </c>
      <c r="I3864" s="6" t="str">
        <f>IFERROR(VLOOKUP('Customer Info'!A3856,'Customer Info'!A3856:E4355,5,FALSE),"Not Found")</f>
        <v>Not Found</v>
      </c>
      <c r="J3864" s="2">
        <v>7136</v>
      </c>
      <c r="K3864" s="2">
        <v>6676</v>
      </c>
      <c r="L3864" s="2">
        <v>2</v>
      </c>
      <c r="M3864" s="7">
        <f t="shared" si="300"/>
        <v>13352</v>
      </c>
      <c r="N3864" s="7">
        <f t="shared" si="301"/>
        <v>14272</v>
      </c>
      <c r="O3864" s="2">
        <v>96</v>
      </c>
      <c r="P3864" s="8">
        <f t="shared" si="302"/>
        <v>14368</v>
      </c>
      <c r="Q3864" s="8">
        <f t="shared" si="303"/>
        <v>7596</v>
      </c>
      <c r="R3864" s="2" t="s">
        <v>28</v>
      </c>
      <c r="S3864" s="9">
        <f t="shared" si="304"/>
        <v>718.40000000000009</v>
      </c>
    </row>
    <row r="3865" spans="1:19" x14ac:dyDescent="0.3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str">
        <f>IFERROR(VLOOKUP('Customer Info'!A3857,'Customer Info'!A3857:C4356,2,FALSE),"Not Found")</f>
        <v>Not Found</v>
      </c>
      <c r="H3865" s="6" t="str">
        <f>IFERROR(VLOOKUP('Customer Info'!A3857,'Customer Info'!A3857:C4356,3,FALSE),"Not Found")</f>
        <v>Not Found</v>
      </c>
      <c r="I3865" s="6" t="str">
        <f>IFERROR(VLOOKUP('Customer Info'!A3857,'Customer Info'!A3857:E4356,5,FALSE),"Not Found")</f>
        <v>Not Found</v>
      </c>
      <c r="J3865" s="2">
        <v>1834</v>
      </c>
      <c r="K3865" s="2">
        <v>1716</v>
      </c>
      <c r="L3865" s="2">
        <v>3</v>
      </c>
      <c r="M3865" s="7">
        <f t="shared" si="300"/>
        <v>5148</v>
      </c>
      <c r="N3865" s="7">
        <f t="shared" si="301"/>
        <v>5502</v>
      </c>
      <c r="O3865" s="2">
        <v>21</v>
      </c>
      <c r="P3865" s="8">
        <f t="shared" si="302"/>
        <v>5523</v>
      </c>
      <c r="Q3865" s="8">
        <f t="shared" si="303"/>
        <v>3786</v>
      </c>
      <c r="R3865" s="2" t="s">
        <v>50</v>
      </c>
      <c r="S3865" s="9">
        <f t="shared" si="304"/>
        <v>276.15000000000003</v>
      </c>
    </row>
    <row r="3866" spans="1:19" x14ac:dyDescent="0.3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str">
        <f>IFERROR(VLOOKUP('Customer Info'!A3858,'Customer Info'!A3858:C4357,2,FALSE),"Not Found")</f>
        <v>Not Found</v>
      </c>
      <c r="H3866" s="6" t="str">
        <f>IFERROR(VLOOKUP('Customer Info'!A3858,'Customer Info'!A3858:C4357,3,FALSE),"Not Found")</f>
        <v>Not Found</v>
      </c>
      <c r="I3866" s="6" t="str">
        <f>IFERROR(VLOOKUP('Customer Info'!A3858,'Customer Info'!A3858:E4357,5,FALSE),"Not Found")</f>
        <v>Not Found</v>
      </c>
      <c r="J3866" s="2">
        <v>1605</v>
      </c>
      <c r="K3866" s="2">
        <v>1530</v>
      </c>
      <c r="L3866" s="2">
        <v>1</v>
      </c>
      <c r="M3866" s="7">
        <f t="shared" si="300"/>
        <v>1530</v>
      </c>
      <c r="N3866" s="7">
        <f t="shared" si="301"/>
        <v>1605</v>
      </c>
      <c r="O3866" s="2">
        <v>62</v>
      </c>
      <c r="P3866" s="8">
        <f t="shared" si="302"/>
        <v>1667</v>
      </c>
      <c r="Q3866" s="8">
        <f t="shared" si="303"/>
        <v>75</v>
      </c>
      <c r="R3866" s="2" t="s">
        <v>28</v>
      </c>
      <c r="S3866" s="9">
        <f t="shared" si="304"/>
        <v>33.340000000000003</v>
      </c>
    </row>
    <row r="3867" spans="1:19" x14ac:dyDescent="0.3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str">
        <f>IFERROR(VLOOKUP('Customer Info'!A3859,'Customer Info'!A3859:C4358,2,FALSE),"Not Found")</f>
        <v>Not Found</v>
      </c>
      <c r="H3867" s="6" t="str">
        <f>IFERROR(VLOOKUP('Customer Info'!A3859,'Customer Info'!A3859:C4358,3,FALSE),"Not Found")</f>
        <v>Not Found</v>
      </c>
      <c r="I3867" s="6" t="str">
        <f>IFERROR(VLOOKUP('Customer Info'!A3859,'Customer Info'!A3859:E4358,5,FALSE),"Not Found")</f>
        <v>Not Found</v>
      </c>
      <c r="J3867" s="2">
        <v>1441</v>
      </c>
      <c r="K3867" s="2">
        <v>1360</v>
      </c>
      <c r="L3867" s="2">
        <v>2</v>
      </c>
      <c r="M3867" s="7">
        <f t="shared" si="300"/>
        <v>2720</v>
      </c>
      <c r="N3867" s="7">
        <f t="shared" si="301"/>
        <v>2882</v>
      </c>
      <c r="O3867" s="2">
        <v>53</v>
      </c>
      <c r="P3867" s="8">
        <f t="shared" si="302"/>
        <v>2935</v>
      </c>
      <c r="Q3867" s="8">
        <f t="shared" si="303"/>
        <v>1522</v>
      </c>
      <c r="R3867" s="2" t="s">
        <v>50</v>
      </c>
      <c r="S3867" s="9">
        <f t="shared" si="304"/>
        <v>58.7</v>
      </c>
    </row>
    <row r="3868" spans="1:19" x14ac:dyDescent="0.3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str">
        <f>IFERROR(VLOOKUP('Customer Info'!A3860,'Customer Info'!A3860:C4359,2,FALSE),"Not Found")</f>
        <v>Not Found</v>
      </c>
      <c r="H3868" s="6" t="str">
        <f>IFERROR(VLOOKUP('Customer Info'!A3860,'Customer Info'!A3860:C4359,3,FALSE),"Not Found")</f>
        <v>Not Found</v>
      </c>
      <c r="I3868" s="6" t="str">
        <f>IFERROR(VLOOKUP('Customer Info'!A3860,'Customer Info'!A3860:E4359,5,FALSE),"Not Found")</f>
        <v>Not Found</v>
      </c>
      <c r="J3868" s="2">
        <v>2228</v>
      </c>
      <c r="K3868" s="2">
        <v>2143</v>
      </c>
      <c r="L3868" s="2">
        <v>4</v>
      </c>
      <c r="M3868" s="7">
        <f t="shared" si="300"/>
        <v>8572</v>
      </c>
      <c r="N3868" s="7">
        <f t="shared" si="301"/>
        <v>8912</v>
      </c>
      <c r="O3868" s="2">
        <v>61</v>
      </c>
      <c r="P3868" s="8">
        <f t="shared" si="302"/>
        <v>8973</v>
      </c>
      <c r="Q3868" s="8">
        <f t="shared" si="303"/>
        <v>6769</v>
      </c>
      <c r="R3868" s="2" t="s">
        <v>50</v>
      </c>
      <c r="S3868" s="9">
        <f t="shared" si="304"/>
        <v>448.65000000000003</v>
      </c>
    </row>
    <row r="3869" spans="1:19" x14ac:dyDescent="0.3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str">
        <f>IFERROR(VLOOKUP('Customer Info'!A3861,'Customer Info'!A3861:C4360,2,FALSE),"Not Found")</f>
        <v>Not Found</v>
      </c>
      <c r="H3869" s="6" t="str">
        <f>IFERROR(VLOOKUP('Customer Info'!A3861,'Customer Info'!A3861:C4360,3,FALSE),"Not Found")</f>
        <v>Not Found</v>
      </c>
      <c r="I3869" s="6" t="str">
        <f>IFERROR(VLOOKUP('Customer Info'!A3861,'Customer Info'!A3861:E4360,5,FALSE),"Not Found")</f>
        <v>Not Found</v>
      </c>
      <c r="J3869" s="2">
        <v>8281</v>
      </c>
      <c r="K3869" s="2">
        <v>7673</v>
      </c>
      <c r="L3869" s="2">
        <v>4</v>
      </c>
      <c r="M3869" s="7">
        <f t="shared" si="300"/>
        <v>30692</v>
      </c>
      <c r="N3869" s="7">
        <f t="shared" si="301"/>
        <v>33124</v>
      </c>
      <c r="O3869" s="2">
        <v>48</v>
      </c>
      <c r="P3869" s="8">
        <f t="shared" si="302"/>
        <v>33172</v>
      </c>
      <c r="Q3869" s="8">
        <f t="shared" si="303"/>
        <v>25451</v>
      </c>
      <c r="R3869" s="2" t="s">
        <v>28</v>
      </c>
      <c r="S3869" s="9">
        <f t="shared" si="304"/>
        <v>2322.0400000000004</v>
      </c>
    </row>
    <row r="3870" spans="1:19" x14ac:dyDescent="0.3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str">
        <f>IFERROR(VLOOKUP('Customer Info'!A3862,'Customer Info'!A3862:C4361,2,FALSE),"Not Found")</f>
        <v>Not Found</v>
      </c>
      <c r="H3870" s="6" t="str">
        <f>IFERROR(VLOOKUP('Customer Info'!A3862,'Customer Info'!A3862:C4361,3,FALSE),"Not Found")</f>
        <v>Not Found</v>
      </c>
      <c r="I3870" s="6" t="str">
        <f>IFERROR(VLOOKUP('Customer Info'!A3862,'Customer Info'!A3862:E4361,5,FALSE),"Not Found")</f>
        <v>Not Found</v>
      </c>
      <c r="J3870" s="2">
        <v>61</v>
      </c>
      <c r="K3870" s="2">
        <v>56</v>
      </c>
      <c r="L3870" s="2">
        <v>4</v>
      </c>
      <c r="M3870" s="7">
        <f t="shared" si="300"/>
        <v>224</v>
      </c>
      <c r="N3870" s="7">
        <f t="shared" si="301"/>
        <v>244</v>
      </c>
      <c r="O3870" s="2">
        <v>10</v>
      </c>
      <c r="P3870" s="8">
        <f t="shared" si="302"/>
        <v>254</v>
      </c>
      <c r="Q3870" s="8">
        <f t="shared" si="303"/>
        <v>188</v>
      </c>
      <c r="R3870" s="2" t="s">
        <v>28</v>
      </c>
      <c r="S3870" s="9">
        <f t="shared" si="304"/>
        <v>5.08</v>
      </c>
    </row>
    <row r="3871" spans="1:19" x14ac:dyDescent="0.3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str">
        <f>IFERROR(VLOOKUP('Customer Info'!A3863,'Customer Info'!A3863:C4362,2,FALSE),"Not Found")</f>
        <v>Not Found</v>
      </c>
      <c r="H3871" s="6" t="str">
        <f>IFERROR(VLOOKUP('Customer Info'!A3863,'Customer Info'!A3863:C4362,3,FALSE),"Not Found")</f>
        <v>Not Found</v>
      </c>
      <c r="I3871" s="6" t="str">
        <f>IFERROR(VLOOKUP('Customer Info'!A3863,'Customer Info'!A3863:E4362,5,FALSE),"Not Found")</f>
        <v>Not Found</v>
      </c>
      <c r="J3871" s="2">
        <v>827</v>
      </c>
      <c r="K3871" s="2">
        <v>788</v>
      </c>
      <c r="L3871" s="2">
        <v>3</v>
      </c>
      <c r="M3871" s="7">
        <f t="shared" si="300"/>
        <v>2364</v>
      </c>
      <c r="N3871" s="7">
        <f t="shared" si="301"/>
        <v>2481</v>
      </c>
      <c r="O3871" s="2">
        <v>53</v>
      </c>
      <c r="P3871" s="8">
        <f t="shared" si="302"/>
        <v>2534</v>
      </c>
      <c r="Q3871" s="8">
        <f t="shared" si="303"/>
        <v>1693</v>
      </c>
      <c r="R3871" s="2" t="s">
        <v>50</v>
      </c>
      <c r="S3871" s="9">
        <f t="shared" si="304"/>
        <v>50.68</v>
      </c>
    </row>
    <row r="3872" spans="1:19" x14ac:dyDescent="0.3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str">
        <f>IFERROR(VLOOKUP('Customer Info'!A3864,'Customer Info'!A3864:C4363,2,FALSE),"Not Found")</f>
        <v>Not Found</v>
      </c>
      <c r="H3872" s="6" t="str">
        <f>IFERROR(VLOOKUP('Customer Info'!A3864,'Customer Info'!A3864:C4363,3,FALSE),"Not Found")</f>
        <v>Not Found</v>
      </c>
      <c r="I3872" s="6" t="str">
        <f>IFERROR(VLOOKUP('Customer Info'!A3864,'Customer Info'!A3864:E4363,5,FALSE),"Not Found")</f>
        <v>Not Found</v>
      </c>
      <c r="J3872" s="2">
        <v>765</v>
      </c>
      <c r="K3872" s="2">
        <v>701</v>
      </c>
      <c r="L3872" s="2">
        <v>2</v>
      </c>
      <c r="M3872" s="7">
        <f t="shared" si="300"/>
        <v>1402</v>
      </c>
      <c r="N3872" s="7">
        <f t="shared" si="301"/>
        <v>1530</v>
      </c>
      <c r="O3872" s="2">
        <v>77</v>
      </c>
      <c r="P3872" s="8">
        <f t="shared" si="302"/>
        <v>1607</v>
      </c>
      <c r="Q3872" s="8">
        <f t="shared" si="303"/>
        <v>829</v>
      </c>
      <c r="R3872" s="2" t="s">
        <v>28</v>
      </c>
      <c r="S3872" s="9">
        <f t="shared" si="304"/>
        <v>32.14</v>
      </c>
    </row>
    <row r="3873" spans="1:19" x14ac:dyDescent="0.3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str">
        <f>IFERROR(VLOOKUP('Customer Info'!A3865,'Customer Info'!A3865:C4364,2,FALSE),"Not Found")</f>
        <v>Not Found</v>
      </c>
      <c r="H3873" s="6" t="str">
        <f>IFERROR(VLOOKUP('Customer Info'!A3865,'Customer Info'!A3865:C4364,3,FALSE),"Not Found")</f>
        <v>Not Found</v>
      </c>
      <c r="I3873" s="6" t="str">
        <f>IFERROR(VLOOKUP('Customer Info'!A3865,'Customer Info'!A3865:E4364,5,FALSE),"Not Found")</f>
        <v>Not Found</v>
      </c>
      <c r="J3873" s="2">
        <v>69</v>
      </c>
      <c r="K3873" s="2">
        <v>64</v>
      </c>
      <c r="L3873" s="2">
        <v>1</v>
      </c>
      <c r="M3873" s="7">
        <f t="shared" si="300"/>
        <v>64</v>
      </c>
      <c r="N3873" s="7">
        <f t="shared" si="301"/>
        <v>69</v>
      </c>
      <c r="O3873" s="2">
        <v>10</v>
      </c>
      <c r="P3873" s="8">
        <f t="shared" si="302"/>
        <v>79</v>
      </c>
      <c r="Q3873" s="8">
        <f t="shared" si="303"/>
        <v>5</v>
      </c>
      <c r="R3873" s="2" t="s">
        <v>50</v>
      </c>
      <c r="S3873" s="9">
        <f t="shared" si="304"/>
        <v>1.58</v>
      </c>
    </row>
    <row r="3874" spans="1:19" x14ac:dyDescent="0.3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str">
        <f>IFERROR(VLOOKUP('Customer Info'!A3866,'Customer Info'!A3866:C4365,2,FALSE),"Not Found")</f>
        <v>Not Found</v>
      </c>
      <c r="H3874" s="6" t="str">
        <f>IFERROR(VLOOKUP('Customer Info'!A3866,'Customer Info'!A3866:C4365,3,FALSE),"Not Found")</f>
        <v>Not Found</v>
      </c>
      <c r="I3874" s="6" t="str">
        <f>IFERROR(VLOOKUP('Customer Info'!A3866,'Customer Info'!A3866:E4365,5,FALSE),"Not Found")</f>
        <v>Not Found</v>
      </c>
      <c r="J3874" s="2">
        <v>4737</v>
      </c>
      <c r="K3874" s="2">
        <v>4473</v>
      </c>
      <c r="L3874" s="2">
        <v>5</v>
      </c>
      <c r="M3874" s="7">
        <f t="shared" si="300"/>
        <v>22365</v>
      </c>
      <c r="N3874" s="7">
        <f t="shared" si="301"/>
        <v>23685</v>
      </c>
      <c r="O3874" s="2">
        <v>31</v>
      </c>
      <c r="P3874" s="8">
        <f t="shared" si="302"/>
        <v>23716</v>
      </c>
      <c r="Q3874" s="8">
        <f t="shared" si="303"/>
        <v>19212</v>
      </c>
      <c r="R3874" s="2" t="s">
        <v>50</v>
      </c>
      <c r="S3874" s="9">
        <f t="shared" si="304"/>
        <v>1185.8</v>
      </c>
    </row>
    <row r="3875" spans="1:19" x14ac:dyDescent="0.3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str">
        <f>IFERROR(VLOOKUP('Customer Info'!A3867,'Customer Info'!A3867:C4366,2,FALSE),"Not Found")</f>
        <v>Not Found</v>
      </c>
      <c r="H3875" s="6" t="str">
        <f>IFERROR(VLOOKUP('Customer Info'!A3867,'Customer Info'!A3867:C4366,3,FALSE),"Not Found")</f>
        <v>Not Found</v>
      </c>
      <c r="I3875" s="6" t="str">
        <f>IFERROR(VLOOKUP('Customer Info'!A3867,'Customer Info'!A3867:E4366,5,FALSE),"Not Found")</f>
        <v>Not Found</v>
      </c>
      <c r="J3875" s="2">
        <v>135</v>
      </c>
      <c r="K3875" s="2">
        <v>126</v>
      </c>
      <c r="L3875" s="2">
        <v>6</v>
      </c>
      <c r="M3875" s="7">
        <f t="shared" si="300"/>
        <v>756</v>
      </c>
      <c r="N3875" s="7">
        <f t="shared" si="301"/>
        <v>810</v>
      </c>
      <c r="O3875" s="2">
        <v>30</v>
      </c>
      <c r="P3875" s="8">
        <f t="shared" si="302"/>
        <v>840</v>
      </c>
      <c r="Q3875" s="8">
        <f t="shared" si="303"/>
        <v>684</v>
      </c>
      <c r="R3875" s="2" t="s">
        <v>28</v>
      </c>
      <c r="S3875" s="9">
        <f t="shared" si="304"/>
        <v>16.8</v>
      </c>
    </row>
    <row r="3876" spans="1:19" x14ac:dyDescent="0.3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str">
        <f>IFERROR(VLOOKUP('Customer Info'!A3868,'Customer Info'!A3868:C4367,2,FALSE),"Not Found")</f>
        <v>Not Found</v>
      </c>
      <c r="H3876" s="6" t="str">
        <f>IFERROR(VLOOKUP('Customer Info'!A3868,'Customer Info'!A3868:C4367,3,FALSE),"Not Found")</f>
        <v>Not Found</v>
      </c>
      <c r="I3876" s="6" t="str">
        <f>IFERROR(VLOOKUP('Customer Info'!A3868,'Customer Info'!A3868:E4367,5,FALSE),"Not Found")</f>
        <v>Not Found</v>
      </c>
      <c r="J3876" s="2">
        <v>918</v>
      </c>
      <c r="K3876" s="2">
        <v>859</v>
      </c>
      <c r="L3876" s="2">
        <v>2</v>
      </c>
      <c r="M3876" s="7">
        <f t="shared" si="300"/>
        <v>1718</v>
      </c>
      <c r="N3876" s="7">
        <f t="shared" si="301"/>
        <v>1836</v>
      </c>
      <c r="O3876" s="2">
        <v>76</v>
      </c>
      <c r="P3876" s="8">
        <f t="shared" si="302"/>
        <v>1912</v>
      </c>
      <c r="Q3876" s="8">
        <f t="shared" si="303"/>
        <v>977</v>
      </c>
      <c r="R3876" s="2" t="s">
        <v>28</v>
      </c>
      <c r="S3876" s="9">
        <f t="shared" si="304"/>
        <v>38.24</v>
      </c>
    </row>
    <row r="3877" spans="1:19" x14ac:dyDescent="0.3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str">
        <f>IFERROR(VLOOKUP('Customer Info'!A3869,'Customer Info'!A3869:C4368,2,FALSE),"Not Found")</f>
        <v>Not Found</v>
      </c>
      <c r="H3877" s="6" t="str">
        <f>IFERROR(VLOOKUP('Customer Info'!A3869,'Customer Info'!A3869:C4368,3,FALSE),"Not Found")</f>
        <v>Not Found</v>
      </c>
      <c r="I3877" s="6" t="str">
        <f>IFERROR(VLOOKUP('Customer Info'!A3869,'Customer Info'!A3869:E4368,5,FALSE),"Not Found")</f>
        <v>Not Found</v>
      </c>
      <c r="J3877" s="2">
        <v>87</v>
      </c>
      <c r="K3877" s="2">
        <v>80</v>
      </c>
      <c r="L3877" s="2">
        <v>2</v>
      </c>
      <c r="M3877" s="7">
        <f t="shared" si="300"/>
        <v>160</v>
      </c>
      <c r="N3877" s="7">
        <f t="shared" si="301"/>
        <v>174</v>
      </c>
      <c r="O3877" s="2">
        <v>10</v>
      </c>
      <c r="P3877" s="8">
        <f t="shared" si="302"/>
        <v>184</v>
      </c>
      <c r="Q3877" s="8">
        <f t="shared" si="303"/>
        <v>94</v>
      </c>
      <c r="R3877" s="2" t="s">
        <v>28</v>
      </c>
      <c r="S3877" s="9">
        <f t="shared" si="304"/>
        <v>3.68</v>
      </c>
    </row>
    <row r="3878" spans="1:19" x14ac:dyDescent="0.3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str">
        <f>IFERROR(VLOOKUP('Customer Info'!A3870,'Customer Info'!A3870:C4369,2,FALSE),"Not Found")</f>
        <v>Not Found</v>
      </c>
      <c r="H3878" s="6" t="str">
        <f>IFERROR(VLOOKUP('Customer Info'!A3870,'Customer Info'!A3870:C4369,3,FALSE),"Not Found")</f>
        <v>Not Found</v>
      </c>
      <c r="I3878" s="6" t="str">
        <f>IFERROR(VLOOKUP('Customer Info'!A3870,'Customer Info'!A3870:E4369,5,FALSE),"Not Found")</f>
        <v>Not Found</v>
      </c>
      <c r="J3878" s="2">
        <v>142</v>
      </c>
      <c r="K3878" s="2">
        <v>134</v>
      </c>
      <c r="L3878" s="2">
        <v>8</v>
      </c>
      <c r="M3878" s="7">
        <f t="shared" si="300"/>
        <v>1072</v>
      </c>
      <c r="N3878" s="7">
        <f t="shared" si="301"/>
        <v>1136</v>
      </c>
      <c r="O3878" s="2">
        <v>30</v>
      </c>
      <c r="P3878" s="8">
        <f t="shared" si="302"/>
        <v>1166</v>
      </c>
      <c r="Q3878" s="8">
        <f t="shared" si="303"/>
        <v>1002</v>
      </c>
      <c r="R3878" s="2" t="s">
        <v>28</v>
      </c>
      <c r="S3878" s="9">
        <f t="shared" si="304"/>
        <v>23.32</v>
      </c>
    </row>
    <row r="3879" spans="1:19" x14ac:dyDescent="0.3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str">
        <f>IFERROR(VLOOKUP('Customer Info'!A3871,'Customer Info'!A3871:C4370,2,FALSE),"Not Found")</f>
        <v>Not Found</v>
      </c>
      <c r="H3879" s="6" t="str">
        <f>IFERROR(VLOOKUP('Customer Info'!A3871,'Customer Info'!A3871:C4370,3,FALSE),"Not Found")</f>
        <v>Not Found</v>
      </c>
      <c r="I3879" s="6" t="str">
        <f>IFERROR(VLOOKUP('Customer Info'!A3871,'Customer Info'!A3871:E4370,5,FALSE),"Not Found")</f>
        <v>Not Found</v>
      </c>
      <c r="J3879" s="2">
        <v>123</v>
      </c>
      <c r="K3879" s="2">
        <v>115</v>
      </c>
      <c r="L3879" s="2">
        <v>2</v>
      </c>
      <c r="M3879" s="7">
        <f t="shared" si="300"/>
        <v>230</v>
      </c>
      <c r="N3879" s="7">
        <f t="shared" si="301"/>
        <v>246</v>
      </c>
      <c r="O3879" s="2">
        <v>30</v>
      </c>
      <c r="P3879" s="8">
        <f t="shared" si="302"/>
        <v>276</v>
      </c>
      <c r="Q3879" s="8">
        <f t="shared" si="303"/>
        <v>131</v>
      </c>
      <c r="R3879" s="2" t="s">
        <v>28</v>
      </c>
      <c r="S3879" s="9">
        <f t="shared" si="304"/>
        <v>5.5200000000000005</v>
      </c>
    </row>
    <row r="3880" spans="1:19" x14ac:dyDescent="0.3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str">
        <f>IFERROR(VLOOKUP('Customer Info'!A3872,'Customer Info'!A3872:C4371,2,FALSE),"Not Found")</f>
        <v>Not Found</v>
      </c>
      <c r="H3880" s="6" t="str">
        <f>IFERROR(VLOOKUP('Customer Info'!A3872,'Customer Info'!A3872:C4371,3,FALSE),"Not Found")</f>
        <v>Not Found</v>
      </c>
      <c r="I3880" s="6" t="str">
        <f>IFERROR(VLOOKUP('Customer Info'!A3872,'Customer Info'!A3872:E4371,5,FALSE),"Not Found")</f>
        <v>Not Found</v>
      </c>
      <c r="J3880" s="2">
        <v>1125</v>
      </c>
      <c r="K3880" s="2">
        <v>1040</v>
      </c>
      <c r="L3880" s="2">
        <v>3</v>
      </c>
      <c r="M3880" s="7">
        <f t="shared" si="300"/>
        <v>3120</v>
      </c>
      <c r="N3880" s="7">
        <f t="shared" si="301"/>
        <v>3375</v>
      </c>
      <c r="O3880" s="2">
        <v>91</v>
      </c>
      <c r="P3880" s="8">
        <f t="shared" si="302"/>
        <v>3466</v>
      </c>
      <c r="Q3880" s="8">
        <f t="shared" si="303"/>
        <v>2335</v>
      </c>
      <c r="R3880" s="2" t="s">
        <v>28</v>
      </c>
      <c r="S3880" s="9">
        <f t="shared" si="304"/>
        <v>69.320000000000007</v>
      </c>
    </row>
    <row r="3881" spans="1:19" x14ac:dyDescent="0.3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str">
        <f>IFERROR(VLOOKUP('Customer Info'!A3873,'Customer Info'!A3873:C4372,2,FALSE),"Not Found")</f>
        <v>Not Found</v>
      </c>
      <c r="H3881" s="6" t="str">
        <f>IFERROR(VLOOKUP('Customer Info'!A3873,'Customer Info'!A3873:C4372,3,FALSE),"Not Found")</f>
        <v>Not Found</v>
      </c>
      <c r="I3881" s="6" t="str">
        <f>IFERROR(VLOOKUP('Customer Info'!A3873,'Customer Info'!A3873:E4372,5,FALSE),"Not Found")</f>
        <v>Not Found</v>
      </c>
      <c r="J3881" s="2">
        <v>456</v>
      </c>
      <c r="K3881" s="2">
        <v>430</v>
      </c>
      <c r="L3881" s="2">
        <v>3</v>
      </c>
      <c r="M3881" s="7">
        <f t="shared" si="300"/>
        <v>1290</v>
      </c>
      <c r="N3881" s="7">
        <f t="shared" si="301"/>
        <v>1368</v>
      </c>
      <c r="O3881" s="2">
        <v>59</v>
      </c>
      <c r="P3881" s="8">
        <f t="shared" si="302"/>
        <v>1427</v>
      </c>
      <c r="Q3881" s="8">
        <f t="shared" si="303"/>
        <v>938</v>
      </c>
      <c r="R3881" s="2" t="s">
        <v>28</v>
      </c>
      <c r="S3881" s="9">
        <f t="shared" si="304"/>
        <v>28.54</v>
      </c>
    </row>
    <row r="3882" spans="1:19" x14ac:dyDescent="0.3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str">
        <f>IFERROR(VLOOKUP('Customer Info'!A3874,'Customer Info'!A3874:C4373,2,FALSE),"Not Found")</f>
        <v>Not Found</v>
      </c>
      <c r="H3882" s="6" t="str">
        <f>IFERROR(VLOOKUP('Customer Info'!A3874,'Customer Info'!A3874:C4373,3,FALSE),"Not Found")</f>
        <v>Not Found</v>
      </c>
      <c r="I3882" s="6" t="str">
        <f>IFERROR(VLOOKUP('Customer Info'!A3874,'Customer Info'!A3874:E4373,5,FALSE),"Not Found")</f>
        <v>Not Found</v>
      </c>
      <c r="J3882" s="2">
        <v>691</v>
      </c>
      <c r="K3882" s="2">
        <v>646</v>
      </c>
      <c r="L3882" s="2">
        <v>5</v>
      </c>
      <c r="M3882" s="7">
        <f t="shared" si="300"/>
        <v>3230</v>
      </c>
      <c r="N3882" s="7">
        <f t="shared" si="301"/>
        <v>3455</v>
      </c>
      <c r="O3882" s="2">
        <v>33</v>
      </c>
      <c r="P3882" s="8">
        <f t="shared" si="302"/>
        <v>3488</v>
      </c>
      <c r="Q3882" s="8">
        <f t="shared" si="303"/>
        <v>2809</v>
      </c>
      <c r="R3882" s="2" t="s">
        <v>50</v>
      </c>
      <c r="S3882" s="9">
        <f t="shared" si="304"/>
        <v>69.760000000000005</v>
      </c>
    </row>
    <row r="3883" spans="1:19" x14ac:dyDescent="0.3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str">
        <f>IFERROR(VLOOKUP('Customer Info'!A3875,'Customer Info'!A3875:C4374,2,FALSE),"Not Found")</f>
        <v>Not Found</v>
      </c>
      <c r="H3883" s="6" t="str">
        <f>IFERROR(VLOOKUP('Customer Info'!A3875,'Customer Info'!A3875:C4374,3,FALSE),"Not Found")</f>
        <v>Not Found</v>
      </c>
      <c r="I3883" s="6" t="str">
        <f>IFERROR(VLOOKUP('Customer Info'!A3875,'Customer Info'!A3875:E4374,5,FALSE),"Not Found")</f>
        <v>Not Found</v>
      </c>
      <c r="J3883" s="2">
        <v>1413</v>
      </c>
      <c r="K3883" s="2">
        <v>1334</v>
      </c>
      <c r="L3883" s="2">
        <v>2</v>
      </c>
      <c r="M3883" s="7">
        <f t="shared" si="300"/>
        <v>2668</v>
      </c>
      <c r="N3883" s="7">
        <f t="shared" si="301"/>
        <v>2826</v>
      </c>
      <c r="O3883" s="2">
        <v>81</v>
      </c>
      <c r="P3883" s="8">
        <f t="shared" si="302"/>
        <v>2907</v>
      </c>
      <c r="Q3883" s="8">
        <f t="shared" si="303"/>
        <v>1492</v>
      </c>
      <c r="R3883" s="2" t="s">
        <v>50</v>
      </c>
      <c r="S3883" s="9">
        <f t="shared" si="304"/>
        <v>58.14</v>
      </c>
    </row>
    <row r="3884" spans="1:19" x14ac:dyDescent="0.3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str">
        <f>IFERROR(VLOOKUP('Customer Info'!A3876,'Customer Info'!A3876:C4375,2,FALSE),"Not Found")</f>
        <v>Not Found</v>
      </c>
      <c r="H3884" s="6" t="str">
        <f>IFERROR(VLOOKUP('Customer Info'!A3876,'Customer Info'!A3876:C4375,3,FALSE),"Not Found")</f>
        <v>Not Found</v>
      </c>
      <c r="I3884" s="6" t="str">
        <f>IFERROR(VLOOKUP('Customer Info'!A3876,'Customer Info'!A3876:E4375,5,FALSE),"Not Found")</f>
        <v>Not Found</v>
      </c>
      <c r="J3884" s="2">
        <v>35350</v>
      </c>
      <c r="K3884" s="2">
        <v>33037</v>
      </c>
      <c r="L3884" s="2">
        <v>3</v>
      </c>
      <c r="M3884" s="7">
        <f t="shared" si="300"/>
        <v>99111</v>
      </c>
      <c r="N3884" s="7">
        <f t="shared" si="301"/>
        <v>106050</v>
      </c>
      <c r="O3884" s="2">
        <v>62</v>
      </c>
      <c r="P3884" s="8">
        <f t="shared" si="302"/>
        <v>106112</v>
      </c>
      <c r="Q3884" s="8">
        <f t="shared" si="303"/>
        <v>73013</v>
      </c>
      <c r="R3884" s="2" t="s">
        <v>50</v>
      </c>
      <c r="S3884" s="9">
        <f t="shared" si="304"/>
        <v>12733.439999999999</v>
      </c>
    </row>
    <row r="3885" spans="1:19" x14ac:dyDescent="0.3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str">
        <f>IFERROR(VLOOKUP('Customer Info'!A3877,'Customer Info'!A3877:C4376,2,FALSE),"Not Found")</f>
        <v>Not Found</v>
      </c>
      <c r="H3885" s="6" t="str">
        <f>IFERROR(VLOOKUP('Customer Info'!A3877,'Customer Info'!A3877:C4376,3,FALSE),"Not Found")</f>
        <v>Not Found</v>
      </c>
      <c r="I3885" s="6" t="str">
        <f>IFERROR(VLOOKUP('Customer Info'!A3877,'Customer Info'!A3877:E4376,5,FALSE),"Not Found")</f>
        <v>Not Found</v>
      </c>
      <c r="J3885" s="2">
        <v>1809</v>
      </c>
      <c r="K3885" s="2">
        <v>1691</v>
      </c>
      <c r="L3885" s="2">
        <v>4</v>
      </c>
      <c r="M3885" s="7">
        <f t="shared" si="300"/>
        <v>6764</v>
      </c>
      <c r="N3885" s="7">
        <f t="shared" si="301"/>
        <v>7236</v>
      </c>
      <c r="O3885" s="2">
        <v>65</v>
      </c>
      <c r="P3885" s="8">
        <f t="shared" si="302"/>
        <v>7301</v>
      </c>
      <c r="Q3885" s="8">
        <f t="shared" si="303"/>
        <v>5545</v>
      </c>
      <c r="R3885" s="2" t="s">
        <v>50</v>
      </c>
      <c r="S3885" s="9">
        <f t="shared" si="304"/>
        <v>365.05</v>
      </c>
    </row>
    <row r="3886" spans="1:19" x14ac:dyDescent="0.3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str">
        <f>IFERROR(VLOOKUP('Customer Info'!A3878,'Customer Info'!A3878:C4377,2,FALSE),"Not Found")</f>
        <v>Not Found</v>
      </c>
      <c r="H3886" s="6" t="str">
        <f>IFERROR(VLOOKUP('Customer Info'!A3878,'Customer Info'!A3878:C4377,3,FALSE),"Not Found")</f>
        <v>Not Found</v>
      </c>
      <c r="I3886" s="6" t="str">
        <f>IFERROR(VLOOKUP('Customer Info'!A3878,'Customer Info'!A3878:E4377,5,FALSE),"Not Found")</f>
        <v>Not Found</v>
      </c>
      <c r="J3886" s="2">
        <v>811</v>
      </c>
      <c r="K3886" s="2">
        <v>780</v>
      </c>
      <c r="L3886" s="2">
        <v>2</v>
      </c>
      <c r="M3886" s="7">
        <f t="shared" si="300"/>
        <v>1560</v>
      </c>
      <c r="N3886" s="7">
        <f t="shared" si="301"/>
        <v>1622</v>
      </c>
      <c r="O3886" s="2">
        <v>53</v>
      </c>
      <c r="P3886" s="8">
        <f t="shared" si="302"/>
        <v>1675</v>
      </c>
      <c r="Q3886" s="8">
        <f t="shared" si="303"/>
        <v>842</v>
      </c>
      <c r="R3886" s="2" t="s">
        <v>56</v>
      </c>
      <c r="S3886" s="9">
        <f t="shared" si="304"/>
        <v>33.5</v>
      </c>
    </row>
    <row r="3887" spans="1:19" x14ac:dyDescent="0.3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str">
        <f>IFERROR(VLOOKUP('Customer Info'!A3879,'Customer Info'!A3879:C4378,2,FALSE),"Not Found")</f>
        <v>Not Found</v>
      </c>
      <c r="H3887" s="6" t="str">
        <f>IFERROR(VLOOKUP('Customer Info'!A3879,'Customer Info'!A3879:C4378,3,FALSE),"Not Found")</f>
        <v>Not Found</v>
      </c>
      <c r="I3887" s="6" t="str">
        <f>IFERROR(VLOOKUP('Customer Info'!A3879,'Customer Info'!A3879:E4378,5,FALSE),"Not Found")</f>
        <v>Not Found</v>
      </c>
      <c r="J3887" s="2">
        <v>417</v>
      </c>
      <c r="K3887" s="2">
        <v>392</v>
      </c>
      <c r="L3887" s="2">
        <v>2</v>
      </c>
      <c r="M3887" s="7">
        <f t="shared" si="300"/>
        <v>784</v>
      </c>
      <c r="N3887" s="7">
        <f t="shared" si="301"/>
        <v>834</v>
      </c>
      <c r="O3887" s="2">
        <v>61</v>
      </c>
      <c r="P3887" s="8">
        <f t="shared" si="302"/>
        <v>895</v>
      </c>
      <c r="Q3887" s="8">
        <f t="shared" si="303"/>
        <v>442</v>
      </c>
      <c r="R3887" s="2" t="s">
        <v>28</v>
      </c>
      <c r="S3887" s="9">
        <f t="shared" si="304"/>
        <v>17.900000000000002</v>
      </c>
    </row>
    <row r="3888" spans="1:19" x14ac:dyDescent="0.3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str">
        <f>IFERROR(VLOOKUP('Customer Info'!A3880,'Customer Info'!A3880:C4379,2,FALSE),"Not Found")</f>
        <v>Not Found</v>
      </c>
      <c r="H3888" s="6" t="str">
        <f>IFERROR(VLOOKUP('Customer Info'!A3880,'Customer Info'!A3880:C4379,3,FALSE),"Not Found")</f>
        <v>Not Found</v>
      </c>
      <c r="I3888" s="6" t="str">
        <f>IFERROR(VLOOKUP('Customer Info'!A3880,'Customer Info'!A3880:E4379,5,FALSE),"Not Found")</f>
        <v>Not Found</v>
      </c>
      <c r="J3888" s="2">
        <v>6087</v>
      </c>
      <c r="K3888" s="2">
        <v>5808</v>
      </c>
      <c r="L3888" s="2">
        <v>8</v>
      </c>
      <c r="M3888" s="7">
        <f t="shared" si="300"/>
        <v>46464</v>
      </c>
      <c r="N3888" s="7">
        <f t="shared" si="301"/>
        <v>48696</v>
      </c>
      <c r="O3888" s="2">
        <v>60</v>
      </c>
      <c r="P3888" s="8">
        <f t="shared" si="302"/>
        <v>48756</v>
      </c>
      <c r="Q3888" s="8">
        <f t="shared" si="303"/>
        <v>42888</v>
      </c>
      <c r="R3888" s="2" t="s">
        <v>28</v>
      </c>
      <c r="S3888" s="9">
        <f t="shared" si="304"/>
        <v>3412.9200000000005</v>
      </c>
    </row>
    <row r="3889" spans="1:19" x14ac:dyDescent="0.3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str">
        <f>IFERROR(VLOOKUP('Customer Info'!A3881,'Customer Info'!A3881:C4380,2,FALSE),"Not Found")</f>
        <v>Not Found</v>
      </c>
      <c r="H3889" s="6" t="str">
        <f>IFERROR(VLOOKUP('Customer Info'!A3881,'Customer Info'!A3881:C4380,3,FALSE),"Not Found")</f>
        <v>Not Found</v>
      </c>
      <c r="I3889" s="6" t="str">
        <f>IFERROR(VLOOKUP('Customer Info'!A3881,'Customer Info'!A3881:E4380,5,FALSE),"Not Found")</f>
        <v>Not Found</v>
      </c>
      <c r="J3889" s="2">
        <v>417</v>
      </c>
      <c r="K3889" s="2">
        <v>392</v>
      </c>
      <c r="L3889" s="2">
        <v>2</v>
      </c>
      <c r="M3889" s="7">
        <f t="shared" si="300"/>
        <v>784</v>
      </c>
      <c r="N3889" s="7">
        <f t="shared" si="301"/>
        <v>834</v>
      </c>
      <c r="O3889" s="2">
        <v>25</v>
      </c>
      <c r="P3889" s="8">
        <f t="shared" si="302"/>
        <v>859</v>
      </c>
      <c r="Q3889" s="8">
        <f t="shared" si="303"/>
        <v>442</v>
      </c>
      <c r="R3889" s="2" t="s">
        <v>28</v>
      </c>
      <c r="S3889" s="9">
        <f t="shared" si="304"/>
        <v>17.18</v>
      </c>
    </row>
    <row r="3890" spans="1:19" x14ac:dyDescent="0.3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str">
        <f>IFERROR(VLOOKUP('Customer Info'!A3882,'Customer Info'!A3882:C4381,2,FALSE),"Not Found")</f>
        <v>Not Found</v>
      </c>
      <c r="H3890" s="6" t="str">
        <f>IFERROR(VLOOKUP('Customer Info'!A3882,'Customer Info'!A3882:C4381,3,FALSE),"Not Found")</f>
        <v>Not Found</v>
      </c>
      <c r="I3890" s="6" t="str">
        <f>IFERROR(VLOOKUP('Customer Info'!A3882,'Customer Info'!A3882:E4381,5,FALSE),"Not Found")</f>
        <v>Not Found</v>
      </c>
      <c r="J3890" s="2">
        <v>693</v>
      </c>
      <c r="K3890" s="2">
        <v>667</v>
      </c>
      <c r="L3890" s="2">
        <v>3</v>
      </c>
      <c r="M3890" s="7">
        <f t="shared" si="300"/>
        <v>2001</v>
      </c>
      <c r="N3890" s="7">
        <f t="shared" si="301"/>
        <v>2079</v>
      </c>
      <c r="O3890" s="2">
        <v>52</v>
      </c>
      <c r="P3890" s="8">
        <f t="shared" si="302"/>
        <v>2131</v>
      </c>
      <c r="Q3890" s="8">
        <f t="shared" si="303"/>
        <v>1412</v>
      </c>
      <c r="R3890" s="2" t="s">
        <v>28</v>
      </c>
      <c r="S3890" s="9">
        <f t="shared" si="304"/>
        <v>42.62</v>
      </c>
    </row>
    <row r="3891" spans="1:19" x14ac:dyDescent="0.3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str">
        <f>IFERROR(VLOOKUP('Customer Info'!A3883,'Customer Info'!A3883:C4382,2,FALSE),"Not Found")</f>
        <v>Not Found</v>
      </c>
      <c r="H3891" s="6" t="str">
        <f>IFERROR(VLOOKUP('Customer Info'!A3883,'Customer Info'!A3883:C4382,3,FALSE),"Not Found")</f>
        <v>Not Found</v>
      </c>
      <c r="I3891" s="6" t="str">
        <f>IFERROR(VLOOKUP('Customer Info'!A3883,'Customer Info'!A3883:E4382,5,FALSE),"Not Found")</f>
        <v>Not Found</v>
      </c>
      <c r="J3891" s="2">
        <v>60</v>
      </c>
      <c r="K3891" s="2">
        <v>57</v>
      </c>
      <c r="L3891" s="2">
        <v>3</v>
      </c>
      <c r="M3891" s="7">
        <f t="shared" si="300"/>
        <v>171</v>
      </c>
      <c r="N3891" s="7">
        <f t="shared" si="301"/>
        <v>180</v>
      </c>
      <c r="O3891" s="2">
        <v>10</v>
      </c>
      <c r="P3891" s="8">
        <f t="shared" si="302"/>
        <v>190</v>
      </c>
      <c r="Q3891" s="8">
        <f t="shared" si="303"/>
        <v>123</v>
      </c>
      <c r="R3891" s="2" t="s">
        <v>28</v>
      </c>
      <c r="S3891" s="9">
        <f t="shared" si="304"/>
        <v>3.8000000000000003</v>
      </c>
    </row>
    <row r="3892" spans="1:19" x14ac:dyDescent="0.3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str">
        <f>IFERROR(VLOOKUP('Customer Info'!A3884,'Customer Info'!A3884:C4383,2,FALSE),"Not Found")</f>
        <v>Not Found</v>
      </c>
      <c r="H3892" s="6" t="str">
        <f>IFERROR(VLOOKUP('Customer Info'!A3884,'Customer Info'!A3884:C4383,3,FALSE),"Not Found")</f>
        <v>Not Found</v>
      </c>
      <c r="I3892" s="6" t="str">
        <f>IFERROR(VLOOKUP('Customer Info'!A3884,'Customer Info'!A3884:E4383,5,FALSE),"Not Found")</f>
        <v>Not Found</v>
      </c>
      <c r="J3892" s="2">
        <v>139</v>
      </c>
      <c r="K3892" s="2">
        <v>133</v>
      </c>
      <c r="L3892" s="2">
        <v>1</v>
      </c>
      <c r="M3892" s="7">
        <f t="shared" si="300"/>
        <v>133</v>
      </c>
      <c r="N3892" s="7">
        <f t="shared" si="301"/>
        <v>139</v>
      </c>
      <c r="O3892" s="2">
        <v>30</v>
      </c>
      <c r="P3892" s="8">
        <f t="shared" si="302"/>
        <v>169</v>
      </c>
      <c r="Q3892" s="8">
        <f t="shared" si="303"/>
        <v>6</v>
      </c>
      <c r="R3892" s="2" t="s">
        <v>28</v>
      </c>
      <c r="S3892" s="9">
        <f t="shared" si="304"/>
        <v>3.38</v>
      </c>
    </row>
    <row r="3893" spans="1:19" x14ac:dyDescent="0.3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str">
        <f>IFERROR(VLOOKUP('Customer Info'!A3885,'Customer Info'!A3885:C4384,2,FALSE),"Not Found")</f>
        <v>Not Found</v>
      </c>
      <c r="H3893" s="6" t="str">
        <f>IFERROR(VLOOKUP('Customer Info'!A3885,'Customer Info'!A3885:C4384,3,FALSE),"Not Found")</f>
        <v>Not Found</v>
      </c>
      <c r="I3893" s="6" t="str">
        <f>IFERROR(VLOOKUP('Customer Info'!A3885,'Customer Info'!A3885:E4384,5,FALSE),"Not Found")</f>
        <v>Not Found</v>
      </c>
      <c r="J3893" s="2">
        <v>123</v>
      </c>
      <c r="K3893" s="2">
        <v>115</v>
      </c>
      <c r="L3893" s="2">
        <v>1</v>
      </c>
      <c r="M3893" s="7">
        <f t="shared" si="300"/>
        <v>115</v>
      </c>
      <c r="N3893" s="7">
        <f t="shared" si="301"/>
        <v>123</v>
      </c>
      <c r="O3893" s="2">
        <v>30</v>
      </c>
      <c r="P3893" s="8">
        <f t="shared" si="302"/>
        <v>153</v>
      </c>
      <c r="Q3893" s="8">
        <f t="shared" si="303"/>
        <v>8</v>
      </c>
      <c r="R3893" s="2" t="s">
        <v>28</v>
      </c>
      <c r="S3893" s="9">
        <f t="shared" si="304"/>
        <v>3.06</v>
      </c>
    </row>
    <row r="3894" spans="1:19" x14ac:dyDescent="0.3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str">
        <f>IFERROR(VLOOKUP('Customer Info'!A3886,'Customer Info'!A3886:C4385,2,FALSE),"Not Found")</f>
        <v>Not Found</v>
      </c>
      <c r="H3894" s="6" t="str">
        <f>IFERROR(VLOOKUP('Customer Info'!A3886,'Customer Info'!A3886:C4385,3,FALSE),"Not Found")</f>
        <v>Not Found</v>
      </c>
      <c r="I3894" s="6" t="str">
        <f>IFERROR(VLOOKUP('Customer Info'!A3886,'Customer Info'!A3886:E4385,5,FALSE),"Not Found")</f>
        <v>Not Found</v>
      </c>
      <c r="J3894" s="2">
        <v>63</v>
      </c>
      <c r="K3894" s="2">
        <v>59</v>
      </c>
      <c r="L3894" s="2">
        <v>2</v>
      </c>
      <c r="M3894" s="7">
        <f t="shared" si="300"/>
        <v>118</v>
      </c>
      <c r="N3894" s="7">
        <f t="shared" si="301"/>
        <v>126</v>
      </c>
      <c r="O3894" s="2">
        <v>10</v>
      </c>
      <c r="P3894" s="8">
        <f t="shared" si="302"/>
        <v>136</v>
      </c>
      <c r="Q3894" s="8">
        <f t="shared" si="303"/>
        <v>67</v>
      </c>
      <c r="R3894" s="2" t="s">
        <v>50</v>
      </c>
      <c r="S3894" s="9">
        <f t="shared" si="304"/>
        <v>2.72</v>
      </c>
    </row>
    <row r="3895" spans="1:19" x14ac:dyDescent="0.3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str">
        <f>IFERROR(VLOOKUP('Customer Info'!A3887,'Customer Info'!A3887:C4386,2,FALSE),"Not Found")</f>
        <v>Not Found</v>
      </c>
      <c r="H3895" s="6" t="str">
        <f>IFERROR(VLOOKUP('Customer Info'!A3887,'Customer Info'!A3887:C4386,3,FALSE),"Not Found")</f>
        <v>Not Found</v>
      </c>
      <c r="I3895" s="6" t="str">
        <f>IFERROR(VLOOKUP('Customer Info'!A3887,'Customer Info'!A3887:E4386,5,FALSE),"Not Found")</f>
        <v>Not Found</v>
      </c>
      <c r="J3895" s="2">
        <v>679</v>
      </c>
      <c r="K3895" s="2">
        <v>654</v>
      </c>
      <c r="L3895" s="2">
        <v>4</v>
      </c>
      <c r="M3895" s="7">
        <f t="shared" si="300"/>
        <v>2616</v>
      </c>
      <c r="N3895" s="7">
        <f t="shared" si="301"/>
        <v>2716</v>
      </c>
      <c r="O3895" s="2">
        <v>41</v>
      </c>
      <c r="P3895" s="8">
        <f t="shared" si="302"/>
        <v>2757</v>
      </c>
      <c r="Q3895" s="8">
        <f t="shared" si="303"/>
        <v>2062</v>
      </c>
      <c r="R3895" s="2" t="s">
        <v>50</v>
      </c>
      <c r="S3895" s="9">
        <f t="shared" si="304"/>
        <v>55.14</v>
      </c>
    </row>
    <row r="3896" spans="1:19" x14ac:dyDescent="0.3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str">
        <f>IFERROR(VLOOKUP('Customer Info'!A3888,'Customer Info'!A3888:C4387,2,FALSE),"Not Found")</f>
        <v>Not Found</v>
      </c>
      <c r="H3896" s="6" t="str">
        <f>IFERROR(VLOOKUP('Customer Info'!A3888,'Customer Info'!A3888:C4387,3,FALSE),"Not Found")</f>
        <v>Not Found</v>
      </c>
      <c r="I3896" s="6" t="str">
        <f>IFERROR(VLOOKUP('Customer Info'!A3888,'Customer Info'!A3888:E4387,5,FALSE),"Not Found")</f>
        <v>Not Found</v>
      </c>
      <c r="J3896" s="2">
        <v>4577</v>
      </c>
      <c r="K3896" s="2">
        <v>4280</v>
      </c>
      <c r="L3896" s="2">
        <v>2</v>
      </c>
      <c r="M3896" s="7">
        <f t="shared" si="300"/>
        <v>8560</v>
      </c>
      <c r="N3896" s="7">
        <f t="shared" si="301"/>
        <v>9154</v>
      </c>
      <c r="O3896" s="2">
        <v>59</v>
      </c>
      <c r="P3896" s="8">
        <f t="shared" si="302"/>
        <v>9213</v>
      </c>
      <c r="Q3896" s="8">
        <f t="shared" si="303"/>
        <v>4874</v>
      </c>
      <c r="R3896" s="2" t="s">
        <v>28</v>
      </c>
      <c r="S3896" s="9">
        <f t="shared" si="304"/>
        <v>460.65000000000003</v>
      </c>
    </row>
    <row r="3897" spans="1:19" x14ac:dyDescent="0.3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str">
        <f>IFERROR(VLOOKUP('Customer Info'!A3889,'Customer Info'!A3889:C4388,2,FALSE),"Not Found")</f>
        <v>Not Found</v>
      </c>
      <c r="H3897" s="6" t="str">
        <f>IFERROR(VLOOKUP('Customer Info'!A3889,'Customer Info'!A3889:C4388,3,FALSE),"Not Found")</f>
        <v>Not Found</v>
      </c>
      <c r="I3897" s="6" t="str">
        <f>IFERROR(VLOOKUP('Customer Info'!A3889,'Customer Info'!A3889:E4388,5,FALSE),"Not Found")</f>
        <v>Not Found</v>
      </c>
      <c r="J3897" s="2">
        <v>759</v>
      </c>
      <c r="K3897" s="2">
        <v>703</v>
      </c>
      <c r="L3897" s="2">
        <v>4</v>
      </c>
      <c r="M3897" s="7">
        <f t="shared" si="300"/>
        <v>2812</v>
      </c>
      <c r="N3897" s="7">
        <f t="shared" si="301"/>
        <v>3036</v>
      </c>
      <c r="O3897" s="2">
        <v>78</v>
      </c>
      <c r="P3897" s="8">
        <f t="shared" si="302"/>
        <v>3114</v>
      </c>
      <c r="Q3897" s="8">
        <f t="shared" si="303"/>
        <v>2333</v>
      </c>
      <c r="R3897" s="2" t="s">
        <v>28</v>
      </c>
      <c r="S3897" s="9">
        <f t="shared" si="304"/>
        <v>62.28</v>
      </c>
    </row>
    <row r="3898" spans="1:19" x14ac:dyDescent="0.3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str">
        <f>IFERROR(VLOOKUP('Customer Info'!A3890,'Customer Info'!A3890:C4389,2,FALSE),"Not Found")</f>
        <v>Not Found</v>
      </c>
      <c r="H3898" s="6" t="str">
        <f>IFERROR(VLOOKUP('Customer Info'!A3890,'Customer Info'!A3890:C4389,3,FALSE),"Not Found")</f>
        <v>Not Found</v>
      </c>
      <c r="I3898" s="6" t="str">
        <f>IFERROR(VLOOKUP('Customer Info'!A3890,'Customer Info'!A3890:E4389,5,FALSE),"Not Found")</f>
        <v>Not Found</v>
      </c>
      <c r="J3898" s="2">
        <v>7943</v>
      </c>
      <c r="K3898" s="2">
        <v>7790</v>
      </c>
      <c r="L3898" s="2">
        <v>3</v>
      </c>
      <c r="M3898" s="7">
        <f t="shared" si="300"/>
        <v>23370</v>
      </c>
      <c r="N3898" s="7">
        <f t="shared" si="301"/>
        <v>23829</v>
      </c>
      <c r="O3898" s="2">
        <v>27</v>
      </c>
      <c r="P3898" s="8">
        <f t="shared" si="302"/>
        <v>23856</v>
      </c>
      <c r="Q3898" s="8">
        <f t="shared" si="303"/>
        <v>16039</v>
      </c>
      <c r="R3898" s="2" t="s">
        <v>50</v>
      </c>
      <c r="S3898" s="9">
        <f t="shared" si="304"/>
        <v>1192.8</v>
      </c>
    </row>
    <row r="3899" spans="1:19" x14ac:dyDescent="0.3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str">
        <f>IFERROR(VLOOKUP('Customer Info'!A3891,'Customer Info'!A3891:C4390,2,FALSE),"Not Found")</f>
        <v>Not Found</v>
      </c>
      <c r="H3899" s="6" t="str">
        <f>IFERROR(VLOOKUP('Customer Info'!A3891,'Customer Info'!A3891:C4390,3,FALSE),"Not Found")</f>
        <v>Not Found</v>
      </c>
      <c r="I3899" s="6" t="str">
        <f>IFERROR(VLOOKUP('Customer Info'!A3891,'Customer Info'!A3891:E4390,5,FALSE),"Not Found")</f>
        <v>Not Found</v>
      </c>
      <c r="J3899" s="2">
        <v>2466</v>
      </c>
      <c r="K3899" s="2">
        <v>2350</v>
      </c>
      <c r="L3899" s="2">
        <v>3</v>
      </c>
      <c r="M3899" s="7">
        <f t="shared" si="300"/>
        <v>7050</v>
      </c>
      <c r="N3899" s="7">
        <f t="shared" si="301"/>
        <v>7398</v>
      </c>
      <c r="O3899" s="2">
        <v>32</v>
      </c>
      <c r="P3899" s="8">
        <f t="shared" si="302"/>
        <v>7430</v>
      </c>
      <c r="Q3899" s="8">
        <f t="shared" si="303"/>
        <v>5048</v>
      </c>
      <c r="R3899" s="2" t="s">
        <v>26</v>
      </c>
      <c r="S3899" s="9">
        <f t="shared" si="304"/>
        <v>371.5</v>
      </c>
    </row>
    <row r="3900" spans="1:19" x14ac:dyDescent="0.3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str">
        <f>IFERROR(VLOOKUP('Customer Info'!A3892,'Customer Info'!A3892:C4391,2,FALSE),"Not Found")</f>
        <v>Not Found</v>
      </c>
      <c r="H3900" s="6" t="str">
        <f>IFERROR(VLOOKUP('Customer Info'!A3892,'Customer Info'!A3892:C4391,3,FALSE),"Not Found")</f>
        <v>Not Found</v>
      </c>
      <c r="I3900" s="6" t="str">
        <f>IFERROR(VLOOKUP('Customer Info'!A3892,'Customer Info'!A3892:E4391,5,FALSE),"Not Found")</f>
        <v>Not Found</v>
      </c>
      <c r="J3900" s="2">
        <v>63</v>
      </c>
      <c r="K3900" s="2">
        <v>59</v>
      </c>
      <c r="L3900" s="2">
        <v>3</v>
      </c>
      <c r="M3900" s="7">
        <f t="shared" si="300"/>
        <v>177</v>
      </c>
      <c r="N3900" s="7">
        <f t="shared" si="301"/>
        <v>189</v>
      </c>
      <c r="O3900" s="2">
        <v>10</v>
      </c>
      <c r="P3900" s="8">
        <f t="shared" si="302"/>
        <v>199</v>
      </c>
      <c r="Q3900" s="8">
        <f t="shared" si="303"/>
        <v>130</v>
      </c>
      <c r="R3900" s="2" t="s">
        <v>28</v>
      </c>
      <c r="S3900" s="9">
        <f t="shared" si="304"/>
        <v>3.98</v>
      </c>
    </row>
    <row r="3901" spans="1:19" x14ac:dyDescent="0.3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str">
        <f>IFERROR(VLOOKUP('Customer Info'!A3893,'Customer Info'!A3893:C4392,2,FALSE),"Not Found")</f>
        <v>Not Found</v>
      </c>
      <c r="H3901" s="6" t="str">
        <f>IFERROR(VLOOKUP('Customer Info'!A3893,'Customer Info'!A3893:C4392,3,FALSE),"Not Found")</f>
        <v>Not Found</v>
      </c>
      <c r="I3901" s="6" t="str">
        <f>IFERROR(VLOOKUP('Customer Info'!A3893,'Customer Info'!A3893:E4392,5,FALSE),"Not Found")</f>
        <v>Not Found</v>
      </c>
      <c r="J3901" s="2">
        <v>3224</v>
      </c>
      <c r="K3901" s="2">
        <v>2901</v>
      </c>
      <c r="L3901" s="2">
        <v>6</v>
      </c>
      <c r="M3901" s="7">
        <f t="shared" si="300"/>
        <v>17406</v>
      </c>
      <c r="N3901" s="7">
        <f t="shared" si="301"/>
        <v>19344</v>
      </c>
      <c r="O3901" s="2">
        <v>49</v>
      </c>
      <c r="P3901" s="8">
        <f t="shared" si="302"/>
        <v>19393</v>
      </c>
      <c r="Q3901" s="8">
        <f t="shared" si="303"/>
        <v>16443</v>
      </c>
      <c r="R3901" s="2" t="s">
        <v>50</v>
      </c>
      <c r="S3901" s="9">
        <f t="shared" si="304"/>
        <v>969.65000000000009</v>
      </c>
    </row>
    <row r="3902" spans="1:19" x14ac:dyDescent="0.3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str">
        <f>IFERROR(VLOOKUP('Customer Info'!A3894,'Customer Info'!A3894:C4393,2,FALSE),"Not Found")</f>
        <v>Not Found</v>
      </c>
      <c r="H3902" s="6" t="str">
        <f>IFERROR(VLOOKUP('Customer Info'!A3894,'Customer Info'!A3894:C4393,3,FALSE),"Not Found")</f>
        <v>Not Found</v>
      </c>
      <c r="I3902" s="6" t="str">
        <f>IFERROR(VLOOKUP('Customer Info'!A3894,'Customer Info'!A3894:E4393,5,FALSE),"Not Found")</f>
        <v>Not Found</v>
      </c>
      <c r="J3902" s="2">
        <v>2244</v>
      </c>
      <c r="K3902" s="2">
        <v>2143</v>
      </c>
      <c r="L3902" s="2">
        <v>3</v>
      </c>
      <c r="M3902" s="7">
        <f t="shared" si="300"/>
        <v>6429</v>
      </c>
      <c r="N3902" s="7">
        <f t="shared" si="301"/>
        <v>6732</v>
      </c>
      <c r="O3902" s="2">
        <v>84</v>
      </c>
      <c r="P3902" s="8">
        <f t="shared" si="302"/>
        <v>6816</v>
      </c>
      <c r="Q3902" s="8">
        <f t="shared" si="303"/>
        <v>4589</v>
      </c>
      <c r="R3902" s="2" t="s">
        <v>50</v>
      </c>
      <c r="S3902" s="9">
        <f t="shared" si="304"/>
        <v>340.8</v>
      </c>
    </row>
    <row r="3903" spans="1:19" x14ac:dyDescent="0.3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str">
        <f>IFERROR(VLOOKUP('Customer Info'!A3895,'Customer Info'!A3895:C4394,2,FALSE),"Not Found")</f>
        <v>Not Found</v>
      </c>
      <c r="H3903" s="6" t="str">
        <f>IFERROR(VLOOKUP('Customer Info'!A3895,'Customer Info'!A3895:C4394,3,FALSE),"Not Found")</f>
        <v>Not Found</v>
      </c>
      <c r="I3903" s="6" t="str">
        <f>IFERROR(VLOOKUP('Customer Info'!A3895,'Customer Info'!A3895:E4394,5,FALSE),"Not Found")</f>
        <v>Not Found</v>
      </c>
      <c r="J3903" s="2">
        <v>8022</v>
      </c>
      <c r="K3903" s="2">
        <v>7868</v>
      </c>
      <c r="L3903" s="2">
        <v>2</v>
      </c>
      <c r="M3903" s="7">
        <f t="shared" si="300"/>
        <v>15736</v>
      </c>
      <c r="N3903" s="7">
        <f t="shared" si="301"/>
        <v>16044</v>
      </c>
      <c r="O3903" s="2">
        <v>36</v>
      </c>
      <c r="P3903" s="8">
        <f t="shared" si="302"/>
        <v>16080</v>
      </c>
      <c r="Q3903" s="8">
        <f t="shared" si="303"/>
        <v>8176</v>
      </c>
      <c r="R3903" s="2" t="s">
        <v>50</v>
      </c>
      <c r="S3903" s="9">
        <f t="shared" si="304"/>
        <v>804</v>
      </c>
    </row>
    <row r="3904" spans="1:19" x14ac:dyDescent="0.3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str">
        <f>IFERROR(VLOOKUP('Customer Info'!A3896,'Customer Info'!A3896:C4395,2,FALSE),"Not Found")</f>
        <v>Not Found</v>
      </c>
      <c r="H3904" s="6" t="str">
        <f>IFERROR(VLOOKUP('Customer Info'!A3896,'Customer Info'!A3896:C4395,3,FALSE),"Not Found")</f>
        <v>Not Found</v>
      </c>
      <c r="I3904" s="6" t="str">
        <f>IFERROR(VLOOKUP('Customer Info'!A3896,'Customer Info'!A3896:E4395,5,FALSE),"Not Found")</f>
        <v>Not Found</v>
      </c>
      <c r="J3904" s="2">
        <v>69</v>
      </c>
      <c r="K3904" s="2">
        <v>63</v>
      </c>
      <c r="L3904" s="2">
        <v>2</v>
      </c>
      <c r="M3904" s="7">
        <f t="shared" si="300"/>
        <v>126</v>
      </c>
      <c r="N3904" s="7">
        <f t="shared" si="301"/>
        <v>138</v>
      </c>
      <c r="O3904" s="2">
        <v>10</v>
      </c>
      <c r="P3904" s="8">
        <f t="shared" si="302"/>
        <v>148</v>
      </c>
      <c r="Q3904" s="8">
        <f t="shared" si="303"/>
        <v>75</v>
      </c>
      <c r="R3904" s="2" t="s">
        <v>50</v>
      </c>
      <c r="S3904" s="9">
        <f t="shared" si="304"/>
        <v>2.96</v>
      </c>
    </row>
    <row r="3905" spans="1:19" x14ac:dyDescent="0.3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str">
        <f>IFERROR(VLOOKUP('Customer Info'!A3897,'Customer Info'!A3897:C4396,2,FALSE),"Not Found")</f>
        <v>Not Found</v>
      </c>
      <c r="H3905" s="6" t="str">
        <f>IFERROR(VLOOKUP('Customer Info'!A3897,'Customer Info'!A3897:C4396,3,FALSE),"Not Found")</f>
        <v>Not Found</v>
      </c>
      <c r="I3905" s="6" t="str">
        <f>IFERROR(VLOOKUP('Customer Info'!A3897,'Customer Info'!A3897:E4396,5,FALSE),"Not Found")</f>
        <v>Not Found</v>
      </c>
      <c r="J3905" s="2">
        <v>8752</v>
      </c>
      <c r="K3905" s="2">
        <v>7877</v>
      </c>
      <c r="L3905" s="2">
        <v>4</v>
      </c>
      <c r="M3905" s="7">
        <f t="shared" si="300"/>
        <v>31508</v>
      </c>
      <c r="N3905" s="7">
        <f t="shared" si="301"/>
        <v>35008</v>
      </c>
      <c r="O3905" s="2">
        <v>32</v>
      </c>
      <c r="P3905" s="8">
        <f t="shared" si="302"/>
        <v>35040</v>
      </c>
      <c r="Q3905" s="8">
        <f t="shared" si="303"/>
        <v>27131</v>
      </c>
      <c r="R3905" s="2" t="s">
        <v>26</v>
      </c>
      <c r="S3905" s="9">
        <f t="shared" si="304"/>
        <v>2452.8000000000002</v>
      </c>
    </row>
    <row r="3906" spans="1:19" x14ac:dyDescent="0.3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str">
        <f>IFERROR(VLOOKUP('Customer Info'!A3898,'Customer Info'!A3898:C4397,2,FALSE),"Not Found")</f>
        <v>Not Found</v>
      </c>
      <c r="H3906" s="6" t="str">
        <f>IFERROR(VLOOKUP('Customer Info'!A3898,'Customer Info'!A3898:C4397,3,FALSE),"Not Found")</f>
        <v>Not Found</v>
      </c>
      <c r="I3906" s="6" t="str">
        <f>IFERROR(VLOOKUP('Customer Info'!A3898,'Customer Info'!A3898:E4397,5,FALSE),"Not Found")</f>
        <v>Not Found</v>
      </c>
      <c r="J3906" s="2">
        <v>4577</v>
      </c>
      <c r="K3906" s="2">
        <v>4280</v>
      </c>
      <c r="L3906" s="2">
        <v>2</v>
      </c>
      <c r="M3906" s="7">
        <f t="shared" si="300"/>
        <v>8560</v>
      </c>
      <c r="N3906" s="7">
        <f t="shared" si="301"/>
        <v>9154</v>
      </c>
      <c r="O3906" s="2">
        <v>71</v>
      </c>
      <c r="P3906" s="8">
        <f t="shared" si="302"/>
        <v>9225</v>
      </c>
      <c r="Q3906" s="8">
        <f t="shared" si="303"/>
        <v>4874</v>
      </c>
      <c r="R3906" s="2" t="s">
        <v>50</v>
      </c>
      <c r="S3906" s="9">
        <f t="shared" si="304"/>
        <v>461.25</v>
      </c>
    </row>
    <row r="3907" spans="1:19" x14ac:dyDescent="0.3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str">
        <f>IFERROR(VLOOKUP('Customer Info'!A3899,'Customer Info'!A3899:C4398,2,FALSE),"Not Found")</f>
        <v>Not Found</v>
      </c>
      <c r="H3907" s="6" t="str">
        <f>IFERROR(VLOOKUP('Customer Info'!A3899,'Customer Info'!A3899:C4398,3,FALSE),"Not Found")</f>
        <v>Not Found</v>
      </c>
      <c r="I3907" s="6" t="str">
        <f>IFERROR(VLOOKUP('Customer Info'!A3899,'Customer Info'!A3899:E4398,5,FALSE),"Not Found")</f>
        <v>Not Found</v>
      </c>
      <c r="J3907" s="2">
        <v>1968</v>
      </c>
      <c r="K3907" s="2">
        <v>1821</v>
      </c>
      <c r="L3907" s="2">
        <v>3</v>
      </c>
      <c r="M3907" s="7">
        <f t="shared" si="300"/>
        <v>5463</v>
      </c>
      <c r="N3907" s="7">
        <f t="shared" si="301"/>
        <v>5904</v>
      </c>
      <c r="O3907" s="2">
        <v>27</v>
      </c>
      <c r="P3907" s="8">
        <f t="shared" si="302"/>
        <v>5931</v>
      </c>
      <c r="Q3907" s="8">
        <f t="shared" si="303"/>
        <v>4083</v>
      </c>
      <c r="R3907" s="2" t="s">
        <v>28</v>
      </c>
      <c r="S3907" s="9">
        <f t="shared" si="304"/>
        <v>296.55</v>
      </c>
    </row>
    <row r="3908" spans="1:19" x14ac:dyDescent="0.3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str">
        <f>IFERROR(VLOOKUP('Customer Info'!A3900,'Customer Info'!A3900:C4399,2,FALSE),"Not Found")</f>
        <v>Not Found</v>
      </c>
      <c r="H3908" s="6" t="str">
        <f>IFERROR(VLOOKUP('Customer Info'!A3900,'Customer Info'!A3900:C4399,3,FALSE),"Not Found")</f>
        <v>Not Found</v>
      </c>
      <c r="I3908" s="6" t="str">
        <f>IFERROR(VLOOKUP('Customer Info'!A3900,'Customer Info'!A3900:E4399,5,FALSE),"Not Found")</f>
        <v>Not Found</v>
      </c>
      <c r="J3908" s="2">
        <v>36057</v>
      </c>
      <c r="K3908" s="2">
        <v>34028</v>
      </c>
      <c r="L3908" s="2">
        <v>7</v>
      </c>
      <c r="M3908" s="7">
        <f t="shared" si="300"/>
        <v>238196</v>
      </c>
      <c r="N3908" s="7">
        <f t="shared" si="301"/>
        <v>252399</v>
      </c>
      <c r="O3908" s="2">
        <v>35</v>
      </c>
      <c r="P3908" s="8">
        <f t="shared" si="302"/>
        <v>252434</v>
      </c>
      <c r="Q3908" s="8">
        <f t="shared" si="303"/>
        <v>218371</v>
      </c>
      <c r="R3908" s="2" t="s">
        <v>28</v>
      </c>
      <c r="S3908" s="9">
        <f t="shared" si="304"/>
        <v>30292.079999999998</v>
      </c>
    </row>
    <row r="3909" spans="1:19" x14ac:dyDescent="0.3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str">
        <f>IFERROR(VLOOKUP('Customer Info'!A3901,'Customer Info'!A3901:C4400,2,FALSE),"Not Found")</f>
        <v>Not Found</v>
      </c>
      <c r="H3909" s="6" t="str">
        <f>IFERROR(VLOOKUP('Customer Info'!A3901,'Customer Info'!A3901:C4400,3,FALSE),"Not Found")</f>
        <v>Not Found</v>
      </c>
      <c r="I3909" s="6" t="str">
        <f>IFERROR(VLOOKUP('Customer Info'!A3901,'Customer Info'!A3901:E4400,5,FALSE),"Not Found")</f>
        <v>Not Found</v>
      </c>
      <c r="J3909" s="2">
        <v>1283</v>
      </c>
      <c r="K3909" s="2">
        <v>1187</v>
      </c>
      <c r="L3909" s="2">
        <v>2</v>
      </c>
      <c r="M3909" s="7">
        <f t="shared" si="300"/>
        <v>2374</v>
      </c>
      <c r="N3909" s="7">
        <f t="shared" si="301"/>
        <v>2566</v>
      </c>
      <c r="O3909" s="2">
        <v>71</v>
      </c>
      <c r="P3909" s="8">
        <f t="shared" si="302"/>
        <v>2637</v>
      </c>
      <c r="Q3909" s="8">
        <f t="shared" si="303"/>
        <v>1379</v>
      </c>
      <c r="R3909" s="2" t="s">
        <v>28</v>
      </c>
      <c r="S3909" s="9">
        <f t="shared" si="304"/>
        <v>52.74</v>
      </c>
    </row>
    <row r="3910" spans="1:19" x14ac:dyDescent="0.3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str">
        <f>IFERROR(VLOOKUP('Customer Info'!A3902,'Customer Info'!A3902:C4401,2,FALSE),"Not Found")</f>
        <v>Not Found</v>
      </c>
      <c r="H3910" s="6" t="str">
        <f>IFERROR(VLOOKUP('Customer Info'!A3902,'Customer Info'!A3902:C4401,3,FALSE),"Not Found")</f>
        <v>Not Found</v>
      </c>
      <c r="I3910" s="6" t="str">
        <f>IFERROR(VLOOKUP('Customer Info'!A3902,'Customer Info'!A3902:E4401,5,FALSE),"Not Found")</f>
        <v>Not Found</v>
      </c>
      <c r="J3910" s="2">
        <v>1372</v>
      </c>
      <c r="K3910" s="2">
        <v>1308</v>
      </c>
      <c r="L3910" s="2">
        <v>1</v>
      </c>
      <c r="M3910" s="7">
        <f t="shared" si="300"/>
        <v>1308</v>
      </c>
      <c r="N3910" s="7">
        <f t="shared" si="301"/>
        <v>1372</v>
      </c>
      <c r="O3910" s="2">
        <v>95</v>
      </c>
      <c r="P3910" s="8">
        <f t="shared" si="302"/>
        <v>1467</v>
      </c>
      <c r="Q3910" s="8">
        <f t="shared" si="303"/>
        <v>64</v>
      </c>
      <c r="R3910" s="2" t="s">
        <v>28</v>
      </c>
      <c r="S3910" s="9">
        <f t="shared" si="304"/>
        <v>29.34</v>
      </c>
    </row>
    <row r="3911" spans="1:19" x14ac:dyDescent="0.3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str">
        <f>IFERROR(VLOOKUP('Customer Info'!A3903,'Customer Info'!A3903:C4402,2,FALSE),"Not Found")</f>
        <v>Not Found</v>
      </c>
      <c r="H3911" s="6" t="str">
        <f>IFERROR(VLOOKUP('Customer Info'!A3903,'Customer Info'!A3903:C4402,3,FALSE),"Not Found")</f>
        <v>Not Found</v>
      </c>
      <c r="I3911" s="6" t="str">
        <f>IFERROR(VLOOKUP('Customer Info'!A3903,'Customer Info'!A3903:E4402,5,FALSE),"Not Found")</f>
        <v>Not Found</v>
      </c>
      <c r="J3911" s="2">
        <v>8026</v>
      </c>
      <c r="K3911" s="2">
        <v>7572</v>
      </c>
      <c r="L3911" s="2">
        <v>3</v>
      </c>
      <c r="M3911" s="7">
        <f t="shared" si="300"/>
        <v>22716</v>
      </c>
      <c r="N3911" s="7">
        <f t="shared" si="301"/>
        <v>24078</v>
      </c>
      <c r="O3911" s="2">
        <v>90</v>
      </c>
      <c r="P3911" s="8">
        <f t="shared" si="302"/>
        <v>24168</v>
      </c>
      <c r="Q3911" s="8">
        <f t="shared" si="303"/>
        <v>16506</v>
      </c>
      <c r="R3911" s="2" t="s">
        <v>28</v>
      </c>
      <c r="S3911" s="9">
        <f t="shared" si="304"/>
        <v>1208.4000000000001</v>
      </c>
    </row>
    <row r="3912" spans="1:19" x14ac:dyDescent="0.3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str">
        <f>IFERROR(VLOOKUP('Customer Info'!A3904,'Customer Info'!A3904:C4403,2,FALSE),"Not Found")</f>
        <v>Not Found</v>
      </c>
      <c r="H3912" s="6" t="str">
        <f>IFERROR(VLOOKUP('Customer Info'!A3904,'Customer Info'!A3904:C4403,3,FALSE),"Not Found")</f>
        <v>Not Found</v>
      </c>
      <c r="I3912" s="6" t="str">
        <f>IFERROR(VLOOKUP('Customer Info'!A3904,'Customer Info'!A3904:E4403,5,FALSE),"Not Found")</f>
        <v>Not Found</v>
      </c>
      <c r="J3912" s="2">
        <v>96</v>
      </c>
      <c r="K3912" s="2">
        <v>87</v>
      </c>
      <c r="L3912" s="2">
        <v>3</v>
      </c>
      <c r="M3912" s="7">
        <f t="shared" si="300"/>
        <v>261</v>
      </c>
      <c r="N3912" s="7">
        <f t="shared" si="301"/>
        <v>288</v>
      </c>
      <c r="O3912" s="2">
        <v>10</v>
      </c>
      <c r="P3912" s="8">
        <f t="shared" si="302"/>
        <v>298</v>
      </c>
      <c r="Q3912" s="8">
        <f t="shared" si="303"/>
        <v>201</v>
      </c>
      <c r="R3912" s="2" t="s">
        <v>28</v>
      </c>
      <c r="S3912" s="9">
        <f t="shared" si="304"/>
        <v>5.96</v>
      </c>
    </row>
    <row r="3913" spans="1:19" x14ac:dyDescent="0.3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str">
        <f>IFERROR(VLOOKUP('Customer Info'!A3905,'Customer Info'!A3905:C4404,2,FALSE),"Not Found")</f>
        <v>Not Found</v>
      </c>
      <c r="H3913" s="6" t="str">
        <f>IFERROR(VLOOKUP('Customer Info'!A3905,'Customer Info'!A3905:C4404,3,FALSE),"Not Found")</f>
        <v>Not Found</v>
      </c>
      <c r="I3913" s="6" t="str">
        <f>IFERROR(VLOOKUP('Customer Info'!A3905,'Customer Info'!A3905:E4404,5,FALSE),"Not Found")</f>
        <v>Not Found</v>
      </c>
      <c r="J3913" s="2">
        <v>1601</v>
      </c>
      <c r="K3913" s="2">
        <v>1510</v>
      </c>
      <c r="L3913" s="2">
        <v>5</v>
      </c>
      <c r="M3913" s="7">
        <f t="shared" si="300"/>
        <v>7550</v>
      </c>
      <c r="N3913" s="7">
        <f t="shared" si="301"/>
        <v>8005</v>
      </c>
      <c r="O3913" s="2">
        <v>80</v>
      </c>
      <c r="P3913" s="8">
        <f t="shared" si="302"/>
        <v>8085</v>
      </c>
      <c r="Q3913" s="8">
        <f t="shared" si="303"/>
        <v>6495</v>
      </c>
      <c r="R3913" s="2" t="s">
        <v>50</v>
      </c>
      <c r="S3913" s="9">
        <f t="shared" si="304"/>
        <v>404.25</v>
      </c>
    </row>
    <row r="3914" spans="1:19" x14ac:dyDescent="0.3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str">
        <f>IFERROR(VLOOKUP('Customer Info'!A3906,'Customer Info'!A3906:C4405,2,FALSE),"Not Found")</f>
        <v>Not Found</v>
      </c>
      <c r="H3914" s="6" t="str">
        <f>IFERROR(VLOOKUP('Customer Info'!A3906,'Customer Info'!A3906:C4405,3,FALSE),"Not Found")</f>
        <v>Not Found</v>
      </c>
      <c r="I3914" s="6" t="str">
        <f>IFERROR(VLOOKUP('Customer Info'!A3906,'Customer Info'!A3906:E4405,5,FALSE),"Not Found")</f>
        <v>Not Found</v>
      </c>
      <c r="J3914" s="2">
        <v>3256</v>
      </c>
      <c r="K3914" s="2">
        <v>3044</v>
      </c>
      <c r="L3914" s="2">
        <v>7</v>
      </c>
      <c r="M3914" s="7">
        <f t="shared" si="300"/>
        <v>21308</v>
      </c>
      <c r="N3914" s="7">
        <f t="shared" si="301"/>
        <v>22792</v>
      </c>
      <c r="O3914" s="2">
        <v>88</v>
      </c>
      <c r="P3914" s="8">
        <f t="shared" si="302"/>
        <v>22880</v>
      </c>
      <c r="Q3914" s="8">
        <f t="shared" si="303"/>
        <v>19748</v>
      </c>
      <c r="R3914" s="2" t="s">
        <v>28</v>
      </c>
      <c r="S3914" s="9">
        <f t="shared" si="304"/>
        <v>1144</v>
      </c>
    </row>
    <row r="3915" spans="1:19" x14ac:dyDescent="0.3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str">
        <f>IFERROR(VLOOKUP('Customer Info'!A3907,'Customer Info'!A3907:C4406,2,FALSE),"Not Found")</f>
        <v>Not Found</v>
      </c>
      <c r="H3915" s="6" t="str">
        <f>IFERROR(VLOOKUP('Customer Info'!A3907,'Customer Info'!A3907:C4406,3,FALSE),"Not Found")</f>
        <v>Not Found</v>
      </c>
      <c r="I3915" s="6" t="str">
        <f>IFERROR(VLOOKUP('Customer Info'!A3907,'Customer Info'!A3907:E4406,5,FALSE),"Not Found")</f>
        <v>Not Found</v>
      </c>
      <c r="J3915" s="2">
        <v>458</v>
      </c>
      <c r="K3915" s="2">
        <v>419</v>
      </c>
      <c r="L3915" s="2">
        <v>9</v>
      </c>
      <c r="M3915" s="7">
        <f t="shared" ref="M3915:M3978" si="305">$K3915*$L3915</f>
        <v>3771</v>
      </c>
      <c r="N3915" s="7">
        <f t="shared" ref="N3915:N3978" si="306">$J3915*$L3915</f>
        <v>4122</v>
      </c>
      <c r="O3915" s="2">
        <v>24</v>
      </c>
      <c r="P3915" s="8">
        <f t="shared" ref="P3915:P3978" si="307">$N3915+$O3915</f>
        <v>4146</v>
      </c>
      <c r="Q3915" s="8">
        <f t="shared" ref="Q3915:Q3978" si="308">$N3915-$K3915</f>
        <v>3703</v>
      </c>
      <c r="R3915" s="2" t="s">
        <v>50</v>
      </c>
      <c r="S3915" s="9">
        <f t="shared" ref="S3915:S3978" si="309" xml:space="preserve"> P3915 * VLOOKUP(P3915, $T$2:$U$6, 2, TRUE)</f>
        <v>82.92</v>
      </c>
    </row>
    <row r="3916" spans="1:19" x14ac:dyDescent="0.3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str">
        <f>IFERROR(VLOOKUP('Customer Info'!A3908,'Customer Info'!A3908:C4407,2,FALSE),"Not Found")</f>
        <v>Not Found</v>
      </c>
      <c r="H3916" s="6" t="str">
        <f>IFERROR(VLOOKUP('Customer Info'!A3908,'Customer Info'!A3908:C4407,3,FALSE),"Not Found")</f>
        <v>Not Found</v>
      </c>
      <c r="I3916" s="6" t="str">
        <f>IFERROR(VLOOKUP('Customer Info'!A3908,'Customer Info'!A3908:E4407,5,FALSE),"Not Found")</f>
        <v>Not Found</v>
      </c>
      <c r="J3916" s="2">
        <v>5051</v>
      </c>
      <c r="K3916" s="2">
        <v>4634</v>
      </c>
      <c r="L3916" s="2">
        <v>9</v>
      </c>
      <c r="M3916" s="7">
        <f t="shared" si="305"/>
        <v>41706</v>
      </c>
      <c r="N3916" s="7">
        <f t="shared" si="306"/>
        <v>45459</v>
      </c>
      <c r="O3916" s="2">
        <v>88</v>
      </c>
      <c r="P3916" s="8">
        <f t="shared" si="307"/>
        <v>45547</v>
      </c>
      <c r="Q3916" s="8">
        <f t="shared" si="308"/>
        <v>40825</v>
      </c>
      <c r="R3916" s="2" t="s">
        <v>26</v>
      </c>
      <c r="S3916" s="9">
        <f t="shared" si="309"/>
        <v>3188.2900000000004</v>
      </c>
    </row>
    <row r="3917" spans="1:19" x14ac:dyDescent="0.3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str">
        <f>IFERROR(VLOOKUP('Customer Info'!A3909,'Customer Info'!A3909:C4408,2,FALSE),"Not Found")</f>
        <v>Not Found</v>
      </c>
      <c r="H3917" s="6" t="str">
        <f>IFERROR(VLOOKUP('Customer Info'!A3909,'Customer Info'!A3909:C4408,3,FALSE),"Not Found")</f>
        <v>Not Found</v>
      </c>
      <c r="I3917" s="6" t="str">
        <f>IFERROR(VLOOKUP('Customer Info'!A3909,'Customer Info'!A3909:E4408,5,FALSE),"Not Found")</f>
        <v>Not Found</v>
      </c>
      <c r="J3917" s="2">
        <v>2958</v>
      </c>
      <c r="K3917" s="2">
        <v>2743</v>
      </c>
      <c r="L3917" s="2">
        <v>4</v>
      </c>
      <c r="M3917" s="7">
        <f t="shared" si="305"/>
        <v>10972</v>
      </c>
      <c r="N3917" s="7">
        <f t="shared" si="306"/>
        <v>11832</v>
      </c>
      <c r="O3917" s="2">
        <v>22</v>
      </c>
      <c r="P3917" s="8">
        <f t="shared" si="307"/>
        <v>11854</v>
      </c>
      <c r="Q3917" s="8">
        <f t="shared" si="308"/>
        <v>9089</v>
      </c>
      <c r="R3917" s="2" t="s">
        <v>26</v>
      </c>
      <c r="S3917" s="9">
        <f t="shared" si="309"/>
        <v>592.70000000000005</v>
      </c>
    </row>
    <row r="3918" spans="1:19" x14ac:dyDescent="0.3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str">
        <f>IFERROR(VLOOKUP('Customer Info'!A3910,'Customer Info'!A3910:C4409,2,FALSE),"Not Found")</f>
        <v>Not Found</v>
      </c>
      <c r="H3918" s="6" t="str">
        <f>IFERROR(VLOOKUP('Customer Info'!A3910,'Customer Info'!A3910:C4409,3,FALSE),"Not Found")</f>
        <v>Not Found</v>
      </c>
      <c r="I3918" s="6" t="str">
        <f>IFERROR(VLOOKUP('Customer Info'!A3910,'Customer Info'!A3910:E4409,5,FALSE),"Not Found")</f>
        <v>Not Found</v>
      </c>
      <c r="J3918" s="2">
        <v>38328</v>
      </c>
      <c r="K3918" s="2">
        <v>35164</v>
      </c>
      <c r="L3918" s="2">
        <v>1</v>
      </c>
      <c r="M3918" s="7">
        <f t="shared" si="305"/>
        <v>35164</v>
      </c>
      <c r="N3918" s="7">
        <f t="shared" si="306"/>
        <v>38328</v>
      </c>
      <c r="O3918" s="2">
        <v>68</v>
      </c>
      <c r="P3918" s="8">
        <f t="shared" si="307"/>
        <v>38396</v>
      </c>
      <c r="Q3918" s="8">
        <f t="shared" si="308"/>
        <v>3164</v>
      </c>
      <c r="R3918" s="2" t="s">
        <v>28</v>
      </c>
      <c r="S3918" s="9">
        <f t="shared" si="309"/>
        <v>2687.7200000000003</v>
      </c>
    </row>
    <row r="3919" spans="1:19" x14ac:dyDescent="0.3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str">
        <f>IFERROR(VLOOKUP('Customer Info'!A3911,'Customer Info'!A3911:C4410,2,FALSE),"Not Found")</f>
        <v>Not Found</v>
      </c>
      <c r="H3919" s="6" t="str">
        <f>IFERROR(VLOOKUP('Customer Info'!A3911,'Customer Info'!A3911:C4410,3,FALSE),"Not Found")</f>
        <v>Not Found</v>
      </c>
      <c r="I3919" s="6" t="str">
        <f>IFERROR(VLOOKUP('Customer Info'!A3911,'Customer Info'!A3911:E4410,5,FALSE),"Not Found")</f>
        <v>Not Found</v>
      </c>
      <c r="J3919" s="2">
        <v>729</v>
      </c>
      <c r="K3919" s="2">
        <v>689</v>
      </c>
      <c r="L3919" s="2">
        <v>3</v>
      </c>
      <c r="M3919" s="7">
        <f t="shared" si="305"/>
        <v>2067</v>
      </c>
      <c r="N3919" s="7">
        <f t="shared" si="306"/>
        <v>2187</v>
      </c>
      <c r="O3919" s="2">
        <v>34</v>
      </c>
      <c r="P3919" s="8">
        <f t="shared" si="307"/>
        <v>2221</v>
      </c>
      <c r="Q3919" s="8">
        <f t="shared" si="308"/>
        <v>1498</v>
      </c>
      <c r="R3919" s="2" t="s">
        <v>26</v>
      </c>
      <c r="S3919" s="9">
        <f t="shared" si="309"/>
        <v>44.42</v>
      </c>
    </row>
    <row r="3920" spans="1:19" x14ac:dyDescent="0.3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str">
        <f>IFERROR(VLOOKUP('Customer Info'!A3912,'Customer Info'!A3912:C4411,2,FALSE),"Not Found")</f>
        <v>Not Found</v>
      </c>
      <c r="H3920" s="6" t="str">
        <f>IFERROR(VLOOKUP('Customer Info'!A3912,'Customer Info'!A3912:C4411,3,FALSE),"Not Found")</f>
        <v>Not Found</v>
      </c>
      <c r="I3920" s="6" t="str">
        <f>IFERROR(VLOOKUP('Customer Info'!A3912,'Customer Info'!A3912:E4411,5,FALSE),"Not Found")</f>
        <v>Not Found</v>
      </c>
      <c r="J3920" s="2">
        <v>8022</v>
      </c>
      <c r="K3920" s="2">
        <v>7868</v>
      </c>
      <c r="L3920" s="2">
        <v>7</v>
      </c>
      <c r="M3920" s="7">
        <f t="shared" si="305"/>
        <v>55076</v>
      </c>
      <c r="N3920" s="7">
        <f t="shared" si="306"/>
        <v>56154</v>
      </c>
      <c r="O3920" s="2">
        <v>66</v>
      </c>
      <c r="P3920" s="8">
        <f t="shared" si="307"/>
        <v>56220</v>
      </c>
      <c r="Q3920" s="8">
        <f t="shared" si="308"/>
        <v>48286</v>
      </c>
      <c r="R3920" s="2" t="s">
        <v>56</v>
      </c>
      <c r="S3920" s="9">
        <f t="shared" si="309"/>
        <v>5059.8</v>
      </c>
    </row>
    <row r="3921" spans="1:19" x14ac:dyDescent="0.3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str">
        <f>IFERROR(VLOOKUP('Customer Info'!A3913,'Customer Info'!A3913:C4412,2,FALSE),"Not Found")</f>
        <v>Not Found</v>
      </c>
      <c r="H3921" s="6" t="str">
        <f>IFERROR(VLOOKUP('Customer Info'!A3913,'Customer Info'!A3913:C4412,3,FALSE),"Not Found")</f>
        <v>Not Found</v>
      </c>
      <c r="I3921" s="6" t="str">
        <f>IFERROR(VLOOKUP('Customer Info'!A3913,'Customer Info'!A3913:E4412,5,FALSE),"Not Found")</f>
        <v>Not Found</v>
      </c>
      <c r="J3921" s="2">
        <v>2857</v>
      </c>
      <c r="K3921" s="2">
        <v>2622</v>
      </c>
      <c r="L3921" s="2">
        <v>5</v>
      </c>
      <c r="M3921" s="7">
        <f t="shared" si="305"/>
        <v>13110</v>
      </c>
      <c r="N3921" s="7">
        <f t="shared" si="306"/>
        <v>14285</v>
      </c>
      <c r="O3921" s="2">
        <v>45</v>
      </c>
      <c r="P3921" s="8">
        <f t="shared" si="307"/>
        <v>14330</v>
      </c>
      <c r="Q3921" s="8">
        <f t="shared" si="308"/>
        <v>11663</v>
      </c>
      <c r="R3921" s="2" t="s">
        <v>26</v>
      </c>
      <c r="S3921" s="9">
        <f t="shared" si="309"/>
        <v>716.5</v>
      </c>
    </row>
    <row r="3922" spans="1:19" x14ac:dyDescent="0.3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str">
        <f>IFERROR(VLOOKUP('Customer Info'!A3914,'Customer Info'!A3914:C4413,2,FALSE),"Not Found")</f>
        <v>Not Found</v>
      </c>
      <c r="H3922" s="6" t="str">
        <f>IFERROR(VLOOKUP('Customer Info'!A3914,'Customer Info'!A3914:C4413,3,FALSE),"Not Found")</f>
        <v>Not Found</v>
      </c>
      <c r="I3922" s="6" t="str">
        <f>IFERROR(VLOOKUP('Customer Info'!A3914,'Customer Info'!A3914:E4413,5,FALSE),"Not Found")</f>
        <v>Not Found</v>
      </c>
      <c r="J3922" s="2">
        <v>119</v>
      </c>
      <c r="K3922" s="2">
        <v>112</v>
      </c>
      <c r="L3922" s="2">
        <v>2</v>
      </c>
      <c r="M3922" s="7">
        <f t="shared" si="305"/>
        <v>224</v>
      </c>
      <c r="N3922" s="7">
        <f t="shared" si="306"/>
        <v>238</v>
      </c>
      <c r="O3922" s="2">
        <v>30</v>
      </c>
      <c r="P3922" s="8">
        <f t="shared" si="307"/>
        <v>268</v>
      </c>
      <c r="Q3922" s="8">
        <f t="shared" si="308"/>
        <v>126</v>
      </c>
      <c r="R3922" s="2" t="s">
        <v>50</v>
      </c>
      <c r="S3922" s="9">
        <f t="shared" si="309"/>
        <v>5.36</v>
      </c>
    </row>
    <row r="3923" spans="1:19" x14ac:dyDescent="0.3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str">
        <f>IFERROR(VLOOKUP('Customer Info'!A3915,'Customer Info'!A3915:C4414,2,FALSE),"Not Found")</f>
        <v>Not Found</v>
      </c>
      <c r="H3923" s="6" t="str">
        <f>IFERROR(VLOOKUP('Customer Info'!A3915,'Customer Info'!A3915:C4414,3,FALSE),"Not Found")</f>
        <v>Not Found</v>
      </c>
      <c r="I3923" s="6" t="str">
        <f>IFERROR(VLOOKUP('Customer Info'!A3915,'Customer Info'!A3915:E4414,5,FALSE),"Not Found")</f>
        <v>Not Found</v>
      </c>
      <c r="J3923" s="2">
        <v>131</v>
      </c>
      <c r="K3923" s="2">
        <v>124</v>
      </c>
      <c r="L3923" s="2">
        <v>13</v>
      </c>
      <c r="M3923" s="7">
        <f t="shared" si="305"/>
        <v>1612</v>
      </c>
      <c r="N3923" s="7">
        <f t="shared" si="306"/>
        <v>1703</v>
      </c>
      <c r="O3923" s="2">
        <v>30</v>
      </c>
      <c r="P3923" s="8">
        <f t="shared" si="307"/>
        <v>1733</v>
      </c>
      <c r="Q3923" s="8">
        <f t="shared" si="308"/>
        <v>1579</v>
      </c>
      <c r="R3923" s="2" t="s">
        <v>26</v>
      </c>
      <c r="S3923" s="9">
        <f t="shared" si="309"/>
        <v>34.660000000000004</v>
      </c>
    </row>
    <row r="3924" spans="1:19" x14ac:dyDescent="0.3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str">
        <f>IFERROR(VLOOKUP('Customer Info'!A3916,'Customer Info'!A3916:C4415,2,FALSE),"Not Found")</f>
        <v>Not Found</v>
      </c>
      <c r="H3924" s="6" t="str">
        <f>IFERROR(VLOOKUP('Customer Info'!A3916,'Customer Info'!A3916:C4415,3,FALSE),"Not Found")</f>
        <v>Not Found</v>
      </c>
      <c r="I3924" s="6" t="str">
        <f>IFERROR(VLOOKUP('Customer Info'!A3916,'Customer Info'!A3916:E4415,5,FALSE),"Not Found")</f>
        <v>Not Found</v>
      </c>
      <c r="J3924" s="2">
        <v>1686</v>
      </c>
      <c r="K3924" s="2">
        <v>1591</v>
      </c>
      <c r="L3924" s="2">
        <v>3</v>
      </c>
      <c r="M3924" s="7">
        <f t="shared" si="305"/>
        <v>4773</v>
      </c>
      <c r="N3924" s="7">
        <f t="shared" si="306"/>
        <v>5058</v>
      </c>
      <c r="O3924" s="2">
        <v>46</v>
      </c>
      <c r="P3924" s="8">
        <f t="shared" si="307"/>
        <v>5104</v>
      </c>
      <c r="Q3924" s="8">
        <f t="shared" si="308"/>
        <v>3467</v>
      </c>
      <c r="R3924" s="2" t="s">
        <v>28</v>
      </c>
      <c r="S3924" s="9">
        <f t="shared" si="309"/>
        <v>255.20000000000002</v>
      </c>
    </row>
    <row r="3925" spans="1:19" x14ac:dyDescent="0.3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str">
        <f>IFERROR(VLOOKUP('Customer Info'!A3917,'Customer Info'!A3917:C4416,2,FALSE),"Not Found")</f>
        <v>Not Found</v>
      </c>
      <c r="H3925" s="6" t="str">
        <f>IFERROR(VLOOKUP('Customer Info'!A3917,'Customer Info'!A3917:C4416,3,FALSE),"Not Found")</f>
        <v>Not Found</v>
      </c>
      <c r="I3925" s="6" t="str">
        <f>IFERROR(VLOOKUP('Customer Info'!A3917,'Customer Info'!A3917:E4416,5,FALSE),"Not Found")</f>
        <v>Not Found</v>
      </c>
      <c r="J3925" s="2">
        <v>6611</v>
      </c>
      <c r="K3925" s="2">
        <v>5943</v>
      </c>
      <c r="L3925" s="2">
        <v>2</v>
      </c>
      <c r="M3925" s="7">
        <f t="shared" si="305"/>
        <v>11886</v>
      </c>
      <c r="N3925" s="7">
        <f t="shared" si="306"/>
        <v>13222</v>
      </c>
      <c r="O3925" s="2">
        <v>64</v>
      </c>
      <c r="P3925" s="8">
        <f t="shared" si="307"/>
        <v>13286</v>
      </c>
      <c r="Q3925" s="8">
        <f t="shared" si="308"/>
        <v>7279</v>
      </c>
      <c r="R3925" s="2" t="s">
        <v>28</v>
      </c>
      <c r="S3925" s="9">
        <f t="shared" si="309"/>
        <v>664.30000000000007</v>
      </c>
    </row>
    <row r="3926" spans="1:19" x14ac:dyDescent="0.3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str">
        <f>IFERROR(VLOOKUP('Customer Info'!A3918,'Customer Info'!A3918:C4417,2,FALSE),"Not Found")</f>
        <v>Not Found</v>
      </c>
      <c r="H3926" s="6" t="str">
        <f>IFERROR(VLOOKUP('Customer Info'!A3918,'Customer Info'!A3918:C4417,3,FALSE),"Not Found")</f>
        <v>Not Found</v>
      </c>
      <c r="I3926" s="6" t="str">
        <f>IFERROR(VLOOKUP('Customer Info'!A3918,'Customer Info'!A3918:E4417,5,FALSE),"Not Found")</f>
        <v>Not Found</v>
      </c>
      <c r="J3926" s="2">
        <v>417</v>
      </c>
      <c r="K3926" s="2">
        <v>392</v>
      </c>
      <c r="L3926" s="2">
        <v>6</v>
      </c>
      <c r="M3926" s="7">
        <f t="shared" si="305"/>
        <v>2352</v>
      </c>
      <c r="N3926" s="7">
        <f t="shared" si="306"/>
        <v>2502</v>
      </c>
      <c r="O3926" s="2">
        <v>53</v>
      </c>
      <c r="P3926" s="8">
        <f t="shared" si="307"/>
        <v>2555</v>
      </c>
      <c r="Q3926" s="8">
        <f t="shared" si="308"/>
        <v>2110</v>
      </c>
      <c r="R3926" s="2" t="s">
        <v>28</v>
      </c>
      <c r="S3926" s="9">
        <f t="shared" si="309"/>
        <v>51.1</v>
      </c>
    </row>
    <row r="3927" spans="1:19" x14ac:dyDescent="0.3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str">
        <f>IFERROR(VLOOKUP('Customer Info'!A3919,'Customer Info'!A3919:C4418,2,FALSE),"Not Found")</f>
        <v>Not Found</v>
      </c>
      <c r="H3927" s="6" t="str">
        <f>IFERROR(VLOOKUP('Customer Info'!A3919,'Customer Info'!A3919:C4418,3,FALSE),"Not Found")</f>
        <v>Not Found</v>
      </c>
      <c r="I3927" s="6" t="str">
        <f>IFERROR(VLOOKUP('Customer Info'!A3919,'Customer Info'!A3919:E4418,5,FALSE),"Not Found")</f>
        <v>Not Found</v>
      </c>
      <c r="J3927" s="2">
        <v>896</v>
      </c>
      <c r="K3927" s="2">
        <v>870</v>
      </c>
      <c r="L3927" s="2">
        <v>2</v>
      </c>
      <c r="M3927" s="7">
        <f t="shared" si="305"/>
        <v>1740</v>
      </c>
      <c r="N3927" s="7">
        <f t="shared" si="306"/>
        <v>1792</v>
      </c>
      <c r="O3927" s="2">
        <v>51</v>
      </c>
      <c r="P3927" s="8">
        <f t="shared" si="307"/>
        <v>1843</v>
      </c>
      <c r="Q3927" s="8">
        <f t="shared" si="308"/>
        <v>922</v>
      </c>
      <c r="R3927" s="2" t="s">
        <v>28</v>
      </c>
      <c r="S3927" s="9">
        <f t="shared" si="309"/>
        <v>36.86</v>
      </c>
    </row>
    <row r="3928" spans="1:19" x14ac:dyDescent="0.3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str">
        <f>IFERROR(VLOOKUP('Customer Info'!A3920,'Customer Info'!A3920:C4419,2,FALSE),"Not Found")</f>
        <v>Not Found</v>
      </c>
      <c r="H3928" s="6" t="str">
        <f>IFERROR(VLOOKUP('Customer Info'!A3920,'Customer Info'!A3920:C4419,3,FALSE),"Not Found")</f>
        <v>Not Found</v>
      </c>
      <c r="I3928" s="6" t="str">
        <f>IFERROR(VLOOKUP('Customer Info'!A3920,'Customer Info'!A3920:E4419,5,FALSE),"Not Found")</f>
        <v>Not Found</v>
      </c>
      <c r="J3928" s="2">
        <v>2243</v>
      </c>
      <c r="K3928" s="2">
        <v>2000</v>
      </c>
      <c r="L3928" s="2">
        <v>2</v>
      </c>
      <c r="M3928" s="7">
        <f t="shared" si="305"/>
        <v>4000</v>
      </c>
      <c r="N3928" s="7">
        <f t="shared" si="306"/>
        <v>4486</v>
      </c>
      <c r="O3928" s="2">
        <v>62</v>
      </c>
      <c r="P3928" s="8">
        <f t="shared" si="307"/>
        <v>4548</v>
      </c>
      <c r="Q3928" s="8">
        <f t="shared" si="308"/>
        <v>2486</v>
      </c>
      <c r="R3928" s="2" t="s">
        <v>28</v>
      </c>
      <c r="S3928" s="9">
        <f t="shared" si="309"/>
        <v>90.960000000000008</v>
      </c>
    </row>
    <row r="3929" spans="1:19" x14ac:dyDescent="0.3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str">
        <f>IFERROR(VLOOKUP('Customer Info'!A3921,'Customer Info'!A3921:C4420,2,FALSE),"Not Found")</f>
        <v>Not Found</v>
      </c>
      <c r="H3929" s="6" t="str">
        <f>IFERROR(VLOOKUP('Customer Info'!A3921,'Customer Info'!A3921:C4420,3,FALSE),"Not Found")</f>
        <v>Not Found</v>
      </c>
      <c r="I3929" s="6" t="str">
        <f>IFERROR(VLOOKUP('Customer Info'!A3921,'Customer Info'!A3921:E4420,5,FALSE),"Not Found")</f>
        <v>Not Found</v>
      </c>
      <c r="J3929" s="2">
        <v>69</v>
      </c>
      <c r="K3929" s="2">
        <v>64</v>
      </c>
      <c r="L3929" s="2">
        <v>3</v>
      </c>
      <c r="M3929" s="7">
        <f t="shared" si="305"/>
        <v>192</v>
      </c>
      <c r="N3929" s="7">
        <f t="shared" si="306"/>
        <v>207</v>
      </c>
      <c r="O3929" s="2">
        <v>10</v>
      </c>
      <c r="P3929" s="8">
        <f t="shared" si="307"/>
        <v>217</v>
      </c>
      <c r="Q3929" s="8">
        <f t="shared" si="308"/>
        <v>143</v>
      </c>
      <c r="R3929" s="2" t="s">
        <v>50</v>
      </c>
      <c r="S3929" s="9">
        <f t="shared" si="309"/>
        <v>4.34</v>
      </c>
    </row>
    <row r="3930" spans="1:19" x14ac:dyDescent="0.3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str">
        <f>IFERROR(VLOOKUP('Customer Info'!A3922,'Customer Info'!A3922:C4421,2,FALSE),"Not Found")</f>
        <v>Not Found</v>
      </c>
      <c r="H3930" s="6" t="str">
        <f>IFERROR(VLOOKUP('Customer Info'!A3922,'Customer Info'!A3922:C4421,3,FALSE),"Not Found")</f>
        <v>Not Found</v>
      </c>
      <c r="I3930" s="6" t="str">
        <f>IFERROR(VLOOKUP('Customer Info'!A3922,'Customer Info'!A3922:E4421,5,FALSE),"Not Found")</f>
        <v>Not Found</v>
      </c>
      <c r="J3930" s="2">
        <v>392</v>
      </c>
      <c r="K3930" s="2">
        <v>356</v>
      </c>
      <c r="L3930" s="2">
        <v>3</v>
      </c>
      <c r="M3930" s="7">
        <f t="shared" si="305"/>
        <v>1068</v>
      </c>
      <c r="N3930" s="7">
        <f t="shared" si="306"/>
        <v>1176</v>
      </c>
      <c r="O3930" s="2">
        <v>46</v>
      </c>
      <c r="P3930" s="8">
        <f t="shared" si="307"/>
        <v>1222</v>
      </c>
      <c r="Q3930" s="8">
        <f t="shared" si="308"/>
        <v>820</v>
      </c>
      <c r="R3930" s="2" t="s">
        <v>28</v>
      </c>
      <c r="S3930" s="9">
        <f t="shared" si="309"/>
        <v>24.44</v>
      </c>
    </row>
    <row r="3931" spans="1:19" x14ac:dyDescent="0.3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str">
        <f>IFERROR(VLOOKUP('Customer Info'!A3923,'Customer Info'!A3923:C4422,2,FALSE),"Not Found")</f>
        <v>Not Found</v>
      </c>
      <c r="H3931" s="6" t="str">
        <f>IFERROR(VLOOKUP('Customer Info'!A3923,'Customer Info'!A3923:C4422,3,FALSE),"Not Found")</f>
        <v>Not Found</v>
      </c>
      <c r="I3931" s="6" t="str">
        <f>IFERROR(VLOOKUP('Customer Info'!A3923,'Customer Info'!A3923:E4422,5,FALSE),"Not Found")</f>
        <v>Not Found</v>
      </c>
      <c r="J3931" s="2">
        <v>4798</v>
      </c>
      <c r="K3931" s="2">
        <v>4448</v>
      </c>
      <c r="L3931" s="2">
        <v>3</v>
      </c>
      <c r="M3931" s="7">
        <f t="shared" si="305"/>
        <v>13344</v>
      </c>
      <c r="N3931" s="7">
        <f t="shared" si="306"/>
        <v>14394</v>
      </c>
      <c r="O3931" s="2">
        <v>89</v>
      </c>
      <c r="P3931" s="8">
        <f t="shared" si="307"/>
        <v>14483</v>
      </c>
      <c r="Q3931" s="8">
        <f t="shared" si="308"/>
        <v>9946</v>
      </c>
      <c r="R3931" s="2" t="s">
        <v>50</v>
      </c>
      <c r="S3931" s="9">
        <f t="shared" si="309"/>
        <v>724.15000000000009</v>
      </c>
    </row>
    <row r="3932" spans="1:19" x14ac:dyDescent="0.3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str">
        <f>IFERROR(VLOOKUP('Customer Info'!A3924,'Customer Info'!A3924:C4423,2,FALSE),"Not Found")</f>
        <v>Not Found</v>
      </c>
      <c r="H3932" s="6" t="str">
        <f>IFERROR(VLOOKUP('Customer Info'!A3924,'Customer Info'!A3924:C4423,3,FALSE),"Not Found")</f>
        <v>Not Found</v>
      </c>
      <c r="I3932" s="6" t="str">
        <f>IFERROR(VLOOKUP('Customer Info'!A3924,'Customer Info'!A3924:E4423,5,FALSE),"Not Found")</f>
        <v>Not Found</v>
      </c>
      <c r="J3932" s="2">
        <v>222</v>
      </c>
      <c r="K3932" s="2">
        <v>204</v>
      </c>
      <c r="L3932" s="2">
        <v>4</v>
      </c>
      <c r="M3932" s="7">
        <f t="shared" si="305"/>
        <v>816</v>
      </c>
      <c r="N3932" s="7">
        <f t="shared" si="306"/>
        <v>888</v>
      </c>
      <c r="O3932" s="2">
        <v>54</v>
      </c>
      <c r="P3932" s="8">
        <f t="shared" si="307"/>
        <v>942</v>
      </c>
      <c r="Q3932" s="8">
        <f t="shared" si="308"/>
        <v>684</v>
      </c>
      <c r="R3932" s="2" t="s">
        <v>50</v>
      </c>
      <c r="S3932" s="9">
        <f t="shared" si="309"/>
        <v>18.84</v>
      </c>
    </row>
    <row r="3933" spans="1:19" x14ac:dyDescent="0.3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str">
        <f>IFERROR(VLOOKUP('Customer Info'!A3925,'Customer Info'!A3925:C4424,2,FALSE),"Not Found")</f>
        <v>Not Found</v>
      </c>
      <c r="H3933" s="6" t="str">
        <f>IFERROR(VLOOKUP('Customer Info'!A3925,'Customer Info'!A3925:C4424,3,FALSE),"Not Found")</f>
        <v>Not Found</v>
      </c>
      <c r="I3933" s="6" t="str">
        <f>IFERROR(VLOOKUP('Customer Info'!A3925,'Customer Info'!A3925:E4424,5,FALSE),"Not Found")</f>
        <v>Not Found</v>
      </c>
      <c r="J3933" s="2">
        <v>2526</v>
      </c>
      <c r="K3933" s="2">
        <v>2408</v>
      </c>
      <c r="L3933" s="2">
        <v>2</v>
      </c>
      <c r="M3933" s="7">
        <f t="shared" si="305"/>
        <v>4816</v>
      </c>
      <c r="N3933" s="7">
        <f t="shared" si="306"/>
        <v>5052</v>
      </c>
      <c r="O3933" s="2">
        <v>21</v>
      </c>
      <c r="P3933" s="8">
        <f t="shared" si="307"/>
        <v>5073</v>
      </c>
      <c r="Q3933" s="8">
        <f t="shared" si="308"/>
        <v>2644</v>
      </c>
      <c r="R3933" s="2" t="s">
        <v>50</v>
      </c>
      <c r="S3933" s="9">
        <f t="shared" si="309"/>
        <v>253.65</v>
      </c>
    </row>
    <row r="3934" spans="1:19" x14ac:dyDescent="0.3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str">
        <f>IFERROR(VLOOKUP('Customer Info'!A3926,'Customer Info'!A3926:C4425,2,FALSE),"Not Found")</f>
        <v>Not Found</v>
      </c>
      <c r="H3934" s="6" t="str">
        <f>IFERROR(VLOOKUP('Customer Info'!A3926,'Customer Info'!A3926:C4425,3,FALSE),"Not Found")</f>
        <v>Not Found</v>
      </c>
      <c r="I3934" s="6" t="str">
        <f>IFERROR(VLOOKUP('Customer Info'!A3926,'Customer Info'!A3926:E4425,5,FALSE),"Not Found")</f>
        <v>Not Found</v>
      </c>
      <c r="J3934" s="2">
        <v>92</v>
      </c>
      <c r="K3934" s="2">
        <v>82</v>
      </c>
      <c r="L3934" s="2">
        <v>7</v>
      </c>
      <c r="M3934" s="7">
        <f t="shared" si="305"/>
        <v>574</v>
      </c>
      <c r="N3934" s="7">
        <f t="shared" si="306"/>
        <v>644</v>
      </c>
      <c r="O3934" s="2">
        <v>10</v>
      </c>
      <c r="P3934" s="8">
        <f t="shared" si="307"/>
        <v>654</v>
      </c>
      <c r="Q3934" s="8">
        <f t="shared" si="308"/>
        <v>562</v>
      </c>
      <c r="R3934" s="2" t="s">
        <v>28</v>
      </c>
      <c r="S3934" s="9">
        <f t="shared" si="309"/>
        <v>13.08</v>
      </c>
    </row>
    <row r="3935" spans="1:19" x14ac:dyDescent="0.3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str">
        <f>IFERROR(VLOOKUP('Customer Info'!A3927,'Customer Info'!A3927:C4426,2,FALSE),"Not Found")</f>
        <v>Not Found</v>
      </c>
      <c r="H3935" s="6" t="str">
        <f>IFERROR(VLOOKUP('Customer Info'!A3927,'Customer Info'!A3927:C4426,3,FALSE),"Not Found")</f>
        <v>Not Found</v>
      </c>
      <c r="I3935" s="6" t="str">
        <f>IFERROR(VLOOKUP('Customer Info'!A3927,'Customer Info'!A3927:E4426,5,FALSE),"Not Found")</f>
        <v>Not Found</v>
      </c>
      <c r="J3935" s="2">
        <v>1305</v>
      </c>
      <c r="K3935" s="2">
        <v>1197</v>
      </c>
      <c r="L3935" s="2">
        <v>3</v>
      </c>
      <c r="M3935" s="7">
        <f t="shared" si="305"/>
        <v>3591</v>
      </c>
      <c r="N3935" s="7">
        <f t="shared" si="306"/>
        <v>3915</v>
      </c>
      <c r="O3935" s="2">
        <v>54</v>
      </c>
      <c r="P3935" s="8">
        <f t="shared" si="307"/>
        <v>3969</v>
      </c>
      <c r="Q3935" s="8">
        <f t="shared" si="308"/>
        <v>2718</v>
      </c>
      <c r="R3935" s="2" t="s">
        <v>50</v>
      </c>
      <c r="S3935" s="9">
        <f t="shared" si="309"/>
        <v>79.38</v>
      </c>
    </row>
    <row r="3936" spans="1:19" x14ac:dyDescent="0.3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str">
        <f>IFERROR(VLOOKUP('Customer Info'!A3928,'Customer Info'!A3928:C4427,2,FALSE),"Not Found")</f>
        <v>Not Found</v>
      </c>
      <c r="H3936" s="6" t="str">
        <f>IFERROR(VLOOKUP('Customer Info'!A3928,'Customer Info'!A3928:C4427,3,FALSE),"Not Found")</f>
        <v>Not Found</v>
      </c>
      <c r="I3936" s="6" t="str">
        <f>IFERROR(VLOOKUP('Customer Info'!A3928,'Customer Info'!A3928:E4427,5,FALSE),"Not Found")</f>
        <v>Not Found</v>
      </c>
      <c r="J3936" s="2">
        <v>811</v>
      </c>
      <c r="K3936" s="2">
        <v>780</v>
      </c>
      <c r="L3936" s="2">
        <v>3</v>
      </c>
      <c r="M3936" s="7">
        <f t="shared" si="305"/>
        <v>2340</v>
      </c>
      <c r="N3936" s="7">
        <f t="shared" si="306"/>
        <v>2433</v>
      </c>
      <c r="O3936" s="2">
        <v>98</v>
      </c>
      <c r="P3936" s="8">
        <f t="shared" si="307"/>
        <v>2531</v>
      </c>
      <c r="Q3936" s="8">
        <f t="shared" si="308"/>
        <v>1653</v>
      </c>
      <c r="R3936" s="2" t="s">
        <v>28</v>
      </c>
      <c r="S3936" s="9">
        <f t="shared" si="309"/>
        <v>50.620000000000005</v>
      </c>
    </row>
    <row r="3937" spans="1:19" x14ac:dyDescent="0.3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str">
        <f>IFERROR(VLOOKUP('Customer Info'!A3929,'Customer Info'!A3929:C4428,2,FALSE),"Not Found")</f>
        <v>Not Found</v>
      </c>
      <c r="H3937" s="6" t="str">
        <f>IFERROR(VLOOKUP('Customer Info'!A3929,'Customer Info'!A3929:C4428,3,FALSE),"Not Found")</f>
        <v>Not Found</v>
      </c>
      <c r="I3937" s="6" t="str">
        <f>IFERROR(VLOOKUP('Customer Info'!A3929,'Customer Info'!A3929:E4428,5,FALSE),"Not Found")</f>
        <v>Not Found</v>
      </c>
      <c r="J3937" s="2">
        <v>887</v>
      </c>
      <c r="K3937" s="2">
        <v>814</v>
      </c>
      <c r="L3937" s="2">
        <v>1</v>
      </c>
      <c r="M3937" s="7">
        <f t="shared" si="305"/>
        <v>814</v>
      </c>
      <c r="N3937" s="7">
        <f t="shared" si="306"/>
        <v>887</v>
      </c>
      <c r="O3937" s="2">
        <v>92</v>
      </c>
      <c r="P3937" s="8">
        <f t="shared" si="307"/>
        <v>979</v>
      </c>
      <c r="Q3937" s="8">
        <f t="shared" si="308"/>
        <v>73</v>
      </c>
      <c r="R3937" s="2" t="s">
        <v>28</v>
      </c>
      <c r="S3937" s="9">
        <f t="shared" si="309"/>
        <v>19.580000000000002</v>
      </c>
    </row>
    <row r="3938" spans="1:19" x14ac:dyDescent="0.3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str">
        <f>IFERROR(VLOOKUP('Customer Info'!A3930,'Customer Info'!A3930:C4429,2,FALSE),"Not Found")</f>
        <v>Not Found</v>
      </c>
      <c r="H3938" s="6" t="str">
        <f>IFERROR(VLOOKUP('Customer Info'!A3930,'Customer Info'!A3930:C4429,3,FALSE),"Not Found")</f>
        <v>Not Found</v>
      </c>
      <c r="I3938" s="6" t="str">
        <f>IFERROR(VLOOKUP('Customer Info'!A3930,'Customer Info'!A3930:E4429,5,FALSE),"Not Found")</f>
        <v>Not Found</v>
      </c>
      <c r="J3938" s="2">
        <v>2778</v>
      </c>
      <c r="K3938" s="2">
        <v>2573</v>
      </c>
      <c r="L3938" s="2">
        <v>2</v>
      </c>
      <c r="M3938" s="7">
        <f t="shared" si="305"/>
        <v>5146</v>
      </c>
      <c r="N3938" s="7">
        <f t="shared" si="306"/>
        <v>5556</v>
      </c>
      <c r="O3938" s="2">
        <v>52</v>
      </c>
      <c r="P3938" s="8">
        <f t="shared" si="307"/>
        <v>5608</v>
      </c>
      <c r="Q3938" s="8">
        <f t="shared" si="308"/>
        <v>2983</v>
      </c>
      <c r="R3938" s="2" t="s">
        <v>50</v>
      </c>
      <c r="S3938" s="9">
        <f t="shared" si="309"/>
        <v>280.40000000000003</v>
      </c>
    </row>
    <row r="3939" spans="1:19" x14ac:dyDescent="0.3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str">
        <f>IFERROR(VLOOKUP('Customer Info'!A3931,'Customer Info'!A3931:C4430,2,FALSE),"Not Found")</f>
        <v>Not Found</v>
      </c>
      <c r="H3939" s="6" t="str">
        <f>IFERROR(VLOOKUP('Customer Info'!A3931,'Customer Info'!A3931:C4430,3,FALSE),"Not Found")</f>
        <v>Not Found</v>
      </c>
      <c r="I3939" s="6" t="str">
        <f>IFERROR(VLOOKUP('Customer Info'!A3931,'Customer Info'!A3931:E4430,5,FALSE),"Not Found")</f>
        <v>Not Found</v>
      </c>
      <c r="J3939" s="2">
        <v>1169</v>
      </c>
      <c r="K3939" s="2">
        <v>1103</v>
      </c>
      <c r="L3939" s="2">
        <v>1</v>
      </c>
      <c r="M3939" s="7">
        <f t="shared" si="305"/>
        <v>1103</v>
      </c>
      <c r="N3939" s="7">
        <f t="shared" si="306"/>
        <v>1169</v>
      </c>
      <c r="O3939" s="2">
        <v>87</v>
      </c>
      <c r="P3939" s="8">
        <f t="shared" si="307"/>
        <v>1256</v>
      </c>
      <c r="Q3939" s="8">
        <f t="shared" si="308"/>
        <v>66</v>
      </c>
      <c r="R3939" s="2" t="s">
        <v>28</v>
      </c>
      <c r="S3939" s="9">
        <f t="shared" si="309"/>
        <v>25.12</v>
      </c>
    </row>
    <row r="3940" spans="1:19" x14ac:dyDescent="0.3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str">
        <f>IFERROR(VLOOKUP('Customer Info'!A3932,'Customer Info'!A3932:C4431,2,FALSE),"Not Found")</f>
        <v>Not Found</v>
      </c>
      <c r="H3940" s="6" t="str">
        <f>IFERROR(VLOOKUP('Customer Info'!A3932,'Customer Info'!A3932:C4431,3,FALSE),"Not Found")</f>
        <v>Not Found</v>
      </c>
      <c r="I3940" s="6" t="str">
        <f>IFERROR(VLOOKUP('Customer Info'!A3932,'Customer Info'!A3932:E4431,5,FALSE),"Not Found")</f>
        <v>Not Found</v>
      </c>
      <c r="J3940" s="2">
        <v>1798</v>
      </c>
      <c r="K3940" s="2">
        <v>1650</v>
      </c>
      <c r="L3940" s="2">
        <v>3</v>
      </c>
      <c r="M3940" s="7">
        <f t="shared" si="305"/>
        <v>4950</v>
      </c>
      <c r="N3940" s="7">
        <f t="shared" si="306"/>
        <v>5394</v>
      </c>
      <c r="O3940" s="2">
        <v>23</v>
      </c>
      <c r="P3940" s="8">
        <f t="shared" si="307"/>
        <v>5417</v>
      </c>
      <c r="Q3940" s="8">
        <f t="shared" si="308"/>
        <v>3744</v>
      </c>
      <c r="R3940" s="2" t="s">
        <v>50</v>
      </c>
      <c r="S3940" s="9">
        <f t="shared" si="309"/>
        <v>270.85000000000002</v>
      </c>
    </row>
    <row r="3941" spans="1:19" x14ac:dyDescent="0.3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str">
        <f>IFERROR(VLOOKUP('Customer Info'!A3933,'Customer Info'!A3933:C4432,2,FALSE),"Not Found")</f>
        <v>Not Found</v>
      </c>
      <c r="H3941" s="6" t="str">
        <f>IFERROR(VLOOKUP('Customer Info'!A3933,'Customer Info'!A3933:C4432,3,FALSE),"Not Found")</f>
        <v>Not Found</v>
      </c>
      <c r="I3941" s="6" t="str">
        <f>IFERROR(VLOOKUP('Customer Info'!A3933,'Customer Info'!A3933:E4432,5,FALSE),"Not Found")</f>
        <v>Not Found</v>
      </c>
      <c r="J3941" s="2">
        <v>2981</v>
      </c>
      <c r="K3941" s="2">
        <v>2870</v>
      </c>
      <c r="L3941" s="2">
        <v>7</v>
      </c>
      <c r="M3941" s="7">
        <f t="shared" si="305"/>
        <v>20090</v>
      </c>
      <c r="N3941" s="7">
        <f t="shared" si="306"/>
        <v>20867</v>
      </c>
      <c r="O3941" s="2">
        <v>62</v>
      </c>
      <c r="P3941" s="8">
        <f t="shared" si="307"/>
        <v>20929</v>
      </c>
      <c r="Q3941" s="8">
        <f t="shared" si="308"/>
        <v>17997</v>
      </c>
      <c r="R3941" s="2" t="s">
        <v>28</v>
      </c>
      <c r="S3941" s="9">
        <f t="shared" si="309"/>
        <v>1046.45</v>
      </c>
    </row>
    <row r="3942" spans="1:19" x14ac:dyDescent="0.3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str">
        <f>IFERROR(VLOOKUP('Customer Info'!A3934,'Customer Info'!A3934:C4433,2,FALSE),"Not Found")</f>
        <v>Not Found</v>
      </c>
      <c r="H3942" s="6" t="str">
        <f>IFERROR(VLOOKUP('Customer Info'!A3934,'Customer Info'!A3934:C4433,3,FALSE),"Not Found")</f>
        <v>Not Found</v>
      </c>
      <c r="I3942" s="6" t="str">
        <f>IFERROR(VLOOKUP('Customer Info'!A3934,'Customer Info'!A3934:E4433,5,FALSE),"Not Found")</f>
        <v>Not Found</v>
      </c>
      <c r="J3942" s="2">
        <v>7922</v>
      </c>
      <c r="K3942" s="2">
        <v>7328</v>
      </c>
      <c r="L3942" s="2">
        <v>5</v>
      </c>
      <c r="M3942" s="7">
        <f t="shared" si="305"/>
        <v>36640</v>
      </c>
      <c r="N3942" s="7">
        <f t="shared" si="306"/>
        <v>39610</v>
      </c>
      <c r="O3942" s="2">
        <v>26</v>
      </c>
      <c r="P3942" s="8">
        <f t="shared" si="307"/>
        <v>39636</v>
      </c>
      <c r="Q3942" s="8">
        <f t="shared" si="308"/>
        <v>32282</v>
      </c>
      <c r="R3942" s="2" t="s">
        <v>50</v>
      </c>
      <c r="S3942" s="9">
        <f t="shared" si="309"/>
        <v>2774.5200000000004</v>
      </c>
    </row>
    <row r="3943" spans="1:19" x14ac:dyDescent="0.3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str">
        <f>IFERROR(VLOOKUP('Customer Info'!A3935,'Customer Info'!A3935:C4434,2,FALSE),"Not Found")</f>
        <v>Not Found</v>
      </c>
      <c r="H3943" s="6" t="str">
        <f>IFERROR(VLOOKUP('Customer Info'!A3935,'Customer Info'!A3935:C4434,3,FALSE),"Not Found")</f>
        <v>Not Found</v>
      </c>
      <c r="I3943" s="6" t="str">
        <f>IFERROR(VLOOKUP('Customer Info'!A3935,'Customer Info'!A3935:E4434,5,FALSE),"Not Found")</f>
        <v>Not Found</v>
      </c>
      <c r="J3943" s="2">
        <v>202</v>
      </c>
      <c r="K3943" s="2">
        <v>187</v>
      </c>
      <c r="L3943" s="2">
        <v>4</v>
      </c>
      <c r="M3943" s="7">
        <f t="shared" si="305"/>
        <v>748</v>
      </c>
      <c r="N3943" s="7">
        <f t="shared" si="306"/>
        <v>808</v>
      </c>
      <c r="O3943" s="2">
        <v>30</v>
      </c>
      <c r="P3943" s="8">
        <f t="shared" si="307"/>
        <v>838</v>
      </c>
      <c r="Q3943" s="8">
        <f t="shared" si="308"/>
        <v>621</v>
      </c>
      <c r="R3943" s="2" t="s">
        <v>50</v>
      </c>
      <c r="S3943" s="9">
        <f t="shared" si="309"/>
        <v>16.760000000000002</v>
      </c>
    </row>
    <row r="3944" spans="1:19" x14ac:dyDescent="0.3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str">
        <f>IFERROR(VLOOKUP('Customer Info'!A3936,'Customer Info'!A3936:C4435,2,FALSE),"Not Found")</f>
        <v>Not Found</v>
      </c>
      <c r="H3944" s="6" t="str">
        <f>IFERROR(VLOOKUP('Customer Info'!A3936,'Customer Info'!A3936:C4435,3,FALSE),"Not Found")</f>
        <v>Not Found</v>
      </c>
      <c r="I3944" s="6" t="str">
        <f>IFERROR(VLOOKUP('Customer Info'!A3936,'Customer Info'!A3936:E4435,5,FALSE),"Not Found")</f>
        <v>Not Found</v>
      </c>
      <c r="J3944" s="2">
        <v>2790</v>
      </c>
      <c r="K3944" s="2">
        <v>2557</v>
      </c>
      <c r="L3944" s="2">
        <v>2</v>
      </c>
      <c r="M3944" s="7">
        <f t="shared" si="305"/>
        <v>5114</v>
      </c>
      <c r="N3944" s="7">
        <f t="shared" si="306"/>
        <v>5580</v>
      </c>
      <c r="O3944" s="2">
        <v>47</v>
      </c>
      <c r="P3944" s="8">
        <f t="shared" si="307"/>
        <v>5627</v>
      </c>
      <c r="Q3944" s="8">
        <f t="shared" si="308"/>
        <v>3023</v>
      </c>
      <c r="R3944" s="2" t="s">
        <v>50</v>
      </c>
      <c r="S3944" s="9">
        <f t="shared" si="309"/>
        <v>281.35000000000002</v>
      </c>
    </row>
    <row r="3945" spans="1:19" x14ac:dyDescent="0.3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str">
        <f>IFERROR(VLOOKUP('Customer Info'!A3937,'Customer Info'!A3937:C4436,2,FALSE),"Not Found")</f>
        <v>Not Found</v>
      </c>
      <c r="H3945" s="6" t="str">
        <f>IFERROR(VLOOKUP('Customer Info'!A3937,'Customer Info'!A3937:C4436,3,FALSE),"Not Found")</f>
        <v>Not Found</v>
      </c>
      <c r="I3945" s="6" t="str">
        <f>IFERROR(VLOOKUP('Customer Info'!A3937,'Customer Info'!A3937:E4436,5,FALSE),"Not Found")</f>
        <v>Not Found</v>
      </c>
      <c r="J3945" s="2">
        <v>78</v>
      </c>
      <c r="K3945" s="2">
        <v>74</v>
      </c>
      <c r="L3945" s="2">
        <v>7</v>
      </c>
      <c r="M3945" s="7">
        <f t="shared" si="305"/>
        <v>518</v>
      </c>
      <c r="N3945" s="7">
        <f t="shared" si="306"/>
        <v>546</v>
      </c>
      <c r="O3945" s="2">
        <v>10</v>
      </c>
      <c r="P3945" s="8">
        <f t="shared" si="307"/>
        <v>556</v>
      </c>
      <c r="Q3945" s="8">
        <f t="shared" si="308"/>
        <v>472</v>
      </c>
      <c r="R3945" s="2" t="s">
        <v>28</v>
      </c>
      <c r="S3945" s="9">
        <f t="shared" si="309"/>
        <v>11.120000000000001</v>
      </c>
    </row>
    <row r="3946" spans="1:19" x14ac:dyDescent="0.3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str">
        <f>IFERROR(VLOOKUP('Customer Info'!A3938,'Customer Info'!A3938:C4437,2,FALSE),"Not Found")</f>
        <v>Not Found</v>
      </c>
      <c r="H3946" s="6" t="str">
        <f>IFERROR(VLOOKUP('Customer Info'!A3938,'Customer Info'!A3938:C4437,3,FALSE),"Not Found")</f>
        <v>Not Found</v>
      </c>
      <c r="I3946" s="6" t="str">
        <f>IFERROR(VLOOKUP('Customer Info'!A3938,'Customer Info'!A3938:E4437,5,FALSE),"Not Found")</f>
        <v>Not Found</v>
      </c>
      <c r="J3946" s="2">
        <v>404</v>
      </c>
      <c r="K3946" s="2">
        <v>371</v>
      </c>
      <c r="L3946" s="2">
        <v>3</v>
      </c>
      <c r="M3946" s="7">
        <f t="shared" si="305"/>
        <v>1113</v>
      </c>
      <c r="N3946" s="7">
        <f t="shared" si="306"/>
        <v>1212</v>
      </c>
      <c r="O3946" s="2">
        <v>60</v>
      </c>
      <c r="P3946" s="8">
        <f t="shared" si="307"/>
        <v>1272</v>
      </c>
      <c r="Q3946" s="8">
        <f t="shared" si="308"/>
        <v>841</v>
      </c>
      <c r="R3946" s="2" t="s">
        <v>50</v>
      </c>
      <c r="S3946" s="9">
        <f t="shared" si="309"/>
        <v>25.44</v>
      </c>
    </row>
    <row r="3947" spans="1:19" x14ac:dyDescent="0.3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str">
        <f>IFERROR(VLOOKUP('Customer Info'!A3939,'Customer Info'!A3939:C4438,2,FALSE),"Not Found")</f>
        <v>Not Found</v>
      </c>
      <c r="H3947" s="6" t="str">
        <f>IFERROR(VLOOKUP('Customer Info'!A3939,'Customer Info'!A3939:C4438,3,FALSE),"Not Found")</f>
        <v>Not Found</v>
      </c>
      <c r="I3947" s="6" t="str">
        <f>IFERROR(VLOOKUP('Customer Info'!A3939,'Customer Info'!A3939:E4438,5,FALSE),"Not Found")</f>
        <v>Not Found</v>
      </c>
      <c r="J3947" s="2">
        <v>1359</v>
      </c>
      <c r="K3947" s="2">
        <v>1221</v>
      </c>
      <c r="L3947" s="2">
        <v>6</v>
      </c>
      <c r="M3947" s="7">
        <f t="shared" si="305"/>
        <v>7326</v>
      </c>
      <c r="N3947" s="7">
        <f t="shared" si="306"/>
        <v>8154</v>
      </c>
      <c r="O3947" s="2">
        <v>50</v>
      </c>
      <c r="P3947" s="8">
        <f t="shared" si="307"/>
        <v>8204</v>
      </c>
      <c r="Q3947" s="8">
        <f t="shared" si="308"/>
        <v>6933</v>
      </c>
      <c r="R3947" s="2" t="s">
        <v>50</v>
      </c>
      <c r="S3947" s="9">
        <f t="shared" si="309"/>
        <v>410.20000000000005</v>
      </c>
    </row>
    <row r="3948" spans="1:19" x14ac:dyDescent="0.3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str">
        <f>IFERROR(VLOOKUP('Customer Info'!A3940,'Customer Info'!A3940:C4439,2,FALSE),"Not Found")</f>
        <v>Not Found</v>
      </c>
      <c r="H3948" s="6" t="str">
        <f>IFERROR(VLOOKUP('Customer Info'!A3940,'Customer Info'!A3940:C4439,3,FALSE),"Not Found")</f>
        <v>Not Found</v>
      </c>
      <c r="I3948" s="6" t="str">
        <f>IFERROR(VLOOKUP('Customer Info'!A3940,'Customer Info'!A3940:E4439,5,FALSE),"Not Found")</f>
        <v>Not Found</v>
      </c>
      <c r="J3948" s="2">
        <v>1169</v>
      </c>
      <c r="K3948" s="2">
        <v>1103</v>
      </c>
      <c r="L3948" s="2">
        <v>6</v>
      </c>
      <c r="M3948" s="7">
        <f t="shared" si="305"/>
        <v>6618</v>
      </c>
      <c r="N3948" s="7">
        <f t="shared" si="306"/>
        <v>7014</v>
      </c>
      <c r="O3948" s="2">
        <v>51</v>
      </c>
      <c r="P3948" s="8">
        <f t="shared" si="307"/>
        <v>7065</v>
      </c>
      <c r="Q3948" s="8">
        <f t="shared" si="308"/>
        <v>5911</v>
      </c>
      <c r="R3948" s="2" t="s">
        <v>50</v>
      </c>
      <c r="S3948" s="9">
        <f t="shared" si="309"/>
        <v>353.25</v>
      </c>
    </row>
    <row r="3949" spans="1:19" x14ac:dyDescent="0.3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str">
        <f>IFERROR(VLOOKUP('Customer Info'!A3941,'Customer Info'!A3941:C4440,2,FALSE),"Not Found")</f>
        <v>Not Found</v>
      </c>
      <c r="H3949" s="6" t="str">
        <f>IFERROR(VLOOKUP('Customer Info'!A3941,'Customer Info'!A3941:C4440,3,FALSE),"Not Found")</f>
        <v>Not Found</v>
      </c>
      <c r="I3949" s="6" t="str">
        <f>IFERROR(VLOOKUP('Customer Info'!A3941,'Customer Info'!A3941:E4440,5,FALSE),"Not Found")</f>
        <v>Not Found</v>
      </c>
      <c r="J3949" s="2">
        <v>175</v>
      </c>
      <c r="K3949" s="2">
        <v>162</v>
      </c>
      <c r="L3949" s="2">
        <v>3</v>
      </c>
      <c r="M3949" s="7">
        <f t="shared" si="305"/>
        <v>486</v>
      </c>
      <c r="N3949" s="7">
        <f t="shared" si="306"/>
        <v>525</v>
      </c>
      <c r="O3949" s="2">
        <v>30</v>
      </c>
      <c r="P3949" s="8">
        <f t="shared" si="307"/>
        <v>555</v>
      </c>
      <c r="Q3949" s="8">
        <f t="shared" si="308"/>
        <v>363</v>
      </c>
      <c r="R3949" s="2" t="s">
        <v>28</v>
      </c>
      <c r="S3949" s="9">
        <f t="shared" si="309"/>
        <v>11.1</v>
      </c>
    </row>
    <row r="3950" spans="1:19" x14ac:dyDescent="0.3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str">
        <f>IFERROR(VLOOKUP('Customer Info'!A3942,'Customer Info'!A3942:C4441,2,FALSE),"Not Found")</f>
        <v>Not Found</v>
      </c>
      <c r="H3950" s="6" t="str">
        <f>IFERROR(VLOOKUP('Customer Info'!A3942,'Customer Info'!A3942:C4441,3,FALSE),"Not Found")</f>
        <v>Not Found</v>
      </c>
      <c r="I3950" s="6" t="str">
        <f>IFERROR(VLOOKUP('Customer Info'!A3942,'Customer Info'!A3942:E4441,5,FALSE),"Not Found")</f>
        <v>Not Found</v>
      </c>
      <c r="J3950" s="2">
        <v>21566</v>
      </c>
      <c r="K3950" s="2">
        <v>19225</v>
      </c>
      <c r="L3950" s="2">
        <v>3</v>
      </c>
      <c r="M3950" s="7">
        <f t="shared" si="305"/>
        <v>57675</v>
      </c>
      <c r="N3950" s="7">
        <f t="shared" si="306"/>
        <v>64698</v>
      </c>
      <c r="O3950" s="2">
        <v>84</v>
      </c>
      <c r="P3950" s="8">
        <f t="shared" si="307"/>
        <v>64782</v>
      </c>
      <c r="Q3950" s="8">
        <f t="shared" si="308"/>
        <v>45473</v>
      </c>
      <c r="R3950" s="2" t="s">
        <v>28</v>
      </c>
      <c r="S3950" s="9">
        <f t="shared" si="309"/>
        <v>5830.38</v>
      </c>
    </row>
    <row r="3951" spans="1:19" x14ac:dyDescent="0.3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str">
        <f>IFERROR(VLOOKUP('Customer Info'!A3943,'Customer Info'!A3943:C4442,2,FALSE),"Not Found")</f>
        <v>Not Found</v>
      </c>
      <c r="H3951" s="6" t="str">
        <f>IFERROR(VLOOKUP('Customer Info'!A3943,'Customer Info'!A3943:C4442,3,FALSE),"Not Found")</f>
        <v>Not Found</v>
      </c>
      <c r="I3951" s="6" t="str">
        <f>IFERROR(VLOOKUP('Customer Info'!A3943,'Customer Info'!A3943:E4442,5,FALSE),"Not Found")</f>
        <v>Not Found</v>
      </c>
      <c r="J3951" s="2">
        <v>6611</v>
      </c>
      <c r="K3951" s="2">
        <v>5943</v>
      </c>
      <c r="L3951" s="2">
        <v>3</v>
      </c>
      <c r="M3951" s="7">
        <f t="shared" si="305"/>
        <v>17829</v>
      </c>
      <c r="N3951" s="7">
        <f t="shared" si="306"/>
        <v>19833</v>
      </c>
      <c r="O3951" s="2">
        <v>63</v>
      </c>
      <c r="P3951" s="8">
        <f t="shared" si="307"/>
        <v>19896</v>
      </c>
      <c r="Q3951" s="8">
        <f t="shared" si="308"/>
        <v>13890</v>
      </c>
      <c r="R3951" s="2" t="s">
        <v>28</v>
      </c>
      <c r="S3951" s="9">
        <f t="shared" si="309"/>
        <v>994.80000000000007</v>
      </c>
    </row>
    <row r="3952" spans="1:19" x14ac:dyDescent="0.3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str">
        <f>IFERROR(VLOOKUP('Customer Info'!A3944,'Customer Info'!A3944:C4443,2,FALSE),"Not Found")</f>
        <v>Not Found</v>
      </c>
      <c r="H3952" s="6" t="str">
        <f>IFERROR(VLOOKUP('Customer Info'!A3944,'Customer Info'!A3944:C4443,3,FALSE),"Not Found")</f>
        <v>Not Found</v>
      </c>
      <c r="I3952" s="6" t="str">
        <f>IFERROR(VLOOKUP('Customer Info'!A3944,'Customer Info'!A3944:E4443,5,FALSE),"Not Found")</f>
        <v>Not Found</v>
      </c>
      <c r="J3952" s="2">
        <v>1512</v>
      </c>
      <c r="K3952" s="2">
        <v>1497</v>
      </c>
      <c r="L3952" s="2">
        <v>1</v>
      </c>
      <c r="M3952" s="7">
        <f t="shared" si="305"/>
        <v>1497</v>
      </c>
      <c r="N3952" s="7">
        <f t="shared" si="306"/>
        <v>1512</v>
      </c>
      <c r="O3952" s="2">
        <v>54</v>
      </c>
      <c r="P3952" s="8">
        <f t="shared" si="307"/>
        <v>1566</v>
      </c>
      <c r="Q3952" s="8">
        <f t="shared" si="308"/>
        <v>15</v>
      </c>
      <c r="R3952" s="2" t="s">
        <v>50</v>
      </c>
      <c r="S3952" s="9">
        <f t="shared" si="309"/>
        <v>31.32</v>
      </c>
    </row>
    <row r="3953" spans="1:19" x14ac:dyDescent="0.3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str">
        <f>IFERROR(VLOOKUP('Customer Info'!A3945,'Customer Info'!A3945:C4444,2,FALSE),"Not Found")</f>
        <v>Not Found</v>
      </c>
      <c r="H3953" s="6" t="str">
        <f>IFERROR(VLOOKUP('Customer Info'!A3945,'Customer Info'!A3945:C4444,3,FALSE),"Not Found")</f>
        <v>Not Found</v>
      </c>
      <c r="I3953" s="6" t="str">
        <f>IFERROR(VLOOKUP('Customer Info'!A3945,'Customer Info'!A3945:E4444,5,FALSE),"Not Found")</f>
        <v>Not Found</v>
      </c>
      <c r="J3953" s="2">
        <v>1358</v>
      </c>
      <c r="K3953" s="2">
        <v>1257</v>
      </c>
      <c r="L3953" s="2">
        <v>1</v>
      </c>
      <c r="M3953" s="7">
        <f t="shared" si="305"/>
        <v>1257</v>
      </c>
      <c r="N3953" s="7">
        <f t="shared" si="306"/>
        <v>1358</v>
      </c>
      <c r="O3953" s="2">
        <v>60</v>
      </c>
      <c r="P3953" s="8">
        <f t="shared" si="307"/>
        <v>1418</v>
      </c>
      <c r="Q3953" s="8">
        <f t="shared" si="308"/>
        <v>101</v>
      </c>
      <c r="R3953" s="2" t="s">
        <v>50</v>
      </c>
      <c r="S3953" s="9">
        <f t="shared" si="309"/>
        <v>28.36</v>
      </c>
    </row>
    <row r="3954" spans="1:19" x14ac:dyDescent="0.3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str">
        <f>IFERROR(VLOOKUP('Customer Info'!A3946,'Customer Info'!A3946:C4445,2,FALSE),"Not Found")</f>
        <v>Not Found</v>
      </c>
      <c r="H3954" s="6" t="str">
        <f>IFERROR(VLOOKUP('Customer Info'!A3946,'Customer Info'!A3946:C4445,3,FALSE),"Not Found")</f>
        <v>Not Found</v>
      </c>
      <c r="I3954" s="6" t="str">
        <f>IFERROR(VLOOKUP('Customer Info'!A3946,'Customer Info'!A3946:E4445,5,FALSE),"Not Found")</f>
        <v>Not Found</v>
      </c>
      <c r="J3954" s="2">
        <v>4714</v>
      </c>
      <c r="K3954" s="2">
        <v>4323</v>
      </c>
      <c r="L3954" s="2">
        <v>2</v>
      </c>
      <c r="M3954" s="7">
        <f t="shared" si="305"/>
        <v>8646</v>
      </c>
      <c r="N3954" s="7">
        <f t="shared" si="306"/>
        <v>9428</v>
      </c>
      <c r="O3954" s="2">
        <v>40</v>
      </c>
      <c r="P3954" s="8">
        <f t="shared" si="307"/>
        <v>9468</v>
      </c>
      <c r="Q3954" s="8">
        <f t="shared" si="308"/>
        <v>5105</v>
      </c>
      <c r="R3954" s="2" t="s">
        <v>28</v>
      </c>
      <c r="S3954" s="9">
        <f t="shared" si="309"/>
        <v>473.40000000000003</v>
      </c>
    </row>
    <row r="3955" spans="1:19" x14ac:dyDescent="0.3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str">
        <f>IFERROR(VLOOKUP('Customer Info'!A3947,'Customer Info'!A3947:C4446,2,FALSE),"Not Found")</f>
        <v>Not Found</v>
      </c>
      <c r="H3955" s="6" t="str">
        <f>IFERROR(VLOOKUP('Customer Info'!A3947,'Customer Info'!A3947:C4446,3,FALSE),"Not Found")</f>
        <v>Not Found</v>
      </c>
      <c r="I3955" s="6" t="str">
        <f>IFERROR(VLOOKUP('Customer Info'!A3947,'Customer Info'!A3947:E4446,5,FALSE),"Not Found")</f>
        <v>Not Found</v>
      </c>
      <c r="J3955" s="2">
        <v>1834</v>
      </c>
      <c r="K3955" s="2">
        <v>1716</v>
      </c>
      <c r="L3955" s="2">
        <v>2</v>
      </c>
      <c r="M3955" s="7">
        <f t="shared" si="305"/>
        <v>3432</v>
      </c>
      <c r="N3955" s="7">
        <f t="shared" si="306"/>
        <v>3668</v>
      </c>
      <c r="O3955" s="2">
        <v>65</v>
      </c>
      <c r="P3955" s="8">
        <f t="shared" si="307"/>
        <v>3733</v>
      </c>
      <c r="Q3955" s="8">
        <f t="shared" si="308"/>
        <v>1952</v>
      </c>
      <c r="R3955" s="2" t="s">
        <v>28</v>
      </c>
      <c r="S3955" s="9">
        <f t="shared" si="309"/>
        <v>74.66</v>
      </c>
    </row>
    <row r="3956" spans="1:19" x14ac:dyDescent="0.3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str">
        <f>IFERROR(VLOOKUP('Customer Info'!A3948,'Customer Info'!A3948:C4447,2,FALSE),"Not Found")</f>
        <v>Not Found</v>
      </c>
      <c r="H3956" s="6" t="str">
        <f>IFERROR(VLOOKUP('Customer Info'!A3948,'Customer Info'!A3948:C4447,3,FALSE),"Not Found")</f>
        <v>Not Found</v>
      </c>
      <c r="I3956" s="6" t="str">
        <f>IFERROR(VLOOKUP('Customer Info'!A3948,'Customer Info'!A3948:E4447,5,FALSE),"Not Found")</f>
        <v>Not Found</v>
      </c>
      <c r="J3956" s="2">
        <v>1060</v>
      </c>
      <c r="K3956" s="2">
        <v>964</v>
      </c>
      <c r="L3956" s="2">
        <v>1</v>
      </c>
      <c r="M3956" s="7">
        <f t="shared" si="305"/>
        <v>964</v>
      </c>
      <c r="N3956" s="7">
        <f t="shared" si="306"/>
        <v>1060</v>
      </c>
      <c r="O3956" s="2">
        <v>65</v>
      </c>
      <c r="P3956" s="8">
        <f t="shared" si="307"/>
        <v>1125</v>
      </c>
      <c r="Q3956" s="8">
        <f t="shared" si="308"/>
        <v>96</v>
      </c>
      <c r="R3956" s="2" t="s">
        <v>26</v>
      </c>
      <c r="S3956" s="9">
        <f t="shared" si="309"/>
        <v>22.5</v>
      </c>
    </row>
    <row r="3957" spans="1:19" x14ac:dyDescent="0.3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str">
        <f>IFERROR(VLOOKUP('Customer Info'!A3949,'Customer Info'!A3949:C4448,2,FALSE),"Not Found")</f>
        <v>Not Found</v>
      </c>
      <c r="H3957" s="6" t="str">
        <f>IFERROR(VLOOKUP('Customer Info'!A3949,'Customer Info'!A3949:C4448,3,FALSE),"Not Found")</f>
        <v>Not Found</v>
      </c>
      <c r="I3957" s="6" t="str">
        <f>IFERROR(VLOOKUP('Customer Info'!A3949,'Customer Info'!A3949:E4448,5,FALSE),"Not Found")</f>
        <v>Not Found</v>
      </c>
      <c r="J3957" s="2">
        <v>1808</v>
      </c>
      <c r="K3957" s="2">
        <v>1740</v>
      </c>
      <c r="L3957" s="2">
        <v>3</v>
      </c>
      <c r="M3957" s="7">
        <f t="shared" si="305"/>
        <v>5220</v>
      </c>
      <c r="N3957" s="7">
        <f t="shared" si="306"/>
        <v>5424</v>
      </c>
      <c r="O3957" s="2">
        <v>99</v>
      </c>
      <c r="P3957" s="8">
        <f t="shared" si="307"/>
        <v>5523</v>
      </c>
      <c r="Q3957" s="8">
        <f t="shared" si="308"/>
        <v>3684</v>
      </c>
      <c r="R3957" s="2" t="s">
        <v>28</v>
      </c>
      <c r="S3957" s="9">
        <f t="shared" si="309"/>
        <v>276.15000000000003</v>
      </c>
    </row>
    <row r="3958" spans="1:19" x14ac:dyDescent="0.3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str">
        <f>IFERROR(VLOOKUP('Customer Info'!A3950,'Customer Info'!A3950:C4449,2,FALSE),"Not Found")</f>
        <v>Not Found</v>
      </c>
      <c r="H3958" s="6" t="str">
        <f>IFERROR(VLOOKUP('Customer Info'!A3950,'Customer Info'!A3950:C4449,3,FALSE),"Not Found")</f>
        <v>Not Found</v>
      </c>
      <c r="I3958" s="6" t="str">
        <f>IFERROR(VLOOKUP('Customer Info'!A3950,'Customer Info'!A3950:E4449,5,FALSE),"Not Found")</f>
        <v>Not Found</v>
      </c>
      <c r="J3958" s="2">
        <v>877</v>
      </c>
      <c r="K3958" s="2">
        <v>788</v>
      </c>
      <c r="L3958" s="2">
        <v>4</v>
      </c>
      <c r="M3958" s="7">
        <f t="shared" si="305"/>
        <v>3152</v>
      </c>
      <c r="N3958" s="7">
        <f t="shared" si="306"/>
        <v>3508</v>
      </c>
      <c r="O3958" s="2">
        <v>66</v>
      </c>
      <c r="P3958" s="8">
        <f t="shared" si="307"/>
        <v>3574</v>
      </c>
      <c r="Q3958" s="8">
        <f t="shared" si="308"/>
        <v>2720</v>
      </c>
      <c r="R3958" s="2" t="s">
        <v>50</v>
      </c>
      <c r="S3958" s="9">
        <f t="shared" si="309"/>
        <v>71.48</v>
      </c>
    </row>
    <row r="3959" spans="1:19" x14ac:dyDescent="0.3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str">
        <f>IFERROR(VLOOKUP('Customer Info'!A3951,'Customer Info'!A3951:C4450,2,FALSE),"Not Found")</f>
        <v>Not Found</v>
      </c>
      <c r="H3959" s="6" t="str">
        <f>IFERROR(VLOOKUP('Customer Info'!A3951,'Customer Info'!A3951:C4450,3,FALSE),"Not Found")</f>
        <v>Not Found</v>
      </c>
      <c r="I3959" s="6" t="str">
        <f>IFERROR(VLOOKUP('Customer Info'!A3951,'Customer Info'!A3951:E4450,5,FALSE),"Not Found")</f>
        <v>Not Found</v>
      </c>
      <c r="J3959" s="2">
        <v>2273</v>
      </c>
      <c r="K3959" s="2">
        <v>2229</v>
      </c>
      <c r="L3959" s="2">
        <v>2</v>
      </c>
      <c r="M3959" s="7">
        <f t="shared" si="305"/>
        <v>4458</v>
      </c>
      <c r="N3959" s="7">
        <f t="shared" si="306"/>
        <v>4546</v>
      </c>
      <c r="O3959" s="2">
        <v>86</v>
      </c>
      <c r="P3959" s="8">
        <f t="shared" si="307"/>
        <v>4632</v>
      </c>
      <c r="Q3959" s="8">
        <f t="shared" si="308"/>
        <v>2317</v>
      </c>
      <c r="R3959" s="2" t="s">
        <v>50</v>
      </c>
      <c r="S3959" s="9">
        <f t="shared" si="309"/>
        <v>92.64</v>
      </c>
    </row>
    <row r="3960" spans="1:19" x14ac:dyDescent="0.3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str">
        <f>IFERROR(VLOOKUP('Customer Info'!A3952,'Customer Info'!A3952:C4451,2,FALSE),"Not Found")</f>
        <v>Not Found</v>
      </c>
      <c r="H3960" s="6" t="str">
        <f>IFERROR(VLOOKUP('Customer Info'!A3952,'Customer Info'!A3952:C4451,3,FALSE),"Not Found")</f>
        <v>Not Found</v>
      </c>
      <c r="I3960" s="6" t="str">
        <f>IFERROR(VLOOKUP('Customer Info'!A3952,'Customer Info'!A3952:E4451,5,FALSE),"Not Found")</f>
        <v>Not Found</v>
      </c>
      <c r="J3960" s="2">
        <v>3184</v>
      </c>
      <c r="K3960" s="2">
        <v>2947</v>
      </c>
      <c r="L3960" s="2">
        <v>2</v>
      </c>
      <c r="M3960" s="7">
        <f t="shared" si="305"/>
        <v>5894</v>
      </c>
      <c r="N3960" s="7">
        <f t="shared" si="306"/>
        <v>6368</v>
      </c>
      <c r="O3960" s="2">
        <v>27</v>
      </c>
      <c r="P3960" s="8">
        <f t="shared" si="307"/>
        <v>6395</v>
      </c>
      <c r="Q3960" s="8">
        <f t="shared" si="308"/>
        <v>3421</v>
      </c>
      <c r="R3960" s="2" t="s">
        <v>28</v>
      </c>
      <c r="S3960" s="9">
        <f t="shared" si="309"/>
        <v>319.75</v>
      </c>
    </row>
    <row r="3961" spans="1:19" x14ac:dyDescent="0.3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str">
        <f>IFERROR(VLOOKUP('Customer Info'!A3953,'Customer Info'!A3953:C4452,2,FALSE),"Not Found")</f>
        <v>Not Found</v>
      </c>
      <c r="H3961" s="6" t="str">
        <f>IFERROR(VLOOKUP('Customer Info'!A3953,'Customer Info'!A3953:C4452,3,FALSE),"Not Found")</f>
        <v>Not Found</v>
      </c>
      <c r="I3961" s="6" t="str">
        <f>IFERROR(VLOOKUP('Customer Info'!A3953,'Customer Info'!A3953:E4452,5,FALSE),"Not Found")</f>
        <v>Not Found</v>
      </c>
      <c r="J3961" s="2">
        <v>2958</v>
      </c>
      <c r="K3961" s="2">
        <v>2743</v>
      </c>
      <c r="L3961" s="2">
        <v>2</v>
      </c>
      <c r="M3961" s="7">
        <f t="shared" si="305"/>
        <v>5486</v>
      </c>
      <c r="N3961" s="7">
        <f t="shared" si="306"/>
        <v>5916</v>
      </c>
      <c r="O3961" s="2">
        <v>98</v>
      </c>
      <c r="P3961" s="8">
        <f t="shared" si="307"/>
        <v>6014</v>
      </c>
      <c r="Q3961" s="8">
        <f t="shared" si="308"/>
        <v>3173</v>
      </c>
      <c r="R3961" s="2" t="s">
        <v>50</v>
      </c>
      <c r="S3961" s="9">
        <f t="shared" si="309"/>
        <v>300.7</v>
      </c>
    </row>
    <row r="3962" spans="1:19" x14ac:dyDescent="0.3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str">
        <f>IFERROR(VLOOKUP('Customer Info'!A3954,'Customer Info'!A3954:C4453,2,FALSE),"Not Found")</f>
        <v>Not Found</v>
      </c>
      <c r="H3962" s="6" t="str">
        <f>IFERROR(VLOOKUP('Customer Info'!A3954,'Customer Info'!A3954:C4453,3,FALSE),"Not Found")</f>
        <v>Not Found</v>
      </c>
      <c r="I3962" s="6" t="str">
        <f>IFERROR(VLOOKUP('Customer Info'!A3954,'Customer Info'!A3954:E4453,5,FALSE),"Not Found")</f>
        <v>Not Found</v>
      </c>
      <c r="J3962" s="2">
        <v>465</v>
      </c>
      <c r="K3962" s="2">
        <v>439</v>
      </c>
      <c r="L3962" s="2">
        <v>6</v>
      </c>
      <c r="M3962" s="7">
        <f t="shared" si="305"/>
        <v>2634</v>
      </c>
      <c r="N3962" s="7">
        <f t="shared" si="306"/>
        <v>2790</v>
      </c>
      <c r="O3962" s="2">
        <v>80</v>
      </c>
      <c r="P3962" s="8">
        <f t="shared" si="307"/>
        <v>2870</v>
      </c>
      <c r="Q3962" s="8">
        <f t="shared" si="308"/>
        <v>2351</v>
      </c>
      <c r="R3962" s="2" t="s">
        <v>50</v>
      </c>
      <c r="S3962" s="9">
        <f t="shared" si="309"/>
        <v>57.4</v>
      </c>
    </row>
    <row r="3963" spans="1:19" x14ac:dyDescent="0.3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str">
        <f>IFERROR(VLOOKUP('Customer Info'!A3955,'Customer Info'!A3955:C4454,2,FALSE),"Not Found")</f>
        <v>Not Found</v>
      </c>
      <c r="H3963" s="6" t="str">
        <f>IFERROR(VLOOKUP('Customer Info'!A3955,'Customer Info'!A3955:C4454,3,FALSE),"Not Found")</f>
        <v>Not Found</v>
      </c>
      <c r="I3963" s="6" t="str">
        <f>IFERROR(VLOOKUP('Customer Info'!A3955,'Customer Info'!A3955:E4454,5,FALSE),"Not Found")</f>
        <v>Not Found</v>
      </c>
      <c r="J3963" s="2">
        <v>6664</v>
      </c>
      <c r="K3963" s="2">
        <v>6473</v>
      </c>
      <c r="L3963" s="2">
        <v>1</v>
      </c>
      <c r="M3963" s="7">
        <f t="shared" si="305"/>
        <v>6473</v>
      </c>
      <c r="N3963" s="7">
        <f t="shared" si="306"/>
        <v>6664</v>
      </c>
      <c r="O3963" s="2">
        <v>58</v>
      </c>
      <c r="P3963" s="8">
        <f t="shared" si="307"/>
        <v>6722</v>
      </c>
      <c r="Q3963" s="8">
        <f t="shared" si="308"/>
        <v>191</v>
      </c>
      <c r="R3963" s="2" t="s">
        <v>56</v>
      </c>
      <c r="S3963" s="9">
        <f t="shared" si="309"/>
        <v>336.1</v>
      </c>
    </row>
    <row r="3964" spans="1:19" x14ac:dyDescent="0.3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str">
        <f>IFERROR(VLOOKUP('Customer Info'!A3956,'Customer Info'!A3956:C4455,2,FALSE),"Not Found")</f>
        <v>Not Found</v>
      </c>
      <c r="H3964" s="6" t="str">
        <f>IFERROR(VLOOKUP('Customer Info'!A3956,'Customer Info'!A3956:C4455,3,FALSE),"Not Found")</f>
        <v>Not Found</v>
      </c>
      <c r="I3964" s="6" t="str">
        <f>IFERROR(VLOOKUP('Customer Info'!A3956,'Customer Info'!A3956:E4455,5,FALSE),"Not Found")</f>
        <v>Not Found</v>
      </c>
      <c r="J3964" s="2">
        <v>167</v>
      </c>
      <c r="K3964" s="2">
        <v>155</v>
      </c>
      <c r="L3964" s="2">
        <v>2</v>
      </c>
      <c r="M3964" s="7">
        <f t="shared" si="305"/>
        <v>310</v>
      </c>
      <c r="N3964" s="7">
        <f t="shared" si="306"/>
        <v>334</v>
      </c>
      <c r="O3964" s="2">
        <v>30</v>
      </c>
      <c r="P3964" s="8">
        <f t="shared" si="307"/>
        <v>364</v>
      </c>
      <c r="Q3964" s="8">
        <f t="shared" si="308"/>
        <v>179</v>
      </c>
      <c r="R3964" s="2" t="s">
        <v>28</v>
      </c>
      <c r="S3964" s="9">
        <f t="shared" si="309"/>
        <v>7.28</v>
      </c>
    </row>
    <row r="3965" spans="1:19" x14ac:dyDescent="0.3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str">
        <f>IFERROR(VLOOKUP('Customer Info'!A3957,'Customer Info'!A3957:C4456,2,FALSE),"Not Found")</f>
        <v>Not Found</v>
      </c>
      <c r="H3965" s="6" t="str">
        <f>IFERROR(VLOOKUP('Customer Info'!A3957,'Customer Info'!A3957:C4456,3,FALSE),"Not Found")</f>
        <v>Not Found</v>
      </c>
      <c r="I3965" s="6" t="str">
        <f>IFERROR(VLOOKUP('Customer Info'!A3957,'Customer Info'!A3957:E4456,5,FALSE),"Not Found")</f>
        <v>Not Found</v>
      </c>
      <c r="J3965" s="2">
        <v>1916</v>
      </c>
      <c r="K3965" s="2">
        <v>1844</v>
      </c>
      <c r="L3965" s="2">
        <v>4</v>
      </c>
      <c r="M3965" s="7">
        <f t="shared" si="305"/>
        <v>7376</v>
      </c>
      <c r="N3965" s="7">
        <f t="shared" si="306"/>
        <v>7664</v>
      </c>
      <c r="O3965" s="2">
        <v>36</v>
      </c>
      <c r="P3965" s="8">
        <f t="shared" si="307"/>
        <v>7700</v>
      </c>
      <c r="Q3965" s="8">
        <f t="shared" si="308"/>
        <v>5820</v>
      </c>
      <c r="R3965" s="2" t="s">
        <v>28</v>
      </c>
      <c r="S3965" s="9">
        <f t="shared" si="309"/>
        <v>385</v>
      </c>
    </row>
    <row r="3966" spans="1:19" x14ac:dyDescent="0.3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str">
        <f>IFERROR(VLOOKUP('Customer Info'!A3958,'Customer Info'!A3958:C4457,2,FALSE),"Not Found")</f>
        <v>Not Found</v>
      </c>
      <c r="H3966" s="6" t="str">
        <f>IFERROR(VLOOKUP('Customer Info'!A3958,'Customer Info'!A3958:C4457,3,FALSE),"Not Found")</f>
        <v>Not Found</v>
      </c>
      <c r="I3966" s="6" t="str">
        <f>IFERROR(VLOOKUP('Customer Info'!A3958,'Customer Info'!A3958:E4457,5,FALSE),"Not Found")</f>
        <v>Not Found</v>
      </c>
      <c r="J3966" s="2">
        <v>184</v>
      </c>
      <c r="K3966" s="2">
        <v>176</v>
      </c>
      <c r="L3966" s="2">
        <v>3</v>
      </c>
      <c r="M3966" s="7">
        <f t="shared" si="305"/>
        <v>528</v>
      </c>
      <c r="N3966" s="7">
        <f t="shared" si="306"/>
        <v>552</v>
      </c>
      <c r="O3966" s="2">
        <v>30</v>
      </c>
      <c r="P3966" s="8">
        <f t="shared" si="307"/>
        <v>582</v>
      </c>
      <c r="Q3966" s="8">
        <f t="shared" si="308"/>
        <v>376</v>
      </c>
      <c r="R3966" s="2" t="s">
        <v>28</v>
      </c>
      <c r="S3966" s="9">
        <f t="shared" si="309"/>
        <v>11.64</v>
      </c>
    </row>
    <row r="3967" spans="1:19" x14ac:dyDescent="0.3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str">
        <f>IFERROR(VLOOKUP('Customer Info'!A3959,'Customer Info'!A3959:C4458,2,FALSE),"Not Found")</f>
        <v>Not Found</v>
      </c>
      <c r="H3967" s="6" t="str">
        <f>IFERROR(VLOOKUP('Customer Info'!A3959,'Customer Info'!A3959:C4458,3,FALSE),"Not Found")</f>
        <v>Not Found</v>
      </c>
      <c r="I3967" s="6" t="str">
        <f>IFERROR(VLOOKUP('Customer Info'!A3959,'Customer Info'!A3959:E4458,5,FALSE),"Not Found")</f>
        <v>Not Found</v>
      </c>
      <c r="J3967" s="2">
        <v>2042</v>
      </c>
      <c r="K3967" s="2">
        <v>1965</v>
      </c>
      <c r="L3967" s="2">
        <v>4</v>
      </c>
      <c r="M3967" s="7">
        <f t="shared" si="305"/>
        <v>7860</v>
      </c>
      <c r="N3967" s="7">
        <f t="shared" si="306"/>
        <v>8168</v>
      </c>
      <c r="O3967" s="2">
        <v>33</v>
      </c>
      <c r="P3967" s="8">
        <f t="shared" si="307"/>
        <v>8201</v>
      </c>
      <c r="Q3967" s="8">
        <f t="shared" si="308"/>
        <v>6203</v>
      </c>
      <c r="R3967" s="2" t="s">
        <v>28</v>
      </c>
      <c r="S3967" s="9">
        <f t="shared" si="309"/>
        <v>410.05</v>
      </c>
    </row>
    <row r="3968" spans="1:19" x14ac:dyDescent="0.3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str">
        <f>IFERROR(VLOOKUP('Customer Info'!A3960,'Customer Info'!A3960:C4459,2,FALSE),"Not Found")</f>
        <v>Not Found</v>
      </c>
      <c r="H3968" s="6" t="str">
        <f>IFERROR(VLOOKUP('Customer Info'!A3960,'Customer Info'!A3960:C4459,3,FALSE),"Not Found")</f>
        <v>Not Found</v>
      </c>
      <c r="I3968" s="6" t="str">
        <f>IFERROR(VLOOKUP('Customer Info'!A3960,'Customer Info'!A3960:E4459,5,FALSE),"Not Found")</f>
        <v>Not Found</v>
      </c>
      <c r="J3968" s="2">
        <v>729</v>
      </c>
      <c r="K3968" s="2">
        <v>689</v>
      </c>
      <c r="L3968" s="2">
        <v>3</v>
      </c>
      <c r="M3968" s="7">
        <f t="shared" si="305"/>
        <v>2067</v>
      </c>
      <c r="N3968" s="7">
        <f t="shared" si="306"/>
        <v>2187</v>
      </c>
      <c r="O3968" s="2">
        <v>42</v>
      </c>
      <c r="P3968" s="8">
        <f t="shared" si="307"/>
        <v>2229</v>
      </c>
      <c r="Q3968" s="8">
        <f t="shared" si="308"/>
        <v>1498</v>
      </c>
      <c r="R3968" s="2" t="s">
        <v>28</v>
      </c>
      <c r="S3968" s="9">
        <f t="shared" si="309"/>
        <v>44.58</v>
      </c>
    </row>
    <row r="3969" spans="1:19" x14ac:dyDescent="0.3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str">
        <f>IFERROR(VLOOKUP('Customer Info'!A3961,'Customer Info'!A3961:C4460,2,FALSE),"Not Found")</f>
        <v>Not Found</v>
      </c>
      <c r="H3969" s="6" t="str">
        <f>IFERROR(VLOOKUP('Customer Info'!A3961,'Customer Info'!A3961:C4460,3,FALSE),"Not Found")</f>
        <v>Not Found</v>
      </c>
      <c r="I3969" s="6" t="str">
        <f>IFERROR(VLOOKUP('Customer Info'!A3961,'Customer Info'!A3961:E4460,5,FALSE),"Not Found")</f>
        <v>Not Found</v>
      </c>
      <c r="J3969" s="2">
        <v>691</v>
      </c>
      <c r="K3969" s="2">
        <v>646</v>
      </c>
      <c r="L3969" s="2">
        <v>3</v>
      </c>
      <c r="M3969" s="7">
        <f t="shared" si="305"/>
        <v>1938</v>
      </c>
      <c r="N3969" s="7">
        <f t="shared" si="306"/>
        <v>2073</v>
      </c>
      <c r="O3969" s="2">
        <v>40</v>
      </c>
      <c r="P3969" s="8">
        <f t="shared" si="307"/>
        <v>2113</v>
      </c>
      <c r="Q3969" s="8">
        <f t="shared" si="308"/>
        <v>1427</v>
      </c>
      <c r="R3969" s="2" t="s">
        <v>50</v>
      </c>
      <c r="S3969" s="9">
        <f t="shared" si="309"/>
        <v>42.26</v>
      </c>
    </row>
    <row r="3970" spans="1:19" x14ac:dyDescent="0.3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str">
        <f>IFERROR(VLOOKUP('Customer Info'!A3962,'Customer Info'!A3962:C4461,2,FALSE),"Not Found")</f>
        <v>Not Found</v>
      </c>
      <c r="H3970" s="6" t="str">
        <f>IFERROR(VLOOKUP('Customer Info'!A3962,'Customer Info'!A3962:C4461,3,FALSE),"Not Found")</f>
        <v>Not Found</v>
      </c>
      <c r="I3970" s="6" t="str">
        <f>IFERROR(VLOOKUP('Customer Info'!A3962,'Customer Info'!A3962:E4461,5,FALSE),"Not Found")</f>
        <v>Not Found</v>
      </c>
      <c r="J3970" s="2">
        <v>851</v>
      </c>
      <c r="K3970" s="2">
        <v>773</v>
      </c>
      <c r="L3970" s="2">
        <v>3</v>
      </c>
      <c r="M3970" s="7">
        <f t="shared" si="305"/>
        <v>2319</v>
      </c>
      <c r="N3970" s="7">
        <f t="shared" si="306"/>
        <v>2553</v>
      </c>
      <c r="O3970" s="2">
        <v>30</v>
      </c>
      <c r="P3970" s="8">
        <f t="shared" si="307"/>
        <v>2583</v>
      </c>
      <c r="Q3970" s="8">
        <f t="shared" si="308"/>
        <v>1780</v>
      </c>
      <c r="R3970" s="2" t="s">
        <v>28</v>
      </c>
      <c r="S3970" s="9">
        <f t="shared" si="309"/>
        <v>51.660000000000004</v>
      </c>
    </row>
    <row r="3971" spans="1:19" x14ac:dyDescent="0.3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str">
        <f>IFERROR(VLOOKUP('Customer Info'!A3963,'Customer Info'!A3963:C4462,2,FALSE),"Not Found")</f>
        <v>Not Found</v>
      </c>
      <c r="H3971" s="6" t="str">
        <f>IFERROR(VLOOKUP('Customer Info'!A3963,'Customer Info'!A3963:C4462,3,FALSE),"Not Found")</f>
        <v>Not Found</v>
      </c>
      <c r="I3971" s="6" t="str">
        <f>IFERROR(VLOOKUP('Customer Info'!A3963,'Customer Info'!A3963:E4462,5,FALSE),"Not Found")</f>
        <v>Not Found</v>
      </c>
      <c r="J3971" s="2">
        <v>151</v>
      </c>
      <c r="K3971" s="2">
        <v>139</v>
      </c>
      <c r="L3971" s="2">
        <v>3</v>
      </c>
      <c r="M3971" s="7">
        <f t="shared" si="305"/>
        <v>417</v>
      </c>
      <c r="N3971" s="7">
        <f t="shared" si="306"/>
        <v>453</v>
      </c>
      <c r="O3971" s="2">
        <v>30</v>
      </c>
      <c r="P3971" s="8">
        <f t="shared" si="307"/>
        <v>483</v>
      </c>
      <c r="Q3971" s="8">
        <f t="shared" si="308"/>
        <v>314</v>
      </c>
      <c r="R3971" s="2" t="s">
        <v>28</v>
      </c>
      <c r="S3971" s="9">
        <f t="shared" si="309"/>
        <v>9.66</v>
      </c>
    </row>
    <row r="3972" spans="1:19" x14ac:dyDescent="0.3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str">
        <f>IFERROR(VLOOKUP('Customer Info'!A3964,'Customer Info'!A3964:C4463,2,FALSE),"Not Found")</f>
        <v>Not Found</v>
      </c>
      <c r="H3972" s="6" t="str">
        <f>IFERROR(VLOOKUP('Customer Info'!A3964,'Customer Info'!A3964:C4463,3,FALSE),"Not Found")</f>
        <v>Not Found</v>
      </c>
      <c r="I3972" s="6" t="str">
        <f>IFERROR(VLOOKUP('Customer Info'!A3964,'Customer Info'!A3964:E4463,5,FALSE),"Not Found")</f>
        <v>Not Found</v>
      </c>
      <c r="J3972" s="2">
        <v>978</v>
      </c>
      <c r="K3972" s="2">
        <v>922</v>
      </c>
      <c r="L3972" s="2">
        <v>2</v>
      </c>
      <c r="M3972" s="7">
        <f t="shared" si="305"/>
        <v>1844</v>
      </c>
      <c r="N3972" s="7">
        <f t="shared" si="306"/>
        <v>1956</v>
      </c>
      <c r="O3972" s="2">
        <v>53</v>
      </c>
      <c r="P3972" s="8">
        <f t="shared" si="307"/>
        <v>2009</v>
      </c>
      <c r="Q3972" s="8">
        <f t="shared" si="308"/>
        <v>1034</v>
      </c>
      <c r="R3972" s="2" t="s">
        <v>28</v>
      </c>
      <c r="S3972" s="9">
        <f t="shared" si="309"/>
        <v>40.18</v>
      </c>
    </row>
    <row r="3973" spans="1:19" x14ac:dyDescent="0.3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str">
        <f>IFERROR(VLOOKUP('Customer Info'!A3965,'Customer Info'!A3965:C4464,2,FALSE),"Not Found")</f>
        <v>Not Found</v>
      </c>
      <c r="H3973" s="6" t="str">
        <f>IFERROR(VLOOKUP('Customer Info'!A3965,'Customer Info'!A3965:C4464,3,FALSE),"Not Found")</f>
        <v>Not Found</v>
      </c>
      <c r="I3973" s="6" t="str">
        <f>IFERROR(VLOOKUP('Customer Info'!A3965,'Customer Info'!A3965:E4464,5,FALSE),"Not Found")</f>
        <v>Not Found</v>
      </c>
      <c r="J3973" s="2">
        <v>175</v>
      </c>
      <c r="K3973" s="2">
        <v>162</v>
      </c>
      <c r="L3973" s="2">
        <v>3</v>
      </c>
      <c r="M3973" s="7">
        <f t="shared" si="305"/>
        <v>486</v>
      </c>
      <c r="N3973" s="7">
        <f t="shared" si="306"/>
        <v>525</v>
      </c>
      <c r="O3973" s="2">
        <v>30</v>
      </c>
      <c r="P3973" s="8">
        <f t="shared" si="307"/>
        <v>555</v>
      </c>
      <c r="Q3973" s="8">
        <f t="shared" si="308"/>
        <v>363</v>
      </c>
      <c r="R3973" s="2" t="s">
        <v>26</v>
      </c>
      <c r="S3973" s="9">
        <f t="shared" si="309"/>
        <v>11.1</v>
      </c>
    </row>
    <row r="3974" spans="1:19" x14ac:dyDescent="0.3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str">
        <f>IFERROR(VLOOKUP('Customer Info'!A3966,'Customer Info'!A3966:C4465,2,FALSE),"Not Found")</f>
        <v>Not Found</v>
      </c>
      <c r="H3974" s="6" t="str">
        <f>IFERROR(VLOOKUP('Customer Info'!A3966,'Customer Info'!A3966:C4465,3,FALSE),"Not Found")</f>
        <v>Not Found</v>
      </c>
      <c r="I3974" s="6" t="str">
        <f>IFERROR(VLOOKUP('Customer Info'!A3966,'Customer Info'!A3966:E4465,5,FALSE),"Not Found")</f>
        <v>Not Found</v>
      </c>
      <c r="J3974" s="2">
        <v>2958</v>
      </c>
      <c r="K3974" s="2">
        <v>2743</v>
      </c>
      <c r="L3974" s="2">
        <v>1</v>
      </c>
      <c r="M3974" s="7">
        <f t="shared" si="305"/>
        <v>2743</v>
      </c>
      <c r="N3974" s="7">
        <f t="shared" si="306"/>
        <v>2958</v>
      </c>
      <c r="O3974" s="2">
        <v>83</v>
      </c>
      <c r="P3974" s="8">
        <f t="shared" si="307"/>
        <v>3041</v>
      </c>
      <c r="Q3974" s="8">
        <f t="shared" si="308"/>
        <v>215</v>
      </c>
      <c r="R3974" s="2" t="s">
        <v>50</v>
      </c>
      <c r="S3974" s="9">
        <f t="shared" si="309"/>
        <v>60.82</v>
      </c>
    </row>
    <row r="3975" spans="1:19" x14ac:dyDescent="0.3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str">
        <f>IFERROR(VLOOKUP('Customer Info'!A3967,'Customer Info'!A3967:C4466,2,FALSE),"Not Found")</f>
        <v>Not Found</v>
      </c>
      <c r="H3975" s="6" t="str">
        <f>IFERROR(VLOOKUP('Customer Info'!A3967,'Customer Info'!A3967:C4466,3,FALSE),"Not Found")</f>
        <v>Not Found</v>
      </c>
      <c r="I3975" s="6" t="str">
        <f>IFERROR(VLOOKUP('Customer Info'!A3967,'Customer Info'!A3967:E4466,5,FALSE),"Not Found")</f>
        <v>Not Found</v>
      </c>
      <c r="J3975" s="2">
        <v>1552</v>
      </c>
      <c r="K3975" s="2">
        <v>1466</v>
      </c>
      <c r="L3975" s="2">
        <v>5</v>
      </c>
      <c r="M3975" s="7">
        <f t="shared" si="305"/>
        <v>7330</v>
      </c>
      <c r="N3975" s="7">
        <f t="shared" si="306"/>
        <v>7760</v>
      </c>
      <c r="O3975" s="2">
        <v>54</v>
      </c>
      <c r="P3975" s="8">
        <f t="shared" si="307"/>
        <v>7814</v>
      </c>
      <c r="Q3975" s="8">
        <f t="shared" si="308"/>
        <v>6294</v>
      </c>
      <c r="R3975" s="2" t="s">
        <v>28</v>
      </c>
      <c r="S3975" s="9">
        <f t="shared" si="309"/>
        <v>390.70000000000005</v>
      </c>
    </row>
    <row r="3976" spans="1:19" x14ac:dyDescent="0.3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str">
        <f>IFERROR(VLOOKUP('Customer Info'!A3968,'Customer Info'!A3968:C4467,2,FALSE),"Not Found")</f>
        <v>Not Found</v>
      </c>
      <c r="H3976" s="6" t="str">
        <f>IFERROR(VLOOKUP('Customer Info'!A3968,'Customer Info'!A3968:C4467,3,FALSE),"Not Found")</f>
        <v>Not Found</v>
      </c>
      <c r="I3976" s="6" t="str">
        <f>IFERROR(VLOOKUP('Customer Info'!A3968,'Customer Info'!A3968:E4467,5,FALSE),"Not Found")</f>
        <v>Not Found</v>
      </c>
      <c r="J3976" s="2">
        <v>531</v>
      </c>
      <c r="K3976" s="2">
        <v>487</v>
      </c>
      <c r="L3976" s="2">
        <v>2</v>
      </c>
      <c r="M3976" s="7">
        <f t="shared" si="305"/>
        <v>974</v>
      </c>
      <c r="N3976" s="7">
        <f t="shared" si="306"/>
        <v>1062</v>
      </c>
      <c r="O3976" s="2">
        <v>55</v>
      </c>
      <c r="P3976" s="8">
        <f t="shared" si="307"/>
        <v>1117</v>
      </c>
      <c r="Q3976" s="8">
        <f t="shared" si="308"/>
        <v>575</v>
      </c>
      <c r="R3976" s="2" t="s">
        <v>26</v>
      </c>
      <c r="S3976" s="9">
        <f t="shared" si="309"/>
        <v>22.34</v>
      </c>
    </row>
    <row r="3977" spans="1:19" x14ac:dyDescent="0.3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str">
        <f>IFERROR(VLOOKUP('Customer Info'!A3969,'Customer Info'!A3969:C4468,2,FALSE),"Not Found")</f>
        <v>Not Found</v>
      </c>
      <c r="H3977" s="6" t="str">
        <f>IFERROR(VLOOKUP('Customer Info'!A3969,'Customer Info'!A3969:C4468,3,FALSE),"Not Found")</f>
        <v>Not Found</v>
      </c>
      <c r="I3977" s="6" t="str">
        <f>IFERROR(VLOOKUP('Customer Info'!A3969,'Customer Info'!A3969:E4468,5,FALSE),"Not Found")</f>
        <v>Not Found</v>
      </c>
      <c r="J3977" s="2">
        <v>4002</v>
      </c>
      <c r="K3977" s="2">
        <v>3744</v>
      </c>
      <c r="L3977" s="2">
        <v>8</v>
      </c>
      <c r="M3977" s="7">
        <f t="shared" si="305"/>
        <v>29952</v>
      </c>
      <c r="N3977" s="7">
        <f t="shared" si="306"/>
        <v>32016</v>
      </c>
      <c r="O3977" s="2">
        <v>45</v>
      </c>
      <c r="P3977" s="8">
        <f t="shared" si="307"/>
        <v>32061</v>
      </c>
      <c r="Q3977" s="8">
        <f t="shared" si="308"/>
        <v>28272</v>
      </c>
      <c r="R3977" s="2" t="s">
        <v>28</v>
      </c>
      <c r="S3977" s="9">
        <f t="shared" si="309"/>
        <v>2244.2700000000004</v>
      </c>
    </row>
    <row r="3978" spans="1:19" x14ac:dyDescent="0.3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str">
        <f>IFERROR(VLOOKUP('Customer Info'!A3970,'Customer Info'!A3970:C4469,2,FALSE),"Not Found")</f>
        <v>Not Found</v>
      </c>
      <c r="H3978" s="6" t="str">
        <f>IFERROR(VLOOKUP('Customer Info'!A3970,'Customer Info'!A3970:C4469,3,FALSE),"Not Found")</f>
        <v>Not Found</v>
      </c>
      <c r="I3978" s="6" t="str">
        <f>IFERROR(VLOOKUP('Customer Info'!A3970,'Customer Info'!A3970:E4469,5,FALSE),"Not Found")</f>
        <v>Not Found</v>
      </c>
      <c r="J3978" s="2">
        <v>6087</v>
      </c>
      <c r="K3978" s="2">
        <v>5808</v>
      </c>
      <c r="L3978" s="2">
        <v>4</v>
      </c>
      <c r="M3978" s="7">
        <f t="shared" si="305"/>
        <v>23232</v>
      </c>
      <c r="N3978" s="7">
        <f t="shared" si="306"/>
        <v>24348</v>
      </c>
      <c r="O3978" s="2">
        <v>97</v>
      </c>
      <c r="P3978" s="8">
        <f t="shared" si="307"/>
        <v>24445</v>
      </c>
      <c r="Q3978" s="8">
        <f t="shared" si="308"/>
        <v>18540</v>
      </c>
      <c r="R3978" s="2" t="s">
        <v>56</v>
      </c>
      <c r="S3978" s="9">
        <f t="shared" si="309"/>
        <v>1222.25</v>
      </c>
    </row>
    <row r="3979" spans="1:19" x14ac:dyDescent="0.3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str">
        <f>IFERROR(VLOOKUP('Customer Info'!A3971,'Customer Info'!A3971:C4470,2,FALSE),"Not Found")</f>
        <v>Not Found</v>
      </c>
      <c r="H3979" s="6" t="str">
        <f>IFERROR(VLOOKUP('Customer Info'!A3971,'Customer Info'!A3971:C4470,3,FALSE),"Not Found")</f>
        <v>Not Found</v>
      </c>
      <c r="I3979" s="6" t="str">
        <f>IFERROR(VLOOKUP('Customer Info'!A3971,'Customer Info'!A3971:E4470,5,FALSE),"Not Found")</f>
        <v>Not Found</v>
      </c>
      <c r="J3979" s="2">
        <v>2921</v>
      </c>
      <c r="K3979" s="2">
        <v>2809</v>
      </c>
      <c r="L3979" s="2">
        <v>3</v>
      </c>
      <c r="M3979" s="7">
        <f t="shared" ref="M3979:M4042" si="310">$K3979*$L3979</f>
        <v>8427</v>
      </c>
      <c r="N3979" s="7">
        <f t="shared" ref="N3979:N4042" si="311">$J3979*$L3979</f>
        <v>8763</v>
      </c>
      <c r="O3979" s="2">
        <v>99</v>
      </c>
      <c r="P3979" s="8">
        <f t="shared" ref="P3979:P4042" si="312">$N3979+$O3979</f>
        <v>8862</v>
      </c>
      <c r="Q3979" s="8">
        <f t="shared" ref="Q3979:Q4042" si="313">$N3979-$K3979</f>
        <v>5954</v>
      </c>
      <c r="R3979" s="2" t="s">
        <v>28</v>
      </c>
      <c r="S3979" s="9">
        <f t="shared" ref="S3979:S4042" si="314" xml:space="preserve"> P3979 * VLOOKUP(P3979, $T$2:$U$6, 2, TRUE)</f>
        <v>443.1</v>
      </c>
    </row>
    <row r="3980" spans="1:19" x14ac:dyDescent="0.3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str">
        <f>IFERROR(VLOOKUP('Customer Info'!A3972,'Customer Info'!A3972:C4471,2,FALSE),"Not Found")</f>
        <v>Not Found</v>
      </c>
      <c r="H3980" s="6" t="str">
        <f>IFERROR(VLOOKUP('Customer Info'!A3972,'Customer Info'!A3972:C4471,3,FALSE),"Not Found")</f>
        <v>Not Found</v>
      </c>
      <c r="I3980" s="6" t="str">
        <f>IFERROR(VLOOKUP('Customer Info'!A3972,'Customer Info'!A3972:E4471,5,FALSE),"Not Found")</f>
        <v>Not Found</v>
      </c>
      <c r="J3980" s="2">
        <v>2501</v>
      </c>
      <c r="K3980" s="2">
        <v>2361</v>
      </c>
      <c r="L3980" s="2">
        <v>1</v>
      </c>
      <c r="M3980" s="7">
        <f t="shared" si="310"/>
        <v>2361</v>
      </c>
      <c r="N3980" s="7">
        <f t="shared" si="311"/>
        <v>2501</v>
      </c>
      <c r="O3980" s="2">
        <v>84</v>
      </c>
      <c r="P3980" s="8">
        <f t="shared" si="312"/>
        <v>2585</v>
      </c>
      <c r="Q3980" s="8">
        <f t="shared" si="313"/>
        <v>140</v>
      </c>
      <c r="R3980" s="2" t="s">
        <v>50</v>
      </c>
      <c r="S3980" s="9">
        <f t="shared" si="314"/>
        <v>51.7</v>
      </c>
    </row>
    <row r="3981" spans="1:19" x14ac:dyDescent="0.3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str">
        <f>IFERROR(VLOOKUP('Customer Info'!A3973,'Customer Info'!A3973:C4472,2,FALSE),"Not Found")</f>
        <v>Not Found</v>
      </c>
      <c r="H3981" s="6" t="str">
        <f>IFERROR(VLOOKUP('Customer Info'!A3973,'Customer Info'!A3973:C4472,3,FALSE),"Not Found")</f>
        <v>Not Found</v>
      </c>
      <c r="I3981" s="6" t="str">
        <f>IFERROR(VLOOKUP('Customer Info'!A3973,'Customer Info'!A3973:E4472,5,FALSE),"Not Found")</f>
        <v>Not Found</v>
      </c>
      <c r="J3981" s="2">
        <v>400</v>
      </c>
      <c r="K3981" s="2">
        <v>360</v>
      </c>
      <c r="L3981" s="2">
        <v>1</v>
      </c>
      <c r="M3981" s="7">
        <f t="shared" si="310"/>
        <v>360</v>
      </c>
      <c r="N3981" s="7">
        <f t="shared" si="311"/>
        <v>400</v>
      </c>
      <c r="O3981" s="2">
        <v>48</v>
      </c>
      <c r="P3981" s="8">
        <f t="shared" si="312"/>
        <v>448</v>
      </c>
      <c r="Q3981" s="8">
        <f t="shared" si="313"/>
        <v>40</v>
      </c>
      <c r="R3981" s="2" t="s">
        <v>26</v>
      </c>
      <c r="S3981" s="9">
        <f t="shared" si="314"/>
        <v>8.9600000000000009</v>
      </c>
    </row>
    <row r="3982" spans="1:19" x14ac:dyDescent="0.3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str">
        <f>IFERROR(VLOOKUP('Customer Info'!A3974,'Customer Info'!A3974:C4473,2,FALSE),"Not Found")</f>
        <v>Not Found</v>
      </c>
      <c r="H3982" s="6" t="str">
        <f>IFERROR(VLOOKUP('Customer Info'!A3974,'Customer Info'!A3974:C4473,3,FALSE),"Not Found")</f>
        <v>Not Found</v>
      </c>
      <c r="I3982" s="6" t="str">
        <f>IFERROR(VLOOKUP('Customer Info'!A3974,'Customer Info'!A3974:E4473,5,FALSE),"Not Found")</f>
        <v>Not Found</v>
      </c>
      <c r="J3982" s="2">
        <v>125</v>
      </c>
      <c r="K3982" s="2">
        <v>113</v>
      </c>
      <c r="L3982" s="2">
        <v>3</v>
      </c>
      <c r="M3982" s="7">
        <f t="shared" si="310"/>
        <v>339</v>
      </c>
      <c r="N3982" s="7">
        <f t="shared" si="311"/>
        <v>375</v>
      </c>
      <c r="O3982" s="2">
        <v>30</v>
      </c>
      <c r="P3982" s="8">
        <f t="shared" si="312"/>
        <v>405</v>
      </c>
      <c r="Q3982" s="8">
        <f t="shared" si="313"/>
        <v>262</v>
      </c>
      <c r="R3982" s="2" t="s">
        <v>28</v>
      </c>
      <c r="S3982" s="9">
        <f t="shared" si="314"/>
        <v>8.1</v>
      </c>
    </row>
    <row r="3983" spans="1:19" x14ac:dyDescent="0.3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str">
        <f>IFERROR(VLOOKUP('Customer Info'!A3975,'Customer Info'!A3975:C4474,2,FALSE),"Not Found")</f>
        <v>Not Found</v>
      </c>
      <c r="H3983" s="6" t="str">
        <f>IFERROR(VLOOKUP('Customer Info'!A3975,'Customer Info'!A3975:C4474,3,FALSE),"Not Found")</f>
        <v>Not Found</v>
      </c>
      <c r="I3983" s="6" t="str">
        <f>IFERROR(VLOOKUP('Customer Info'!A3975,'Customer Info'!A3975:E4474,5,FALSE),"Not Found")</f>
        <v>Not Found</v>
      </c>
      <c r="J3983" s="2">
        <v>164</v>
      </c>
      <c r="K3983" s="2">
        <v>152</v>
      </c>
      <c r="L3983" s="2">
        <v>2</v>
      </c>
      <c r="M3983" s="7">
        <f t="shared" si="310"/>
        <v>304</v>
      </c>
      <c r="N3983" s="7">
        <f t="shared" si="311"/>
        <v>328</v>
      </c>
      <c r="O3983" s="2">
        <v>30</v>
      </c>
      <c r="P3983" s="8">
        <f t="shared" si="312"/>
        <v>358</v>
      </c>
      <c r="Q3983" s="8">
        <f t="shared" si="313"/>
        <v>176</v>
      </c>
      <c r="R3983" s="2" t="s">
        <v>26</v>
      </c>
      <c r="S3983" s="9">
        <f t="shared" si="314"/>
        <v>7.16</v>
      </c>
    </row>
    <row r="3984" spans="1:19" x14ac:dyDescent="0.3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str">
        <f>IFERROR(VLOOKUP('Customer Info'!A3976,'Customer Info'!A3976:C4475,2,FALSE),"Not Found")</f>
        <v>Not Found</v>
      </c>
      <c r="H3984" s="6" t="str">
        <f>IFERROR(VLOOKUP('Customer Info'!A3976,'Customer Info'!A3976:C4475,3,FALSE),"Not Found")</f>
        <v>Not Found</v>
      </c>
      <c r="I3984" s="6" t="str">
        <f>IFERROR(VLOOKUP('Customer Info'!A3976,'Customer Info'!A3976:E4475,5,FALSE),"Not Found")</f>
        <v>Not Found</v>
      </c>
      <c r="J3984" s="2">
        <v>465</v>
      </c>
      <c r="K3984" s="2">
        <v>439</v>
      </c>
      <c r="L3984" s="2">
        <v>2</v>
      </c>
      <c r="M3984" s="7">
        <f t="shared" si="310"/>
        <v>878</v>
      </c>
      <c r="N3984" s="7">
        <f t="shared" si="311"/>
        <v>930</v>
      </c>
      <c r="O3984" s="2">
        <v>99</v>
      </c>
      <c r="P3984" s="8">
        <f t="shared" si="312"/>
        <v>1029</v>
      </c>
      <c r="Q3984" s="8">
        <f t="shared" si="313"/>
        <v>491</v>
      </c>
      <c r="R3984" s="2" t="s">
        <v>50</v>
      </c>
      <c r="S3984" s="9">
        <f t="shared" si="314"/>
        <v>20.580000000000002</v>
      </c>
    </row>
    <row r="3985" spans="1:19" x14ac:dyDescent="0.3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str">
        <f>IFERROR(VLOOKUP('Customer Info'!A3977,'Customer Info'!A3977:C4476,2,FALSE),"Not Found")</f>
        <v>Not Found</v>
      </c>
      <c r="H3985" s="6" t="str">
        <f>IFERROR(VLOOKUP('Customer Info'!A3977,'Customer Info'!A3977:C4476,3,FALSE),"Not Found")</f>
        <v>Not Found</v>
      </c>
      <c r="I3985" s="6" t="str">
        <f>IFERROR(VLOOKUP('Customer Info'!A3977,'Customer Info'!A3977:E4476,5,FALSE),"Not Found")</f>
        <v>Not Found</v>
      </c>
      <c r="J3985" s="2">
        <v>185</v>
      </c>
      <c r="K3985" s="2">
        <v>171</v>
      </c>
      <c r="L3985" s="2">
        <v>3</v>
      </c>
      <c r="M3985" s="7">
        <f t="shared" si="310"/>
        <v>513</v>
      </c>
      <c r="N3985" s="7">
        <f t="shared" si="311"/>
        <v>555</v>
      </c>
      <c r="O3985" s="2">
        <v>30</v>
      </c>
      <c r="P3985" s="8">
        <f t="shared" si="312"/>
        <v>585</v>
      </c>
      <c r="Q3985" s="8">
        <f t="shared" si="313"/>
        <v>384</v>
      </c>
      <c r="R3985" s="2" t="s">
        <v>50</v>
      </c>
      <c r="S3985" s="9">
        <f t="shared" si="314"/>
        <v>11.700000000000001</v>
      </c>
    </row>
    <row r="3986" spans="1:19" x14ac:dyDescent="0.3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str">
        <f>IFERROR(VLOOKUP('Customer Info'!A3978,'Customer Info'!A3978:C4477,2,FALSE),"Not Found")</f>
        <v>Not Found</v>
      </c>
      <c r="H3986" s="6" t="str">
        <f>IFERROR(VLOOKUP('Customer Info'!A3978,'Customer Info'!A3978:C4477,3,FALSE),"Not Found")</f>
        <v>Not Found</v>
      </c>
      <c r="I3986" s="6" t="str">
        <f>IFERROR(VLOOKUP('Customer Info'!A3978,'Customer Info'!A3978:E4477,5,FALSE),"Not Found")</f>
        <v>Not Found</v>
      </c>
      <c r="J3986" s="2">
        <v>658</v>
      </c>
      <c r="K3986" s="2">
        <v>615</v>
      </c>
      <c r="L3986" s="2">
        <v>6</v>
      </c>
      <c r="M3986" s="7">
        <f t="shared" si="310"/>
        <v>3690</v>
      </c>
      <c r="N3986" s="7">
        <f t="shared" si="311"/>
        <v>3948</v>
      </c>
      <c r="O3986" s="2">
        <v>57</v>
      </c>
      <c r="P3986" s="8">
        <f t="shared" si="312"/>
        <v>4005</v>
      </c>
      <c r="Q3986" s="8">
        <f t="shared" si="313"/>
        <v>3333</v>
      </c>
      <c r="R3986" s="2" t="s">
        <v>28</v>
      </c>
      <c r="S3986" s="9">
        <f t="shared" si="314"/>
        <v>80.100000000000009</v>
      </c>
    </row>
    <row r="3987" spans="1:19" x14ac:dyDescent="0.3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str">
        <f>IFERROR(VLOOKUP('Customer Info'!A3979,'Customer Info'!A3979:C4478,2,FALSE),"Not Found")</f>
        <v>Not Found</v>
      </c>
      <c r="H3987" s="6" t="str">
        <f>IFERROR(VLOOKUP('Customer Info'!A3979,'Customer Info'!A3979:C4478,3,FALSE),"Not Found")</f>
        <v>Not Found</v>
      </c>
      <c r="I3987" s="6" t="str">
        <f>IFERROR(VLOOKUP('Customer Info'!A3979,'Customer Info'!A3979:E4478,5,FALSE),"Not Found")</f>
        <v>Not Found</v>
      </c>
      <c r="J3987" s="2">
        <v>194</v>
      </c>
      <c r="K3987" s="2">
        <v>176</v>
      </c>
      <c r="L3987" s="2">
        <v>2</v>
      </c>
      <c r="M3987" s="7">
        <f t="shared" si="310"/>
        <v>352</v>
      </c>
      <c r="N3987" s="7">
        <f t="shared" si="311"/>
        <v>388</v>
      </c>
      <c r="O3987" s="2">
        <v>30</v>
      </c>
      <c r="P3987" s="8">
        <f t="shared" si="312"/>
        <v>418</v>
      </c>
      <c r="Q3987" s="8">
        <f t="shared" si="313"/>
        <v>212</v>
      </c>
      <c r="R3987" s="2" t="s">
        <v>28</v>
      </c>
      <c r="S3987" s="9">
        <f t="shared" si="314"/>
        <v>8.36</v>
      </c>
    </row>
    <row r="3988" spans="1:19" x14ac:dyDescent="0.3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str">
        <f>IFERROR(VLOOKUP('Customer Info'!A3980,'Customer Info'!A3980:C4479,2,FALSE),"Not Found")</f>
        <v>Not Found</v>
      </c>
      <c r="H3988" s="6" t="str">
        <f>IFERROR(VLOOKUP('Customer Info'!A3980,'Customer Info'!A3980:C4479,3,FALSE),"Not Found")</f>
        <v>Not Found</v>
      </c>
      <c r="I3988" s="6" t="str">
        <f>IFERROR(VLOOKUP('Customer Info'!A3980,'Customer Info'!A3980:E4479,5,FALSE),"Not Found")</f>
        <v>Not Found</v>
      </c>
      <c r="J3988" s="2">
        <v>8187</v>
      </c>
      <c r="K3988" s="2">
        <v>7799</v>
      </c>
      <c r="L3988" s="2">
        <v>2</v>
      </c>
      <c r="M3988" s="7">
        <f t="shared" si="310"/>
        <v>15598</v>
      </c>
      <c r="N3988" s="7">
        <f t="shared" si="311"/>
        <v>16374</v>
      </c>
      <c r="O3988" s="2">
        <v>94</v>
      </c>
      <c r="P3988" s="8">
        <f t="shared" si="312"/>
        <v>16468</v>
      </c>
      <c r="Q3988" s="8">
        <f t="shared" si="313"/>
        <v>8575</v>
      </c>
      <c r="R3988" s="2" t="s">
        <v>56</v>
      </c>
      <c r="S3988" s="9">
        <f t="shared" si="314"/>
        <v>823.40000000000009</v>
      </c>
    </row>
    <row r="3989" spans="1:19" x14ac:dyDescent="0.3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str">
        <f>IFERROR(VLOOKUP('Customer Info'!A3981,'Customer Info'!A3981:C4480,2,FALSE),"Not Found")</f>
        <v>Not Found</v>
      </c>
      <c r="H3989" s="6" t="str">
        <f>IFERROR(VLOOKUP('Customer Info'!A3981,'Customer Info'!A3981:C4480,3,FALSE),"Not Found")</f>
        <v>Not Found</v>
      </c>
      <c r="I3989" s="6" t="str">
        <f>IFERROR(VLOOKUP('Customer Info'!A3981,'Customer Info'!A3981:E4480,5,FALSE),"Not Found")</f>
        <v>Not Found</v>
      </c>
      <c r="J3989" s="2">
        <v>8022</v>
      </c>
      <c r="K3989" s="2">
        <v>7868</v>
      </c>
      <c r="L3989" s="2">
        <v>5</v>
      </c>
      <c r="M3989" s="7">
        <f t="shared" si="310"/>
        <v>39340</v>
      </c>
      <c r="N3989" s="7">
        <f t="shared" si="311"/>
        <v>40110</v>
      </c>
      <c r="O3989" s="2">
        <v>61</v>
      </c>
      <c r="P3989" s="8">
        <f t="shared" si="312"/>
        <v>40171</v>
      </c>
      <c r="Q3989" s="8">
        <f t="shared" si="313"/>
        <v>32242</v>
      </c>
      <c r="R3989" s="2" t="s">
        <v>28</v>
      </c>
      <c r="S3989" s="9">
        <f t="shared" si="314"/>
        <v>2811.9700000000003</v>
      </c>
    </row>
    <row r="3990" spans="1:19" x14ac:dyDescent="0.3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str">
        <f>IFERROR(VLOOKUP('Customer Info'!A3982,'Customer Info'!A3982:C4481,2,FALSE),"Not Found")</f>
        <v>Not Found</v>
      </c>
      <c r="H3990" s="6" t="str">
        <f>IFERROR(VLOOKUP('Customer Info'!A3982,'Customer Info'!A3982:C4481,3,FALSE),"Not Found")</f>
        <v>Not Found</v>
      </c>
      <c r="I3990" s="6" t="str">
        <f>IFERROR(VLOOKUP('Customer Info'!A3982,'Customer Info'!A3982:E4481,5,FALSE),"Not Found")</f>
        <v>Not Found</v>
      </c>
      <c r="J3990" s="2">
        <v>135</v>
      </c>
      <c r="K3990" s="2">
        <v>129</v>
      </c>
      <c r="L3990" s="2">
        <v>1</v>
      </c>
      <c r="M3990" s="7">
        <f t="shared" si="310"/>
        <v>129</v>
      </c>
      <c r="N3990" s="7">
        <f t="shared" si="311"/>
        <v>135</v>
      </c>
      <c r="O3990" s="2">
        <v>30</v>
      </c>
      <c r="P3990" s="8">
        <f t="shared" si="312"/>
        <v>165</v>
      </c>
      <c r="Q3990" s="8">
        <f t="shared" si="313"/>
        <v>6</v>
      </c>
      <c r="R3990" s="2" t="s">
        <v>28</v>
      </c>
      <c r="S3990" s="9">
        <f t="shared" si="314"/>
        <v>3.3000000000000003</v>
      </c>
    </row>
    <row r="3991" spans="1:19" x14ac:dyDescent="0.3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str">
        <f>IFERROR(VLOOKUP('Customer Info'!A3983,'Customer Info'!A3983:C4482,2,FALSE),"Not Found")</f>
        <v>Not Found</v>
      </c>
      <c r="H3991" s="6" t="str">
        <f>IFERROR(VLOOKUP('Customer Info'!A3983,'Customer Info'!A3983:C4482,3,FALSE),"Not Found")</f>
        <v>Not Found</v>
      </c>
      <c r="I3991" s="6" t="str">
        <f>IFERROR(VLOOKUP('Customer Info'!A3983,'Customer Info'!A3983:E4482,5,FALSE),"Not Found")</f>
        <v>Not Found</v>
      </c>
      <c r="J3991" s="2">
        <v>886</v>
      </c>
      <c r="K3991" s="2">
        <v>796</v>
      </c>
      <c r="L3991" s="2">
        <v>1</v>
      </c>
      <c r="M3991" s="7">
        <f t="shared" si="310"/>
        <v>796</v>
      </c>
      <c r="N3991" s="7">
        <f t="shared" si="311"/>
        <v>886</v>
      </c>
      <c r="O3991" s="2">
        <v>98</v>
      </c>
      <c r="P3991" s="8">
        <f t="shared" si="312"/>
        <v>984</v>
      </c>
      <c r="Q3991" s="8">
        <f t="shared" si="313"/>
        <v>90</v>
      </c>
      <c r="R3991" s="2" t="s">
        <v>50</v>
      </c>
      <c r="S3991" s="9">
        <f t="shared" si="314"/>
        <v>19.68</v>
      </c>
    </row>
    <row r="3992" spans="1:19" x14ac:dyDescent="0.3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str">
        <f>IFERROR(VLOOKUP('Customer Info'!A3984,'Customer Info'!A3984:C4483,2,FALSE),"Not Found")</f>
        <v>Not Found</v>
      </c>
      <c r="H3992" s="6" t="str">
        <f>IFERROR(VLOOKUP('Customer Info'!A3984,'Customer Info'!A3984:C4483,3,FALSE),"Not Found")</f>
        <v>Not Found</v>
      </c>
      <c r="I3992" s="6" t="str">
        <f>IFERROR(VLOOKUP('Customer Info'!A3984,'Customer Info'!A3984:E4483,5,FALSE),"Not Found")</f>
        <v>Not Found</v>
      </c>
      <c r="J3992" s="2">
        <v>2808</v>
      </c>
      <c r="K3992" s="2">
        <v>2674</v>
      </c>
      <c r="L3992" s="2">
        <v>3</v>
      </c>
      <c r="M3992" s="7">
        <f t="shared" si="310"/>
        <v>8022</v>
      </c>
      <c r="N3992" s="7">
        <f t="shared" si="311"/>
        <v>8424</v>
      </c>
      <c r="O3992" s="2">
        <v>89</v>
      </c>
      <c r="P3992" s="8">
        <f t="shared" si="312"/>
        <v>8513</v>
      </c>
      <c r="Q3992" s="8">
        <f t="shared" si="313"/>
        <v>5750</v>
      </c>
      <c r="R3992" s="2" t="s">
        <v>50</v>
      </c>
      <c r="S3992" s="9">
        <f t="shared" si="314"/>
        <v>425.65000000000003</v>
      </c>
    </row>
    <row r="3993" spans="1:19" x14ac:dyDescent="0.3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str">
        <f>IFERROR(VLOOKUP('Customer Info'!A3985,'Customer Info'!A3985:C4484,2,FALSE),"Not Found")</f>
        <v>Not Found</v>
      </c>
      <c r="H3993" s="6" t="str">
        <f>IFERROR(VLOOKUP('Customer Info'!A3985,'Customer Info'!A3985:C4484,3,FALSE),"Not Found")</f>
        <v>Not Found</v>
      </c>
      <c r="I3993" s="6" t="str">
        <f>IFERROR(VLOOKUP('Customer Info'!A3985,'Customer Info'!A3985:E4484,5,FALSE),"Not Found")</f>
        <v>Not Found</v>
      </c>
      <c r="J3993" s="2">
        <v>92</v>
      </c>
      <c r="K3993" s="2">
        <v>82</v>
      </c>
      <c r="L3993" s="2">
        <v>2</v>
      </c>
      <c r="M3993" s="7">
        <f t="shared" si="310"/>
        <v>164</v>
      </c>
      <c r="N3993" s="7">
        <f t="shared" si="311"/>
        <v>184</v>
      </c>
      <c r="O3993" s="2">
        <v>10</v>
      </c>
      <c r="P3993" s="8">
        <f t="shared" si="312"/>
        <v>194</v>
      </c>
      <c r="Q3993" s="8">
        <f t="shared" si="313"/>
        <v>102</v>
      </c>
      <c r="R3993" s="2" t="s">
        <v>26</v>
      </c>
      <c r="S3993" s="9">
        <f t="shared" si="314"/>
        <v>3.88</v>
      </c>
    </row>
    <row r="3994" spans="1:19" x14ac:dyDescent="0.3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str">
        <f>IFERROR(VLOOKUP('Customer Info'!A3986,'Customer Info'!A3986:C4485,2,FALSE),"Not Found")</f>
        <v>Not Found</v>
      </c>
      <c r="H3994" s="6" t="str">
        <f>IFERROR(VLOOKUP('Customer Info'!A3986,'Customer Info'!A3986:C4485,3,FALSE),"Not Found")</f>
        <v>Not Found</v>
      </c>
      <c r="I3994" s="6" t="str">
        <f>IFERROR(VLOOKUP('Customer Info'!A3986,'Customer Info'!A3986:E4485,5,FALSE),"Not Found")</f>
        <v>Not Found</v>
      </c>
      <c r="J3994" s="2">
        <v>1283</v>
      </c>
      <c r="K3994" s="2">
        <v>1187</v>
      </c>
      <c r="L3994" s="2">
        <v>3</v>
      </c>
      <c r="M3994" s="7">
        <f t="shared" si="310"/>
        <v>3561</v>
      </c>
      <c r="N3994" s="7">
        <f t="shared" si="311"/>
        <v>3849</v>
      </c>
      <c r="O3994" s="2">
        <v>21</v>
      </c>
      <c r="P3994" s="8">
        <f t="shared" si="312"/>
        <v>3870</v>
      </c>
      <c r="Q3994" s="8">
        <f t="shared" si="313"/>
        <v>2662</v>
      </c>
      <c r="R3994" s="2" t="s">
        <v>50</v>
      </c>
      <c r="S3994" s="9">
        <f t="shared" si="314"/>
        <v>77.400000000000006</v>
      </c>
    </row>
    <row r="3995" spans="1:19" x14ac:dyDescent="0.3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str">
        <f>IFERROR(VLOOKUP('Customer Info'!A3987,'Customer Info'!A3987:C4486,2,FALSE),"Not Found")</f>
        <v>Not Found</v>
      </c>
      <c r="H3995" s="6" t="str">
        <f>IFERROR(VLOOKUP('Customer Info'!A3987,'Customer Info'!A3987:C4486,3,FALSE),"Not Found")</f>
        <v>Not Found</v>
      </c>
      <c r="I3995" s="6" t="str">
        <f>IFERROR(VLOOKUP('Customer Info'!A3987,'Customer Info'!A3987:E4486,5,FALSE),"Not Found")</f>
        <v>Not Found</v>
      </c>
      <c r="J3995" s="2">
        <v>214</v>
      </c>
      <c r="K3995" s="2">
        <v>200</v>
      </c>
      <c r="L3995" s="2">
        <v>3</v>
      </c>
      <c r="M3995" s="7">
        <f t="shared" si="310"/>
        <v>600</v>
      </c>
      <c r="N3995" s="7">
        <f t="shared" si="311"/>
        <v>642</v>
      </c>
      <c r="O3995" s="2">
        <v>52</v>
      </c>
      <c r="P3995" s="8">
        <f t="shared" si="312"/>
        <v>694</v>
      </c>
      <c r="Q3995" s="8">
        <f t="shared" si="313"/>
        <v>442</v>
      </c>
      <c r="R3995" s="2" t="s">
        <v>28</v>
      </c>
      <c r="S3995" s="9">
        <f t="shared" si="314"/>
        <v>13.88</v>
      </c>
    </row>
    <row r="3996" spans="1:19" x14ac:dyDescent="0.3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str">
        <f>IFERROR(VLOOKUP('Customer Info'!A3988,'Customer Info'!A3988:C4487,2,FALSE),"Not Found")</f>
        <v>Not Found</v>
      </c>
      <c r="H3996" s="6" t="str">
        <f>IFERROR(VLOOKUP('Customer Info'!A3988,'Customer Info'!A3988:C4487,3,FALSE),"Not Found")</f>
        <v>Not Found</v>
      </c>
      <c r="I3996" s="6" t="str">
        <f>IFERROR(VLOOKUP('Customer Info'!A3988,'Customer Info'!A3988:E4487,5,FALSE),"Not Found")</f>
        <v>Not Found</v>
      </c>
      <c r="J3996" s="2">
        <v>8281</v>
      </c>
      <c r="K3996" s="2">
        <v>7673</v>
      </c>
      <c r="L3996" s="2">
        <v>4</v>
      </c>
      <c r="M3996" s="7">
        <f t="shared" si="310"/>
        <v>30692</v>
      </c>
      <c r="N3996" s="7">
        <f t="shared" si="311"/>
        <v>33124</v>
      </c>
      <c r="O3996" s="2">
        <v>36</v>
      </c>
      <c r="P3996" s="8">
        <f t="shared" si="312"/>
        <v>33160</v>
      </c>
      <c r="Q3996" s="8">
        <f t="shared" si="313"/>
        <v>25451</v>
      </c>
      <c r="R3996" s="2" t="s">
        <v>28</v>
      </c>
      <c r="S3996" s="9">
        <f t="shared" si="314"/>
        <v>2321.2000000000003</v>
      </c>
    </row>
    <row r="3997" spans="1:19" x14ac:dyDescent="0.3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str">
        <f>IFERROR(VLOOKUP('Customer Info'!A3989,'Customer Info'!A3989:C4488,2,FALSE),"Not Found")</f>
        <v>Not Found</v>
      </c>
      <c r="H3997" s="6" t="str">
        <f>IFERROR(VLOOKUP('Customer Info'!A3989,'Customer Info'!A3989:C4488,3,FALSE),"Not Found")</f>
        <v>Not Found</v>
      </c>
      <c r="I3997" s="6" t="str">
        <f>IFERROR(VLOOKUP('Customer Info'!A3989,'Customer Info'!A3989:E4488,5,FALSE),"Not Found")</f>
        <v>Not Found</v>
      </c>
      <c r="J3997" s="2">
        <v>2200</v>
      </c>
      <c r="K3997" s="2">
        <v>2020</v>
      </c>
      <c r="L3997" s="2">
        <v>2</v>
      </c>
      <c r="M3997" s="7">
        <f t="shared" si="310"/>
        <v>4040</v>
      </c>
      <c r="N3997" s="7">
        <f t="shared" si="311"/>
        <v>4400</v>
      </c>
      <c r="O3997" s="2">
        <v>25</v>
      </c>
      <c r="P3997" s="8">
        <f t="shared" si="312"/>
        <v>4425</v>
      </c>
      <c r="Q3997" s="8">
        <f t="shared" si="313"/>
        <v>2380</v>
      </c>
      <c r="R3997" s="2" t="s">
        <v>28</v>
      </c>
      <c r="S3997" s="9">
        <f t="shared" si="314"/>
        <v>88.5</v>
      </c>
    </row>
    <row r="3998" spans="1:19" x14ac:dyDescent="0.3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str">
        <f>IFERROR(VLOOKUP('Customer Info'!A3990,'Customer Info'!A3990:C4489,2,FALSE),"Not Found")</f>
        <v>Not Found</v>
      </c>
      <c r="H3998" s="6" t="str">
        <f>IFERROR(VLOOKUP('Customer Info'!A3990,'Customer Info'!A3990:C4489,3,FALSE),"Not Found")</f>
        <v>Not Found</v>
      </c>
      <c r="I3998" s="6" t="str">
        <f>IFERROR(VLOOKUP('Customer Info'!A3990,'Customer Info'!A3990:E4489,5,FALSE),"Not Found")</f>
        <v>Not Found</v>
      </c>
      <c r="J3998" s="2">
        <v>681</v>
      </c>
      <c r="K3998" s="2">
        <v>642</v>
      </c>
      <c r="L3998" s="2">
        <v>6</v>
      </c>
      <c r="M3998" s="7">
        <f t="shared" si="310"/>
        <v>3852</v>
      </c>
      <c r="N3998" s="7">
        <f t="shared" si="311"/>
        <v>4086</v>
      </c>
      <c r="O3998" s="2">
        <v>46</v>
      </c>
      <c r="P3998" s="8">
        <f t="shared" si="312"/>
        <v>4132</v>
      </c>
      <c r="Q3998" s="8">
        <f t="shared" si="313"/>
        <v>3444</v>
      </c>
      <c r="R3998" s="2" t="s">
        <v>50</v>
      </c>
      <c r="S3998" s="9">
        <f t="shared" si="314"/>
        <v>82.64</v>
      </c>
    </row>
    <row r="3999" spans="1:19" x14ac:dyDescent="0.3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str">
        <f>IFERROR(VLOOKUP('Customer Info'!A3991,'Customer Info'!A3991:C4490,2,FALSE),"Not Found")</f>
        <v>Not Found</v>
      </c>
      <c r="H3999" s="6" t="str">
        <f>IFERROR(VLOOKUP('Customer Info'!A3991,'Customer Info'!A3991:C4490,3,FALSE),"Not Found")</f>
        <v>Not Found</v>
      </c>
      <c r="I3999" s="6" t="str">
        <f>IFERROR(VLOOKUP('Customer Info'!A3991,'Customer Info'!A3991:E4490,5,FALSE),"Not Found")</f>
        <v>Not Found</v>
      </c>
      <c r="J3999" s="2">
        <v>8665</v>
      </c>
      <c r="K3999" s="2">
        <v>7723</v>
      </c>
      <c r="L3999" s="2">
        <v>2</v>
      </c>
      <c r="M3999" s="7">
        <f t="shared" si="310"/>
        <v>15446</v>
      </c>
      <c r="N3999" s="7">
        <f t="shared" si="311"/>
        <v>17330</v>
      </c>
      <c r="O3999" s="2">
        <v>97</v>
      </c>
      <c r="P3999" s="8">
        <f t="shared" si="312"/>
        <v>17427</v>
      </c>
      <c r="Q3999" s="8">
        <f t="shared" si="313"/>
        <v>9607</v>
      </c>
      <c r="R3999" s="2" t="s">
        <v>28</v>
      </c>
      <c r="S3999" s="9">
        <f t="shared" si="314"/>
        <v>871.35</v>
      </c>
    </row>
    <row r="4000" spans="1:19" x14ac:dyDescent="0.3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str">
        <f>IFERROR(VLOOKUP('Customer Info'!A3992,'Customer Info'!A3992:C4491,2,FALSE),"Not Found")</f>
        <v>Not Found</v>
      </c>
      <c r="H4000" s="6" t="str">
        <f>IFERROR(VLOOKUP('Customer Info'!A3992,'Customer Info'!A3992:C4491,3,FALSE),"Not Found")</f>
        <v>Not Found</v>
      </c>
      <c r="I4000" s="6" t="str">
        <f>IFERROR(VLOOKUP('Customer Info'!A3992,'Customer Info'!A3992:E4491,5,FALSE),"Not Found")</f>
        <v>Not Found</v>
      </c>
      <c r="J4000" s="2">
        <v>167</v>
      </c>
      <c r="K4000" s="2">
        <v>155</v>
      </c>
      <c r="L4000" s="2">
        <v>7</v>
      </c>
      <c r="M4000" s="7">
        <f t="shared" si="310"/>
        <v>1085</v>
      </c>
      <c r="N4000" s="7">
        <f t="shared" si="311"/>
        <v>1169</v>
      </c>
      <c r="O4000" s="2">
        <v>30</v>
      </c>
      <c r="P4000" s="8">
        <f t="shared" si="312"/>
        <v>1199</v>
      </c>
      <c r="Q4000" s="8">
        <f t="shared" si="313"/>
        <v>1014</v>
      </c>
      <c r="R4000" s="2" t="s">
        <v>50</v>
      </c>
      <c r="S4000" s="9">
        <f t="shared" si="314"/>
        <v>23.98</v>
      </c>
    </row>
    <row r="4001" spans="1:19" x14ac:dyDescent="0.3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str">
        <f>IFERROR(VLOOKUP('Customer Info'!A3993,'Customer Info'!A3993:C4492,2,FALSE),"Not Found")</f>
        <v>Not Found</v>
      </c>
      <c r="H4001" s="6" t="str">
        <f>IFERROR(VLOOKUP('Customer Info'!A3993,'Customer Info'!A3993:C4492,3,FALSE),"Not Found")</f>
        <v>Not Found</v>
      </c>
      <c r="I4001" s="6" t="str">
        <f>IFERROR(VLOOKUP('Customer Info'!A3993,'Customer Info'!A3993:E4492,5,FALSE),"Not Found")</f>
        <v>Not Found</v>
      </c>
      <c r="J4001" s="2">
        <v>8619</v>
      </c>
      <c r="K4001" s="2">
        <v>7759</v>
      </c>
      <c r="L4001" s="2">
        <v>2</v>
      </c>
      <c r="M4001" s="7">
        <f t="shared" si="310"/>
        <v>15518</v>
      </c>
      <c r="N4001" s="7">
        <f t="shared" si="311"/>
        <v>17238</v>
      </c>
      <c r="O4001" s="2">
        <v>60</v>
      </c>
      <c r="P4001" s="8">
        <f t="shared" si="312"/>
        <v>17298</v>
      </c>
      <c r="Q4001" s="8">
        <f t="shared" si="313"/>
        <v>9479</v>
      </c>
      <c r="R4001" s="2" t="s">
        <v>26</v>
      </c>
      <c r="S4001" s="9">
        <f t="shared" si="314"/>
        <v>864.90000000000009</v>
      </c>
    </row>
    <row r="4002" spans="1:19" x14ac:dyDescent="0.3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str">
        <f>IFERROR(VLOOKUP('Customer Info'!A3994,'Customer Info'!A3994:C4493,2,FALSE),"Not Found")</f>
        <v>Not Found</v>
      </c>
      <c r="H4002" s="6" t="str">
        <f>IFERROR(VLOOKUP('Customer Info'!A3994,'Customer Info'!A3994:C4493,3,FALSE),"Not Found")</f>
        <v>Not Found</v>
      </c>
      <c r="I4002" s="6" t="str">
        <f>IFERROR(VLOOKUP('Customer Info'!A3994,'Customer Info'!A3994:E4493,5,FALSE),"Not Found")</f>
        <v>Not Found</v>
      </c>
      <c r="J4002" s="2">
        <v>531</v>
      </c>
      <c r="K4002" s="2">
        <v>487</v>
      </c>
      <c r="L4002" s="2">
        <v>3</v>
      </c>
      <c r="M4002" s="7">
        <f t="shared" si="310"/>
        <v>1461</v>
      </c>
      <c r="N4002" s="7">
        <f t="shared" si="311"/>
        <v>1593</v>
      </c>
      <c r="O4002" s="2">
        <v>81</v>
      </c>
      <c r="P4002" s="8">
        <f t="shared" si="312"/>
        <v>1674</v>
      </c>
      <c r="Q4002" s="8">
        <f t="shared" si="313"/>
        <v>1106</v>
      </c>
      <c r="R4002" s="2" t="s">
        <v>28</v>
      </c>
      <c r="S4002" s="9">
        <f t="shared" si="314"/>
        <v>33.480000000000004</v>
      </c>
    </row>
    <row r="4003" spans="1:19" x14ac:dyDescent="0.3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str">
        <f>IFERROR(VLOOKUP('Customer Info'!A3995,'Customer Info'!A3995:C4494,2,FALSE),"Not Found")</f>
        <v>Not Found</v>
      </c>
      <c r="H4003" s="6" t="str">
        <f>IFERROR(VLOOKUP('Customer Info'!A3995,'Customer Info'!A3995:C4494,3,FALSE),"Not Found")</f>
        <v>Not Found</v>
      </c>
      <c r="I4003" s="6" t="str">
        <f>IFERROR(VLOOKUP('Customer Info'!A3995,'Customer Info'!A3995:E4494,5,FALSE),"Not Found")</f>
        <v>Not Found</v>
      </c>
      <c r="J4003" s="2">
        <v>6864</v>
      </c>
      <c r="K4003" s="2">
        <v>6667</v>
      </c>
      <c r="L4003" s="2">
        <v>2</v>
      </c>
      <c r="M4003" s="7">
        <f t="shared" si="310"/>
        <v>13334</v>
      </c>
      <c r="N4003" s="7">
        <f t="shared" si="311"/>
        <v>13728</v>
      </c>
      <c r="O4003" s="2">
        <v>82</v>
      </c>
      <c r="P4003" s="8">
        <f t="shared" si="312"/>
        <v>13810</v>
      </c>
      <c r="Q4003" s="8">
        <f t="shared" si="313"/>
        <v>7061</v>
      </c>
      <c r="R4003" s="2" t="s">
        <v>50</v>
      </c>
      <c r="S4003" s="9">
        <f t="shared" si="314"/>
        <v>690.5</v>
      </c>
    </row>
    <row r="4004" spans="1:19" x14ac:dyDescent="0.3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str">
        <f>IFERROR(VLOOKUP('Customer Info'!A3996,'Customer Info'!A3996:C4495,2,FALSE),"Not Found")</f>
        <v>Not Found</v>
      </c>
      <c r="H4004" s="6" t="str">
        <f>IFERROR(VLOOKUP('Customer Info'!A3996,'Customer Info'!A3996:C4495,3,FALSE),"Not Found")</f>
        <v>Not Found</v>
      </c>
      <c r="I4004" s="6" t="str">
        <f>IFERROR(VLOOKUP('Customer Info'!A3996,'Customer Info'!A3996:E4495,5,FALSE),"Not Found")</f>
        <v>Not Found</v>
      </c>
      <c r="J4004" s="2">
        <v>2151</v>
      </c>
      <c r="K4004" s="2">
        <v>2009</v>
      </c>
      <c r="L4004" s="2">
        <v>2</v>
      </c>
      <c r="M4004" s="7">
        <f t="shared" si="310"/>
        <v>4018</v>
      </c>
      <c r="N4004" s="7">
        <f t="shared" si="311"/>
        <v>4302</v>
      </c>
      <c r="O4004" s="2">
        <v>66</v>
      </c>
      <c r="P4004" s="8">
        <f t="shared" si="312"/>
        <v>4368</v>
      </c>
      <c r="Q4004" s="8">
        <f t="shared" si="313"/>
        <v>2293</v>
      </c>
      <c r="R4004" s="2" t="s">
        <v>28</v>
      </c>
      <c r="S4004" s="9">
        <f t="shared" si="314"/>
        <v>87.36</v>
      </c>
    </row>
    <row r="4005" spans="1:19" x14ac:dyDescent="0.3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str">
        <f>IFERROR(VLOOKUP('Customer Info'!A3997,'Customer Info'!A3997:C4496,2,FALSE),"Not Found")</f>
        <v>Not Found</v>
      </c>
      <c r="H4005" s="6" t="str">
        <f>IFERROR(VLOOKUP('Customer Info'!A3997,'Customer Info'!A3997:C4496,3,FALSE),"Not Found")</f>
        <v>Not Found</v>
      </c>
      <c r="I4005" s="6" t="str">
        <f>IFERROR(VLOOKUP('Customer Info'!A3997,'Customer Info'!A3997:E4496,5,FALSE),"Not Found")</f>
        <v>Not Found</v>
      </c>
      <c r="J4005" s="2">
        <v>805</v>
      </c>
      <c r="K4005" s="2">
        <v>746</v>
      </c>
      <c r="L4005" s="2">
        <v>6</v>
      </c>
      <c r="M4005" s="7">
        <f t="shared" si="310"/>
        <v>4476</v>
      </c>
      <c r="N4005" s="7">
        <f t="shared" si="311"/>
        <v>4830</v>
      </c>
      <c r="O4005" s="2">
        <v>35</v>
      </c>
      <c r="P4005" s="8">
        <f t="shared" si="312"/>
        <v>4865</v>
      </c>
      <c r="Q4005" s="8">
        <f t="shared" si="313"/>
        <v>4084</v>
      </c>
      <c r="R4005" s="2" t="s">
        <v>28</v>
      </c>
      <c r="S4005" s="9">
        <f t="shared" si="314"/>
        <v>97.3</v>
      </c>
    </row>
    <row r="4006" spans="1:19" x14ac:dyDescent="0.3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str">
        <f>IFERROR(VLOOKUP('Customer Info'!A3998,'Customer Info'!A3998:C4497,2,FALSE),"Not Found")</f>
        <v>Not Found</v>
      </c>
      <c r="H4006" s="6" t="str">
        <f>IFERROR(VLOOKUP('Customer Info'!A3998,'Customer Info'!A3998:C4497,3,FALSE),"Not Found")</f>
        <v>Not Found</v>
      </c>
      <c r="I4006" s="6" t="str">
        <f>IFERROR(VLOOKUP('Customer Info'!A3998,'Customer Info'!A3998:E4497,5,FALSE),"Not Found")</f>
        <v>Not Found</v>
      </c>
      <c r="J4006" s="2">
        <v>1533</v>
      </c>
      <c r="K4006" s="2">
        <v>1406</v>
      </c>
      <c r="L4006" s="2">
        <v>4</v>
      </c>
      <c r="M4006" s="7">
        <f t="shared" si="310"/>
        <v>5624</v>
      </c>
      <c r="N4006" s="7">
        <f t="shared" si="311"/>
        <v>6132</v>
      </c>
      <c r="O4006" s="2">
        <v>45</v>
      </c>
      <c r="P4006" s="8">
        <f t="shared" si="312"/>
        <v>6177</v>
      </c>
      <c r="Q4006" s="8">
        <f t="shared" si="313"/>
        <v>4726</v>
      </c>
      <c r="R4006" s="2" t="s">
        <v>26</v>
      </c>
      <c r="S4006" s="9">
        <f t="shared" si="314"/>
        <v>308.85000000000002</v>
      </c>
    </row>
    <row r="4007" spans="1:19" x14ac:dyDescent="0.3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str">
        <f>IFERROR(VLOOKUP('Customer Info'!A3999,'Customer Info'!A3999:C4498,2,FALSE),"Not Found")</f>
        <v>Not Found</v>
      </c>
      <c r="H4007" s="6" t="str">
        <f>IFERROR(VLOOKUP('Customer Info'!A3999,'Customer Info'!A3999:C4498,3,FALSE),"Not Found")</f>
        <v>Not Found</v>
      </c>
      <c r="I4007" s="6" t="str">
        <f>IFERROR(VLOOKUP('Customer Info'!A3999,'Customer Info'!A3999:E4498,5,FALSE),"Not Found")</f>
        <v>Not Found</v>
      </c>
      <c r="J4007" s="2">
        <v>80</v>
      </c>
      <c r="K4007" s="2">
        <v>75</v>
      </c>
      <c r="L4007" s="2">
        <v>4</v>
      </c>
      <c r="M4007" s="7">
        <f t="shared" si="310"/>
        <v>300</v>
      </c>
      <c r="N4007" s="7">
        <f t="shared" si="311"/>
        <v>320</v>
      </c>
      <c r="O4007" s="2">
        <v>10</v>
      </c>
      <c r="P4007" s="8">
        <f t="shared" si="312"/>
        <v>330</v>
      </c>
      <c r="Q4007" s="8">
        <f t="shared" si="313"/>
        <v>245</v>
      </c>
      <c r="R4007" s="2" t="s">
        <v>28</v>
      </c>
      <c r="S4007" s="9">
        <f t="shared" si="314"/>
        <v>6.6000000000000005</v>
      </c>
    </row>
    <row r="4008" spans="1:19" x14ac:dyDescent="0.3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str">
        <f>IFERROR(VLOOKUP('Customer Info'!A4000,'Customer Info'!A4000:C4499,2,FALSE),"Not Found")</f>
        <v>Not Found</v>
      </c>
      <c r="H4008" s="6" t="str">
        <f>IFERROR(VLOOKUP('Customer Info'!A4000,'Customer Info'!A4000:C4499,3,FALSE),"Not Found")</f>
        <v>Not Found</v>
      </c>
      <c r="I4008" s="6" t="str">
        <f>IFERROR(VLOOKUP('Customer Info'!A4000,'Customer Info'!A4000:E4499,5,FALSE),"Not Found")</f>
        <v>Not Found</v>
      </c>
      <c r="J4008" s="2">
        <v>1605</v>
      </c>
      <c r="K4008" s="2">
        <v>1530</v>
      </c>
      <c r="L4008" s="2">
        <v>1</v>
      </c>
      <c r="M4008" s="7">
        <f t="shared" si="310"/>
        <v>1530</v>
      </c>
      <c r="N4008" s="7">
        <f t="shared" si="311"/>
        <v>1605</v>
      </c>
      <c r="O4008" s="2">
        <v>23</v>
      </c>
      <c r="P4008" s="8">
        <f t="shared" si="312"/>
        <v>1628</v>
      </c>
      <c r="Q4008" s="8">
        <f t="shared" si="313"/>
        <v>75</v>
      </c>
      <c r="R4008" s="2" t="s">
        <v>28</v>
      </c>
      <c r="S4008" s="9">
        <f t="shared" si="314"/>
        <v>32.56</v>
      </c>
    </row>
    <row r="4009" spans="1:19" x14ac:dyDescent="0.3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str">
        <f>IFERROR(VLOOKUP('Customer Info'!A4001,'Customer Info'!A4001:C4500,2,FALSE),"Not Found")</f>
        <v>Not Found</v>
      </c>
      <c r="H4009" s="6" t="str">
        <f>IFERROR(VLOOKUP('Customer Info'!A4001,'Customer Info'!A4001:C4500,3,FALSE),"Not Found")</f>
        <v>Not Found</v>
      </c>
      <c r="I4009" s="6" t="str">
        <f>IFERROR(VLOOKUP('Customer Info'!A4001,'Customer Info'!A4001:E4500,5,FALSE),"Not Found")</f>
        <v>Not Found</v>
      </c>
      <c r="J4009" s="2">
        <v>4846</v>
      </c>
      <c r="K4009" s="2">
        <v>4492</v>
      </c>
      <c r="L4009" s="2">
        <v>7</v>
      </c>
      <c r="M4009" s="7">
        <f t="shared" si="310"/>
        <v>31444</v>
      </c>
      <c r="N4009" s="7">
        <f t="shared" si="311"/>
        <v>33922</v>
      </c>
      <c r="O4009" s="2">
        <v>86</v>
      </c>
      <c r="P4009" s="8">
        <f t="shared" si="312"/>
        <v>34008</v>
      </c>
      <c r="Q4009" s="8">
        <f t="shared" si="313"/>
        <v>29430</v>
      </c>
      <c r="R4009" s="2" t="s">
        <v>56</v>
      </c>
      <c r="S4009" s="9">
        <f t="shared" si="314"/>
        <v>2380.5600000000004</v>
      </c>
    </row>
    <row r="4010" spans="1:19" x14ac:dyDescent="0.3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str">
        <f>IFERROR(VLOOKUP('Customer Info'!A4002,'Customer Info'!A4002:C4501,2,FALSE),"Not Found")</f>
        <v>Not Found</v>
      </c>
      <c r="H4010" s="6" t="str">
        <f>IFERROR(VLOOKUP('Customer Info'!A4002,'Customer Info'!A4002:C4501,3,FALSE),"Not Found")</f>
        <v>Not Found</v>
      </c>
      <c r="I4010" s="6" t="str">
        <f>IFERROR(VLOOKUP('Customer Info'!A4002,'Customer Info'!A4002:E4501,5,FALSE),"Not Found")</f>
        <v>Not Found</v>
      </c>
      <c r="J4010" s="2">
        <v>1834</v>
      </c>
      <c r="K4010" s="2">
        <v>1716</v>
      </c>
      <c r="L4010" s="2">
        <v>2</v>
      </c>
      <c r="M4010" s="7">
        <f t="shared" si="310"/>
        <v>3432</v>
      </c>
      <c r="N4010" s="7">
        <f t="shared" si="311"/>
        <v>3668</v>
      </c>
      <c r="O4010" s="2">
        <v>98</v>
      </c>
      <c r="P4010" s="8">
        <f t="shared" si="312"/>
        <v>3766</v>
      </c>
      <c r="Q4010" s="8">
        <f t="shared" si="313"/>
        <v>1952</v>
      </c>
      <c r="R4010" s="2" t="s">
        <v>50</v>
      </c>
      <c r="S4010" s="9">
        <f t="shared" si="314"/>
        <v>75.320000000000007</v>
      </c>
    </row>
    <row r="4011" spans="1:19" x14ac:dyDescent="0.3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str">
        <f>IFERROR(VLOOKUP('Customer Info'!A4003,'Customer Info'!A4003:C4502,2,FALSE),"Not Found")</f>
        <v>Not Found</v>
      </c>
      <c r="H4011" s="6" t="str">
        <f>IFERROR(VLOOKUP('Customer Info'!A4003,'Customer Info'!A4003:C4502,3,FALSE),"Not Found")</f>
        <v>Not Found</v>
      </c>
      <c r="I4011" s="6" t="str">
        <f>IFERROR(VLOOKUP('Customer Info'!A4003,'Customer Info'!A4003:E4502,5,FALSE),"Not Found")</f>
        <v>Not Found</v>
      </c>
      <c r="J4011" s="2">
        <v>61</v>
      </c>
      <c r="K4011" s="2">
        <v>56</v>
      </c>
      <c r="L4011" s="2">
        <v>2</v>
      </c>
      <c r="M4011" s="7">
        <f t="shared" si="310"/>
        <v>112</v>
      </c>
      <c r="N4011" s="7">
        <f t="shared" si="311"/>
        <v>122</v>
      </c>
      <c r="O4011" s="2">
        <v>10</v>
      </c>
      <c r="P4011" s="8">
        <f t="shared" si="312"/>
        <v>132</v>
      </c>
      <c r="Q4011" s="8">
        <f t="shared" si="313"/>
        <v>66</v>
      </c>
      <c r="R4011" s="2" t="s">
        <v>28</v>
      </c>
      <c r="S4011" s="9">
        <f t="shared" si="314"/>
        <v>2.64</v>
      </c>
    </row>
    <row r="4012" spans="1:19" x14ac:dyDescent="0.3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str">
        <f>IFERROR(VLOOKUP('Customer Info'!A4004,'Customer Info'!A4004:C4503,2,FALSE),"Not Found")</f>
        <v>Not Found</v>
      </c>
      <c r="H4012" s="6" t="str">
        <f>IFERROR(VLOOKUP('Customer Info'!A4004,'Customer Info'!A4004:C4503,3,FALSE),"Not Found")</f>
        <v>Not Found</v>
      </c>
      <c r="I4012" s="6" t="str">
        <f>IFERROR(VLOOKUP('Customer Info'!A4004,'Customer Info'!A4004:E4503,5,FALSE),"Not Found")</f>
        <v>Not Found</v>
      </c>
      <c r="J4012" s="2">
        <v>4704</v>
      </c>
      <c r="K4012" s="2">
        <v>4361</v>
      </c>
      <c r="L4012" s="2">
        <v>4</v>
      </c>
      <c r="M4012" s="7">
        <f t="shared" si="310"/>
        <v>17444</v>
      </c>
      <c r="N4012" s="7">
        <f t="shared" si="311"/>
        <v>18816</v>
      </c>
      <c r="O4012" s="2">
        <v>99</v>
      </c>
      <c r="P4012" s="8">
        <f t="shared" si="312"/>
        <v>18915</v>
      </c>
      <c r="Q4012" s="8">
        <f t="shared" si="313"/>
        <v>14455</v>
      </c>
      <c r="R4012" s="2" t="s">
        <v>50</v>
      </c>
      <c r="S4012" s="9">
        <f t="shared" si="314"/>
        <v>945.75</v>
      </c>
    </row>
    <row r="4013" spans="1:19" x14ac:dyDescent="0.3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str">
        <f>IFERROR(VLOOKUP('Customer Info'!A4005,'Customer Info'!A4005:C4504,2,FALSE),"Not Found")</f>
        <v>Not Found</v>
      </c>
      <c r="H4013" s="6" t="str">
        <f>IFERROR(VLOOKUP('Customer Info'!A4005,'Customer Info'!A4005:C4504,3,FALSE),"Not Found")</f>
        <v>Not Found</v>
      </c>
      <c r="I4013" s="6" t="str">
        <f>IFERROR(VLOOKUP('Customer Info'!A4005,'Customer Info'!A4005:E4504,5,FALSE),"Not Found")</f>
        <v>Not Found</v>
      </c>
      <c r="J4013" s="2">
        <v>1568</v>
      </c>
      <c r="K4013" s="2">
        <v>1495</v>
      </c>
      <c r="L4013" s="2">
        <v>2</v>
      </c>
      <c r="M4013" s="7">
        <f t="shared" si="310"/>
        <v>2990</v>
      </c>
      <c r="N4013" s="7">
        <f t="shared" si="311"/>
        <v>3136</v>
      </c>
      <c r="O4013" s="2">
        <v>68</v>
      </c>
      <c r="P4013" s="8">
        <f t="shared" si="312"/>
        <v>3204</v>
      </c>
      <c r="Q4013" s="8">
        <f t="shared" si="313"/>
        <v>1641</v>
      </c>
      <c r="R4013" s="2" t="s">
        <v>28</v>
      </c>
      <c r="S4013" s="9">
        <f t="shared" si="314"/>
        <v>64.08</v>
      </c>
    </row>
    <row r="4014" spans="1:19" x14ac:dyDescent="0.3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str">
        <f>IFERROR(VLOOKUP('Customer Info'!A4006,'Customer Info'!A4006:C4505,2,FALSE),"Not Found")</f>
        <v>Not Found</v>
      </c>
      <c r="H4014" s="6" t="str">
        <f>IFERROR(VLOOKUP('Customer Info'!A4006,'Customer Info'!A4006:C4505,3,FALSE),"Not Found")</f>
        <v>Not Found</v>
      </c>
      <c r="I4014" s="6" t="str">
        <f>IFERROR(VLOOKUP('Customer Info'!A4006,'Customer Info'!A4006:E4505,5,FALSE),"Not Found")</f>
        <v>Not Found</v>
      </c>
      <c r="J4014" s="2">
        <v>1911</v>
      </c>
      <c r="K4014" s="2">
        <v>1785</v>
      </c>
      <c r="L4014" s="2">
        <v>2</v>
      </c>
      <c r="M4014" s="7">
        <f t="shared" si="310"/>
        <v>3570</v>
      </c>
      <c r="N4014" s="7">
        <f t="shared" si="311"/>
        <v>3822</v>
      </c>
      <c r="O4014" s="2">
        <v>88</v>
      </c>
      <c r="P4014" s="8">
        <f t="shared" si="312"/>
        <v>3910</v>
      </c>
      <c r="Q4014" s="8">
        <f t="shared" si="313"/>
        <v>2037</v>
      </c>
      <c r="R4014" s="2" t="s">
        <v>28</v>
      </c>
      <c r="S4014" s="9">
        <f t="shared" si="314"/>
        <v>78.2</v>
      </c>
    </row>
    <row r="4015" spans="1:19" x14ac:dyDescent="0.3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str">
        <f>IFERROR(VLOOKUP('Customer Info'!A4007,'Customer Info'!A4007:C4506,2,FALSE),"Not Found")</f>
        <v>Not Found</v>
      </c>
      <c r="H4015" s="6" t="str">
        <f>IFERROR(VLOOKUP('Customer Info'!A4007,'Customer Info'!A4007:C4506,3,FALSE),"Not Found")</f>
        <v>Not Found</v>
      </c>
      <c r="I4015" s="6" t="str">
        <f>IFERROR(VLOOKUP('Customer Info'!A4007,'Customer Info'!A4007:E4506,5,FALSE),"Not Found")</f>
        <v>Not Found</v>
      </c>
      <c r="J4015" s="2">
        <v>4246</v>
      </c>
      <c r="K4015" s="2">
        <v>3857</v>
      </c>
      <c r="L4015" s="2">
        <v>7</v>
      </c>
      <c r="M4015" s="7">
        <f t="shared" si="310"/>
        <v>26999</v>
      </c>
      <c r="N4015" s="7">
        <f t="shared" si="311"/>
        <v>29722</v>
      </c>
      <c r="O4015" s="2">
        <v>84</v>
      </c>
      <c r="P4015" s="8">
        <f t="shared" si="312"/>
        <v>29806</v>
      </c>
      <c r="Q4015" s="8">
        <f t="shared" si="313"/>
        <v>25865</v>
      </c>
      <c r="R4015" s="2" t="s">
        <v>28</v>
      </c>
      <c r="S4015" s="9">
        <f t="shared" si="314"/>
        <v>2086.42</v>
      </c>
    </row>
    <row r="4016" spans="1:19" x14ac:dyDescent="0.3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str">
        <f>IFERROR(VLOOKUP('Customer Info'!A4008,'Customer Info'!A4008:C4507,2,FALSE),"Not Found")</f>
        <v>Not Found</v>
      </c>
      <c r="H4016" s="6" t="str">
        <f>IFERROR(VLOOKUP('Customer Info'!A4008,'Customer Info'!A4008:C4507,3,FALSE),"Not Found")</f>
        <v>Not Found</v>
      </c>
      <c r="I4016" s="6" t="str">
        <f>IFERROR(VLOOKUP('Customer Info'!A4008,'Customer Info'!A4008:E4507,5,FALSE),"Not Found")</f>
        <v>Not Found</v>
      </c>
      <c r="J4016" s="2">
        <v>162</v>
      </c>
      <c r="K4016" s="2">
        <v>148</v>
      </c>
      <c r="L4016" s="2">
        <v>3</v>
      </c>
      <c r="M4016" s="7">
        <f t="shared" si="310"/>
        <v>444</v>
      </c>
      <c r="N4016" s="7">
        <f t="shared" si="311"/>
        <v>486</v>
      </c>
      <c r="O4016" s="2">
        <v>30</v>
      </c>
      <c r="P4016" s="8">
        <f t="shared" si="312"/>
        <v>516</v>
      </c>
      <c r="Q4016" s="8">
        <f t="shared" si="313"/>
        <v>338</v>
      </c>
      <c r="R4016" s="2" t="s">
        <v>56</v>
      </c>
      <c r="S4016" s="9">
        <f t="shared" si="314"/>
        <v>10.32</v>
      </c>
    </row>
    <row r="4017" spans="1:19" x14ac:dyDescent="0.3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str">
        <f>IFERROR(VLOOKUP('Customer Info'!A4009,'Customer Info'!A4009:C4508,2,FALSE),"Not Found")</f>
        <v>Not Found</v>
      </c>
      <c r="H4017" s="6" t="str">
        <f>IFERROR(VLOOKUP('Customer Info'!A4009,'Customer Info'!A4009:C4508,3,FALSE),"Not Found")</f>
        <v>Not Found</v>
      </c>
      <c r="I4017" s="6" t="str">
        <f>IFERROR(VLOOKUP('Customer Info'!A4009,'Customer Info'!A4009:E4508,5,FALSE),"Not Found")</f>
        <v>Not Found</v>
      </c>
      <c r="J4017" s="2">
        <v>5051</v>
      </c>
      <c r="K4017" s="2">
        <v>4634</v>
      </c>
      <c r="L4017" s="2">
        <v>14</v>
      </c>
      <c r="M4017" s="7">
        <f t="shared" si="310"/>
        <v>64876</v>
      </c>
      <c r="N4017" s="7">
        <f t="shared" si="311"/>
        <v>70714</v>
      </c>
      <c r="O4017" s="2">
        <v>42</v>
      </c>
      <c r="P4017" s="8">
        <f t="shared" si="312"/>
        <v>70756</v>
      </c>
      <c r="Q4017" s="8">
        <f t="shared" si="313"/>
        <v>66080</v>
      </c>
      <c r="R4017" s="2" t="s">
        <v>50</v>
      </c>
      <c r="S4017" s="9">
        <f t="shared" si="314"/>
        <v>6368.04</v>
      </c>
    </row>
    <row r="4018" spans="1:19" x14ac:dyDescent="0.3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str">
        <f>IFERROR(VLOOKUP('Customer Info'!A4010,'Customer Info'!A4010:C4509,2,FALSE),"Not Found")</f>
        <v>Not Found</v>
      </c>
      <c r="H4018" s="6" t="str">
        <f>IFERROR(VLOOKUP('Customer Info'!A4010,'Customer Info'!A4010:C4509,3,FALSE),"Not Found")</f>
        <v>Not Found</v>
      </c>
      <c r="I4018" s="6" t="str">
        <f>IFERROR(VLOOKUP('Customer Info'!A4010,'Customer Info'!A4010:E4509,5,FALSE),"Not Found")</f>
        <v>Not Found</v>
      </c>
      <c r="J4018" s="2">
        <v>171</v>
      </c>
      <c r="K4018" s="2">
        <v>153</v>
      </c>
      <c r="L4018" s="2">
        <v>1</v>
      </c>
      <c r="M4018" s="7">
        <f t="shared" si="310"/>
        <v>153</v>
      </c>
      <c r="N4018" s="7">
        <f t="shared" si="311"/>
        <v>171</v>
      </c>
      <c r="O4018" s="2">
        <v>30</v>
      </c>
      <c r="P4018" s="8">
        <f t="shared" si="312"/>
        <v>201</v>
      </c>
      <c r="Q4018" s="8">
        <f t="shared" si="313"/>
        <v>18</v>
      </c>
      <c r="R4018" s="2" t="s">
        <v>28</v>
      </c>
      <c r="S4018" s="9">
        <f t="shared" si="314"/>
        <v>4.0200000000000005</v>
      </c>
    </row>
    <row r="4019" spans="1:19" x14ac:dyDescent="0.3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str">
        <f>IFERROR(VLOOKUP('Customer Info'!A4011,'Customer Info'!A4011:C4510,2,FALSE),"Not Found")</f>
        <v>Not Found</v>
      </c>
      <c r="H4019" s="6" t="str">
        <f>IFERROR(VLOOKUP('Customer Info'!A4011,'Customer Info'!A4011:C4510,3,FALSE),"Not Found")</f>
        <v>Not Found</v>
      </c>
      <c r="I4019" s="6" t="str">
        <f>IFERROR(VLOOKUP('Customer Info'!A4011,'Customer Info'!A4011:E4510,5,FALSE),"Not Found")</f>
        <v>Not Found</v>
      </c>
      <c r="J4019" s="2">
        <v>59</v>
      </c>
      <c r="K4019" s="2">
        <v>55</v>
      </c>
      <c r="L4019" s="2">
        <v>4</v>
      </c>
      <c r="M4019" s="7">
        <f t="shared" si="310"/>
        <v>220</v>
      </c>
      <c r="N4019" s="7">
        <f t="shared" si="311"/>
        <v>236</v>
      </c>
      <c r="O4019" s="2">
        <v>10</v>
      </c>
      <c r="P4019" s="8">
        <f t="shared" si="312"/>
        <v>246</v>
      </c>
      <c r="Q4019" s="8">
        <f t="shared" si="313"/>
        <v>181</v>
      </c>
      <c r="R4019" s="2" t="s">
        <v>56</v>
      </c>
      <c r="S4019" s="9">
        <f t="shared" si="314"/>
        <v>4.92</v>
      </c>
    </row>
    <row r="4020" spans="1:19" x14ac:dyDescent="0.3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str">
        <f>IFERROR(VLOOKUP('Customer Info'!A4012,'Customer Info'!A4012:C4511,2,FALSE),"Not Found")</f>
        <v>Not Found</v>
      </c>
      <c r="H4020" s="6" t="str">
        <f>IFERROR(VLOOKUP('Customer Info'!A4012,'Customer Info'!A4012:C4511,3,FALSE),"Not Found")</f>
        <v>Not Found</v>
      </c>
      <c r="I4020" s="6" t="str">
        <f>IFERROR(VLOOKUP('Customer Info'!A4012,'Customer Info'!A4012:E4511,5,FALSE),"Not Found")</f>
        <v>Not Found</v>
      </c>
      <c r="J4020" s="2">
        <v>81</v>
      </c>
      <c r="K4020" s="2">
        <v>77</v>
      </c>
      <c r="L4020" s="2">
        <v>1</v>
      </c>
      <c r="M4020" s="7">
        <f t="shared" si="310"/>
        <v>77</v>
      </c>
      <c r="N4020" s="7">
        <f t="shared" si="311"/>
        <v>81</v>
      </c>
      <c r="O4020" s="2">
        <v>10</v>
      </c>
      <c r="P4020" s="8">
        <f t="shared" si="312"/>
        <v>91</v>
      </c>
      <c r="Q4020" s="8">
        <f t="shared" si="313"/>
        <v>4</v>
      </c>
      <c r="R4020" s="2" t="s">
        <v>28</v>
      </c>
      <c r="S4020" s="9">
        <f t="shared" si="314"/>
        <v>1.82</v>
      </c>
    </row>
    <row r="4021" spans="1:19" x14ac:dyDescent="0.3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str">
        <f>IFERROR(VLOOKUP('Customer Info'!A4013,'Customer Info'!A4013:C4512,2,FALSE),"Not Found")</f>
        <v>Not Found</v>
      </c>
      <c r="H4021" s="6" t="str">
        <f>IFERROR(VLOOKUP('Customer Info'!A4013,'Customer Info'!A4013:C4512,3,FALSE),"Not Found")</f>
        <v>Not Found</v>
      </c>
      <c r="I4021" s="6" t="str">
        <f>IFERROR(VLOOKUP('Customer Info'!A4013,'Customer Info'!A4013:E4512,5,FALSE),"Not Found")</f>
        <v>Not Found</v>
      </c>
      <c r="J4021" s="2">
        <v>6664</v>
      </c>
      <c r="K4021" s="2">
        <v>6473</v>
      </c>
      <c r="L4021" s="2">
        <v>5</v>
      </c>
      <c r="M4021" s="7">
        <f t="shared" si="310"/>
        <v>32365</v>
      </c>
      <c r="N4021" s="7">
        <f t="shared" si="311"/>
        <v>33320</v>
      </c>
      <c r="O4021" s="2">
        <v>66</v>
      </c>
      <c r="P4021" s="8">
        <f t="shared" si="312"/>
        <v>33386</v>
      </c>
      <c r="Q4021" s="8">
        <f t="shared" si="313"/>
        <v>26847</v>
      </c>
      <c r="R4021" s="2" t="s">
        <v>50</v>
      </c>
      <c r="S4021" s="9">
        <f t="shared" si="314"/>
        <v>2337.0200000000004</v>
      </c>
    </row>
    <row r="4022" spans="1:19" x14ac:dyDescent="0.3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str">
        <f>IFERROR(VLOOKUP('Customer Info'!A4014,'Customer Info'!A4014:C4513,2,FALSE),"Not Found")</f>
        <v>Not Found</v>
      </c>
      <c r="H4022" s="6" t="str">
        <f>IFERROR(VLOOKUP('Customer Info'!A4014,'Customer Info'!A4014:C4513,3,FALSE),"Not Found")</f>
        <v>Not Found</v>
      </c>
      <c r="I4022" s="6" t="str">
        <f>IFERROR(VLOOKUP('Customer Info'!A4014,'Customer Info'!A4014:E4513,5,FALSE),"Not Found")</f>
        <v>Not Found</v>
      </c>
      <c r="J4022" s="2">
        <v>2951</v>
      </c>
      <c r="K4022" s="2">
        <v>2786</v>
      </c>
      <c r="L4022" s="2">
        <v>3</v>
      </c>
      <c r="M4022" s="7">
        <f t="shared" si="310"/>
        <v>8358</v>
      </c>
      <c r="N4022" s="7">
        <f t="shared" si="311"/>
        <v>8853</v>
      </c>
      <c r="O4022" s="2">
        <v>74</v>
      </c>
      <c r="P4022" s="8">
        <f t="shared" si="312"/>
        <v>8927</v>
      </c>
      <c r="Q4022" s="8">
        <f t="shared" si="313"/>
        <v>6067</v>
      </c>
      <c r="R4022" s="2" t="s">
        <v>56</v>
      </c>
      <c r="S4022" s="9">
        <f t="shared" si="314"/>
        <v>446.35</v>
      </c>
    </row>
    <row r="4023" spans="1:19" x14ac:dyDescent="0.3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str">
        <f>IFERROR(VLOOKUP('Customer Info'!A4015,'Customer Info'!A4015:C4514,2,FALSE),"Not Found")</f>
        <v>Not Found</v>
      </c>
      <c r="H4023" s="6" t="str">
        <f>IFERROR(VLOOKUP('Customer Info'!A4015,'Customer Info'!A4015:C4514,3,FALSE),"Not Found")</f>
        <v>Not Found</v>
      </c>
      <c r="I4023" s="6" t="str">
        <f>IFERROR(VLOOKUP('Customer Info'!A4015,'Customer Info'!A4015:E4514,5,FALSE),"Not Found")</f>
        <v>Not Found</v>
      </c>
      <c r="J4023" s="2">
        <v>1441</v>
      </c>
      <c r="K4023" s="2">
        <v>1360</v>
      </c>
      <c r="L4023" s="2">
        <v>2</v>
      </c>
      <c r="M4023" s="7">
        <f t="shared" si="310"/>
        <v>2720</v>
      </c>
      <c r="N4023" s="7">
        <f t="shared" si="311"/>
        <v>2882</v>
      </c>
      <c r="O4023" s="2">
        <v>85</v>
      </c>
      <c r="P4023" s="8">
        <f t="shared" si="312"/>
        <v>2967</v>
      </c>
      <c r="Q4023" s="8">
        <f t="shared" si="313"/>
        <v>1522</v>
      </c>
      <c r="R4023" s="2" t="s">
        <v>50</v>
      </c>
      <c r="S4023" s="9">
        <f t="shared" si="314"/>
        <v>59.34</v>
      </c>
    </row>
    <row r="4024" spans="1:19" x14ac:dyDescent="0.3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str">
        <f>IFERROR(VLOOKUP('Customer Info'!A4016,'Customer Info'!A4016:C4515,2,FALSE),"Not Found")</f>
        <v>Not Found</v>
      </c>
      <c r="H4024" s="6" t="str">
        <f>IFERROR(VLOOKUP('Customer Info'!A4016,'Customer Info'!A4016:C4515,3,FALSE),"Not Found")</f>
        <v>Not Found</v>
      </c>
      <c r="I4024" s="6" t="str">
        <f>IFERROR(VLOOKUP('Customer Info'!A4016,'Customer Info'!A4016:E4515,5,FALSE),"Not Found")</f>
        <v>Not Found</v>
      </c>
      <c r="J4024" s="2">
        <v>896</v>
      </c>
      <c r="K4024" s="2">
        <v>870</v>
      </c>
      <c r="L4024" s="2">
        <v>3</v>
      </c>
      <c r="M4024" s="7">
        <f t="shared" si="310"/>
        <v>2610</v>
      </c>
      <c r="N4024" s="7">
        <f t="shared" si="311"/>
        <v>2688</v>
      </c>
      <c r="O4024" s="2">
        <v>34</v>
      </c>
      <c r="P4024" s="8">
        <f t="shared" si="312"/>
        <v>2722</v>
      </c>
      <c r="Q4024" s="8">
        <f t="shared" si="313"/>
        <v>1818</v>
      </c>
      <c r="R4024" s="2" t="s">
        <v>28</v>
      </c>
      <c r="S4024" s="9">
        <f t="shared" si="314"/>
        <v>54.44</v>
      </c>
    </row>
    <row r="4025" spans="1:19" x14ac:dyDescent="0.3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str">
        <f>IFERROR(VLOOKUP('Customer Info'!A4017,'Customer Info'!A4017:C4516,2,FALSE),"Not Found")</f>
        <v>Not Found</v>
      </c>
      <c r="H4025" s="6" t="str">
        <f>IFERROR(VLOOKUP('Customer Info'!A4017,'Customer Info'!A4017:C4516,3,FALSE),"Not Found")</f>
        <v>Not Found</v>
      </c>
      <c r="I4025" s="6" t="str">
        <f>IFERROR(VLOOKUP('Customer Info'!A4017,'Customer Info'!A4017:E4516,5,FALSE),"Not Found")</f>
        <v>Not Found</v>
      </c>
      <c r="J4025" s="2">
        <v>1770</v>
      </c>
      <c r="K4025" s="2">
        <v>1592</v>
      </c>
      <c r="L4025" s="2">
        <v>5</v>
      </c>
      <c r="M4025" s="7">
        <f t="shared" si="310"/>
        <v>7960</v>
      </c>
      <c r="N4025" s="7">
        <f t="shared" si="311"/>
        <v>8850</v>
      </c>
      <c r="O4025" s="2">
        <v>43</v>
      </c>
      <c r="P4025" s="8">
        <f t="shared" si="312"/>
        <v>8893</v>
      </c>
      <c r="Q4025" s="8">
        <f t="shared" si="313"/>
        <v>7258</v>
      </c>
      <c r="R4025" s="2" t="s">
        <v>50</v>
      </c>
      <c r="S4025" s="9">
        <f t="shared" si="314"/>
        <v>444.65000000000003</v>
      </c>
    </row>
    <row r="4026" spans="1:19" x14ac:dyDescent="0.3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str">
        <f>IFERROR(VLOOKUP('Customer Info'!A4018,'Customer Info'!A4018:C4517,2,FALSE),"Not Found")</f>
        <v>Not Found</v>
      </c>
      <c r="H4026" s="6" t="str">
        <f>IFERROR(VLOOKUP('Customer Info'!A4018,'Customer Info'!A4018:C4517,3,FALSE),"Not Found")</f>
        <v>Not Found</v>
      </c>
      <c r="I4026" s="6" t="str">
        <f>IFERROR(VLOOKUP('Customer Info'!A4018,'Customer Info'!A4018:E4517,5,FALSE),"Not Found")</f>
        <v>Not Found</v>
      </c>
      <c r="J4026" s="2">
        <v>2981</v>
      </c>
      <c r="K4026" s="2">
        <v>2870</v>
      </c>
      <c r="L4026" s="2">
        <v>3</v>
      </c>
      <c r="M4026" s="7">
        <f t="shared" si="310"/>
        <v>8610</v>
      </c>
      <c r="N4026" s="7">
        <f t="shared" si="311"/>
        <v>8943</v>
      </c>
      <c r="O4026" s="2">
        <v>75</v>
      </c>
      <c r="P4026" s="8">
        <f t="shared" si="312"/>
        <v>9018</v>
      </c>
      <c r="Q4026" s="8">
        <f t="shared" si="313"/>
        <v>6073</v>
      </c>
      <c r="R4026" s="2" t="s">
        <v>28</v>
      </c>
      <c r="S4026" s="9">
        <f t="shared" si="314"/>
        <v>450.90000000000003</v>
      </c>
    </row>
    <row r="4027" spans="1:19" x14ac:dyDescent="0.3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str">
        <f>IFERROR(VLOOKUP('Customer Info'!A4019,'Customer Info'!A4019:C4518,2,FALSE),"Not Found")</f>
        <v>Not Found</v>
      </c>
      <c r="H4027" s="6" t="str">
        <f>IFERROR(VLOOKUP('Customer Info'!A4019,'Customer Info'!A4019:C4518,3,FALSE),"Not Found")</f>
        <v>Not Found</v>
      </c>
      <c r="I4027" s="6" t="str">
        <f>IFERROR(VLOOKUP('Customer Info'!A4019,'Customer Info'!A4019:E4518,5,FALSE),"Not Found")</f>
        <v>Not Found</v>
      </c>
      <c r="J4027" s="2">
        <v>1569</v>
      </c>
      <c r="K4027" s="2">
        <v>1466</v>
      </c>
      <c r="L4027" s="2">
        <v>5</v>
      </c>
      <c r="M4027" s="7">
        <f t="shared" si="310"/>
        <v>7330</v>
      </c>
      <c r="N4027" s="7">
        <f t="shared" si="311"/>
        <v>7845</v>
      </c>
      <c r="O4027" s="2">
        <v>82</v>
      </c>
      <c r="P4027" s="8">
        <f t="shared" si="312"/>
        <v>7927</v>
      </c>
      <c r="Q4027" s="8">
        <f t="shared" si="313"/>
        <v>6379</v>
      </c>
      <c r="R4027" s="2" t="s">
        <v>28</v>
      </c>
      <c r="S4027" s="9">
        <f t="shared" si="314"/>
        <v>396.35</v>
      </c>
    </row>
    <row r="4028" spans="1:19" x14ac:dyDescent="0.3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str">
        <f>IFERROR(VLOOKUP('Customer Info'!A4020,'Customer Info'!A4020:C4519,2,FALSE),"Not Found")</f>
        <v>Not Found</v>
      </c>
      <c r="H4028" s="6" t="str">
        <f>IFERROR(VLOOKUP('Customer Info'!A4020,'Customer Info'!A4020:C4519,3,FALSE),"Not Found")</f>
        <v>Not Found</v>
      </c>
      <c r="I4028" s="6" t="str">
        <f>IFERROR(VLOOKUP('Customer Info'!A4020,'Customer Info'!A4020:E4519,5,FALSE),"Not Found")</f>
        <v>Not Found</v>
      </c>
      <c r="J4028" s="2">
        <v>24662</v>
      </c>
      <c r="K4028" s="2">
        <v>23061</v>
      </c>
      <c r="L4028" s="2">
        <v>3</v>
      </c>
      <c r="M4028" s="7">
        <f t="shared" si="310"/>
        <v>69183</v>
      </c>
      <c r="N4028" s="7">
        <f t="shared" si="311"/>
        <v>73986</v>
      </c>
      <c r="O4028" s="2">
        <v>62</v>
      </c>
      <c r="P4028" s="8">
        <f t="shared" si="312"/>
        <v>74048</v>
      </c>
      <c r="Q4028" s="8">
        <f t="shared" si="313"/>
        <v>50925</v>
      </c>
      <c r="R4028" s="2" t="s">
        <v>28</v>
      </c>
      <c r="S4028" s="9">
        <f t="shared" si="314"/>
        <v>6664.32</v>
      </c>
    </row>
    <row r="4029" spans="1:19" x14ac:dyDescent="0.3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str">
        <f>IFERROR(VLOOKUP('Customer Info'!A4021,'Customer Info'!A4021:C4520,2,FALSE),"Not Found")</f>
        <v>Not Found</v>
      </c>
      <c r="H4029" s="6" t="str">
        <f>IFERROR(VLOOKUP('Customer Info'!A4021,'Customer Info'!A4021:C4520,3,FALSE),"Not Found")</f>
        <v>Not Found</v>
      </c>
      <c r="I4029" s="6" t="str">
        <f>IFERROR(VLOOKUP('Customer Info'!A4021,'Customer Info'!A4021:E4520,5,FALSE),"Not Found")</f>
        <v>Not Found</v>
      </c>
      <c r="J4029" s="2">
        <v>185</v>
      </c>
      <c r="K4029" s="2">
        <v>171</v>
      </c>
      <c r="L4029" s="2">
        <v>2</v>
      </c>
      <c r="M4029" s="7">
        <f t="shared" si="310"/>
        <v>342</v>
      </c>
      <c r="N4029" s="7">
        <f t="shared" si="311"/>
        <v>370</v>
      </c>
      <c r="O4029" s="2">
        <v>30</v>
      </c>
      <c r="P4029" s="8">
        <f t="shared" si="312"/>
        <v>400</v>
      </c>
      <c r="Q4029" s="8">
        <f t="shared" si="313"/>
        <v>199</v>
      </c>
      <c r="R4029" s="2" t="s">
        <v>50</v>
      </c>
      <c r="S4029" s="9">
        <f t="shared" si="314"/>
        <v>8</v>
      </c>
    </row>
    <row r="4030" spans="1:19" x14ac:dyDescent="0.3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str">
        <f>IFERROR(VLOOKUP('Customer Info'!A4022,'Customer Info'!A4022:C4521,2,FALSE),"Not Found")</f>
        <v>Not Found</v>
      </c>
      <c r="H4030" s="6" t="str">
        <f>IFERROR(VLOOKUP('Customer Info'!A4022,'Customer Info'!A4022:C4521,3,FALSE),"Not Found")</f>
        <v>Not Found</v>
      </c>
      <c r="I4030" s="6" t="str">
        <f>IFERROR(VLOOKUP('Customer Info'!A4022,'Customer Info'!A4022:E4521,5,FALSE),"Not Found")</f>
        <v>Not Found</v>
      </c>
      <c r="J4030" s="2">
        <v>1790</v>
      </c>
      <c r="K4030" s="2">
        <v>1706</v>
      </c>
      <c r="L4030" s="2">
        <v>14</v>
      </c>
      <c r="M4030" s="7">
        <f t="shared" si="310"/>
        <v>23884</v>
      </c>
      <c r="N4030" s="7">
        <f t="shared" si="311"/>
        <v>25060</v>
      </c>
      <c r="O4030" s="2">
        <v>62</v>
      </c>
      <c r="P4030" s="8">
        <f t="shared" si="312"/>
        <v>25122</v>
      </c>
      <c r="Q4030" s="8">
        <f t="shared" si="313"/>
        <v>23354</v>
      </c>
      <c r="R4030" s="2" t="s">
        <v>50</v>
      </c>
      <c r="S4030" s="9">
        <f t="shared" si="314"/>
        <v>1758.5400000000002</v>
      </c>
    </row>
    <row r="4031" spans="1:19" x14ac:dyDescent="0.3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str">
        <f>IFERROR(VLOOKUP('Customer Info'!A4023,'Customer Info'!A4023:C4522,2,FALSE),"Not Found")</f>
        <v>Not Found</v>
      </c>
      <c r="H4031" s="6" t="str">
        <f>IFERROR(VLOOKUP('Customer Info'!A4023,'Customer Info'!A4023:C4522,3,FALSE),"Not Found")</f>
        <v>Not Found</v>
      </c>
      <c r="I4031" s="6" t="str">
        <f>IFERROR(VLOOKUP('Customer Info'!A4023,'Customer Info'!A4023:E4522,5,FALSE),"Not Found")</f>
        <v>Not Found</v>
      </c>
      <c r="J4031" s="2">
        <v>7141</v>
      </c>
      <c r="K4031" s="2">
        <v>6541</v>
      </c>
      <c r="L4031" s="2">
        <v>4</v>
      </c>
      <c r="M4031" s="7">
        <f t="shared" si="310"/>
        <v>26164</v>
      </c>
      <c r="N4031" s="7">
        <f t="shared" si="311"/>
        <v>28564</v>
      </c>
      <c r="O4031" s="2">
        <v>51</v>
      </c>
      <c r="P4031" s="8">
        <f t="shared" si="312"/>
        <v>28615</v>
      </c>
      <c r="Q4031" s="8">
        <f t="shared" si="313"/>
        <v>22023</v>
      </c>
      <c r="R4031" s="2" t="s">
        <v>28</v>
      </c>
      <c r="S4031" s="9">
        <f t="shared" si="314"/>
        <v>2003.0500000000002</v>
      </c>
    </row>
    <row r="4032" spans="1:19" x14ac:dyDescent="0.3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str">
        <f>IFERROR(VLOOKUP('Customer Info'!A4024,'Customer Info'!A4024:C4523,2,FALSE),"Not Found")</f>
        <v>Not Found</v>
      </c>
      <c r="H4032" s="6" t="str">
        <f>IFERROR(VLOOKUP('Customer Info'!A4024,'Customer Info'!A4024:C4523,3,FALSE),"Not Found")</f>
        <v>Not Found</v>
      </c>
      <c r="I4032" s="6" t="str">
        <f>IFERROR(VLOOKUP('Customer Info'!A4024,'Customer Info'!A4024:E4523,5,FALSE),"Not Found")</f>
        <v>Not Found</v>
      </c>
      <c r="J4032" s="2">
        <v>2017</v>
      </c>
      <c r="K4032" s="2">
        <v>1834</v>
      </c>
      <c r="L4032" s="2">
        <v>4</v>
      </c>
      <c r="M4032" s="7">
        <f t="shared" si="310"/>
        <v>7336</v>
      </c>
      <c r="N4032" s="7">
        <f t="shared" si="311"/>
        <v>8068</v>
      </c>
      <c r="O4032" s="2">
        <v>67</v>
      </c>
      <c r="P4032" s="8">
        <f t="shared" si="312"/>
        <v>8135</v>
      </c>
      <c r="Q4032" s="8">
        <f t="shared" si="313"/>
        <v>6234</v>
      </c>
      <c r="R4032" s="2" t="s">
        <v>50</v>
      </c>
      <c r="S4032" s="9">
        <f t="shared" si="314"/>
        <v>406.75</v>
      </c>
    </row>
    <row r="4033" spans="1:19" x14ac:dyDescent="0.3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str">
        <f>IFERROR(VLOOKUP('Customer Info'!A4025,'Customer Info'!A4025:C4524,2,FALSE),"Not Found")</f>
        <v>Not Found</v>
      </c>
      <c r="H4033" s="6" t="str">
        <f>IFERROR(VLOOKUP('Customer Info'!A4025,'Customer Info'!A4025:C4524,3,FALSE),"Not Found")</f>
        <v>Not Found</v>
      </c>
      <c r="I4033" s="6" t="str">
        <f>IFERROR(VLOOKUP('Customer Info'!A4025,'Customer Info'!A4025:E4524,5,FALSE),"Not Found")</f>
        <v>Not Found</v>
      </c>
      <c r="J4033" s="2">
        <v>1447</v>
      </c>
      <c r="K4033" s="2">
        <v>1326</v>
      </c>
      <c r="L4033" s="2">
        <v>2</v>
      </c>
      <c r="M4033" s="7">
        <f t="shared" si="310"/>
        <v>2652</v>
      </c>
      <c r="N4033" s="7">
        <f t="shared" si="311"/>
        <v>2894</v>
      </c>
      <c r="O4033" s="2">
        <v>42</v>
      </c>
      <c r="P4033" s="8">
        <f t="shared" si="312"/>
        <v>2936</v>
      </c>
      <c r="Q4033" s="8">
        <f t="shared" si="313"/>
        <v>1568</v>
      </c>
      <c r="R4033" s="2" t="s">
        <v>28</v>
      </c>
      <c r="S4033" s="9">
        <f t="shared" si="314"/>
        <v>58.72</v>
      </c>
    </row>
    <row r="4034" spans="1:19" x14ac:dyDescent="0.3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str">
        <f>IFERROR(VLOOKUP('Customer Info'!A4026,'Customer Info'!A4026:C4525,2,FALSE),"Not Found")</f>
        <v>Not Found</v>
      </c>
      <c r="H4034" s="6" t="str">
        <f>IFERROR(VLOOKUP('Customer Info'!A4026,'Customer Info'!A4026:C4525,3,FALSE),"Not Found")</f>
        <v>Not Found</v>
      </c>
      <c r="I4034" s="6" t="str">
        <f>IFERROR(VLOOKUP('Customer Info'!A4026,'Customer Info'!A4026:E4525,5,FALSE),"Not Found")</f>
        <v>Not Found</v>
      </c>
      <c r="J4034" s="2">
        <v>941</v>
      </c>
      <c r="K4034" s="2">
        <v>905</v>
      </c>
      <c r="L4034" s="2">
        <v>4</v>
      </c>
      <c r="M4034" s="7">
        <f t="shared" si="310"/>
        <v>3620</v>
      </c>
      <c r="N4034" s="7">
        <f t="shared" si="311"/>
        <v>3764</v>
      </c>
      <c r="O4034" s="2">
        <v>33</v>
      </c>
      <c r="P4034" s="8">
        <f t="shared" si="312"/>
        <v>3797</v>
      </c>
      <c r="Q4034" s="8">
        <f t="shared" si="313"/>
        <v>2859</v>
      </c>
      <c r="R4034" s="2" t="s">
        <v>28</v>
      </c>
      <c r="S4034" s="9">
        <f t="shared" si="314"/>
        <v>75.94</v>
      </c>
    </row>
    <row r="4035" spans="1:19" x14ac:dyDescent="0.3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str">
        <f>IFERROR(VLOOKUP('Customer Info'!A4027,'Customer Info'!A4027:C4526,2,FALSE),"Not Found")</f>
        <v>Not Found</v>
      </c>
      <c r="H4035" s="6" t="str">
        <f>IFERROR(VLOOKUP('Customer Info'!A4027,'Customer Info'!A4027:C4526,3,FALSE),"Not Found")</f>
        <v>Not Found</v>
      </c>
      <c r="I4035" s="6" t="str">
        <f>IFERROR(VLOOKUP('Customer Info'!A4027,'Customer Info'!A4027:E4526,5,FALSE),"Not Found")</f>
        <v>Not Found</v>
      </c>
      <c r="J4035" s="2">
        <v>1453</v>
      </c>
      <c r="K4035" s="2">
        <v>1411</v>
      </c>
      <c r="L4035" s="2">
        <v>2</v>
      </c>
      <c r="M4035" s="7">
        <f t="shared" si="310"/>
        <v>2822</v>
      </c>
      <c r="N4035" s="7">
        <f t="shared" si="311"/>
        <v>2906</v>
      </c>
      <c r="O4035" s="2">
        <v>88</v>
      </c>
      <c r="P4035" s="8">
        <f t="shared" si="312"/>
        <v>2994</v>
      </c>
      <c r="Q4035" s="8">
        <f t="shared" si="313"/>
        <v>1495</v>
      </c>
      <c r="R4035" s="2" t="s">
        <v>28</v>
      </c>
      <c r="S4035" s="9">
        <f t="shared" si="314"/>
        <v>59.88</v>
      </c>
    </row>
    <row r="4036" spans="1:19" x14ac:dyDescent="0.3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str">
        <f>IFERROR(VLOOKUP('Customer Info'!A4028,'Customer Info'!A4028:C4527,2,FALSE),"Not Found")</f>
        <v>Not Found</v>
      </c>
      <c r="H4036" s="6" t="str">
        <f>IFERROR(VLOOKUP('Customer Info'!A4028,'Customer Info'!A4028:C4527,3,FALSE),"Not Found")</f>
        <v>Not Found</v>
      </c>
      <c r="I4036" s="6" t="str">
        <f>IFERROR(VLOOKUP('Customer Info'!A4028,'Customer Info'!A4028:E4527,5,FALSE),"Not Found")</f>
        <v>Not Found</v>
      </c>
      <c r="J4036" s="2">
        <v>2151</v>
      </c>
      <c r="K4036" s="2">
        <v>2009</v>
      </c>
      <c r="L4036" s="2">
        <v>2</v>
      </c>
      <c r="M4036" s="7">
        <f t="shared" si="310"/>
        <v>4018</v>
      </c>
      <c r="N4036" s="7">
        <f t="shared" si="311"/>
        <v>4302</v>
      </c>
      <c r="O4036" s="2">
        <v>44</v>
      </c>
      <c r="P4036" s="8">
        <f t="shared" si="312"/>
        <v>4346</v>
      </c>
      <c r="Q4036" s="8">
        <f t="shared" si="313"/>
        <v>2293</v>
      </c>
      <c r="R4036" s="2" t="s">
        <v>50</v>
      </c>
      <c r="S4036" s="9">
        <f t="shared" si="314"/>
        <v>86.92</v>
      </c>
    </row>
    <row r="4037" spans="1:19" x14ac:dyDescent="0.3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str">
        <f>IFERROR(VLOOKUP('Customer Info'!A4029,'Customer Info'!A4029:C4528,2,FALSE),"Not Found")</f>
        <v>Not Found</v>
      </c>
      <c r="H4037" s="6" t="str">
        <f>IFERROR(VLOOKUP('Customer Info'!A4029,'Customer Info'!A4029:C4528,3,FALSE),"Not Found")</f>
        <v>Not Found</v>
      </c>
      <c r="I4037" s="6" t="str">
        <f>IFERROR(VLOOKUP('Customer Info'!A4029,'Customer Info'!A4029:E4528,5,FALSE),"Not Found")</f>
        <v>Not Found</v>
      </c>
      <c r="J4037" s="2">
        <v>474</v>
      </c>
      <c r="K4037" s="2">
        <v>443</v>
      </c>
      <c r="L4037" s="2">
        <v>2</v>
      </c>
      <c r="M4037" s="7">
        <f t="shared" si="310"/>
        <v>886</v>
      </c>
      <c r="N4037" s="7">
        <f t="shared" si="311"/>
        <v>948</v>
      </c>
      <c r="O4037" s="2">
        <v>76</v>
      </c>
      <c r="P4037" s="8">
        <f t="shared" si="312"/>
        <v>1024</v>
      </c>
      <c r="Q4037" s="8">
        <f t="shared" si="313"/>
        <v>505</v>
      </c>
      <c r="R4037" s="2" t="s">
        <v>28</v>
      </c>
      <c r="S4037" s="9">
        <f t="shared" si="314"/>
        <v>20.48</v>
      </c>
    </row>
    <row r="4038" spans="1:19" x14ac:dyDescent="0.3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str">
        <f>IFERROR(VLOOKUP('Customer Info'!A4030,'Customer Info'!A4030:C4529,2,FALSE),"Not Found")</f>
        <v>Not Found</v>
      </c>
      <c r="H4038" s="6" t="str">
        <f>IFERROR(VLOOKUP('Customer Info'!A4030,'Customer Info'!A4030:C4529,3,FALSE),"Not Found")</f>
        <v>Not Found</v>
      </c>
      <c r="I4038" s="6" t="str">
        <f>IFERROR(VLOOKUP('Customer Info'!A4030,'Customer Info'!A4030:E4529,5,FALSE),"Not Found")</f>
        <v>Not Found</v>
      </c>
      <c r="J4038" s="2">
        <v>6060</v>
      </c>
      <c r="K4038" s="2">
        <v>6002</v>
      </c>
      <c r="L4038" s="2">
        <v>2</v>
      </c>
      <c r="M4038" s="7">
        <f t="shared" si="310"/>
        <v>12004</v>
      </c>
      <c r="N4038" s="7">
        <f t="shared" si="311"/>
        <v>12120</v>
      </c>
      <c r="O4038" s="2">
        <v>45</v>
      </c>
      <c r="P4038" s="8">
        <f t="shared" si="312"/>
        <v>12165</v>
      </c>
      <c r="Q4038" s="8">
        <f t="shared" si="313"/>
        <v>6118</v>
      </c>
      <c r="R4038" s="2" t="s">
        <v>26</v>
      </c>
      <c r="S4038" s="9">
        <f t="shared" si="314"/>
        <v>608.25</v>
      </c>
    </row>
    <row r="4039" spans="1:19" x14ac:dyDescent="0.3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str">
        <f>IFERROR(VLOOKUP('Customer Info'!A4031,'Customer Info'!A4031:C4530,2,FALSE),"Not Found")</f>
        <v>Not Found</v>
      </c>
      <c r="H4039" s="6" t="str">
        <f>IFERROR(VLOOKUP('Customer Info'!A4031,'Customer Info'!A4031:C4530,3,FALSE),"Not Found")</f>
        <v>Not Found</v>
      </c>
      <c r="I4039" s="6" t="str">
        <f>IFERROR(VLOOKUP('Customer Info'!A4031,'Customer Info'!A4031:E4530,5,FALSE),"Not Found")</f>
        <v>Not Found</v>
      </c>
      <c r="J4039" s="2">
        <v>679</v>
      </c>
      <c r="K4039" s="2">
        <v>654</v>
      </c>
      <c r="L4039" s="2">
        <v>5</v>
      </c>
      <c r="M4039" s="7">
        <f t="shared" si="310"/>
        <v>3270</v>
      </c>
      <c r="N4039" s="7">
        <f t="shared" si="311"/>
        <v>3395</v>
      </c>
      <c r="O4039" s="2">
        <v>36</v>
      </c>
      <c r="P4039" s="8">
        <f t="shared" si="312"/>
        <v>3431</v>
      </c>
      <c r="Q4039" s="8">
        <f t="shared" si="313"/>
        <v>2741</v>
      </c>
      <c r="R4039" s="2" t="s">
        <v>28</v>
      </c>
      <c r="S4039" s="9">
        <f t="shared" si="314"/>
        <v>68.62</v>
      </c>
    </row>
    <row r="4040" spans="1:19" x14ac:dyDescent="0.3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str">
        <f>IFERROR(VLOOKUP('Customer Info'!A4032,'Customer Info'!A4032:C4531,2,FALSE),"Not Found")</f>
        <v>Not Found</v>
      </c>
      <c r="H4040" s="6" t="str">
        <f>IFERROR(VLOOKUP('Customer Info'!A4032,'Customer Info'!A4032:C4531,3,FALSE),"Not Found")</f>
        <v>Not Found</v>
      </c>
      <c r="I4040" s="6" t="str">
        <f>IFERROR(VLOOKUP('Customer Info'!A4032,'Customer Info'!A4032:E4531,5,FALSE),"Not Found")</f>
        <v>Not Found</v>
      </c>
      <c r="J4040" s="2">
        <v>2958</v>
      </c>
      <c r="K4040" s="2">
        <v>2743</v>
      </c>
      <c r="L4040" s="2">
        <v>1</v>
      </c>
      <c r="M4040" s="7">
        <f t="shared" si="310"/>
        <v>2743</v>
      </c>
      <c r="N4040" s="7">
        <f t="shared" si="311"/>
        <v>2958</v>
      </c>
      <c r="O4040" s="2">
        <v>75</v>
      </c>
      <c r="P4040" s="8">
        <f t="shared" si="312"/>
        <v>3033</v>
      </c>
      <c r="Q4040" s="8">
        <f t="shared" si="313"/>
        <v>215</v>
      </c>
      <c r="R4040" s="2" t="s">
        <v>28</v>
      </c>
      <c r="S4040" s="9">
        <f t="shared" si="314"/>
        <v>60.660000000000004</v>
      </c>
    </row>
    <row r="4041" spans="1:19" x14ac:dyDescent="0.3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str">
        <f>IFERROR(VLOOKUP('Customer Info'!A4033,'Customer Info'!A4033:C4532,2,FALSE),"Not Found")</f>
        <v>Not Found</v>
      </c>
      <c r="H4041" s="6" t="str">
        <f>IFERROR(VLOOKUP('Customer Info'!A4033,'Customer Info'!A4033:C4532,3,FALSE),"Not Found")</f>
        <v>Not Found</v>
      </c>
      <c r="I4041" s="6" t="str">
        <f>IFERROR(VLOOKUP('Customer Info'!A4033,'Customer Info'!A4033:E4532,5,FALSE),"Not Found")</f>
        <v>Not Found</v>
      </c>
      <c r="J4041" s="2">
        <v>1635</v>
      </c>
      <c r="K4041" s="2">
        <v>1573</v>
      </c>
      <c r="L4041" s="2">
        <v>10</v>
      </c>
      <c r="M4041" s="7">
        <f t="shared" si="310"/>
        <v>15730</v>
      </c>
      <c r="N4041" s="7">
        <f t="shared" si="311"/>
        <v>16350</v>
      </c>
      <c r="O4041" s="2">
        <v>98</v>
      </c>
      <c r="P4041" s="8">
        <f t="shared" si="312"/>
        <v>16448</v>
      </c>
      <c r="Q4041" s="8">
        <f t="shared" si="313"/>
        <v>14777</v>
      </c>
      <c r="R4041" s="2" t="s">
        <v>50</v>
      </c>
      <c r="S4041" s="9">
        <f t="shared" si="314"/>
        <v>822.40000000000009</v>
      </c>
    </row>
    <row r="4042" spans="1:19" x14ac:dyDescent="0.3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str">
        <f>IFERROR(VLOOKUP('Customer Info'!A4034,'Customer Info'!A4034:C4533,2,FALSE),"Not Found")</f>
        <v>Not Found</v>
      </c>
      <c r="H4042" s="6" t="str">
        <f>IFERROR(VLOOKUP('Customer Info'!A4034,'Customer Info'!A4034:C4533,3,FALSE),"Not Found")</f>
        <v>Not Found</v>
      </c>
      <c r="I4042" s="6" t="str">
        <f>IFERROR(VLOOKUP('Customer Info'!A4034,'Customer Info'!A4034:E4533,5,FALSE),"Not Found")</f>
        <v>Not Found</v>
      </c>
      <c r="J4042" s="2">
        <v>7021</v>
      </c>
      <c r="K4042" s="2">
        <v>6686</v>
      </c>
      <c r="L4042" s="2">
        <v>2</v>
      </c>
      <c r="M4042" s="7">
        <f t="shared" si="310"/>
        <v>13372</v>
      </c>
      <c r="N4042" s="7">
        <f t="shared" si="311"/>
        <v>14042</v>
      </c>
      <c r="O4042" s="2">
        <v>88</v>
      </c>
      <c r="P4042" s="8">
        <f t="shared" si="312"/>
        <v>14130</v>
      </c>
      <c r="Q4042" s="8">
        <f t="shared" si="313"/>
        <v>7356</v>
      </c>
      <c r="R4042" s="2" t="s">
        <v>50</v>
      </c>
      <c r="S4042" s="9">
        <f t="shared" si="314"/>
        <v>706.5</v>
      </c>
    </row>
    <row r="4043" spans="1:19" x14ac:dyDescent="0.3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str">
        <f>IFERROR(VLOOKUP('Customer Info'!A4035,'Customer Info'!A4035:C4534,2,FALSE),"Not Found")</f>
        <v>Not Found</v>
      </c>
      <c r="H4043" s="6" t="str">
        <f>IFERROR(VLOOKUP('Customer Info'!A4035,'Customer Info'!A4035:C4534,3,FALSE),"Not Found")</f>
        <v>Not Found</v>
      </c>
      <c r="I4043" s="6" t="str">
        <f>IFERROR(VLOOKUP('Customer Info'!A4035,'Customer Info'!A4035:E4534,5,FALSE),"Not Found")</f>
        <v>Not Found</v>
      </c>
      <c r="J4043" s="2">
        <v>751</v>
      </c>
      <c r="K4043" s="2">
        <v>696</v>
      </c>
      <c r="L4043" s="2">
        <v>3</v>
      </c>
      <c r="M4043" s="7">
        <f t="shared" ref="M4043:M4106" si="315">$K4043*$L4043</f>
        <v>2088</v>
      </c>
      <c r="N4043" s="7">
        <f t="shared" ref="N4043:N4106" si="316">$J4043*$L4043</f>
        <v>2253</v>
      </c>
      <c r="O4043" s="2">
        <v>55</v>
      </c>
      <c r="P4043" s="8">
        <f t="shared" ref="P4043:P4106" si="317">$N4043+$O4043</f>
        <v>2308</v>
      </c>
      <c r="Q4043" s="8">
        <f t="shared" ref="Q4043:Q4106" si="318">$N4043-$K4043</f>
        <v>1557</v>
      </c>
      <c r="R4043" s="2" t="s">
        <v>50</v>
      </c>
      <c r="S4043" s="9">
        <f t="shared" ref="S4043:S4106" si="319" xml:space="preserve"> P4043 * VLOOKUP(P4043, $T$2:$U$6, 2, TRUE)</f>
        <v>46.160000000000004</v>
      </c>
    </row>
    <row r="4044" spans="1:19" x14ac:dyDescent="0.3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str">
        <f>IFERROR(VLOOKUP('Customer Info'!A4036,'Customer Info'!A4036:C4535,2,FALSE),"Not Found")</f>
        <v>Not Found</v>
      </c>
      <c r="H4044" s="6" t="str">
        <f>IFERROR(VLOOKUP('Customer Info'!A4036,'Customer Info'!A4036:C4535,3,FALSE),"Not Found")</f>
        <v>Not Found</v>
      </c>
      <c r="I4044" s="6" t="str">
        <f>IFERROR(VLOOKUP('Customer Info'!A4036,'Customer Info'!A4036:E4535,5,FALSE),"Not Found")</f>
        <v>Not Found</v>
      </c>
      <c r="J4044" s="2">
        <v>8967</v>
      </c>
      <c r="K4044" s="2">
        <v>8151</v>
      </c>
      <c r="L4044" s="2">
        <v>6</v>
      </c>
      <c r="M4044" s="7">
        <f t="shared" si="315"/>
        <v>48906</v>
      </c>
      <c r="N4044" s="7">
        <f t="shared" si="316"/>
        <v>53802</v>
      </c>
      <c r="O4044" s="2">
        <v>51</v>
      </c>
      <c r="P4044" s="8">
        <f t="shared" si="317"/>
        <v>53853</v>
      </c>
      <c r="Q4044" s="8">
        <f t="shared" si="318"/>
        <v>45651</v>
      </c>
      <c r="R4044" s="2" t="s">
        <v>50</v>
      </c>
      <c r="S4044" s="9">
        <f t="shared" si="319"/>
        <v>4846.7699999999995</v>
      </c>
    </row>
    <row r="4045" spans="1:19" x14ac:dyDescent="0.3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str">
        <f>IFERROR(VLOOKUP('Customer Info'!A4037,'Customer Info'!A4037:C4536,2,FALSE),"Not Found")</f>
        <v>Not Found</v>
      </c>
      <c r="H4045" s="6" t="str">
        <f>IFERROR(VLOOKUP('Customer Info'!A4037,'Customer Info'!A4037:C4536,3,FALSE),"Not Found")</f>
        <v>Not Found</v>
      </c>
      <c r="I4045" s="6" t="str">
        <f>IFERROR(VLOOKUP('Customer Info'!A4037,'Customer Info'!A4037:E4536,5,FALSE),"Not Found")</f>
        <v>Not Found</v>
      </c>
      <c r="J4045" s="2">
        <v>3224</v>
      </c>
      <c r="K4045" s="2">
        <v>2901</v>
      </c>
      <c r="L4045" s="2">
        <v>7</v>
      </c>
      <c r="M4045" s="7">
        <f t="shared" si="315"/>
        <v>20307</v>
      </c>
      <c r="N4045" s="7">
        <f t="shared" si="316"/>
        <v>22568</v>
      </c>
      <c r="O4045" s="2">
        <v>52</v>
      </c>
      <c r="P4045" s="8">
        <f t="shared" si="317"/>
        <v>22620</v>
      </c>
      <c r="Q4045" s="8">
        <f t="shared" si="318"/>
        <v>19667</v>
      </c>
      <c r="R4045" s="2" t="s">
        <v>50</v>
      </c>
      <c r="S4045" s="9">
        <f t="shared" si="319"/>
        <v>1131</v>
      </c>
    </row>
    <row r="4046" spans="1:19" x14ac:dyDescent="0.3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str">
        <f>IFERROR(VLOOKUP('Customer Info'!A4038,'Customer Info'!A4038:C4537,2,FALSE),"Not Found")</f>
        <v>Not Found</v>
      </c>
      <c r="H4046" s="6" t="str">
        <f>IFERROR(VLOOKUP('Customer Info'!A4038,'Customer Info'!A4038:C4537,3,FALSE),"Not Found")</f>
        <v>Not Found</v>
      </c>
      <c r="I4046" s="6" t="str">
        <f>IFERROR(VLOOKUP('Customer Info'!A4038,'Customer Info'!A4038:E4537,5,FALSE),"Not Found")</f>
        <v>Not Found</v>
      </c>
      <c r="J4046" s="2">
        <v>1358</v>
      </c>
      <c r="K4046" s="2">
        <v>1294</v>
      </c>
      <c r="L4046" s="2">
        <v>2</v>
      </c>
      <c r="M4046" s="7">
        <f t="shared" si="315"/>
        <v>2588</v>
      </c>
      <c r="N4046" s="7">
        <f t="shared" si="316"/>
        <v>2716</v>
      </c>
      <c r="O4046" s="2">
        <v>40</v>
      </c>
      <c r="P4046" s="8">
        <f t="shared" si="317"/>
        <v>2756</v>
      </c>
      <c r="Q4046" s="8">
        <f t="shared" si="318"/>
        <v>1422</v>
      </c>
      <c r="R4046" s="2" t="s">
        <v>28</v>
      </c>
      <c r="S4046" s="9">
        <f t="shared" si="319"/>
        <v>55.120000000000005</v>
      </c>
    </row>
    <row r="4047" spans="1:19" x14ac:dyDescent="0.3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str">
        <f>IFERROR(VLOOKUP('Customer Info'!A4039,'Customer Info'!A4039:C4538,2,FALSE),"Not Found")</f>
        <v>Not Found</v>
      </c>
      <c r="H4047" s="6" t="str">
        <f>IFERROR(VLOOKUP('Customer Info'!A4039,'Customer Info'!A4039:C4538,3,FALSE),"Not Found")</f>
        <v>Not Found</v>
      </c>
      <c r="I4047" s="6" t="str">
        <f>IFERROR(VLOOKUP('Customer Info'!A4039,'Customer Info'!A4039:E4538,5,FALSE),"Not Found")</f>
        <v>Not Found</v>
      </c>
      <c r="J4047" s="2">
        <v>6400</v>
      </c>
      <c r="K4047" s="2">
        <v>6401</v>
      </c>
      <c r="L4047" s="2">
        <v>5</v>
      </c>
      <c r="M4047" s="7">
        <f t="shared" si="315"/>
        <v>32005</v>
      </c>
      <c r="N4047" s="7">
        <f t="shared" si="316"/>
        <v>32000</v>
      </c>
      <c r="O4047" s="2">
        <v>43</v>
      </c>
      <c r="P4047" s="8">
        <f t="shared" si="317"/>
        <v>32043</v>
      </c>
      <c r="Q4047" s="8">
        <f t="shared" si="318"/>
        <v>25599</v>
      </c>
      <c r="R4047" s="2" t="s">
        <v>28</v>
      </c>
      <c r="S4047" s="9">
        <f t="shared" si="319"/>
        <v>2243.0100000000002</v>
      </c>
    </row>
    <row r="4048" spans="1:19" x14ac:dyDescent="0.3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str">
        <f>IFERROR(VLOOKUP('Customer Info'!A4040,'Customer Info'!A4040:C4539,2,FALSE),"Not Found")</f>
        <v>Not Found</v>
      </c>
      <c r="H4048" s="6" t="str">
        <f>IFERROR(VLOOKUP('Customer Info'!A4040,'Customer Info'!A4040:C4539,3,FALSE),"Not Found")</f>
        <v>Not Found</v>
      </c>
      <c r="I4048" s="6" t="str">
        <f>IFERROR(VLOOKUP('Customer Info'!A4040,'Customer Info'!A4040:E4539,5,FALSE),"Not Found")</f>
        <v>Not Found</v>
      </c>
      <c r="J4048" s="2">
        <v>1332</v>
      </c>
      <c r="K4048" s="2">
        <v>1209</v>
      </c>
      <c r="L4048" s="2">
        <v>3</v>
      </c>
      <c r="M4048" s="7">
        <f t="shared" si="315"/>
        <v>3627</v>
      </c>
      <c r="N4048" s="7">
        <f t="shared" si="316"/>
        <v>3996</v>
      </c>
      <c r="O4048" s="2">
        <v>27</v>
      </c>
      <c r="P4048" s="8">
        <f t="shared" si="317"/>
        <v>4023</v>
      </c>
      <c r="Q4048" s="8">
        <f t="shared" si="318"/>
        <v>2787</v>
      </c>
      <c r="R4048" s="2" t="s">
        <v>26</v>
      </c>
      <c r="S4048" s="9">
        <f t="shared" si="319"/>
        <v>80.460000000000008</v>
      </c>
    </row>
    <row r="4049" spans="1:19" x14ac:dyDescent="0.3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str">
        <f>IFERROR(VLOOKUP('Customer Info'!A4041,'Customer Info'!A4041:C4540,2,FALSE),"Not Found")</f>
        <v>Not Found</v>
      </c>
      <c r="H4049" s="6" t="str">
        <f>IFERROR(VLOOKUP('Customer Info'!A4041,'Customer Info'!A4041:C4540,3,FALSE),"Not Found")</f>
        <v>Not Found</v>
      </c>
      <c r="I4049" s="6" t="str">
        <f>IFERROR(VLOOKUP('Customer Info'!A4041,'Customer Info'!A4041:E4540,5,FALSE),"Not Found")</f>
        <v>Not Found</v>
      </c>
      <c r="J4049" s="2">
        <v>1528</v>
      </c>
      <c r="K4049" s="2">
        <v>1348</v>
      </c>
      <c r="L4049" s="2">
        <v>1</v>
      </c>
      <c r="M4049" s="7">
        <f t="shared" si="315"/>
        <v>1348</v>
      </c>
      <c r="N4049" s="7">
        <f t="shared" si="316"/>
        <v>1528</v>
      </c>
      <c r="O4049" s="2">
        <v>30</v>
      </c>
      <c r="P4049" s="8">
        <f t="shared" si="317"/>
        <v>1558</v>
      </c>
      <c r="Q4049" s="8">
        <f t="shared" si="318"/>
        <v>180</v>
      </c>
      <c r="R4049" s="2" t="s">
        <v>56</v>
      </c>
      <c r="S4049" s="9">
        <f t="shared" si="319"/>
        <v>31.16</v>
      </c>
    </row>
    <row r="4050" spans="1:19" x14ac:dyDescent="0.3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str">
        <f>IFERROR(VLOOKUP('Customer Info'!A4042,'Customer Info'!A4042:C4541,2,FALSE),"Not Found")</f>
        <v>Not Found</v>
      </c>
      <c r="H4050" s="6" t="str">
        <f>IFERROR(VLOOKUP('Customer Info'!A4042,'Customer Info'!A4042:C4541,3,FALSE),"Not Found")</f>
        <v>Not Found</v>
      </c>
      <c r="I4050" s="6" t="str">
        <f>IFERROR(VLOOKUP('Customer Info'!A4042,'Customer Info'!A4042:E4541,5,FALSE),"Not Found")</f>
        <v>Not Found</v>
      </c>
      <c r="J4050" s="2">
        <v>2526</v>
      </c>
      <c r="K4050" s="2">
        <v>2408</v>
      </c>
      <c r="L4050" s="2">
        <v>2</v>
      </c>
      <c r="M4050" s="7">
        <f t="shared" si="315"/>
        <v>4816</v>
      </c>
      <c r="N4050" s="7">
        <f t="shared" si="316"/>
        <v>5052</v>
      </c>
      <c r="O4050" s="2">
        <v>38</v>
      </c>
      <c r="P4050" s="8">
        <f t="shared" si="317"/>
        <v>5090</v>
      </c>
      <c r="Q4050" s="8">
        <f t="shared" si="318"/>
        <v>2644</v>
      </c>
      <c r="R4050" s="2" t="s">
        <v>50</v>
      </c>
      <c r="S4050" s="9">
        <f t="shared" si="319"/>
        <v>254.5</v>
      </c>
    </row>
    <row r="4051" spans="1:19" x14ac:dyDescent="0.3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str">
        <f>IFERROR(VLOOKUP('Customer Info'!A4043,'Customer Info'!A4043:C4542,2,FALSE),"Not Found")</f>
        <v>Not Found</v>
      </c>
      <c r="H4051" s="6" t="str">
        <f>IFERROR(VLOOKUP('Customer Info'!A4043,'Customer Info'!A4043:C4542,3,FALSE),"Not Found")</f>
        <v>Not Found</v>
      </c>
      <c r="I4051" s="6" t="str">
        <f>IFERROR(VLOOKUP('Customer Info'!A4043,'Customer Info'!A4043:E4542,5,FALSE),"Not Found")</f>
        <v>Not Found</v>
      </c>
      <c r="J4051" s="2">
        <v>5836</v>
      </c>
      <c r="K4051" s="2">
        <v>5457</v>
      </c>
      <c r="L4051" s="2">
        <v>2</v>
      </c>
      <c r="M4051" s="7">
        <f t="shared" si="315"/>
        <v>10914</v>
      </c>
      <c r="N4051" s="7">
        <f t="shared" si="316"/>
        <v>11672</v>
      </c>
      <c r="O4051" s="2">
        <v>21</v>
      </c>
      <c r="P4051" s="8">
        <f t="shared" si="317"/>
        <v>11693</v>
      </c>
      <c r="Q4051" s="8">
        <f t="shared" si="318"/>
        <v>6215</v>
      </c>
      <c r="R4051" s="2" t="s">
        <v>28</v>
      </c>
      <c r="S4051" s="9">
        <f t="shared" si="319"/>
        <v>584.65</v>
      </c>
    </row>
    <row r="4052" spans="1:19" x14ac:dyDescent="0.3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str">
        <f>IFERROR(VLOOKUP('Customer Info'!A4044,'Customer Info'!A4044:C4543,2,FALSE),"Not Found")</f>
        <v>Not Found</v>
      </c>
      <c r="H4052" s="6" t="str">
        <f>IFERROR(VLOOKUP('Customer Info'!A4044,'Customer Info'!A4044:C4543,3,FALSE),"Not Found")</f>
        <v>Not Found</v>
      </c>
      <c r="I4052" s="6" t="str">
        <f>IFERROR(VLOOKUP('Customer Info'!A4044,'Customer Info'!A4044:E4543,5,FALSE),"Not Found")</f>
        <v>Not Found</v>
      </c>
      <c r="J4052" s="2">
        <v>93</v>
      </c>
      <c r="K4052" s="2">
        <v>86</v>
      </c>
      <c r="L4052" s="2">
        <v>3</v>
      </c>
      <c r="M4052" s="7">
        <f t="shared" si="315"/>
        <v>258</v>
      </c>
      <c r="N4052" s="7">
        <f t="shared" si="316"/>
        <v>279</v>
      </c>
      <c r="O4052" s="2">
        <v>10</v>
      </c>
      <c r="P4052" s="8">
        <f t="shared" si="317"/>
        <v>289</v>
      </c>
      <c r="Q4052" s="8">
        <f t="shared" si="318"/>
        <v>193</v>
      </c>
      <c r="R4052" s="2" t="s">
        <v>50</v>
      </c>
      <c r="S4052" s="9">
        <f t="shared" si="319"/>
        <v>5.78</v>
      </c>
    </row>
    <row r="4053" spans="1:19" x14ac:dyDescent="0.3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str">
        <f>IFERROR(VLOOKUP('Customer Info'!A4045,'Customer Info'!A4045:C4544,2,FALSE),"Not Found")</f>
        <v>Not Found</v>
      </c>
      <c r="H4053" s="6" t="str">
        <f>IFERROR(VLOOKUP('Customer Info'!A4045,'Customer Info'!A4045:C4544,3,FALSE),"Not Found")</f>
        <v>Not Found</v>
      </c>
      <c r="I4053" s="6" t="str">
        <f>IFERROR(VLOOKUP('Customer Info'!A4045,'Customer Info'!A4045:E4544,5,FALSE),"Not Found")</f>
        <v>Not Found</v>
      </c>
      <c r="J4053" s="2">
        <v>7315</v>
      </c>
      <c r="K4053" s="2">
        <v>6967</v>
      </c>
      <c r="L4053" s="2">
        <v>4</v>
      </c>
      <c r="M4053" s="7">
        <f t="shared" si="315"/>
        <v>27868</v>
      </c>
      <c r="N4053" s="7">
        <f t="shared" si="316"/>
        <v>29260</v>
      </c>
      <c r="O4053" s="2">
        <v>68</v>
      </c>
      <c r="P4053" s="8">
        <f t="shared" si="317"/>
        <v>29328</v>
      </c>
      <c r="Q4053" s="8">
        <f t="shared" si="318"/>
        <v>22293</v>
      </c>
      <c r="R4053" s="2" t="s">
        <v>50</v>
      </c>
      <c r="S4053" s="9">
        <f t="shared" si="319"/>
        <v>2052.96</v>
      </c>
    </row>
    <row r="4054" spans="1:19" x14ac:dyDescent="0.3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str">
        <f>IFERROR(VLOOKUP('Customer Info'!A4046,'Customer Info'!A4046:C4545,2,FALSE),"Not Found")</f>
        <v>Not Found</v>
      </c>
      <c r="H4054" s="6" t="str">
        <f>IFERROR(VLOOKUP('Customer Info'!A4046,'Customer Info'!A4046:C4545,3,FALSE),"Not Found")</f>
        <v>Not Found</v>
      </c>
      <c r="I4054" s="6" t="str">
        <f>IFERROR(VLOOKUP('Customer Info'!A4046,'Customer Info'!A4046:E4545,5,FALSE),"Not Found")</f>
        <v>Not Found</v>
      </c>
      <c r="J4054" s="2">
        <v>4002</v>
      </c>
      <c r="K4054" s="2">
        <v>3744</v>
      </c>
      <c r="L4054" s="2">
        <v>5</v>
      </c>
      <c r="M4054" s="7">
        <f t="shared" si="315"/>
        <v>18720</v>
      </c>
      <c r="N4054" s="7">
        <f t="shared" si="316"/>
        <v>20010</v>
      </c>
      <c r="O4054" s="2">
        <v>66</v>
      </c>
      <c r="P4054" s="8">
        <f t="shared" si="317"/>
        <v>20076</v>
      </c>
      <c r="Q4054" s="8">
        <f t="shared" si="318"/>
        <v>16266</v>
      </c>
      <c r="R4054" s="2" t="s">
        <v>28</v>
      </c>
      <c r="S4054" s="9">
        <f t="shared" si="319"/>
        <v>1003.8000000000001</v>
      </c>
    </row>
    <row r="4055" spans="1:19" x14ac:dyDescent="0.3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str">
        <f>IFERROR(VLOOKUP('Customer Info'!A4047,'Customer Info'!A4047:C4546,2,FALSE),"Not Found")</f>
        <v>Not Found</v>
      </c>
      <c r="H4055" s="6" t="str">
        <f>IFERROR(VLOOKUP('Customer Info'!A4047,'Customer Info'!A4047:C4546,3,FALSE),"Not Found")</f>
        <v>Not Found</v>
      </c>
      <c r="I4055" s="6" t="str">
        <f>IFERROR(VLOOKUP('Customer Info'!A4047,'Customer Info'!A4047:E4546,5,FALSE),"Not Found")</f>
        <v>Not Found</v>
      </c>
      <c r="J4055" s="2">
        <v>131</v>
      </c>
      <c r="K4055" s="2">
        <v>124</v>
      </c>
      <c r="L4055" s="2">
        <v>2</v>
      </c>
      <c r="M4055" s="7">
        <f t="shared" si="315"/>
        <v>248</v>
      </c>
      <c r="N4055" s="7">
        <f t="shared" si="316"/>
        <v>262</v>
      </c>
      <c r="O4055" s="2">
        <v>30</v>
      </c>
      <c r="P4055" s="8">
        <f t="shared" si="317"/>
        <v>292</v>
      </c>
      <c r="Q4055" s="8">
        <f t="shared" si="318"/>
        <v>138</v>
      </c>
      <c r="R4055" s="2" t="s">
        <v>28</v>
      </c>
      <c r="S4055" s="9">
        <f t="shared" si="319"/>
        <v>5.84</v>
      </c>
    </row>
    <row r="4056" spans="1:19" x14ac:dyDescent="0.3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str">
        <f>IFERROR(VLOOKUP('Customer Info'!A4048,'Customer Info'!A4048:C4547,2,FALSE),"Not Found")</f>
        <v>Not Found</v>
      </c>
      <c r="H4056" s="6" t="str">
        <f>IFERROR(VLOOKUP('Customer Info'!A4048,'Customer Info'!A4048:C4547,3,FALSE),"Not Found")</f>
        <v>Not Found</v>
      </c>
      <c r="I4056" s="6" t="str">
        <f>IFERROR(VLOOKUP('Customer Info'!A4048,'Customer Info'!A4048:E4547,5,FALSE),"Not Found")</f>
        <v>Not Found</v>
      </c>
      <c r="J4056" s="2">
        <v>3145</v>
      </c>
      <c r="K4056" s="2">
        <v>3025</v>
      </c>
      <c r="L4056" s="2">
        <v>8</v>
      </c>
      <c r="M4056" s="7">
        <f t="shared" si="315"/>
        <v>24200</v>
      </c>
      <c r="N4056" s="7">
        <f t="shared" si="316"/>
        <v>25160</v>
      </c>
      <c r="O4056" s="2">
        <v>99</v>
      </c>
      <c r="P4056" s="8">
        <f t="shared" si="317"/>
        <v>25259</v>
      </c>
      <c r="Q4056" s="8">
        <f t="shared" si="318"/>
        <v>22135</v>
      </c>
      <c r="R4056" s="2" t="s">
        <v>50</v>
      </c>
      <c r="S4056" s="9">
        <f t="shared" si="319"/>
        <v>1768.13</v>
      </c>
    </row>
    <row r="4057" spans="1:19" x14ac:dyDescent="0.3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str">
        <f>IFERROR(VLOOKUP('Customer Info'!A4049,'Customer Info'!A4049:C4548,2,FALSE),"Not Found")</f>
        <v>Not Found</v>
      </c>
      <c r="H4057" s="6" t="str">
        <f>IFERROR(VLOOKUP('Customer Info'!A4049,'Customer Info'!A4049:C4548,3,FALSE),"Not Found")</f>
        <v>Not Found</v>
      </c>
      <c r="I4057" s="6" t="str">
        <f>IFERROR(VLOOKUP('Customer Info'!A4049,'Customer Info'!A4049:E4548,5,FALSE),"Not Found")</f>
        <v>Not Found</v>
      </c>
      <c r="J4057" s="2">
        <v>1222</v>
      </c>
      <c r="K4057" s="2">
        <v>1187</v>
      </c>
      <c r="L4057" s="2">
        <v>4</v>
      </c>
      <c r="M4057" s="7">
        <f t="shared" si="315"/>
        <v>4748</v>
      </c>
      <c r="N4057" s="7">
        <f t="shared" si="316"/>
        <v>4888</v>
      </c>
      <c r="O4057" s="2">
        <v>33</v>
      </c>
      <c r="P4057" s="8">
        <f t="shared" si="317"/>
        <v>4921</v>
      </c>
      <c r="Q4057" s="8">
        <f t="shared" si="318"/>
        <v>3701</v>
      </c>
      <c r="R4057" s="2" t="s">
        <v>28</v>
      </c>
      <c r="S4057" s="9">
        <f t="shared" si="319"/>
        <v>98.42</v>
      </c>
    </row>
    <row r="4058" spans="1:19" x14ac:dyDescent="0.3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str">
        <f>IFERROR(VLOOKUP('Customer Info'!A4050,'Customer Info'!A4050:C4549,2,FALSE),"Not Found")</f>
        <v>Not Found</v>
      </c>
      <c r="H4058" s="6" t="str">
        <f>IFERROR(VLOOKUP('Customer Info'!A4050,'Customer Info'!A4050:C4549,3,FALSE),"Not Found")</f>
        <v>Not Found</v>
      </c>
      <c r="I4058" s="6" t="str">
        <f>IFERROR(VLOOKUP('Customer Info'!A4050,'Customer Info'!A4050:E4549,5,FALSE),"Not Found")</f>
        <v>Not Found</v>
      </c>
      <c r="J4058" s="2">
        <v>175</v>
      </c>
      <c r="K4058" s="2">
        <v>162</v>
      </c>
      <c r="L4058" s="2">
        <v>5</v>
      </c>
      <c r="M4058" s="7">
        <f t="shared" si="315"/>
        <v>810</v>
      </c>
      <c r="N4058" s="7">
        <f t="shared" si="316"/>
        <v>875</v>
      </c>
      <c r="O4058" s="2">
        <v>30</v>
      </c>
      <c r="P4058" s="8">
        <f t="shared" si="317"/>
        <v>905</v>
      </c>
      <c r="Q4058" s="8">
        <f t="shared" si="318"/>
        <v>713</v>
      </c>
      <c r="R4058" s="2" t="s">
        <v>50</v>
      </c>
      <c r="S4058" s="9">
        <f t="shared" si="319"/>
        <v>18.100000000000001</v>
      </c>
    </row>
    <row r="4059" spans="1:19" x14ac:dyDescent="0.3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str">
        <f>IFERROR(VLOOKUP('Customer Info'!A4051,'Customer Info'!A4051:C4550,2,FALSE),"Not Found")</f>
        <v>Not Found</v>
      </c>
      <c r="H4059" s="6" t="str">
        <f>IFERROR(VLOOKUP('Customer Info'!A4051,'Customer Info'!A4051:C4550,3,FALSE),"Not Found")</f>
        <v>Not Found</v>
      </c>
      <c r="I4059" s="6" t="str">
        <f>IFERROR(VLOOKUP('Customer Info'!A4051,'Customer Info'!A4051:E4550,5,FALSE),"Not Found")</f>
        <v>Not Found</v>
      </c>
      <c r="J4059" s="2">
        <v>1447</v>
      </c>
      <c r="K4059" s="2">
        <v>1326</v>
      </c>
      <c r="L4059" s="2">
        <v>6</v>
      </c>
      <c r="M4059" s="7">
        <f t="shared" si="315"/>
        <v>7956</v>
      </c>
      <c r="N4059" s="7">
        <f t="shared" si="316"/>
        <v>8682</v>
      </c>
      <c r="O4059" s="2">
        <v>76</v>
      </c>
      <c r="P4059" s="8">
        <f t="shared" si="317"/>
        <v>8758</v>
      </c>
      <c r="Q4059" s="8">
        <f t="shared" si="318"/>
        <v>7356</v>
      </c>
      <c r="R4059" s="2" t="s">
        <v>28</v>
      </c>
      <c r="S4059" s="9">
        <f t="shared" si="319"/>
        <v>437.90000000000003</v>
      </c>
    </row>
    <row r="4060" spans="1:19" x14ac:dyDescent="0.3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str">
        <f>IFERROR(VLOOKUP('Customer Info'!A4052,'Customer Info'!A4052:C4551,2,FALSE),"Not Found")</f>
        <v>Not Found</v>
      </c>
      <c r="H4060" s="6" t="str">
        <f>IFERROR(VLOOKUP('Customer Info'!A4052,'Customer Info'!A4052:C4551,3,FALSE),"Not Found")</f>
        <v>Not Found</v>
      </c>
      <c r="I4060" s="6" t="str">
        <f>IFERROR(VLOOKUP('Customer Info'!A4052,'Customer Info'!A4052:E4551,5,FALSE),"Not Found")</f>
        <v>Not Found</v>
      </c>
      <c r="J4060" s="2">
        <v>1997</v>
      </c>
      <c r="K4060" s="2">
        <v>1816</v>
      </c>
      <c r="L4060" s="2">
        <v>5</v>
      </c>
      <c r="M4060" s="7">
        <f t="shared" si="315"/>
        <v>9080</v>
      </c>
      <c r="N4060" s="7">
        <f t="shared" si="316"/>
        <v>9985</v>
      </c>
      <c r="O4060" s="2">
        <v>74</v>
      </c>
      <c r="P4060" s="8">
        <f t="shared" si="317"/>
        <v>10059</v>
      </c>
      <c r="Q4060" s="8">
        <f t="shared" si="318"/>
        <v>8169</v>
      </c>
      <c r="R4060" s="2" t="s">
        <v>28</v>
      </c>
      <c r="S4060" s="9">
        <f t="shared" si="319"/>
        <v>502.95000000000005</v>
      </c>
    </row>
    <row r="4061" spans="1:19" x14ac:dyDescent="0.3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str">
        <f>IFERROR(VLOOKUP('Customer Info'!A4053,'Customer Info'!A4053:C4552,2,FALSE),"Not Found")</f>
        <v>Not Found</v>
      </c>
      <c r="H4061" s="6" t="str">
        <f>IFERROR(VLOOKUP('Customer Info'!A4053,'Customer Info'!A4053:C4552,3,FALSE),"Not Found")</f>
        <v>Not Found</v>
      </c>
      <c r="I4061" s="6" t="str">
        <f>IFERROR(VLOOKUP('Customer Info'!A4053,'Customer Info'!A4053:E4552,5,FALSE),"Not Found")</f>
        <v>Not Found</v>
      </c>
      <c r="J4061" s="2">
        <v>144</v>
      </c>
      <c r="K4061" s="2">
        <v>133</v>
      </c>
      <c r="L4061" s="2">
        <v>5</v>
      </c>
      <c r="M4061" s="7">
        <f t="shared" si="315"/>
        <v>665</v>
      </c>
      <c r="N4061" s="7">
        <f t="shared" si="316"/>
        <v>720</v>
      </c>
      <c r="O4061" s="2">
        <v>30</v>
      </c>
      <c r="P4061" s="8">
        <f t="shared" si="317"/>
        <v>750</v>
      </c>
      <c r="Q4061" s="8">
        <f t="shared" si="318"/>
        <v>587</v>
      </c>
      <c r="R4061" s="2" t="s">
        <v>28</v>
      </c>
      <c r="S4061" s="9">
        <f t="shared" si="319"/>
        <v>15</v>
      </c>
    </row>
    <row r="4062" spans="1:19" x14ac:dyDescent="0.3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str">
        <f>IFERROR(VLOOKUP('Customer Info'!A4054,'Customer Info'!A4054:C4553,2,FALSE),"Not Found")</f>
        <v>Not Found</v>
      </c>
      <c r="H4062" s="6" t="str">
        <f>IFERROR(VLOOKUP('Customer Info'!A4054,'Customer Info'!A4054:C4553,3,FALSE),"Not Found")</f>
        <v>Not Found</v>
      </c>
      <c r="I4062" s="6" t="str">
        <f>IFERROR(VLOOKUP('Customer Info'!A4054,'Customer Info'!A4054:E4553,5,FALSE),"Not Found")</f>
        <v>Not Found</v>
      </c>
      <c r="J4062" s="2">
        <v>693</v>
      </c>
      <c r="K4062" s="2">
        <v>667</v>
      </c>
      <c r="L4062" s="2">
        <v>6</v>
      </c>
      <c r="M4062" s="7">
        <f t="shared" si="315"/>
        <v>4002</v>
      </c>
      <c r="N4062" s="7">
        <f t="shared" si="316"/>
        <v>4158</v>
      </c>
      <c r="O4062" s="2">
        <v>37</v>
      </c>
      <c r="P4062" s="8">
        <f t="shared" si="317"/>
        <v>4195</v>
      </c>
      <c r="Q4062" s="8">
        <f t="shared" si="318"/>
        <v>3491</v>
      </c>
      <c r="R4062" s="2" t="s">
        <v>28</v>
      </c>
      <c r="S4062" s="9">
        <f t="shared" si="319"/>
        <v>83.9</v>
      </c>
    </row>
    <row r="4063" spans="1:19" x14ac:dyDescent="0.3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str">
        <f>IFERROR(VLOOKUP('Customer Info'!A4055,'Customer Info'!A4055:C4554,2,FALSE),"Not Found")</f>
        <v>Not Found</v>
      </c>
      <c r="H4063" s="6" t="str">
        <f>IFERROR(VLOOKUP('Customer Info'!A4055,'Customer Info'!A4055:C4554,3,FALSE),"Not Found")</f>
        <v>Not Found</v>
      </c>
      <c r="I4063" s="6" t="str">
        <f>IFERROR(VLOOKUP('Customer Info'!A4055,'Customer Info'!A4055:E4554,5,FALSE),"Not Found")</f>
        <v>Not Found</v>
      </c>
      <c r="J4063" s="2">
        <v>2083</v>
      </c>
      <c r="K4063" s="2">
        <v>2004</v>
      </c>
      <c r="L4063" s="2">
        <v>1</v>
      </c>
      <c r="M4063" s="7">
        <f t="shared" si="315"/>
        <v>2004</v>
      </c>
      <c r="N4063" s="7">
        <f t="shared" si="316"/>
        <v>2083</v>
      </c>
      <c r="O4063" s="2">
        <v>66</v>
      </c>
      <c r="P4063" s="8">
        <f t="shared" si="317"/>
        <v>2149</v>
      </c>
      <c r="Q4063" s="8">
        <f t="shared" si="318"/>
        <v>79</v>
      </c>
      <c r="R4063" s="2" t="s">
        <v>50</v>
      </c>
      <c r="S4063" s="9">
        <f t="shared" si="319"/>
        <v>42.980000000000004</v>
      </c>
    </row>
    <row r="4064" spans="1:19" x14ac:dyDescent="0.3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str">
        <f>IFERROR(VLOOKUP('Customer Info'!A4056,'Customer Info'!A4056:C4555,2,FALSE),"Not Found")</f>
        <v>Not Found</v>
      </c>
      <c r="H4064" s="6" t="str">
        <f>IFERROR(VLOOKUP('Customer Info'!A4056,'Customer Info'!A4056:C4555,3,FALSE),"Not Found")</f>
        <v>Not Found</v>
      </c>
      <c r="I4064" s="6" t="str">
        <f>IFERROR(VLOOKUP('Customer Info'!A4056,'Customer Info'!A4056:E4555,5,FALSE),"Not Found")</f>
        <v>Not Found</v>
      </c>
      <c r="J4064" s="2">
        <v>658</v>
      </c>
      <c r="K4064" s="2">
        <v>615</v>
      </c>
      <c r="L4064" s="2">
        <v>12</v>
      </c>
      <c r="M4064" s="7">
        <f t="shared" si="315"/>
        <v>7380</v>
      </c>
      <c r="N4064" s="7">
        <f t="shared" si="316"/>
        <v>7896</v>
      </c>
      <c r="O4064" s="2">
        <v>52</v>
      </c>
      <c r="P4064" s="8">
        <f t="shared" si="317"/>
        <v>7948</v>
      </c>
      <c r="Q4064" s="8">
        <f t="shared" si="318"/>
        <v>7281</v>
      </c>
      <c r="R4064" s="2" t="s">
        <v>50</v>
      </c>
      <c r="S4064" s="9">
        <f t="shared" si="319"/>
        <v>397.40000000000003</v>
      </c>
    </row>
    <row r="4065" spans="1:19" x14ac:dyDescent="0.3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str">
        <f>IFERROR(VLOOKUP('Customer Info'!A4057,'Customer Info'!A4057:C4556,2,FALSE),"Not Found")</f>
        <v>Not Found</v>
      </c>
      <c r="H4065" s="6" t="str">
        <f>IFERROR(VLOOKUP('Customer Info'!A4057,'Customer Info'!A4057:C4556,3,FALSE),"Not Found")</f>
        <v>Not Found</v>
      </c>
      <c r="I4065" s="6" t="str">
        <f>IFERROR(VLOOKUP('Customer Info'!A4057,'Customer Info'!A4057:E4556,5,FALSE),"Not Found")</f>
        <v>Not Found</v>
      </c>
      <c r="J4065" s="2">
        <v>214</v>
      </c>
      <c r="K4065" s="2">
        <v>200</v>
      </c>
      <c r="L4065" s="2">
        <v>4</v>
      </c>
      <c r="M4065" s="7">
        <f t="shared" si="315"/>
        <v>800</v>
      </c>
      <c r="N4065" s="7">
        <f t="shared" si="316"/>
        <v>856</v>
      </c>
      <c r="O4065" s="2">
        <v>51</v>
      </c>
      <c r="P4065" s="8">
        <f t="shared" si="317"/>
        <v>907</v>
      </c>
      <c r="Q4065" s="8">
        <f t="shared" si="318"/>
        <v>656</v>
      </c>
      <c r="R4065" s="2" t="s">
        <v>28</v>
      </c>
      <c r="S4065" s="9">
        <f t="shared" si="319"/>
        <v>18.14</v>
      </c>
    </row>
    <row r="4066" spans="1:19" x14ac:dyDescent="0.3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str">
        <f>IFERROR(VLOOKUP('Customer Info'!A4058,'Customer Info'!A4058:C4557,2,FALSE),"Not Found")</f>
        <v>Not Found</v>
      </c>
      <c r="H4066" s="6" t="str">
        <f>IFERROR(VLOOKUP('Customer Info'!A4058,'Customer Info'!A4058:C4557,3,FALSE),"Not Found")</f>
        <v>Not Found</v>
      </c>
      <c r="I4066" s="6" t="str">
        <f>IFERROR(VLOOKUP('Customer Info'!A4058,'Customer Info'!A4058:E4557,5,FALSE),"Not Found")</f>
        <v>Not Found</v>
      </c>
      <c r="J4066" s="2">
        <v>63</v>
      </c>
      <c r="K4066" s="2">
        <v>59</v>
      </c>
      <c r="L4066" s="2">
        <v>4</v>
      </c>
      <c r="M4066" s="7">
        <f t="shared" si="315"/>
        <v>236</v>
      </c>
      <c r="N4066" s="7">
        <f t="shared" si="316"/>
        <v>252</v>
      </c>
      <c r="O4066" s="2">
        <v>10</v>
      </c>
      <c r="P4066" s="8">
        <f t="shared" si="317"/>
        <v>262</v>
      </c>
      <c r="Q4066" s="8">
        <f t="shared" si="318"/>
        <v>193</v>
      </c>
      <c r="R4066" s="2" t="s">
        <v>50</v>
      </c>
      <c r="S4066" s="9">
        <f t="shared" si="319"/>
        <v>5.24</v>
      </c>
    </row>
    <row r="4067" spans="1:19" x14ac:dyDescent="0.3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str">
        <f>IFERROR(VLOOKUP('Customer Info'!A4059,'Customer Info'!A4059:C4558,2,FALSE),"Not Found")</f>
        <v>Not Found</v>
      </c>
      <c r="H4067" s="6" t="str">
        <f>IFERROR(VLOOKUP('Customer Info'!A4059,'Customer Info'!A4059:C4558,3,FALSE),"Not Found")</f>
        <v>Not Found</v>
      </c>
      <c r="I4067" s="6" t="str">
        <f>IFERROR(VLOOKUP('Customer Info'!A4059,'Customer Info'!A4059:E4558,5,FALSE),"Not Found")</f>
        <v>Not Found</v>
      </c>
      <c r="J4067" s="2">
        <v>143</v>
      </c>
      <c r="K4067" s="2">
        <v>137</v>
      </c>
      <c r="L4067" s="2">
        <v>6</v>
      </c>
      <c r="M4067" s="7">
        <f t="shared" si="315"/>
        <v>822</v>
      </c>
      <c r="N4067" s="7">
        <f t="shared" si="316"/>
        <v>858</v>
      </c>
      <c r="O4067" s="2">
        <v>30</v>
      </c>
      <c r="P4067" s="8">
        <f t="shared" si="317"/>
        <v>888</v>
      </c>
      <c r="Q4067" s="8">
        <f t="shared" si="318"/>
        <v>721</v>
      </c>
      <c r="R4067" s="2" t="s">
        <v>28</v>
      </c>
      <c r="S4067" s="9">
        <f t="shared" si="319"/>
        <v>17.760000000000002</v>
      </c>
    </row>
    <row r="4068" spans="1:19" x14ac:dyDescent="0.3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str">
        <f>IFERROR(VLOOKUP('Customer Info'!A4060,'Customer Info'!A4060:C4559,2,FALSE),"Not Found")</f>
        <v>Not Found</v>
      </c>
      <c r="H4068" s="6" t="str">
        <f>IFERROR(VLOOKUP('Customer Info'!A4060,'Customer Info'!A4060:C4559,3,FALSE),"Not Found")</f>
        <v>Not Found</v>
      </c>
      <c r="I4068" s="6" t="str">
        <f>IFERROR(VLOOKUP('Customer Info'!A4060,'Customer Info'!A4060:E4559,5,FALSE),"Not Found")</f>
        <v>Not Found</v>
      </c>
      <c r="J4068" s="2">
        <v>60</v>
      </c>
      <c r="K4068" s="2">
        <v>56</v>
      </c>
      <c r="L4068" s="2">
        <v>3</v>
      </c>
      <c r="M4068" s="7">
        <f t="shared" si="315"/>
        <v>168</v>
      </c>
      <c r="N4068" s="7">
        <f t="shared" si="316"/>
        <v>180</v>
      </c>
      <c r="O4068" s="2">
        <v>10</v>
      </c>
      <c r="P4068" s="8">
        <f t="shared" si="317"/>
        <v>190</v>
      </c>
      <c r="Q4068" s="8">
        <f t="shared" si="318"/>
        <v>124</v>
      </c>
      <c r="R4068" s="2" t="s">
        <v>50</v>
      </c>
      <c r="S4068" s="9">
        <f t="shared" si="319"/>
        <v>3.8000000000000003</v>
      </c>
    </row>
    <row r="4069" spans="1:19" x14ac:dyDescent="0.3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str">
        <f>IFERROR(VLOOKUP('Customer Info'!A4061,'Customer Info'!A4061:C4560,2,FALSE),"Not Found")</f>
        <v>Not Found</v>
      </c>
      <c r="H4069" s="6" t="str">
        <f>IFERROR(VLOOKUP('Customer Info'!A4061,'Customer Info'!A4061:C4560,3,FALSE),"Not Found")</f>
        <v>Not Found</v>
      </c>
      <c r="I4069" s="6" t="str">
        <f>IFERROR(VLOOKUP('Customer Info'!A4061,'Customer Info'!A4061:E4560,5,FALSE),"Not Found")</f>
        <v>Not Found</v>
      </c>
      <c r="J4069" s="2">
        <v>1859</v>
      </c>
      <c r="K4069" s="2">
        <v>1755</v>
      </c>
      <c r="L4069" s="2">
        <v>3</v>
      </c>
      <c r="M4069" s="7">
        <f t="shared" si="315"/>
        <v>5265</v>
      </c>
      <c r="N4069" s="7">
        <f t="shared" si="316"/>
        <v>5577</v>
      </c>
      <c r="O4069" s="2">
        <v>96</v>
      </c>
      <c r="P4069" s="8">
        <f t="shared" si="317"/>
        <v>5673</v>
      </c>
      <c r="Q4069" s="8">
        <f t="shared" si="318"/>
        <v>3822</v>
      </c>
      <c r="R4069" s="2" t="s">
        <v>56</v>
      </c>
      <c r="S4069" s="9">
        <f t="shared" si="319"/>
        <v>283.65000000000003</v>
      </c>
    </row>
    <row r="4070" spans="1:19" x14ac:dyDescent="0.3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str">
        <f>IFERROR(VLOOKUP('Customer Info'!A4062,'Customer Info'!A4062:C4561,2,FALSE),"Not Found")</f>
        <v>Not Found</v>
      </c>
      <c r="H4070" s="6" t="str">
        <f>IFERROR(VLOOKUP('Customer Info'!A4062,'Customer Info'!A4062:C4561,3,FALSE),"Not Found")</f>
        <v>Not Found</v>
      </c>
      <c r="I4070" s="6" t="str">
        <f>IFERROR(VLOOKUP('Customer Info'!A4062,'Customer Info'!A4062:E4561,5,FALSE),"Not Found")</f>
        <v>Not Found</v>
      </c>
      <c r="J4070" s="2">
        <v>1717</v>
      </c>
      <c r="K4070" s="2">
        <v>1652</v>
      </c>
      <c r="L4070" s="2">
        <v>2</v>
      </c>
      <c r="M4070" s="7">
        <f t="shared" si="315"/>
        <v>3304</v>
      </c>
      <c r="N4070" s="7">
        <f t="shared" si="316"/>
        <v>3434</v>
      </c>
      <c r="O4070" s="2">
        <v>98</v>
      </c>
      <c r="P4070" s="8">
        <f t="shared" si="317"/>
        <v>3532</v>
      </c>
      <c r="Q4070" s="8">
        <f t="shared" si="318"/>
        <v>1782</v>
      </c>
      <c r="R4070" s="2" t="s">
        <v>28</v>
      </c>
      <c r="S4070" s="9">
        <f t="shared" si="319"/>
        <v>70.64</v>
      </c>
    </row>
    <row r="4071" spans="1:19" x14ac:dyDescent="0.3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str">
        <f>IFERROR(VLOOKUP('Customer Info'!A4063,'Customer Info'!A4063:C4562,2,FALSE),"Not Found")</f>
        <v>Not Found</v>
      </c>
      <c r="H4071" s="6" t="str">
        <f>IFERROR(VLOOKUP('Customer Info'!A4063,'Customer Info'!A4063:C4562,3,FALSE),"Not Found")</f>
        <v>Not Found</v>
      </c>
      <c r="I4071" s="6" t="str">
        <f>IFERROR(VLOOKUP('Customer Info'!A4063,'Customer Info'!A4063:E4562,5,FALSE),"Not Found")</f>
        <v>Not Found</v>
      </c>
      <c r="J4071" s="2">
        <v>68</v>
      </c>
      <c r="K4071" s="2">
        <v>63</v>
      </c>
      <c r="L4071" s="2">
        <v>2</v>
      </c>
      <c r="M4071" s="7">
        <f t="shared" si="315"/>
        <v>126</v>
      </c>
      <c r="N4071" s="7">
        <f t="shared" si="316"/>
        <v>136</v>
      </c>
      <c r="O4071" s="2">
        <v>10</v>
      </c>
      <c r="P4071" s="8">
        <f t="shared" si="317"/>
        <v>146</v>
      </c>
      <c r="Q4071" s="8">
        <f t="shared" si="318"/>
        <v>73</v>
      </c>
      <c r="R4071" s="2" t="s">
        <v>26</v>
      </c>
      <c r="S4071" s="9">
        <f t="shared" si="319"/>
        <v>2.92</v>
      </c>
    </row>
    <row r="4072" spans="1:19" x14ac:dyDescent="0.3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str">
        <f>IFERROR(VLOOKUP('Customer Info'!A4064,'Customer Info'!A4064:C4563,2,FALSE),"Not Found")</f>
        <v>Not Found</v>
      </c>
      <c r="H4072" s="6" t="str">
        <f>IFERROR(VLOOKUP('Customer Info'!A4064,'Customer Info'!A4064:C4563,3,FALSE),"Not Found")</f>
        <v>Not Found</v>
      </c>
      <c r="I4072" s="6" t="str">
        <f>IFERROR(VLOOKUP('Customer Info'!A4064,'Customer Info'!A4064:E4563,5,FALSE),"Not Found")</f>
        <v>Not Found</v>
      </c>
      <c r="J4072" s="2">
        <v>20934</v>
      </c>
      <c r="K4072" s="2">
        <v>18661</v>
      </c>
      <c r="L4072" s="2">
        <v>2</v>
      </c>
      <c r="M4072" s="7">
        <f t="shared" si="315"/>
        <v>37322</v>
      </c>
      <c r="N4072" s="7">
        <f t="shared" si="316"/>
        <v>41868</v>
      </c>
      <c r="O4072" s="2">
        <v>65</v>
      </c>
      <c r="P4072" s="8">
        <f t="shared" si="317"/>
        <v>41933</v>
      </c>
      <c r="Q4072" s="8">
        <f t="shared" si="318"/>
        <v>23207</v>
      </c>
      <c r="R4072" s="2" t="s">
        <v>28</v>
      </c>
      <c r="S4072" s="9">
        <f t="shared" si="319"/>
        <v>2935.3100000000004</v>
      </c>
    </row>
    <row r="4073" spans="1:19" x14ac:dyDescent="0.3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str">
        <f>IFERROR(VLOOKUP('Customer Info'!A4065,'Customer Info'!A4065:C4564,2,FALSE),"Not Found")</f>
        <v>Not Found</v>
      </c>
      <c r="H4073" s="6" t="str">
        <f>IFERROR(VLOOKUP('Customer Info'!A4065,'Customer Info'!A4065:C4564,3,FALSE),"Not Found")</f>
        <v>Not Found</v>
      </c>
      <c r="I4073" s="6" t="str">
        <f>IFERROR(VLOOKUP('Customer Info'!A4065,'Customer Info'!A4065:E4564,5,FALSE),"Not Found")</f>
        <v>Not Found</v>
      </c>
      <c r="J4073" s="2">
        <v>188</v>
      </c>
      <c r="K4073" s="2">
        <v>173</v>
      </c>
      <c r="L4073" s="2">
        <v>4</v>
      </c>
      <c r="M4073" s="7">
        <f t="shared" si="315"/>
        <v>692</v>
      </c>
      <c r="N4073" s="7">
        <f t="shared" si="316"/>
        <v>752</v>
      </c>
      <c r="O4073" s="2">
        <v>30</v>
      </c>
      <c r="P4073" s="8">
        <f t="shared" si="317"/>
        <v>782</v>
      </c>
      <c r="Q4073" s="8">
        <f t="shared" si="318"/>
        <v>579</v>
      </c>
      <c r="R4073" s="2" t="s">
        <v>28</v>
      </c>
      <c r="S4073" s="9">
        <f t="shared" si="319"/>
        <v>15.64</v>
      </c>
    </row>
    <row r="4074" spans="1:19" x14ac:dyDescent="0.3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str">
        <f>IFERROR(VLOOKUP('Customer Info'!A4066,'Customer Info'!A4066:C4565,2,FALSE),"Not Found")</f>
        <v>Not Found</v>
      </c>
      <c r="H4074" s="6" t="str">
        <f>IFERROR(VLOOKUP('Customer Info'!A4066,'Customer Info'!A4066:C4565,3,FALSE),"Not Found")</f>
        <v>Not Found</v>
      </c>
      <c r="I4074" s="6" t="str">
        <f>IFERROR(VLOOKUP('Customer Info'!A4066,'Customer Info'!A4066:E4565,5,FALSE),"Not Found")</f>
        <v>Not Found</v>
      </c>
      <c r="J4074" s="2">
        <v>3176</v>
      </c>
      <c r="K4074" s="2">
        <v>3116</v>
      </c>
      <c r="L4074" s="2">
        <v>4</v>
      </c>
      <c r="M4074" s="7">
        <f t="shared" si="315"/>
        <v>12464</v>
      </c>
      <c r="N4074" s="7">
        <f t="shared" si="316"/>
        <v>12704</v>
      </c>
      <c r="O4074" s="2">
        <v>39</v>
      </c>
      <c r="P4074" s="8">
        <f t="shared" si="317"/>
        <v>12743</v>
      </c>
      <c r="Q4074" s="8">
        <f t="shared" si="318"/>
        <v>9588</v>
      </c>
      <c r="R4074" s="2" t="s">
        <v>28</v>
      </c>
      <c r="S4074" s="9">
        <f t="shared" si="319"/>
        <v>637.15000000000009</v>
      </c>
    </row>
    <row r="4075" spans="1:19" x14ac:dyDescent="0.3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str">
        <f>IFERROR(VLOOKUP('Customer Info'!A4067,'Customer Info'!A4067:C4566,2,FALSE),"Not Found")</f>
        <v>Not Found</v>
      </c>
      <c r="H4075" s="6" t="str">
        <f>IFERROR(VLOOKUP('Customer Info'!A4067,'Customer Info'!A4067:C4566,3,FALSE),"Not Found")</f>
        <v>Not Found</v>
      </c>
      <c r="I4075" s="6" t="str">
        <f>IFERROR(VLOOKUP('Customer Info'!A4067,'Customer Info'!A4067:E4566,5,FALSE),"Not Found")</f>
        <v>Not Found</v>
      </c>
      <c r="J4075" s="2">
        <v>135</v>
      </c>
      <c r="K4075" s="2">
        <v>126</v>
      </c>
      <c r="L4075" s="2">
        <v>2</v>
      </c>
      <c r="M4075" s="7">
        <f t="shared" si="315"/>
        <v>252</v>
      </c>
      <c r="N4075" s="7">
        <f t="shared" si="316"/>
        <v>270</v>
      </c>
      <c r="O4075" s="2">
        <v>30</v>
      </c>
      <c r="P4075" s="8">
        <f t="shared" si="317"/>
        <v>300</v>
      </c>
      <c r="Q4075" s="8">
        <f t="shared" si="318"/>
        <v>144</v>
      </c>
      <c r="R4075" s="2" t="s">
        <v>28</v>
      </c>
      <c r="S4075" s="9">
        <f t="shared" si="319"/>
        <v>6</v>
      </c>
    </row>
    <row r="4076" spans="1:19" x14ac:dyDescent="0.3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str">
        <f>IFERROR(VLOOKUP('Customer Info'!A4068,'Customer Info'!A4068:C4567,2,FALSE),"Not Found")</f>
        <v>Not Found</v>
      </c>
      <c r="H4076" s="6" t="str">
        <f>IFERROR(VLOOKUP('Customer Info'!A4068,'Customer Info'!A4068:C4567,3,FALSE),"Not Found")</f>
        <v>Not Found</v>
      </c>
      <c r="I4076" s="6" t="str">
        <f>IFERROR(VLOOKUP('Customer Info'!A4068,'Customer Info'!A4068:E4567,5,FALSE),"Not Found")</f>
        <v>Not Found</v>
      </c>
      <c r="J4076" s="2">
        <v>2515</v>
      </c>
      <c r="K4076" s="2">
        <v>2397</v>
      </c>
      <c r="L4076" s="2">
        <v>1</v>
      </c>
      <c r="M4076" s="7">
        <f t="shared" si="315"/>
        <v>2397</v>
      </c>
      <c r="N4076" s="7">
        <f t="shared" si="316"/>
        <v>2515</v>
      </c>
      <c r="O4076" s="2">
        <v>78</v>
      </c>
      <c r="P4076" s="8">
        <f t="shared" si="317"/>
        <v>2593</v>
      </c>
      <c r="Q4076" s="8">
        <f t="shared" si="318"/>
        <v>118</v>
      </c>
      <c r="R4076" s="2" t="s">
        <v>50</v>
      </c>
      <c r="S4076" s="9">
        <f t="shared" si="319"/>
        <v>51.86</v>
      </c>
    </row>
    <row r="4077" spans="1:19" x14ac:dyDescent="0.3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str">
        <f>IFERROR(VLOOKUP('Customer Info'!A4069,'Customer Info'!A4069:C4568,2,FALSE),"Not Found")</f>
        <v>Not Found</v>
      </c>
      <c r="H4077" s="6" t="str">
        <f>IFERROR(VLOOKUP('Customer Info'!A4069,'Customer Info'!A4069:C4568,3,FALSE),"Not Found")</f>
        <v>Not Found</v>
      </c>
      <c r="I4077" s="6" t="str">
        <f>IFERROR(VLOOKUP('Customer Info'!A4069,'Customer Info'!A4069:E4568,5,FALSE),"Not Found")</f>
        <v>Not Found</v>
      </c>
      <c r="J4077" s="2">
        <v>3054</v>
      </c>
      <c r="K4077" s="2">
        <v>2721</v>
      </c>
      <c r="L4077" s="2">
        <v>1</v>
      </c>
      <c r="M4077" s="7">
        <f t="shared" si="315"/>
        <v>2721</v>
      </c>
      <c r="N4077" s="7">
        <f t="shared" si="316"/>
        <v>3054</v>
      </c>
      <c r="O4077" s="2">
        <v>61</v>
      </c>
      <c r="P4077" s="8">
        <f t="shared" si="317"/>
        <v>3115</v>
      </c>
      <c r="Q4077" s="8">
        <f t="shared" si="318"/>
        <v>333</v>
      </c>
      <c r="R4077" s="2" t="s">
        <v>50</v>
      </c>
      <c r="S4077" s="9">
        <f t="shared" si="319"/>
        <v>62.300000000000004</v>
      </c>
    </row>
    <row r="4078" spans="1:19" x14ac:dyDescent="0.3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str">
        <f>IFERROR(VLOOKUP('Customer Info'!A4070,'Customer Info'!A4070:C4569,2,FALSE),"Not Found")</f>
        <v>Not Found</v>
      </c>
      <c r="H4078" s="6" t="str">
        <f>IFERROR(VLOOKUP('Customer Info'!A4070,'Customer Info'!A4070:C4569,3,FALSE),"Not Found")</f>
        <v>Not Found</v>
      </c>
      <c r="I4078" s="6" t="str">
        <f>IFERROR(VLOOKUP('Customer Info'!A4070,'Customer Info'!A4070:E4569,5,FALSE),"Not Found")</f>
        <v>Not Found</v>
      </c>
      <c r="J4078" s="2">
        <v>805</v>
      </c>
      <c r="K4078" s="2">
        <v>746</v>
      </c>
      <c r="L4078" s="2">
        <v>7</v>
      </c>
      <c r="M4078" s="7">
        <f t="shared" si="315"/>
        <v>5222</v>
      </c>
      <c r="N4078" s="7">
        <f t="shared" si="316"/>
        <v>5635</v>
      </c>
      <c r="O4078" s="2">
        <v>73</v>
      </c>
      <c r="P4078" s="8">
        <f t="shared" si="317"/>
        <v>5708</v>
      </c>
      <c r="Q4078" s="8">
        <f t="shared" si="318"/>
        <v>4889</v>
      </c>
      <c r="R4078" s="2" t="s">
        <v>28</v>
      </c>
      <c r="S4078" s="9">
        <f t="shared" si="319"/>
        <v>285.40000000000003</v>
      </c>
    </row>
    <row r="4079" spans="1:19" x14ac:dyDescent="0.3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str">
        <f>IFERROR(VLOOKUP('Customer Info'!A4071,'Customer Info'!A4071:C4570,2,FALSE),"Not Found")</f>
        <v>Not Found</v>
      </c>
      <c r="H4079" s="6" t="str">
        <f>IFERROR(VLOOKUP('Customer Info'!A4071,'Customer Info'!A4071:C4570,3,FALSE),"Not Found")</f>
        <v>Not Found</v>
      </c>
      <c r="I4079" s="6" t="str">
        <f>IFERROR(VLOOKUP('Customer Info'!A4071,'Customer Info'!A4071:E4570,5,FALSE),"Not Found")</f>
        <v>Not Found</v>
      </c>
      <c r="J4079" s="2">
        <v>8022</v>
      </c>
      <c r="K4079" s="2">
        <v>7868</v>
      </c>
      <c r="L4079" s="2">
        <v>5</v>
      </c>
      <c r="M4079" s="7">
        <f t="shared" si="315"/>
        <v>39340</v>
      </c>
      <c r="N4079" s="7">
        <f t="shared" si="316"/>
        <v>40110</v>
      </c>
      <c r="O4079" s="2">
        <v>61</v>
      </c>
      <c r="P4079" s="8">
        <f t="shared" si="317"/>
        <v>40171</v>
      </c>
      <c r="Q4079" s="8">
        <f t="shared" si="318"/>
        <v>32242</v>
      </c>
      <c r="R4079" s="2" t="s">
        <v>28</v>
      </c>
      <c r="S4079" s="9">
        <f t="shared" si="319"/>
        <v>2811.9700000000003</v>
      </c>
    </row>
    <row r="4080" spans="1:19" x14ac:dyDescent="0.3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str">
        <f>IFERROR(VLOOKUP('Customer Info'!A4072,'Customer Info'!A4072:C4571,2,FALSE),"Not Found")</f>
        <v>Not Found</v>
      </c>
      <c r="H4080" s="6" t="str">
        <f>IFERROR(VLOOKUP('Customer Info'!A4072,'Customer Info'!A4072:C4571,3,FALSE),"Not Found")</f>
        <v>Not Found</v>
      </c>
      <c r="I4080" s="6" t="str">
        <f>IFERROR(VLOOKUP('Customer Info'!A4072,'Customer Info'!A4072:E4571,5,FALSE),"Not Found")</f>
        <v>Not Found</v>
      </c>
      <c r="J4080" s="2">
        <v>671</v>
      </c>
      <c r="K4080" s="2">
        <v>627</v>
      </c>
      <c r="L4080" s="2">
        <v>4</v>
      </c>
      <c r="M4080" s="7">
        <f t="shared" si="315"/>
        <v>2508</v>
      </c>
      <c r="N4080" s="7">
        <f t="shared" si="316"/>
        <v>2684</v>
      </c>
      <c r="O4080" s="2">
        <v>79</v>
      </c>
      <c r="P4080" s="8">
        <f t="shared" si="317"/>
        <v>2763</v>
      </c>
      <c r="Q4080" s="8">
        <f t="shared" si="318"/>
        <v>2057</v>
      </c>
      <c r="R4080" s="2" t="s">
        <v>56</v>
      </c>
      <c r="S4080" s="9">
        <f t="shared" si="319"/>
        <v>55.26</v>
      </c>
    </row>
    <row r="4081" spans="1:19" x14ac:dyDescent="0.3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str">
        <f>IFERROR(VLOOKUP('Customer Info'!A4073,'Customer Info'!A4073:C4572,2,FALSE),"Not Found")</f>
        <v>Not Found</v>
      </c>
      <c r="H4081" s="6" t="str">
        <f>IFERROR(VLOOKUP('Customer Info'!A4073,'Customer Info'!A4073:C4572,3,FALSE),"Not Found")</f>
        <v>Not Found</v>
      </c>
      <c r="I4081" s="6" t="str">
        <f>IFERROR(VLOOKUP('Customer Info'!A4073,'Customer Info'!A4073:E4572,5,FALSE),"Not Found")</f>
        <v>Not Found</v>
      </c>
      <c r="J4081" s="2">
        <v>61</v>
      </c>
      <c r="K4081" s="2">
        <v>57</v>
      </c>
      <c r="L4081" s="2">
        <v>5</v>
      </c>
      <c r="M4081" s="7">
        <f t="shared" si="315"/>
        <v>285</v>
      </c>
      <c r="N4081" s="7">
        <f t="shared" si="316"/>
        <v>305</v>
      </c>
      <c r="O4081" s="2">
        <v>10</v>
      </c>
      <c r="P4081" s="8">
        <f t="shared" si="317"/>
        <v>315</v>
      </c>
      <c r="Q4081" s="8">
        <f t="shared" si="318"/>
        <v>248</v>
      </c>
      <c r="R4081" s="2" t="s">
        <v>50</v>
      </c>
      <c r="S4081" s="9">
        <f t="shared" si="319"/>
        <v>6.3</v>
      </c>
    </row>
    <row r="4082" spans="1:19" x14ac:dyDescent="0.3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str">
        <f>IFERROR(VLOOKUP('Customer Info'!A4074,'Customer Info'!A4074:C4573,2,FALSE),"Not Found")</f>
        <v>Not Found</v>
      </c>
      <c r="H4082" s="6" t="str">
        <f>IFERROR(VLOOKUP('Customer Info'!A4074,'Customer Info'!A4074:C4573,3,FALSE),"Not Found")</f>
        <v>Not Found</v>
      </c>
      <c r="I4082" s="6" t="str">
        <f>IFERROR(VLOOKUP('Customer Info'!A4074,'Customer Info'!A4074:E4573,5,FALSE),"Not Found")</f>
        <v>Not Found</v>
      </c>
      <c r="J4082" s="2">
        <v>1576</v>
      </c>
      <c r="K4082" s="2">
        <v>1531</v>
      </c>
      <c r="L4082" s="2">
        <v>5</v>
      </c>
      <c r="M4082" s="7">
        <f t="shared" si="315"/>
        <v>7655</v>
      </c>
      <c r="N4082" s="7">
        <f t="shared" si="316"/>
        <v>7880</v>
      </c>
      <c r="O4082" s="2">
        <v>84</v>
      </c>
      <c r="P4082" s="8">
        <f t="shared" si="317"/>
        <v>7964</v>
      </c>
      <c r="Q4082" s="8">
        <f t="shared" si="318"/>
        <v>6349</v>
      </c>
      <c r="R4082" s="2" t="s">
        <v>50</v>
      </c>
      <c r="S4082" s="9">
        <f t="shared" si="319"/>
        <v>398.20000000000005</v>
      </c>
    </row>
    <row r="4083" spans="1:19" x14ac:dyDescent="0.3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str">
        <f>IFERROR(VLOOKUP('Customer Info'!A4075,'Customer Info'!A4075:C4574,2,FALSE),"Not Found")</f>
        <v>Not Found</v>
      </c>
      <c r="H4083" s="6" t="str">
        <f>IFERROR(VLOOKUP('Customer Info'!A4075,'Customer Info'!A4075:C4574,3,FALSE),"Not Found")</f>
        <v>Not Found</v>
      </c>
      <c r="I4083" s="6" t="str">
        <f>IFERROR(VLOOKUP('Customer Info'!A4075,'Customer Info'!A4075:E4574,5,FALSE),"Not Found")</f>
        <v>Not Found</v>
      </c>
      <c r="J4083" s="2">
        <v>1601</v>
      </c>
      <c r="K4083" s="2">
        <v>1510</v>
      </c>
      <c r="L4083" s="2">
        <v>4</v>
      </c>
      <c r="M4083" s="7">
        <f t="shared" si="315"/>
        <v>6040</v>
      </c>
      <c r="N4083" s="7">
        <f t="shared" si="316"/>
        <v>6404</v>
      </c>
      <c r="O4083" s="2">
        <v>55</v>
      </c>
      <c r="P4083" s="8">
        <f t="shared" si="317"/>
        <v>6459</v>
      </c>
      <c r="Q4083" s="8">
        <f t="shared" si="318"/>
        <v>4894</v>
      </c>
      <c r="R4083" s="2" t="s">
        <v>28</v>
      </c>
      <c r="S4083" s="9">
        <f t="shared" si="319"/>
        <v>322.95000000000005</v>
      </c>
    </row>
    <row r="4084" spans="1:19" x14ac:dyDescent="0.3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str">
        <f>IFERROR(VLOOKUP('Customer Info'!A4076,'Customer Info'!A4076:C4575,2,FALSE),"Not Found")</f>
        <v>Not Found</v>
      </c>
      <c r="H4084" s="6" t="str">
        <f>IFERROR(VLOOKUP('Customer Info'!A4076,'Customer Info'!A4076:C4575,3,FALSE),"Not Found")</f>
        <v>Not Found</v>
      </c>
      <c r="I4084" s="6" t="str">
        <f>IFERROR(VLOOKUP('Customer Info'!A4076,'Customer Info'!A4076:E4575,5,FALSE),"Not Found")</f>
        <v>Not Found</v>
      </c>
      <c r="J4084" s="2">
        <v>8281</v>
      </c>
      <c r="K4084" s="2">
        <v>7673</v>
      </c>
      <c r="L4084" s="2">
        <v>6</v>
      </c>
      <c r="M4084" s="7">
        <f t="shared" si="315"/>
        <v>46038</v>
      </c>
      <c r="N4084" s="7">
        <f t="shared" si="316"/>
        <v>49686</v>
      </c>
      <c r="O4084" s="2">
        <v>87</v>
      </c>
      <c r="P4084" s="8">
        <f t="shared" si="317"/>
        <v>49773</v>
      </c>
      <c r="Q4084" s="8">
        <f t="shared" si="318"/>
        <v>42013</v>
      </c>
      <c r="R4084" s="2" t="s">
        <v>28</v>
      </c>
      <c r="S4084" s="9">
        <f t="shared" si="319"/>
        <v>3484.11</v>
      </c>
    </row>
    <row r="4085" spans="1:19" x14ac:dyDescent="0.3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str">
        <f>IFERROR(VLOOKUP('Customer Info'!A4077,'Customer Info'!A4077:C4576,2,FALSE),"Not Found")</f>
        <v>Not Found</v>
      </c>
      <c r="H4085" s="6" t="str">
        <f>IFERROR(VLOOKUP('Customer Info'!A4077,'Customer Info'!A4077:C4576,3,FALSE),"Not Found")</f>
        <v>Not Found</v>
      </c>
      <c r="I4085" s="6" t="str">
        <f>IFERROR(VLOOKUP('Customer Info'!A4077,'Customer Info'!A4077:E4576,5,FALSE),"Not Found")</f>
        <v>Not Found</v>
      </c>
      <c r="J4085" s="2">
        <v>136</v>
      </c>
      <c r="K4085" s="2">
        <v>130</v>
      </c>
      <c r="L4085" s="2">
        <v>2</v>
      </c>
      <c r="M4085" s="7">
        <f t="shared" si="315"/>
        <v>260</v>
      </c>
      <c r="N4085" s="7">
        <f t="shared" si="316"/>
        <v>272</v>
      </c>
      <c r="O4085" s="2">
        <v>30</v>
      </c>
      <c r="P4085" s="8">
        <f t="shared" si="317"/>
        <v>302</v>
      </c>
      <c r="Q4085" s="8">
        <f t="shared" si="318"/>
        <v>142</v>
      </c>
      <c r="R4085" s="2" t="s">
        <v>28</v>
      </c>
      <c r="S4085" s="9">
        <f t="shared" si="319"/>
        <v>6.04</v>
      </c>
    </row>
    <row r="4086" spans="1:19" x14ac:dyDescent="0.3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str">
        <f>IFERROR(VLOOKUP('Customer Info'!A4078,'Customer Info'!A4078:C4577,2,FALSE),"Not Found")</f>
        <v>Not Found</v>
      </c>
      <c r="H4086" s="6" t="str">
        <f>IFERROR(VLOOKUP('Customer Info'!A4078,'Customer Info'!A4078:C4577,3,FALSE),"Not Found")</f>
        <v>Not Found</v>
      </c>
      <c r="I4086" s="6" t="str">
        <f>IFERROR(VLOOKUP('Customer Info'!A4078,'Customer Info'!A4078:E4577,5,FALSE),"Not Found")</f>
        <v>Not Found</v>
      </c>
      <c r="J4086" s="2">
        <v>6012</v>
      </c>
      <c r="K4086" s="2">
        <v>5677</v>
      </c>
      <c r="L4086" s="2">
        <v>1</v>
      </c>
      <c r="M4086" s="7">
        <f t="shared" si="315"/>
        <v>5677</v>
      </c>
      <c r="N4086" s="7">
        <f t="shared" si="316"/>
        <v>6012</v>
      </c>
      <c r="O4086" s="2">
        <v>58</v>
      </c>
      <c r="P4086" s="8">
        <f t="shared" si="317"/>
        <v>6070</v>
      </c>
      <c r="Q4086" s="8">
        <f t="shared" si="318"/>
        <v>335</v>
      </c>
      <c r="R4086" s="2" t="s">
        <v>50</v>
      </c>
      <c r="S4086" s="9">
        <f t="shared" si="319"/>
        <v>303.5</v>
      </c>
    </row>
    <row r="4087" spans="1:19" x14ac:dyDescent="0.3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str">
        <f>IFERROR(VLOOKUP('Customer Info'!A4079,'Customer Info'!A4079:C4578,2,FALSE),"Not Found")</f>
        <v>Not Found</v>
      </c>
      <c r="H4087" s="6" t="str">
        <f>IFERROR(VLOOKUP('Customer Info'!A4079,'Customer Info'!A4079:C4578,3,FALSE),"Not Found")</f>
        <v>Not Found</v>
      </c>
      <c r="I4087" s="6" t="str">
        <f>IFERROR(VLOOKUP('Customer Info'!A4079,'Customer Info'!A4079:E4578,5,FALSE),"Not Found")</f>
        <v>Not Found</v>
      </c>
      <c r="J4087" s="2">
        <v>35350</v>
      </c>
      <c r="K4087" s="2">
        <v>33037</v>
      </c>
      <c r="L4087" s="2">
        <v>3</v>
      </c>
      <c r="M4087" s="7">
        <f t="shared" si="315"/>
        <v>99111</v>
      </c>
      <c r="N4087" s="7">
        <f t="shared" si="316"/>
        <v>106050</v>
      </c>
      <c r="O4087" s="2">
        <v>44</v>
      </c>
      <c r="P4087" s="8">
        <f t="shared" si="317"/>
        <v>106094</v>
      </c>
      <c r="Q4087" s="8">
        <f t="shared" si="318"/>
        <v>73013</v>
      </c>
      <c r="R4087" s="2" t="s">
        <v>50</v>
      </c>
      <c r="S4087" s="9">
        <f t="shared" si="319"/>
        <v>12731.279999999999</v>
      </c>
    </row>
    <row r="4088" spans="1:19" x14ac:dyDescent="0.3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str">
        <f>IFERROR(VLOOKUP('Customer Info'!A4080,'Customer Info'!A4080:C4579,2,FALSE),"Not Found")</f>
        <v>Not Found</v>
      </c>
      <c r="H4088" s="6" t="str">
        <f>IFERROR(VLOOKUP('Customer Info'!A4080,'Customer Info'!A4080:C4579,3,FALSE),"Not Found")</f>
        <v>Not Found</v>
      </c>
      <c r="I4088" s="6" t="str">
        <f>IFERROR(VLOOKUP('Customer Info'!A4080,'Customer Info'!A4080:E4579,5,FALSE),"Not Found")</f>
        <v>Not Found</v>
      </c>
      <c r="J4088" s="2">
        <v>765</v>
      </c>
      <c r="K4088" s="2">
        <v>701</v>
      </c>
      <c r="L4088" s="2">
        <v>6</v>
      </c>
      <c r="M4088" s="7">
        <f t="shared" si="315"/>
        <v>4206</v>
      </c>
      <c r="N4088" s="7">
        <f t="shared" si="316"/>
        <v>4590</v>
      </c>
      <c r="O4088" s="2">
        <v>37</v>
      </c>
      <c r="P4088" s="8">
        <f t="shared" si="317"/>
        <v>4627</v>
      </c>
      <c r="Q4088" s="8">
        <f t="shared" si="318"/>
        <v>3889</v>
      </c>
      <c r="R4088" s="2" t="s">
        <v>50</v>
      </c>
      <c r="S4088" s="9">
        <f t="shared" si="319"/>
        <v>92.54</v>
      </c>
    </row>
    <row r="4089" spans="1:19" x14ac:dyDescent="0.3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str">
        <f>IFERROR(VLOOKUP('Customer Info'!A4081,'Customer Info'!A4081:C4580,2,FALSE),"Not Found")</f>
        <v>Not Found</v>
      </c>
      <c r="H4089" s="6" t="str">
        <f>IFERROR(VLOOKUP('Customer Info'!A4081,'Customer Info'!A4081:C4580,3,FALSE),"Not Found")</f>
        <v>Not Found</v>
      </c>
      <c r="I4089" s="6" t="str">
        <f>IFERROR(VLOOKUP('Customer Info'!A4081,'Customer Info'!A4081:E4580,5,FALSE),"Not Found")</f>
        <v>Not Found</v>
      </c>
      <c r="J4089" s="2">
        <v>1834</v>
      </c>
      <c r="K4089" s="2">
        <v>1716</v>
      </c>
      <c r="L4089" s="2">
        <v>4</v>
      </c>
      <c r="M4089" s="7">
        <f t="shared" si="315"/>
        <v>6864</v>
      </c>
      <c r="N4089" s="7">
        <f t="shared" si="316"/>
        <v>7336</v>
      </c>
      <c r="O4089" s="2">
        <v>76</v>
      </c>
      <c r="P4089" s="8">
        <f t="shared" si="317"/>
        <v>7412</v>
      </c>
      <c r="Q4089" s="8">
        <f t="shared" si="318"/>
        <v>5620</v>
      </c>
      <c r="R4089" s="2" t="s">
        <v>50</v>
      </c>
      <c r="S4089" s="9">
        <f t="shared" si="319"/>
        <v>370.6</v>
      </c>
    </row>
    <row r="4090" spans="1:19" x14ac:dyDescent="0.3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str">
        <f>IFERROR(VLOOKUP('Customer Info'!A4082,'Customer Info'!A4082:C4581,2,FALSE),"Not Found")</f>
        <v>Not Found</v>
      </c>
      <c r="H4090" s="6" t="str">
        <f>IFERROR(VLOOKUP('Customer Info'!A4082,'Customer Info'!A4082:C4581,3,FALSE),"Not Found")</f>
        <v>Not Found</v>
      </c>
      <c r="I4090" s="6" t="str">
        <f>IFERROR(VLOOKUP('Customer Info'!A4082,'Customer Info'!A4082:E4581,5,FALSE),"Not Found")</f>
        <v>Not Found</v>
      </c>
      <c r="J4090" s="2">
        <v>2453</v>
      </c>
      <c r="K4090" s="2">
        <v>2336</v>
      </c>
      <c r="L4090" s="2">
        <v>6</v>
      </c>
      <c r="M4090" s="7">
        <f t="shared" si="315"/>
        <v>14016</v>
      </c>
      <c r="N4090" s="7">
        <f t="shared" si="316"/>
        <v>14718</v>
      </c>
      <c r="O4090" s="2">
        <v>47</v>
      </c>
      <c r="P4090" s="8">
        <f t="shared" si="317"/>
        <v>14765</v>
      </c>
      <c r="Q4090" s="8">
        <f t="shared" si="318"/>
        <v>12382</v>
      </c>
      <c r="R4090" s="2" t="s">
        <v>28</v>
      </c>
      <c r="S4090" s="9">
        <f t="shared" si="319"/>
        <v>738.25</v>
      </c>
    </row>
    <row r="4091" spans="1:19" x14ac:dyDescent="0.3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str">
        <f>IFERROR(VLOOKUP('Customer Info'!A4083,'Customer Info'!A4083:C4582,2,FALSE),"Not Found")</f>
        <v>Not Found</v>
      </c>
      <c r="H4091" s="6" t="str">
        <f>IFERROR(VLOOKUP('Customer Info'!A4083,'Customer Info'!A4083:C4582,3,FALSE),"Not Found")</f>
        <v>Not Found</v>
      </c>
      <c r="I4091" s="6" t="str">
        <f>IFERROR(VLOOKUP('Customer Info'!A4083,'Customer Info'!A4083:E4582,5,FALSE),"Not Found")</f>
        <v>Not Found</v>
      </c>
      <c r="J4091" s="2">
        <v>2681</v>
      </c>
      <c r="K4091" s="2">
        <v>2458</v>
      </c>
      <c r="L4091" s="2">
        <v>2</v>
      </c>
      <c r="M4091" s="7">
        <f t="shared" si="315"/>
        <v>4916</v>
      </c>
      <c r="N4091" s="7">
        <f t="shared" si="316"/>
        <v>5362</v>
      </c>
      <c r="O4091" s="2">
        <v>66</v>
      </c>
      <c r="P4091" s="8">
        <f t="shared" si="317"/>
        <v>5428</v>
      </c>
      <c r="Q4091" s="8">
        <f t="shared" si="318"/>
        <v>2904</v>
      </c>
      <c r="R4091" s="2" t="s">
        <v>50</v>
      </c>
      <c r="S4091" s="9">
        <f t="shared" si="319"/>
        <v>271.40000000000003</v>
      </c>
    </row>
    <row r="4092" spans="1:19" x14ac:dyDescent="0.3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str">
        <f>IFERROR(VLOOKUP('Customer Info'!A4084,'Customer Info'!A4084:C4583,2,FALSE),"Not Found")</f>
        <v>Not Found</v>
      </c>
      <c r="H4092" s="6" t="str">
        <f>IFERROR(VLOOKUP('Customer Info'!A4084,'Customer Info'!A4084:C4583,3,FALSE),"Not Found")</f>
        <v>Not Found</v>
      </c>
      <c r="I4092" s="6" t="str">
        <f>IFERROR(VLOOKUP('Customer Info'!A4084,'Customer Info'!A4084:E4583,5,FALSE),"Not Found")</f>
        <v>Not Found</v>
      </c>
      <c r="J4092" s="2">
        <v>2250</v>
      </c>
      <c r="K4092" s="2">
        <v>2207</v>
      </c>
      <c r="L4092" s="2">
        <v>3</v>
      </c>
      <c r="M4092" s="7">
        <f t="shared" si="315"/>
        <v>6621</v>
      </c>
      <c r="N4092" s="7">
        <f t="shared" si="316"/>
        <v>6750</v>
      </c>
      <c r="O4092" s="2">
        <v>84</v>
      </c>
      <c r="P4092" s="8">
        <f t="shared" si="317"/>
        <v>6834</v>
      </c>
      <c r="Q4092" s="8">
        <f t="shared" si="318"/>
        <v>4543</v>
      </c>
      <c r="R4092" s="2" t="s">
        <v>28</v>
      </c>
      <c r="S4092" s="9">
        <f t="shared" si="319"/>
        <v>341.70000000000005</v>
      </c>
    </row>
    <row r="4093" spans="1:19" x14ac:dyDescent="0.3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str">
        <f>IFERROR(VLOOKUP('Customer Info'!A4085,'Customer Info'!A4085:C4584,2,FALSE),"Not Found")</f>
        <v>Not Found</v>
      </c>
      <c r="H4093" s="6" t="str">
        <f>IFERROR(VLOOKUP('Customer Info'!A4085,'Customer Info'!A4085:C4584,3,FALSE),"Not Found")</f>
        <v>Not Found</v>
      </c>
      <c r="I4093" s="6" t="str">
        <f>IFERROR(VLOOKUP('Customer Info'!A4085,'Customer Info'!A4085:E4584,5,FALSE),"Not Found")</f>
        <v>Not Found</v>
      </c>
      <c r="J4093" s="2">
        <v>63</v>
      </c>
      <c r="K4093" s="2">
        <v>58</v>
      </c>
      <c r="L4093" s="2">
        <v>9</v>
      </c>
      <c r="M4093" s="7">
        <f t="shared" si="315"/>
        <v>522</v>
      </c>
      <c r="N4093" s="7">
        <f t="shared" si="316"/>
        <v>567</v>
      </c>
      <c r="O4093" s="2">
        <v>10</v>
      </c>
      <c r="P4093" s="8">
        <f t="shared" si="317"/>
        <v>577</v>
      </c>
      <c r="Q4093" s="8">
        <f t="shared" si="318"/>
        <v>509</v>
      </c>
      <c r="R4093" s="2" t="s">
        <v>28</v>
      </c>
      <c r="S4093" s="9">
        <f t="shared" si="319"/>
        <v>11.540000000000001</v>
      </c>
    </row>
    <row r="4094" spans="1:19" x14ac:dyDescent="0.3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str">
        <f>IFERROR(VLOOKUP('Customer Info'!A4086,'Customer Info'!A4086:C4585,2,FALSE),"Not Found")</f>
        <v>Not Found</v>
      </c>
      <c r="H4094" s="6" t="str">
        <f>IFERROR(VLOOKUP('Customer Info'!A4086,'Customer Info'!A4086:C4585,3,FALSE),"Not Found")</f>
        <v>Not Found</v>
      </c>
      <c r="I4094" s="6" t="str">
        <f>IFERROR(VLOOKUP('Customer Info'!A4086,'Customer Info'!A4086:E4585,5,FALSE),"Not Found")</f>
        <v>Not Found</v>
      </c>
      <c r="J4094" s="2">
        <v>6354</v>
      </c>
      <c r="K4094" s="2">
        <v>5769</v>
      </c>
      <c r="L4094" s="2">
        <v>5</v>
      </c>
      <c r="M4094" s="7">
        <f t="shared" si="315"/>
        <v>28845</v>
      </c>
      <c r="N4094" s="7">
        <f t="shared" si="316"/>
        <v>31770</v>
      </c>
      <c r="O4094" s="2">
        <v>94</v>
      </c>
      <c r="P4094" s="8">
        <f t="shared" si="317"/>
        <v>31864</v>
      </c>
      <c r="Q4094" s="8">
        <f t="shared" si="318"/>
        <v>26001</v>
      </c>
      <c r="R4094" s="2" t="s">
        <v>50</v>
      </c>
      <c r="S4094" s="9">
        <f t="shared" si="319"/>
        <v>2230.48</v>
      </c>
    </row>
    <row r="4095" spans="1:19" x14ac:dyDescent="0.3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str">
        <f>IFERROR(VLOOKUP('Customer Info'!A4087,'Customer Info'!A4087:C4586,2,FALSE),"Not Found")</f>
        <v>Not Found</v>
      </c>
      <c r="H4095" s="6" t="str">
        <f>IFERROR(VLOOKUP('Customer Info'!A4087,'Customer Info'!A4087:C4586,3,FALSE),"Not Found")</f>
        <v>Not Found</v>
      </c>
      <c r="I4095" s="6" t="str">
        <f>IFERROR(VLOOKUP('Customer Info'!A4087,'Customer Info'!A4087:E4586,5,FALSE),"Not Found")</f>
        <v>Not Found</v>
      </c>
      <c r="J4095" s="2">
        <v>1770</v>
      </c>
      <c r="K4095" s="2">
        <v>1592</v>
      </c>
      <c r="L4095" s="2">
        <v>2</v>
      </c>
      <c r="M4095" s="7">
        <f t="shared" si="315"/>
        <v>3184</v>
      </c>
      <c r="N4095" s="7">
        <f t="shared" si="316"/>
        <v>3540</v>
      </c>
      <c r="O4095" s="2">
        <v>59</v>
      </c>
      <c r="P4095" s="8">
        <f t="shared" si="317"/>
        <v>3599</v>
      </c>
      <c r="Q4095" s="8">
        <f t="shared" si="318"/>
        <v>1948</v>
      </c>
      <c r="R4095" s="2" t="s">
        <v>50</v>
      </c>
      <c r="S4095" s="9">
        <f t="shared" si="319"/>
        <v>71.98</v>
      </c>
    </row>
    <row r="4096" spans="1:19" x14ac:dyDescent="0.3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str">
        <f>IFERROR(VLOOKUP('Customer Info'!A4088,'Customer Info'!A4088:C4587,2,FALSE),"Not Found")</f>
        <v>Not Found</v>
      </c>
      <c r="H4096" s="6" t="str">
        <f>IFERROR(VLOOKUP('Customer Info'!A4088,'Customer Info'!A4088:C4587,3,FALSE),"Not Found")</f>
        <v>Not Found</v>
      </c>
      <c r="I4096" s="6" t="str">
        <f>IFERROR(VLOOKUP('Customer Info'!A4088,'Customer Info'!A4088:E4587,5,FALSE),"Not Found")</f>
        <v>Not Found</v>
      </c>
      <c r="J4096" s="2">
        <v>179</v>
      </c>
      <c r="K4096" s="2">
        <v>171</v>
      </c>
      <c r="L4096" s="2">
        <v>4</v>
      </c>
      <c r="M4096" s="7">
        <f t="shared" si="315"/>
        <v>684</v>
      </c>
      <c r="N4096" s="7">
        <f t="shared" si="316"/>
        <v>716</v>
      </c>
      <c r="O4096" s="2">
        <v>30</v>
      </c>
      <c r="P4096" s="8">
        <f t="shared" si="317"/>
        <v>746</v>
      </c>
      <c r="Q4096" s="8">
        <f t="shared" si="318"/>
        <v>545</v>
      </c>
      <c r="R4096" s="2" t="s">
        <v>28</v>
      </c>
      <c r="S4096" s="9">
        <f t="shared" si="319"/>
        <v>14.92</v>
      </c>
    </row>
    <row r="4097" spans="1:19" x14ac:dyDescent="0.3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str">
        <f>IFERROR(VLOOKUP('Customer Info'!A4089,'Customer Info'!A4089:C4588,2,FALSE),"Not Found")</f>
        <v>Not Found</v>
      </c>
      <c r="H4097" s="6" t="str">
        <f>IFERROR(VLOOKUP('Customer Info'!A4089,'Customer Info'!A4089:C4588,3,FALSE),"Not Found")</f>
        <v>Not Found</v>
      </c>
      <c r="I4097" s="6" t="str">
        <f>IFERROR(VLOOKUP('Customer Info'!A4089,'Customer Info'!A4089:E4588,5,FALSE),"Not Found")</f>
        <v>Not Found</v>
      </c>
      <c r="J4097" s="2">
        <v>809</v>
      </c>
      <c r="K4097" s="2">
        <v>770</v>
      </c>
      <c r="L4097" s="2">
        <v>3</v>
      </c>
      <c r="M4097" s="7">
        <f t="shared" si="315"/>
        <v>2310</v>
      </c>
      <c r="N4097" s="7">
        <f t="shared" si="316"/>
        <v>2427</v>
      </c>
      <c r="O4097" s="2">
        <v>75</v>
      </c>
      <c r="P4097" s="8">
        <f t="shared" si="317"/>
        <v>2502</v>
      </c>
      <c r="Q4097" s="8">
        <f t="shared" si="318"/>
        <v>1657</v>
      </c>
      <c r="R4097" s="2" t="s">
        <v>50</v>
      </c>
      <c r="S4097" s="9">
        <f t="shared" si="319"/>
        <v>50.04</v>
      </c>
    </row>
    <row r="4098" spans="1:19" x14ac:dyDescent="0.3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str">
        <f>IFERROR(VLOOKUP('Customer Info'!A4090,'Customer Info'!A4090:C4589,2,FALSE),"Not Found")</f>
        <v>Not Found</v>
      </c>
      <c r="H4098" s="6" t="str">
        <f>IFERROR(VLOOKUP('Customer Info'!A4090,'Customer Info'!A4090:C4589,3,FALSE),"Not Found")</f>
        <v>Not Found</v>
      </c>
      <c r="I4098" s="6" t="str">
        <f>IFERROR(VLOOKUP('Customer Info'!A4090,'Customer Info'!A4090:E4589,5,FALSE),"Not Found")</f>
        <v>Not Found</v>
      </c>
      <c r="J4098" s="2">
        <v>6598</v>
      </c>
      <c r="K4098" s="2">
        <v>6346</v>
      </c>
      <c r="L4098" s="2">
        <v>9</v>
      </c>
      <c r="M4098" s="7">
        <f t="shared" si="315"/>
        <v>57114</v>
      </c>
      <c r="N4098" s="7">
        <f t="shared" si="316"/>
        <v>59382</v>
      </c>
      <c r="O4098" s="2">
        <v>63</v>
      </c>
      <c r="P4098" s="8">
        <f t="shared" si="317"/>
        <v>59445</v>
      </c>
      <c r="Q4098" s="8">
        <f t="shared" si="318"/>
        <v>53036</v>
      </c>
      <c r="R4098" s="2" t="s">
        <v>28</v>
      </c>
      <c r="S4098" s="9">
        <f t="shared" si="319"/>
        <v>5350.05</v>
      </c>
    </row>
    <row r="4099" spans="1:19" x14ac:dyDescent="0.3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str">
        <f>IFERROR(VLOOKUP('Customer Info'!A4091,'Customer Info'!A4091:C4590,2,FALSE),"Not Found")</f>
        <v>Not Found</v>
      </c>
      <c r="H4099" s="6" t="str">
        <f>IFERROR(VLOOKUP('Customer Info'!A4091,'Customer Info'!A4091:C4590,3,FALSE),"Not Found")</f>
        <v>Not Found</v>
      </c>
      <c r="I4099" s="6" t="str">
        <f>IFERROR(VLOOKUP('Customer Info'!A4091,'Customer Info'!A4091:E4590,5,FALSE),"Not Found")</f>
        <v>Not Found</v>
      </c>
      <c r="J4099" s="2">
        <v>123</v>
      </c>
      <c r="K4099" s="2">
        <v>115</v>
      </c>
      <c r="L4099" s="2">
        <v>6</v>
      </c>
      <c r="M4099" s="7">
        <f t="shared" si="315"/>
        <v>690</v>
      </c>
      <c r="N4099" s="7">
        <f t="shared" si="316"/>
        <v>738</v>
      </c>
      <c r="O4099" s="2">
        <v>30</v>
      </c>
      <c r="P4099" s="8">
        <f t="shared" si="317"/>
        <v>768</v>
      </c>
      <c r="Q4099" s="8">
        <f t="shared" si="318"/>
        <v>623</v>
      </c>
      <c r="R4099" s="2" t="s">
        <v>50</v>
      </c>
      <c r="S4099" s="9">
        <f t="shared" si="319"/>
        <v>15.36</v>
      </c>
    </row>
    <row r="4100" spans="1:19" x14ac:dyDescent="0.3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str">
        <f>IFERROR(VLOOKUP('Customer Info'!A4092,'Customer Info'!A4092:C4591,2,FALSE),"Not Found")</f>
        <v>Not Found</v>
      </c>
      <c r="H4100" s="6" t="str">
        <f>IFERROR(VLOOKUP('Customer Info'!A4092,'Customer Info'!A4092:C4591,3,FALSE),"Not Found")</f>
        <v>Not Found</v>
      </c>
      <c r="I4100" s="6" t="str">
        <f>IFERROR(VLOOKUP('Customer Info'!A4092,'Customer Info'!A4092:E4591,5,FALSE),"Not Found")</f>
        <v>Not Found</v>
      </c>
      <c r="J4100" s="2">
        <v>6024</v>
      </c>
      <c r="K4100" s="2">
        <v>5424</v>
      </c>
      <c r="L4100" s="2">
        <v>1</v>
      </c>
      <c r="M4100" s="7">
        <f t="shared" si="315"/>
        <v>5424</v>
      </c>
      <c r="N4100" s="7">
        <f t="shared" si="316"/>
        <v>6024</v>
      </c>
      <c r="O4100" s="2">
        <v>23</v>
      </c>
      <c r="P4100" s="8">
        <f t="shared" si="317"/>
        <v>6047</v>
      </c>
      <c r="Q4100" s="8">
        <f t="shared" si="318"/>
        <v>600</v>
      </c>
      <c r="R4100" s="2" t="s">
        <v>28</v>
      </c>
      <c r="S4100" s="9">
        <f t="shared" si="319"/>
        <v>302.35000000000002</v>
      </c>
    </row>
    <row r="4101" spans="1:19" x14ac:dyDescent="0.3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str">
        <f>IFERROR(VLOOKUP('Customer Info'!A4093,'Customer Info'!A4093:C4592,2,FALSE),"Not Found")</f>
        <v>Not Found</v>
      </c>
      <c r="H4101" s="6" t="str">
        <f>IFERROR(VLOOKUP('Customer Info'!A4093,'Customer Info'!A4093:C4592,3,FALSE),"Not Found")</f>
        <v>Not Found</v>
      </c>
      <c r="I4101" s="6" t="str">
        <f>IFERROR(VLOOKUP('Customer Info'!A4093,'Customer Info'!A4093:E4592,5,FALSE),"Not Found")</f>
        <v>Not Found</v>
      </c>
      <c r="J4101" s="2">
        <v>1619</v>
      </c>
      <c r="K4101" s="2">
        <v>1442</v>
      </c>
      <c r="L4101" s="2">
        <v>2</v>
      </c>
      <c r="M4101" s="7">
        <f t="shared" si="315"/>
        <v>2884</v>
      </c>
      <c r="N4101" s="7">
        <f t="shared" si="316"/>
        <v>3238</v>
      </c>
      <c r="O4101" s="2">
        <v>100</v>
      </c>
      <c r="P4101" s="8">
        <f t="shared" si="317"/>
        <v>3338</v>
      </c>
      <c r="Q4101" s="8">
        <f t="shared" si="318"/>
        <v>1796</v>
      </c>
      <c r="R4101" s="2" t="s">
        <v>56</v>
      </c>
      <c r="S4101" s="9">
        <f t="shared" si="319"/>
        <v>66.760000000000005</v>
      </c>
    </row>
    <row r="4102" spans="1:19" x14ac:dyDescent="0.3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str">
        <f>IFERROR(VLOOKUP('Customer Info'!A4094,'Customer Info'!A4094:C4593,2,FALSE),"Not Found")</f>
        <v>Not Found</v>
      </c>
      <c r="H4102" s="6" t="str">
        <f>IFERROR(VLOOKUP('Customer Info'!A4094,'Customer Info'!A4094:C4593,3,FALSE),"Not Found")</f>
        <v>Not Found</v>
      </c>
      <c r="I4102" s="6" t="str">
        <f>IFERROR(VLOOKUP('Customer Info'!A4094,'Customer Info'!A4094:E4593,5,FALSE),"Not Found")</f>
        <v>Not Found</v>
      </c>
      <c r="J4102" s="2">
        <v>679</v>
      </c>
      <c r="K4102" s="2">
        <v>654</v>
      </c>
      <c r="L4102" s="2">
        <v>4</v>
      </c>
      <c r="M4102" s="7">
        <f t="shared" si="315"/>
        <v>2616</v>
      </c>
      <c r="N4102" s="7">
        <f t="shared" si="316"/>
        <v>2716</v>
      </c>
      <c r="O4102" s="2">
        <v>29</v>
      </c>
      <c r="P4102" s="8">
        <f t="shared" si="317"/>
        <v>2745</v>
      </c>
      <c r="Q4102" s="8">
        <f t="shared" si="318"/>
        <v>2062</v>
      </c>
      <c r="R4102" s="2" t="s">
        <v>26</v>
      </c>
      <c r="S4102" s="9">
        <f t="shared" si="319"/>
        <v>54.9</v>
      </c>
    </row>
    <row r="4103" spans="1:19" x14ac:dyDescent="0.3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str">
        <f>IFERROR(VLOOKUP('Customer Info'!A4095,'Customer Info'!A4095:C4594,2,FALSE),"Not Found")</f>
        <v>Not Found</v>
      </c>
      <c r="H4103" s="6" t="str">
        <f>IFERROR(VLOOKUP('Customer Info'!A4095,'Customer Info'!A4095:C4594,3,FALSE),"Not Found")</f>
        <v>Not Found</v>
      </c>
      <c r="I4103" s="6" t="str">
        <f>IFERROR(VLOOKUP('Customer Info'!A4095,'Customer Info'!A4095:E4594,5,FALSE),"Not Found")</f>
        <v>Not Found</v>
      </c>
      <c r="J4103" s="2">
        <v>25658</v>
      </c>
      <c r="K4103" s="2">
        <v>24466</v>
      </c>
      <c r="L4103" s="2">
        <v>1</v>
      </c>
      <c r="M4103" s="7">
        <f t="shared" si="315"/>
        <v>24466</v>
      </c>
      <c r="N4103" s="7">
        <f t="shared" si="316"/>
        <v>25658</v>
      </c>
      <c r="O4103" s="2">
        <v>86</v>
      </c>
      <c r="P4103" s="8">
        <f t="shared" si="317"/>
        <v>25744</v>
      </c>
      <c r="Q4103" s="8">
        <f t="shared" si="318"/>
        <v>1192</v>
      </c>
      <c r="R4103" s="2" t="s">
        <v>50</v>
      </c>
      <c r="S4103" s="9">
        <f t="shared" si="319"/>
        <v>1802.0800000000002</v>
      </c>
    </row>
    <row r="4104" spans="1:19" x14ac:dyDescent="0.3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str">
        <f>IFERROR(VLOOKUP('Customer Info'!A4096,'Customer Info'!A4096:C4595,2,FALSE),"Not Found")</f>
        <v>Not Found</v>
      </c>
      <c r="H4104" s="6" t="str">
        <f>IFERROR(VLOOKUP('Customer Info'!A4096,'Customer Info'!A4096:C4595,3,FALSE),"Not Found")</f>
        <v>Not Found</v>
      </c>
      <c r="I4104" s="6" t="str">
        <f>IFERROR(VLOOKUP('Customer Info'!A4096,'Customer Info'!A4096:E4595,5,FALSE),"Not Found")</f>
        <v>Not Found</v>
      </c>
      <c r="J4104" s="2">
        <v>7327</v>
      </c>
      <c r="K4104" s="2">
        <v>6658</v>
      </c>
      <c r="L4104" s="2">
        <v>4</v>
      </c>
      <c r="M4104" s="7">
        <f t="shared" si="315"/>
        <v>26632</v>
      </c>
      <c r="N4104" s="7">
        <f t="shared" si="316"/>
        <v>29308</v>
      </c>
      <c r="O4104" s="2">
        <v>45</v>
      </c>
      <c r="P4104" s="8">
        <f t="shared" si="317"/>
        <v>29353</v>
      </c>
      <c r="Q4104" s="8">
        <f t="shared" si="318"/>
        <v>22650</v>
      </c>
      <c r="R4104" s="2" t="s">
        <v>28</v>
      </c>
      <c r="S4104" s="9">
        <f t="shared" si="319"/>
        <v>2054.71</v>
      </c>
    </row>
    <row r="4105" spans="1:19" x14ac:dyDescent="0.3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str">
        <f>IFERROR(VLOOKUP('Customer Info'!A4097,'Customer Info'!A4097:C4596,2,FALSE),"Not Found")</f>
        <v>Not Found</v>
      </c>
      <c r="H4105" s="6" t="str">
        <f>IFERROR(VLOOKUP('Customer Info'!A4097,'Customer Info'!A4097:C4596,3,FALSE),"Not Found")</f>
        <v>Not Found</v>
      </c>
      <c r="I4105" s="6" t="str">
        <f>IFERROR(VLOOKUP('Customer Info'!A4097,'Customer Info'!A4097:E4596,5,FALSE),"Not Found")</f>
        <v>Not Found</v>
      </c>
      <c r="J4105" s="2">
        <v>1808</v>
      </c>
      <c r="K4105" s="2">
        <v>1740</v>
      </c>
      <c r="L4105" s="2">
        <v>10</v>
      </c>
      <c r="M4105" s="7">
        <f t="shared" si="315"/>
        <v>17400</v>
      </c>
      <c r="N4105" s="7">
        <f t="shared" si="316"/>
        <v>18080</v>
      </c>
      <c r="O4105" s="2">
        <v>89</v>
      </c>
      <c r="P4105" s="8">
        <f t="shared" si="317"/>
        <v>18169</v>
      </c>
      <c r="Q4105" s="8">
        <f t="shared" si="318"/>
        <v>16340</v>
      </c>
      <c r="R4105" s="2" t="s">
        <v>28</v>
      </c>
      <c r="S4105" s="9">
        <f t="shared" si="319"/>
        <v>908.45</v>
      </c>
    </row>
    <row r="4106" spans="1:19" x14ac:dyDescent="0.3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str">
        <f>IFERROR(VLOOKUP('Customer Info'!A4098,'Customer Info'!A4098:C4597,2,FALSE),"Not Found")</f>
        <v>Not Found</v>
      </c>
      <c r="H4106" s="6" t="str">
        <f>IFERROR(VLOOKUP('Customer Info'!A4098,'Customer Info'!A4098:C4597,3,FALSE),"Not Found")</f>
        <v>Not Found</v>
      </c>
      <c r="I4106" s="6" t="str">
        <f>IFERROR(VLOOKUP('Customer Info'!A4098,'Customer Info'!A4098:E4597,5,FALSE),"Not Found")</f>
        <v>Not Found</v>
      </c>
      <c r="J4106" s="2">
        <v>3289</v>
      </c>
      <c r="K4106" s="2">
        <v>3105</v>
      </c>
      <c r="L4106" s="2">
        <v>2</v>
      </c>
      <c r="M4106" s="7">
        <f t="shared" si="315"/>
        <v>6210</v>
      </c>
      <c r="N4106" s="7">
        <f t="shared" si="316"/>
        <v>6578</v>
      </c>
      <c r="O4106" s="2">
        <v>86</v>
      </c>
      <c r="P4106" s="8">
        <f t="shared" si="317"/>
        <v>6664</v>
      </c>
      <c r="Q4106" s="8">
        <f t="shared" si="318"/>
        <v>3473</v>
      </c>
      <c r="R4106" s="2" t="s">
        <v>50</v>
      </c>
      <c r="S4106" s="9">
        <f t="shared" si="319"/>
        <v>333.20000000000005</v>
      </c>
    </row>
    <row r="4107" spans="1:19" x14ac:dyDescent="0.3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str">
        <f>IFERROR(VLOOKUP('Customer Info'!A4099,'Customer Info'!A4099:C4598,2,FALSE),"Not Found")</f>
        <v>Not Found</v>
      </c>
      <c r="H4107" s="6" t="str">
        <f>IFERROR(VLOOKUP('Customer Info'!A4099,'Customer Info'!A4099:C4598,3,FALSE),"Not Found")</f>
        <v>Not Found</v>
      </c>
      <c r="I4107" s="6" t="str">
        <f>IFERROR(VLOOKUP('Customer Info'!A4099,'Customer Info'!A4099:E4598,5,FALSE),"Not Found")</f>
        <v>Not Found</v>
      </c>
      <c r="J4107" s="2">
        <v>1585</v>
      </c>
      <c r="K4107" s="2">
        <v>1495</v>
      </c>
      <c r="L4107" s="2">
        <v>5</v>
      </c>
      <c r="M4107" s="7">
        <f t="shared" ref="M4107:M4170" si="320">$K4107*$L4107</f>
        <v>7475</v>
      </c>
      <c r="N4107" s="7">
        <f t="shared" ref="N4107:N4170" si="321">$J4107*$L4107</f>
        <v>7925</v>
      </c>
      <c r="O4107" s="2">
        <v>73</v>
      </c>
      <c r="P4107" s="8">
        <f t="shared" ref="P4107:P4170" si="322">$N4107+$O4107</f>
        <v>7998</v>
      </c>
      <c r="Q4107" s="8">
        <f t="shared" ref="Q4107:Q4170" si="323">$N4107-$K4107</f>
        <v>6430</v>
      </c>
      <c r="R4107" s="2" t="s">
        <v>28</v>
      </c>
      <c r="S4107" s="9">
        <f t="shared" ref="S4107:S4170" si="324" xml:space="preserve"> P4107 * VLOOKUP(P4107, $T$2:$U$6, 2, TRUE)</f>
        <v>399.90000000000003</v>
      </c>
    </row>
    <row r="4108" spans="1:19" x14ac:dyDescent="0.3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str">
        <f>IFERROR(VLOOKUP('Customer Info'!A4100,'Customer Info'!A4100:C4599,2,FALSE),"Not Found")</f>
        <v>Not Found</v>
      </c>
      <c r="H4108" s="6" t="str">
        <f>IFERROR(VLOOKUP('Customer Info'!A4100,'Customer Info'!A4100:C4599,3,FALSE),"Not Found")</f>
        <v>Not Found</v>
      </c>
      <c r="I4108" s="6" t="str">
        <f>IFERROR(VLOOKUP('Customer Info'!A4100,'Customer Info'!A4100:E4599,5,FALSE),"Not Found")</f>
        <v>Not Found</v>
      </c>
      <c r="J4108" s="2">
        <v>61</v>
      </c>
      <c r="K4108" s="2">
        <v>57</v>
      </c>
      <c r="L4108" s="2">
        <v>3</v>
      </c>
      <c r="M4108" s="7">
        <f t="shared" si="320"/>
        <v>171</v>
      </c>
      <c r="N4108" s="7">
        <f t="shared" si="321"/>
        <v>183</v>
      </c>
      <c r="O4108" s="2">
        <v>10</v>
      </c>
      <c r="P4108" s="8">
        <f t="shared" si="322"/>
        <v>193</v>
      </c>
      <c r="Q4108" s="8">
        <f t="shared" si="323"/>
        <v>126</v>
      </c>
      <c r="R4108" s="2" t="s">
        <v>28</v>
      </c>
      <c r="S4108" s="9">
        <f t="shared" si="324"/>
        <v>3.86</v>
      </c>
    </row>
    <row r="4109" spans="1:19" x14ac:dyDescent="0.3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str">
        <f>IFERROR(VLOOKUP('Customer Info'!A4101,'Customer Info'!A4101:C4600,2,FALSE),"Not Found")</f>
        <v>Not Found</v>
      </c>
      <c r="H4109" s="6" t="str">
        <f>IFERROR(VLOOKUP('Customer Info'!A4101,'Customer Info'!A4101:C4600,3,FALSE),"Not Found")</f>
        <v>Not Found</v>
      </c>
      <c r="I4109" s="6" t="str">
        <f>IFERROR(VLOOKUP('Customer Info'!A4101,'Customer Info'!A4101:E4600,5,FALSE),"Not Found")</f>
        <v>Not Found</v>
      </c>
      <c r="J4109" s="2">
        <v>1619</v>
      </c>
      <c r="K4109" s="2">
        <v>1442</v>
      </c>
      <c r="L4109" s="2">
        <v>4</v>
      </c>
      <c r="M4109" s="7">
        <f t="shared" si="320"/>
        <v>5768</v>
      </c>
      <c r="N4109" s="7">
        <f t="shared" si="321"/>
        <v>6476</v>
      </c>
      <c r="O4109" s="2">
        <v>60</v>
      </c>
      <c r="P4109" s="8">
        <f t="shared" si="322"/>
        <v>6536</v>
      </c>
      <c r="Q4109" s="8">
        <f t="shared" si="323"/>
        <v>5034</v>
      </c>
      <c r="R4109" s="2" t="s">
        <v>26</v>
      </c>
      <c r="S4109" s="9">
        <f t="shared" si="324"/>
        <v>326.8</v>
      </c>
    </row>
    <row r="4110" spans="1:19" x14ac:dyDescent="0.3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str">
        <f>IFERROR(VLOOKUP('Customer Info'!A4102,'Customer Info'!A4102:C4601,2,FALSE),"Not Found")</f>
        <v>Not Found</v>
      </c>
      <c r="H4110" s="6" t="str">
        <f>IFERROR(VLOOKUP('Customer Info'!A4102,'Customer Info'!A4102:C4601,3,FALSE),"Not Found")</f>
        <v>Not Found</v>
      </c>
      <c r="I4110" s="6" t="str">
        <f>IFERROR(VLOOKUP('Customer Info'!A4102,'Customer Info'!A4102:E4601,5,FALSE),"Not Found")</f>
        <v>Not Found</v>
      </c>
      <c r="J4110" s="2">
        <v>1585</v>
      </c>
      <c r="K4110" s="2">
        <v>1495</v>
      </c>
      <c r="L4110" s="2">
        <v>3</v>
      </c>
      <c r="M4110" s="7">
        <f t="shared" si="320"/>
        <v>4485</v>
      </c>
      <c r="N4110" s="7">
        <f t="shared" si="321"/>
        <v>4755</v>
      </c>
      <c r="O4110" s="2">
        <v>53</v>
      </c>
      <c r="P4110" s="8">
        <f t="shared" si="322"/>
        <v>4808</v>
      </c>
      <c r="Q4110" s="8">
        <f t="shared" si="323"/>
        <v>3260</v>
      </c>
      <c r="R4110" s="2" t="s">
        <v>28</v>
      </c>
      <c r="S4110" s="9">
        <f t="shared" si="324"/>
        <v>96.16</v>
      </c>
    </row>
    <row r="4111" spans="1:19" x14ac:dyDescent="0.3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str">
        <f>IFERROR(VLOOKUP('Customer Info'!A4103,'Customer Info'!A4103:C4602,2,FALSE),"Not Found")</f>
        <v>Not Found</v>
      </c>
      <c r="H4111" s="6" t="str">
        <f>IFERROR(VLOOKUP('Customer Info'!A4103,'Customer Info'!A4103:C4602,3,FALSE),"Not Found")</f>
        <v>Not Found</v>
      </c>
      <c r="I4111" s="6" t="str">
        <f>IFERROR(VLOOKUP('Customer Info'!A4103,'Customer Info'!A4103:E4602,5,FALSE),"Not Found")</f>
        <v>Not Found</v>
      </c>
      <c r="J4111" s="2">
        <v>151</v>
      </c>
      <c r="K4111" s="2">
        <v>139</v>
      </c>
      <c r="L4111" s="2">
        <v>1</v>
      </c>
      <c r="M4111" s="7">
        <f t="shared" si="320"/>
        <v>139</v>
      </c>
      <c r="N4111" s="7">
        <f t="shared" si="321"/>
        <v>151</v>
      </c>
      <c r="O4111" s="2">
        <v>30</v>
      </c>
      <c r="P4111" s="8">
        <f t="shared" si="322"/>
        <v>181</v>
      </c>
      <c r="Q4111" s="8">
        <f t="shared" si="323"/>
        <v>12</v>
      </c>
      <c r="R4111" s="2" t="s">
        <v>28</v>
      </c>
      <c r="S4111" s="9">
        <f t="shared" si="324"/>
        <v>3.62</v>
      </c>
    </row>
    <row r="4112" spans="1:19" x14ac:dyDescent="0.3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str">
        <f>IFERROR(VLOOKUP('Customer Info'!A4104,'Customer Info'!A4104:C4603,2,FALSE),"Not Found")</f>
        <v>Not Found</v>
      </c>
      <c r="H4112" s="6" t="str">
        <f>IFERROR(VLOOKUP('Customer Info'!A4104,'Customer Info'!A4104:C4603,3,FALSE),"Not Found")</f>
        <v>Not Found</v>
      </c>
      <c r="I4112" s="6" t="str">
        <f>IFERROR(VLOOKUP('Customer Info'!A4104,'Customer Info'!A4104:E4603,5,FALSE),"Not Found")</f>
        <v>Not Found</v>
      </c>
      <c r="J4112" s="2">
        <v>1405</v>
      </c>
      <c r="K4112" s="2">
        <v>1287</v>
      </c>
      <c r="L4112" s="2">
        <v>1</v>
      </c>
      <c r="M4112" s="7">
        <f t="shared" si="320"/>
        <v>1287</v>
      </c>
      <c r="N4112" s="7">
        <f t="shared" si="321"/>
        <v>1405</v>
      </c>
      <c r="O4112" s="2">
        <v>45</v>
      </c>
      <c r="P4112" s="8">
        <f t="shared" si="322"/>
        <v>1450</v>
      </c>
      <c r="Q4112" s="8">
        <f t="shared" si="323"/>
        <v>118</v>
      </c>
      <c r="R4112" s="2" t="s">
        <v>28</v>
      </c>
      <c r="S4112" s="9">
        <f t="shared" si="324"/>
        <v>29</v>
      </c>
    </row>
    <row r="4113" spans="1:19" x14ac:dyDescent="0.3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str">
        <f>IFERROR(VLOOKUP('Customer Info'!A4105,'Customer Info'!A4105:C4604,2,FALSE),"Not Found")</f>
        <v>Not Found</v>
      </c>
      <c r="H4113" s="6" t="str">
        <f>IFERROR(VLOOKUP('Customer Info'!A4105,'Customer Info'!A4105:C4604,3,FALSE),"Not Found")</f>
        <v>Not Found</v>
      </c>
      <c r="I4113" s="6" t="str">
        <f>IFERROR(VLOOKUP('Customer Info'!A4105,'Customer Info'!A4105:E4604,5,FALSE),"Not Found")</f>
        <v>Not Found</v>
      </c>
      <c r="J4113" s="2">
        <v>90</v>
      </c>
      <c r="K4113" s="2">
        <v>81</v>
      </c>
      <c r="L4113" s="2">
        <v>3</v>
      </c>
      <c r="M4113" s="7">
        <f t="shared" si="320"/>
        <v>243</v>
      </c>
      <c r="N4113" s="7">
        <f t="shared" si="321"/>
        <v>270</v>
      </c>
      <c r="O4113" s="2">
        <v>10</v>
      </c>
      <c r="P4113" s="8">
        <f t="shared" si="322"/>
        <v>280</v>
      </c>
      <c r="Q4113" s="8">
        <f t="shared" si="323"/>
        <v>189</v>
      </c>
      <c r="R4113" s="2" t="s">
        <v>26</v>
      </c>
      <c r="S4113" s="9">
        <f t="shared" si="324"/>
        <v>5.6000000000000005</v>
      </c>
    </row>
    <row r="4114" spans="1:19" x14ac:dyDescent="0.3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str">
        <f>IFERROR(VLOOKUP('Customer Info'!A4106,'Customer Info'!A4106:C4605,2,FALSE),"Not Found")</f>
        <v>Not Found</v>
      </c>
      <c r="H4114" s="6" t="str">
        <f>IFERROR(VLOOKUP('Customer Info'!A4106,'Customer Info'!A4106:C4605,3,FALSE),"Not Found")</f>
        <v>Not Found</v>
      </c>
      <c r="I4114" s="6" t="str">
        <f>IFERROR(VLOOKUP('Customer Info'!A4106,'Customer Info'!A4106:E4605,5,FALSE),"Not Found")</f>
        <v>Not Found</v>
      </c>
      <c r="J4114" s="2">
        <v>2790</v>
      </c>
      <c r="K4114" s="2">
        <v>2557</v>
      </c>
      <c r="L4114" s="2">
        <v>2</v>
      </c>
      <c r="M4114" s="7">
        <f t="shared" si="320"/>
        <v>5114</v>
      </c>
      <c r="N4114" s="7">
        <f t="shared" si="321"/>
        <v>5580</v>
      </c>
      <c r="O4114" s="2">
        <v>22</v>
      </c>
      <c r="P4114" s="8">
        <f t="shared" si="322"/>
        <v>5602</v>
      </c>
      <c r="Q4114" s="8">
        <f t="shared" si="323"/>
        <v>3023</v>
      </c>
      <c r="R4114" s="2" t="s">
        <v>28</v>
      </c>
      <c r="S4114" s="9">
        <f t="shared" si="324"/>
        <v>280.10000000000002</v>
      </c>
    </row>
    <row r="4115" spans="1:19" x14ac:dyDescent="0.3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str">
        <f>IFERROR(VLOOKUP('Customer Info'!A4107,'Customer Info'!A4107:C4606,2,FALSE),"Not Found")</f>
        <v>Not Found</v>
      </c>
      <c r="H4115" s="6" t="str">
        <f>IFERROR(VLOOKUP('Customer Info'!A4107,'Customer Info'!A4107:C4606,3,FALSE),"Not Found")</f>
        <v>Not Found</v>
      </c>
      <c r="I4115" s="6" t="str">
        <f>IFERROR(VLOOKUP('Customer Info'!A4107,'Customer Info'!A4107:E4606,5,FALSE),"Not Found")</f>
        <v>Not Found</v>
      </c>
      <c r="J4115" s="2">
        <v>4487</v>
      </c>
      <c r="K4115" s="2">
        <v>4201</v>
      </c>
      <c r="L4115" s="2">
        <v>5</v>
      </c>
      <c r="M4115" s="7">
        <f t="shared" si="320"/>
        <v>21005</v>
      </c>
      <c r="N4115" s="7">
        <f t="shared" si="321"/>
        <v>22435</v>
      </c>
      <c r="O4115" s="2">
        <v>60</v>
      </c>
      <c r="P4115" s="8">
        <f t="shared" si="322"/>
        <v>22495</v>
      </c>
      <c r="Q4115" s="8">
        <f t="shared" si="323"/>
        <v>18234</v>
      </c>
      <c r="R4115" s="2" t="s">
        <v>28</v>
      </c>
      <c r="S4115" s="9">
        <f t="shared" si="324"/>
        <v>1124.75</v>
      </c>
    </row>
    <row r="4116" spans="1:19" x14ac:dyDescent="0.3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str">
        <f>IFERROR(VLOOKUP('Customer Info'!A4108,'Customer Info'!A4108:C4607,2,FALSE),"Not Found")</f>
        <v>Not Found</v>
      </c>
      <c r="H4116" s="6" t="str">
        <f>IFERROR(VLOOKUP('Customer Info'!A4108,'Customer Info'!A4108:C4607,3,FALSE),"Not Found")</f>
        <v>Not Found</v>
      </c>
      <c r="I4116" s="6" t="str">
        <f>IFERROR(VLOOKUP('Customer Info'!A4108,'Customer Info'!A4108:E4607,5,FALSE),"Not Found")</f>
        <v>Not Found</v>
      </c>
      <c r="J4116" s="2">
        <v>222</v>
      </c>
      <c r="K4116" s="2">
        <v>204</v>
      </c>
      <c r="L4116" s="2">
        <v>2</v>
      </c>
      <c r="M4116" s="7">
        <f t="shared" si="320"/>
        <v>408</v>
      </c>
      <c r="N4116" s="7">
        <f t="shared" si="321"/>
        <v>444</v>
      </c>
      <c r="O4116" s="2">
        <v>39</v>
      </c>
      <c r="P4116" s="8">
        <f t="shared" si="322"/>
        <v>483</v>
      </c>
      <c r="Q4116" s="8">
        <f t="shared" si="323"/>
        <v>240</v>
      </c>
      <c r="R4116" s="2" t="s">
        <v>50</v>
      </c>
      <c r="S4116" s="9">
        <f t="shared" si="324"/>
        <v>9.66</v>
      </c>
    </row>
    <row r="4117" spans="1:19" x14ac:dyDescent="0.3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str">
        <f>IFERROR(VLOOKUP('Customer Info'!A4109,'Customer Info'!A4109:C4608,2,FALSE),"Not Found")</f>
        <v>Not Found</v>
      </c>
      <c r="H4117" s="6" t="str">
        <f>IFERROR(VLOOKUP('Customer Info'!A4109,'Customer Info'!A4109:C4608,3,FALSE),"Not Found")</f>
        <v>Not Found</v>
      </c>
      <c r="I4117" s="6" t="str">
        <f>IFERROR(VLOOKUP('Customer Info'!A4109,'Customer Info'!A4109:E4608,5,FALSE),"Not Found")</f>
        <v>Not Found</v>
      </c>
      <c r="J4117" s="2">
        <v>2706</v>
      </c>
      <c r="K4117" s="2">
        <v>2553</v>
      </c>
      <c r="L4117" s="2">
        <v>5</v>
      </c>
      <c r="M4117" s="7">
        <f t="shared" si="320"/>
        <v>12765</v>
      </c>
      <c r="N4117" s="7">
        <f t="shared" si="321"/>
        <v>13530</v>
      </c>
      <c r="O4117" s="2">
        <v>86</v>
      </c>
      <c r="P4117" s="8">
        <f t="shared" si="322"/>
        <v>13616</v>
      </c>
      <c r="Q4117" s="8">
        <f t="shared" si="323"/>
        <v>10977</v>
      </c>
      <c r="R4117" s="2" t="s">
        <v>50</v>
      </c>
      <c r="S4117" s="9">
        <f t="shared" si="324"/>
        <v>680.80000000000007</v>
      </c>
    </row>
    <row r="4118" spans="1:19" x14ac:dyDescent="0.3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str">
        <f>IFERROR(VLOOKUP('Customer Info'!A4110,'Customer Info'!A4110:C4609,2,FALSE),"Not Found")</f>
        <v>Not Found</v>
      </c>
      <c r="H4118" s="6" t="str">
        <f>IFERROR(VLOOKUP('Customer Info'!A4110,'Customer Info'!A4110:C4609,3,FALSE),"Not Found")</f>
        <v>Not Found</v>
      </c>
      <c r="I4118" s="6" t="str">
        <f>IFERROR(VLOOKUP('Customer Info'!A4110,'Customer Info'!A4110:E4609,5,FALSE),"Not Found")</f>
        <v>Not Found</v>
      </c>
      <c r="J4118" s="2">
        <v>2958</v>
      </c>
      <c r="K4118" s="2">
        <v>2743</v>
      </c>
      <c r="L4118" s="2">
        <v>2</v>
      </c>
      <c r="M4118" s="7">
        <f t="shared" si="320"/>
        <v>5486</v>
      </c>
      <c r="N4118" s="7">
        <f t="shared" si="321"/>
        <v>5916</v>
      </c>
      <c r="O4118" s="2">
        <v>63</v>
      </c>
      <c r="P4118" s="8">
        <f t="shared" si="322"/>
        <v>5979</v>
      </c>
      <c r="Q4118" s="8">
        <f t="shared" si="323"/>
        <v>3173</v>
      </c>
      <c r="R4118" s="2" t="s">
        <v>28</v>
      </c>
      <c r="S4118" s="9">
        <f t="shared" si="324"/>
        <v>298.95</v>
      </c>
    </row>
    <row r="4119" spans="1:19" x14ac:dyDescent="0.3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str">
        <f>IFERROR(VLOOKUP('Customer Info'!A4111,'Customer Info'!A4111:C4610,2,FALSE),"Not Found")</f>
        <v>Not Found</v>
      </c>
      <c r="H4119" s="6" t="str">
        <f>IFERROR(VLOOKUP('Customer Info'!A4111,'Customer Info'!A4111:C4610,3,FALSE),"Not Found")</f>
        <v>Not Found</v>
      </c>
      <c r="I4119" s="6" t="str">
        <f>IFERROR(VLOOKUP('Customer Info'!A4111,'Customer Info'!A4111:E4610,5,FALSE),"Not Found")</f>
        <v>Not Found</v>
      </c>
      <c r="J4119" s="2">
        <v>4904</v>
      </c>
      <c r="K4119" s="2">
        <v>4499</v>
      </c>
      <c r="L4119" s="2">
        <v>5</v>
      </c>
      <c r="M4119" s="7">
        <f t="shared" si="320"/>
        <v>22495</v>
      </c>
      <c r="N4119" s="7">
        <f t="shared" si="321"/>
        <v>24520</v>
      </c>
      <c r="O4119" s="2">
        <v>45</v>
      </c>
      <c r="P4119" s="8">
        <f t="shared" si="322"/>
        <v>24565</v>
      </c>
      <c r="Q4119" s="8">
        <f t="shared" si="323"/>
        <v>20021</v>
      </c>
      <c r="R4119" s="2" t="s">
        <v>28</v>
      </c>
      <c r="S4119" s="9">
        <f t="shared" si="324"/>
        <v>1228.25</v>
      </c>
    </row>
    <row r="4120" spans="1:19" x14ac:dyDescent="0.3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str">
        <f>IFERROR(VLOOKUP('Customer Info'!A4112,'Customer Info'!A4112:C4611,2,FALSE),"Not Found")</f>
        <v>Not Found</v>
      </c>
      <c r="H4120" s="6" t="str">
        <f>IFERROR(VLOOKUP('Customer Info'!A4112,'Customer Info'!A4112:C4611,3,FALSE),"Not Found")</f>
        <v>Not Found</v>
      </c>
      <c r="I4120" s="6" t="str">
        <f>IFERROR(VLOOKUP('Customer Info'!A4112,'Customer Info'!A4112:E4611,5,FALSE),"Not Found")</f>
        <v>Not Found</v>
      </c>
      <c r="J4120" s="2">
        <v>914</v>
      </c>
      <c r="K4120" s="2">
        <v>830</v>
      </c>
      <c r="L4120" s="2">
        <v>1</v>
      </c>
      <c r="M4120" s="7">
        <f t="shared" si="320"/>
        <v>830</v>
      </c>
      <c r="N4120" s="7">
        <f t="shared" si="321"/>
        <v>914</v>
      </c>
      <c r="O4120" s="2">
        <v>98</v>
      </c>
      <c r="P4120" s="8">
        <f t="shared" si="322"/>
        <v>1012</v>
      </c>
      <c r="Q4120" s="8">
        <f t="shared" si="323"/>
        <v>84</v>
      </c>
      <c r="R4120" s="2" t="s">
        <v>50</v>
      </c>
      <c r="S4120" s="9">
        <f t="shared" si="324"/>
        <v>20.240000000000002</v>
      </c>
    </row>
    <row r="4121" spans="1:19" x14ac:dyDescent="0.3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str">
        <f>IFERROR(VLOOKUP('Customer Info'!A4113,'Customer Info'!A4113:C4612,2,FALSE),"Not Found")</f>
        <v>Not Found</v>
      </c>
      <c r="H4121" s="6" t="str">
        <f>IFERROR(VLOOKUP('Customer Info'!A4113,'Customer Info'!A4113:C4612,3,FALSE),"Not Found")</f>
        <v>Not Found</v>
      </c>
      <c r="I4121" s="6" t="str">
        <f>IFERROR(VLOOKUP('Customer Info'!A4113,'Customer Info'!A4113:E4612,5,FALSE),"Not Found")</f>
        <v>Not Found</v>
      </c>
      <c r="J4121" s="2">
        <v>2243</v>
      </c>
      <c r="K4121" s="2">
        <v>2000</v>
      </c>
      <c r="L4121" s="2">
        <v>3</v>
      </c>
      <c r="M4121" s="7">
        <f t="shared" si="320"/>
        <v>6000</v>
      </c>
      <c r="N4121" s="7">
        <f t="shared" si="321"/>
        <v>6729</v>
      </c>
      <c r="O4121" s="2">
        <v>42</v>
      </c>
      <c r="P4121" s="8">
        <f t="shared" si="322"/>
        <v>6771</v>
      </c>
      <c r="Q4121" s="8">
        <f t="shared" si="323"/>
        <v>4729</v>
      </c>
      <c r="R4121" s="2" t="s">
        <v>50</v>
      </c>
      <c r="S4121" s="9">
        <f t="shared" si="324"/>
        <v>338.55</v>
      </c>
    </row>
    <row r="4122" spans="1:19" x14ac:dyDescent="0.3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str">
        <f>IFERROR(VLOOKUP('Customer Info'!A4114,'Customer Info'!A4114:C4613,2,FALSE),"Not Found")</f>
        <v>Not Found</v>
      </c>
      <c r="H4122" s="6" t="str">
        <f>IFERROR(VLOOKUP('Customer Info'!A4114,'Customer Info'!A4114:C4613,3,FALSE),"Not Found")</f>
        <v>Not Found</v>
      </c>
      <c r="I4122" s="6" t="str">
        <f>IFERROR(VLOOKUP('Customer Info'!A4114,'Customer Info'!A4114:E4613,5,FALSE),"Not Found")</f>
        <v>Not Found</v>
      </c>
      <c r="J4122" s="2">
        <v>1498</v>
      </c>
      <c r="K4122" s="2">
        <v>1335</v>
      </c>
      <c r="L4122" s="2">
        <v>3</v>
      </c>
      <c r="M4122" s="7">
        <f t="shared" si="320"/>
        <v>4005</v>
      </c>
      <c r="N4122" s="7">
        <f t="shared" si="321"/>
        <v>4494</v>
      </c>
      <c r="O4122" s="2">
        <v>32</v>
      </c>
      <c r="P4122" s="8">
        <f t="shared" si="322"/>
        <v>4526</v>
      </c>
      <c r="Q4122" s="8">
        <f t="shared" si="323"/>
        <v>3159</v>
      </c>
      <c r="R4122" s="2" t="s">
        <v>28</v>
      </c>
      <c r="S4122" s="9">
        <f t="shared" si="324"/>
        <v>90.52</v>
      </c>
    </row>
    <row r="4123" spans="1:19" x14ac:dyDescent="0.3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str">
        <f>IFERROR(VLOOKUP('Customer Info'!A4115,'Customer Info'!A4115:C4614,2,FALSE),"Not Found")</f>
        <v>Not Found</v>
      </c>
      <c r="H4123" s="6" t="str">
        <f>IFERROR(VLOOKUP('Customer Info'!A4115,'Customer Info'!A4115:C4614,3,FALSE),"Not Found")</f>
        <v>Not Found</v>
      </c>
      <c r="I4123" s="6" t="str">
        <f>IFERROR(VLOOKUP('Customer Info'!A4115,'Customer Info'!A4115:E4614,5,FALSE),"Not Found")</f>
        <v>Not Found</v>
      </c>
      <c r="J4123" s="2">
        <v>1621</v>
      </c>
      <c r="K4123" s="2">
        <v>1545</v>
      </c>
      <c r="L4123" s="2">
        <v>2</v>
      </c>
      <c r="M4123" s="7">
        <f t="shared" si="320"/>
        <v>3090</v>
      </c>
      <c r="N4123" s="7">
        <f t="shared" si="321"/>
        <v>3242</v>
      </c>
      <c r="O4123" s="2">
        <v>85</v>
      </c>
      <c r="P4123" s="8">
        <f t="shared" si="322"/>
        <v>3327</v>
      </c>
      <c r="Q4123" s="8">
        <f t="shared" si="323"/>
        <v>1697</v>
      </c>
      <c r="R4123" s="2" t="s">
        <v>28</v>
      </c>
      <c r="S4123" s="9">
        <f t="shared" si="324"/>
        <v>66.540000000000006</v>
      </c>
    </row>
    <row r="4124" spans="1:19" x14ac:dyDescent="0.3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str">
        <f>IFERROR(VLOOKUP('Customer Info'!A4116,'Customer Info'!A4116:C4615,2,FALSE),"Not Found")</f>
        <v>Not Found</v>
      </c>
      <c r="H4124" s="6" t="str">
        <f>IFERROR(VLOOKUP('Customer Info'!A4116,'Customer Info'!A4116:C4615,3,FALSE),"Not Found")</f>
        <v>Not Found</v>
      </c>
      <c r="I4124" s="6" t="str">
        <f>IFERROR(VLOOKUP('Customer Info'!A4116,'Customer Info'!A4116:E4615,5,FALSE),"Not Found")</f>
        <v>Not Found</v>
      </c>
      <c r="J4124" s="2">
        <v>7534</v>
      </c>
      <c r="K4124" s="2">
        <v>7106</v>
      </c>
      <c r="L4124" s="2">
        <v>3</v>
      </c>
      <c r="M4124" s="7">
        <f t="shared" si="320"/>
        <v>21318</v>
      </c>
      <c r="N4124" s="7">
        <f t="shared" si="321"/>
        <v>22602</v>
      </c>
      <c r="O4124" s="2">
        <v>68</v>
      </c>
      <c r="P4124" s="8">
        <f t="shared" si="322"/>
        <v>22670</v>
      </c>
      <c r="Q4124" s="8">
        <f t="shared" si="323"/>
        <v>15496</v>
      </c>
      <c r="R4124" s="2" t="s">
        <v>28</v>
      </c>
      <c r="S4124" s="9">
        <f t="shared" si="324"/>
        <v>1133.5</v>
      </c>
    </row>
    <row r="4125" spans="1:19" x14ac:dyDescent="0.3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str">
        <f>IFERROR(VLOOKUP('Customer Info'!A4117,'Customer Info'!A4117:C4616,2,FALSE),"Not Found")</f>
        <v>Not Found</v>
      </c>
      <c r="H4125" s="6" t="str">
        <f>IFERROR(VLOOKUP('Customer Info'!A4117,'Customer Info'!A4117:C4616,3,FALSE),"Not Found")</f>
        <v>Not Found</v>
      </c>
      <c r="I4125" s="6" t="str">
        <f>IFERROR(VLOOKUP('Customer Info'!A4117,'Customer Info'!A4117:E4616,5,FALSE),"Not Found")</f>
        <v>Not Found</v>
      </c>
      <c r="J4125" s="2">
        <v>135</v>
      </c>
      <c r="K4125" s="2">
        <v>129</v>
      </c>
      <c r="L4125" s="2">
        <v>13</v>
      </c>
      <c r="M4125" s="7">
        <f t="shared" si="320"/>
        <v>1677</v>
      </c>
      <c r="N4125" s="7">
        <f t="shared" si="321"/>
        <v>1755</v>
      </c>
      <c r="O4125" s="2">
        <v>30</v>
      </c>
      <c r="P4125" s="8">
        <f t="shared" si="322"/>
        <v>1785</v>
      </c>
      <c r="Q4125" s="8">
        <f t="shared" si="323"/>
        <v>1626</v>
      </c>
      <c r="R4125" s="2" t="s">
        <v>28</v>
      </c>
      <c r="S4125" s="9">
        <f t="shared" si="324"/>
        <v>35.700000000000003</v>
      </c>
    </row>
    <row r="4126" spans="1:19" x14ac:dyDescent="0.3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str">
        <f>IFERROR(VLOOKUP('Customer Info'!A4118,'Customer Info'!A4118:C4617,2,FALSE),"Not Found")</f>
        <v>Not Found</v>
      </c>
      <c r="H4126" s="6" t="str">
        <f>IFERROR(VLOOKUP('Customer Info'!A4118,'Customer Info'!A4118:C4617,3,FALSE),"Not Found")</f>
        <v>Not Found</v>
      </c>
      <c r="I4126" s="6" t="str">
        <f>IFERROR(VLOOKUP('Customer Info'!A4118,'Customer Info'!A4118:E4617,5,FALSE),"Not Found")</f>
        <v>Not Found</v>
      </c>
      <c r="J4126" s="2">
        <v>1385</v>
      </c>
      <c r="K4126" s="2">
        <v>1295</v>
      </c>
      <c r="L4126" s="2">
        <v>6</v>
      </c>
      <c r="M4126" s="7">
        <f t="shared" si="320"/>
        <v>7770</v>
      </c>
      <c r="N4126" s="7">
        <f t="shared" si="321"/>
        <v>8310</v>
      </c>
      <c r="O4126" s="2">
        <v>87</v>
      </c>
      <c r="P4126" s="8">
        <f t="shared" si="322"/>
        <v>8397</v>
      </c>
      <c r="Q4126" s="8">
        <f t="shared" si="323"/>
        <v>7015</v>
      </c>
      <c r="R4126" s="2" t="s">
        <v>56</v>
      </c>
      <c r="S4126" s="9">
        <f t="shared" si="324"/>
        <v>419.85</v>
      </c>
    </row>
    <row r="4127" spans="1:19" x14ac:dyDescent="0.3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str">
        <f>IFERROR(VLOOKUP('Customer Info'!A4119,'Customer Info'!A4119:C4618,2,FALSE),"Not Found")</f>
        <v>Not Found</v>
      </c>
      <c r="H4127" s="6" t="str">
        <f>IFERROR(VLOOKUP('Customer Info'!A4119,'Customer Info'!A4119:C4618,3,FALSE),"Not Found")</f>
        <v>Not Found</v>
      </c>
      <c r="I4127" s="6" t="str">
        <f>IFERROR(VLOOKUP('Customer Info'!A4119,'Customer Info'!A4119:E4618,5,FALSE),"Not Found")</f>
        <v>Not Found</v>
      </c>
      <c r="J4127" s="2">
        <v>214</v>
      </c>
      <c r="K4127" s="2">
        <v>200</v>
      </c>
      <c r="L4127" s="2">
        <v>1</v>
      </c>
      <c r="M4127" s="7">
        <f t="shared" si="320"/>
        <v>200</v>
      </c>
      <c r="N4127" s="7">
        <f t="shared" si="321"/>
        <v>214</v>
      </c>
      <c r="O4127" s="2">
        <v>47</v>
      </c>
      <c r="P4127" s="8">
        <f t="shared" si="322"/>
        <v>261</v>
      </c>
      <c r="Q4127" s="8">
        <f t="shared" si="323"/>
        <v>14</v>
      </c>
      <c r="R4127" s="2" t="s">
        <v>28</v>
      </c>
      <c r="S4127" s="9">
        <f t="shared" si="324"/>
        <v>5.22</v>
      </c>
    </row>
    <row r="4128" spans="1:19" x14ac:dyDescent="0.3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str">
        <f>IFERROR(VLOOKUP('Customer Info'!A4120,'Customer Info'!A4120:C4619,2,FALSE),"Not Found")</f>
        <v>Not Found</v>
      </c>
      <c r="H4128" s="6" t="str">
        <f>IFERROR(VLOOKUP('Customer Info'!A4120,'Customer Info'!A4120:C4619,3,FALSE),"Not Found")</f>
        <v>Not Found</v>
      </c>
      <c r="I4128" s="6" t="str">
        <f>IFERROR(VLOOKUP('Customer Info'!A4120,'Customer Info'!A4120:E4619,5,FALSE),"Not Found")</f>
        <v>Not Found</v>
      </c>
      <c r="J4128" s="2">
        <v>4798</v>
      </c>
      <c r="K4128" s="2">
        <v>4448</v>
      </c>
      <c r="L4128" s="2">
        <v>2</v>
      </c>
      <c r="M4128" s="7">
        <f t="shared" si="320"/>
        <v>8896</v>
      </c>
      <c r="N4128" s="7">
        <f t="shared" si="321"/>
        <v>9596</v>
      </c>
      <c r="O4128" s="2">
        <v>52</v>
      </c>
      <c r="P4128" s="8">
        <f t="shared" si="322"/>
        <v>9648</v>
      </c>
      <c r="Q4128" s="8">
        <f t="shared" si="323"/>
        <v>5148</v>
      </c>
      <c r="R4128" s="2" t="s">
        <v>26</v>
      </c>
      <c r="S4128" s="9">
        <f t="shared" si="324"/>
        <v>482.40000000000003</v>
      </c>
    </row>
    <row r="4129" spans="1:19" x14ac:dyDescent="0.3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str">
        <f>IFERROR(VLOOKUP('Customer Info'!A4121,'Customer Info'!A4121:C4620,2,FALSE),"Not Found")</f>
        <v>Not Found</v>
      </c>
      <c r="H4129" s="6" t="str">
        <f>IFERROR(VLOOKUP('Customer Info'!A4121,'Customer Info'!A4121:C4620,3,FALSE),"Not Found")</f>
        <v>Not Found</v>
      </c>
      <c r="I4129" s="6" t="str">
        <f>IFERROR(VLOOKUP('Customer Info'!A4121,'Customer Info'!A4121:E4620,5,FALSE),"Not Found")</f>
        <v>Not Found</v>
      </c>
      <c r="J4129" s="2">
        <v>142</v>
      </c>
      <c r="K4129" s="2">
        <v>134</v>
      </c>
      <c r="L4129" s="2">
        <v>1</v>
      </c>
      <c r="M4129" s="7">
        <f t="shared" si="320"/>
        <v>134</v>
      </c>
      <c r="N4129" s="7">
        <f t="shared" si="321"/>
        <v>142</v>
      </c>
      <c r="O4129" s="2">
        <v>30</v>
      </c>
      <c r="P4129" s="8">
        <f t="shared" si="322"/>
        <v>172</v>
      </c>
      <c r="Q4129" s="8">
        <f t="shared" si="323"/>
        <v>8</v>
      </c>
      <c r="R4129" s="2" t="s">
        <v>50</v>
      </c>
      <c r="S4129" s="9">
        <f t="shared" si="324"/>
        <v>3.44</v>
      </c>
    </row>
    <row r="4130" spans="1:19" x14ac:dyDescent="0.3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str">
        <f>IFERROR(VLOOKUP('Customer Info'!A4122,'Customer Info'!A4122:C4621,2,FALSE),"Not Found")</f>
        <v>Not Found</v>
      </c>
      <c r="H4130" s="6" t="str">
        <f>IFERROR(VLOOKUP('Customer Info'!A4122,'Customer Info'!A4122:C4621,3,FALSE),"Not Found")</f>
        <v>Not Found</v>
      </c>
      <c r="I4130" s="6" t="str">
        <f>IFERROR(VLOOKUP('Customer Info'!A4122,'Customer Info'!A4122:E4621,5,FALSE),"Not Found")</f>
        <v>Not Found</v>
      </c>
      <c r="J4130" s="2">
        <v>1637</v>
      </c>
      <c r="K4130" s="2">
        <v>1591</v>
      </c>
      <c r="L4130" s="2">
        <v>2</v>
      </c>
      <c r="M4130" s="7">
        <f t="shared" si="320"/>
        <v>3182</v>
      </c>
      <c r="N4130" s="7">
        <f t="shared" si="321"/>
        <v>3274</v>
      </c>
      <c r="O4130" s="2">
        <v>62</v>
      </c>
      <c r="P4130" s="8">
        <f t="shared" si="322"/>
        <v>3336</v>
      </c>
      <c r="Q4130" s="8">
        <f t="shared" si="323"/>
        <v>1683</v>
      </c>
      <c r="R4130" s="2" t="s">
        <v>28</v>
      </c>
      <c r="S4130" s="9">
        <f t="shared" si="324"/>
        <v>66.72</v>
      </c>
    </row>
    <row r="4131" spans="1:19" x14ac:dyDescent="0.3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str">
        <f>IFERROR(VLOOKUP('Customer Info'!A4123,'Customer Info'!A4123:C4622,2,FALSE),"Not Found")</f>
        <v>Not Found</v>
      </c>
      <c r="H4131" s="6" t="str">
        <f>IFERROR(VLOOKUP('Customer Info'!A4123,'Customer Info'!A4123:C4622,3,FALSE),"Not Found")</f>
        <v>Not Found</v>
      </c>
      <c r="I4131" s="6" t="str">
        <f>IFERROR(VLOOKUP('Customer Info'!A4123,'Customer Info'!A4123:E4622,5,FALSE),"Not Found")</f>
        <v>Not Found</v>
      </c>
      <c r="J4131" s="2">
        <v>8738</v>
      </c>
      <c r="K4131" s="2">
        <v>8162</v>
      </c>
      <c r="L4131" s="2">
        <v>1</v>
      </c>
      <c r="M4131" s="7">
        <f t="shared" si="320"/>
        <v>8162</v>
      </c>
      <c r="N4131" s="7">
        <f t="shared" si="321"/>
        <v>8738</v>
      </c>
      <c r="O4131" s="2">
        <v>84</v>
      </c>
      <c r="P4131" s="8">
        <f t="shared" si="322"/>
        <v>8822</v>
      </c>
      <c r="Q4131" s="8">
        <f t="shared" si="323"/>
        <v>576</v>
      </c>
      <c r="R4131" s="2" t="s">
        <v>50</v>
      </c>
      <c r="S4131" s="9">
        <f t="shared" si="324"/>
        <v>441.1</v>
      </c>
    </row>
    <row r="4132" spans="1:19" x14ac:dyDescent="0.3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str">
        <f>IFERROR(VLOOKUP('Customer Info'!A4124,'Customer Info'!A4124:C4623,2,FALSE),"Not Found")</f>
        <v>Not Found</v>
      </c>
      <c r="H4132" s="6" t="str">
        <f>IFERROR(VLOOKUP('Customer Info'!A4124,'Customer Info'!A4124:C4623,3,FALSE),"Not Found")</f>
        <v>Not Found</v>
      </c>
      <c r="I4132" s="6" t="str">
        <f>IFERROR(VLOOKUP('Customer Info'!A4124,'Customer Info'!A4124:E4623,5,FALSE),"Not Found")</f>
        <v>Not Found</v>
      </c>
      <c r="J4132" s="2">
        <v>968</v>
      </c>
      <c r="K4132" s="2">
        <v>913</v>
      </c>
      <c r="L4132" s="2">
        <v>4</v>
      </c>
      <c r="M4132" s="7">
        <f t="shared" si="320"/>
        <v>3652</v>
      </c>
      <c r="N4132" s="7">
        <f t="shared" si="321"/>
        <v>3872</v>
      </c>
      <c r="O4132" s="2">
        <v>66</v>
      </c>
      <c r="P4132" s="8">
        <f t="shared" si="322"/>
        <v>3938</v>
      </c>
      <c r="Q4132" s="8">
        <f t="shared" si="323"/>
        <v>2959</v>
      </c>
      <c r="R4132" s="2" t="s">
        <v>26</v>
      </c>
      <c r="S4132" s="9">
        <f t="shared" si="324"/>
        <v>78.760000000000005</v>
      </c>
    </row>
    <row r="4133" spans="1:19" x14ac:dyDescent="0.3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str">
        <f>IFERROR(VLOOKUP('Customer Info'!A4125,'Customer Info'!A4125:C4624,2,FALSE),"Not Found")</f>
        <v>Not Found</v>
      </c>
      <c r="H4133" s="6" t="str">
        <f>IFERROR(VLOOKUP('Customer Info'!A4125,'Customer Info'!A4125:C4624,3,FALSE),"Not Found")</f>
        <v>Not Found</v>
      </c>
      <c r="I4133" s="6" t="str">
        <f>IFERROR(VLOOKUP('Customer Info'!A4125,'Customer Info'!A4125:E4624,5,FALSE),"Not Found")</f>
        <v>Not Found</v>
      </c>
      <c r="J4133" s="2">
        <v>4704</v>
      </c>
      <c r="K4133" s="2">
        <v>4361</v>
      </c>
      <c r="L4133" s="2">
        <v>11</v>
      </c>
      <c r="M4133" s="7">
        <f t="shared" si="320"/>
        <v>47971</v>
      </c>
      <c r="N4133" s="7">
        <f t="shared" si="321"/>
        <v>51744</v>
      </c>
      <c r="O4133" s="2">
        <v>35</v>
      </c>
      <c r="P4133" s="8">
        <f t="shared" si="322"/>
        <v>51779</v>
      </c>
      <c r="Q4133" s="8">
        <f t="shared" si="323"/>
        <v>47383</v>
      </c>
      <c r="R4133" s="2" t="s">
        <v>28</v>
      </c>
      <c r="S4133" s="9">
        <f t="shared" si="324"/>
        <v>4660.1099999999997</v>
      </c>
    </row>
    <row r="4134" spans="1:19" x14ac:dyDescent="0.3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str">
        <f>IFERROR(VLOOKUP('Customer Info'!A4126,'Customer Info'!A4126:C4625,2,FALSE),"Not Found")</f>
        <v>Not Found</v>
      </c>
      <c r="H4134" s="6" t="str">
        <f>IFERROR(VLOOKUP('Customer Info'!A4126,'Customer Info'!A4126:C4625,3,FALSE),"Not Found")</f>
        <v>Not Found</v>
      </c>
      <c r="I4134" s="6" t="str">
        <f>IFERROR(VLOOKUP('Customer Info'!A4126,'Customer Info'!A4126:E4625,5,FALSE),"Not Found")</f>
        <v>Not Found</v>
      </c>
      <c r="J4134" s="2">
        <v>1453</v>
      </c>
      <c r="K4134" s="2">
        <v>1411</v>
      </c>
      <c r="L4134" s="2">
        <v>3</v>
      </c>
      <c r="M4134" s="7">
        <f t="shared" si="320"/>
        <v>4233</v>
      </c>
      <c r="N4134" s="7">
        <f t="shared" si="321"/>
        <v>4359</v>
      </c>
      <c r="O4134" s="2">
        <v>29</v>
      </c>
      <c r="P4134" s="8">
        <f t="shared" si="322"/>
        <v>4388</v>
      </c>
      <c r="Q4134" s="8">
        <f t="shared" si="323"/>
        <v>2948</v>
      </c>
      <c r="R4134" s="2" t="s">
        <v>28</v>
      </c>
      <c r="S4134" s="9">
        <f t="shared" si="324"/>
        <v>87.76</v>
      </c>
    </row>
    <row r="4135" spans="1:19" x14ac:dyDescent="0.3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str">
        <f>IFERROR(VLOOKUP('Customer Info'!A4127,'Customer Info'!A4127:C4626,2,FALSE),"Not Found")</f>
        <v>Not Found</v>
      </c>
      <c r="H4135" s="6" t="str">
        <f>IFERROR(VLOOKUP('Customer Info'!A4127,'Customer Info'!A4127:C4626,3,FALSE),"Not Found")</f>
        <v>Not Found</v>
      </c>
      <c r="I4135" s="6" t="str">
        <f>IFERROR(VLOOKUP('Customer Info'!A4127,'Customer Info'!A4127:E4626,5,FALSE),"Not Found")</f>
        <v>Not Found</v>
      </c>
      <c r="J4135" s="2">
        <v>495</v>
      </c>
      <c r="K4135" s="2">
        <v>458</v>
      </c>
      <c r="L4135" s="2">
        <v>2</v>
      </c>
      <c r="M4135" s="7">
        <f t="shared" si="320"/>
        <v>916</v>
      </c>
      <c r="N4135" s="7">
        <f t="shared" si="321"/>
        <v>990</v>
      </c>
      <c r="O4135" s="2">
        <v>82</v>
      </c>
      <c r="P4135" s="8">
        <f t="shared" si="322"/>
        <v>1072</v>
      </c>
      <c r="Q4135" s="8">
        <f t="shared" si="323"/>
        <v>532</v>
      </c>
      <c r="R4135" s="2" t="s">
        <v>28</v>
      </c>
      <c r="S4135" s="9">
        <f t="shared" si="324"/>
        <v>21.44</v>
      </c>
    </row>
    <row r="4136" spans="1:19" x14ac:dyDescent="0.3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str">
        <f>IFERROR(VLOOKUP('Customer Info'!A4128,'Customer Info'!A4128:C4627,2,FALSE),"Not Found")</f>
        <v>Not Found</v>
      </c>
      <c r="H4136" s="6" t="str">
        <f>IFERROR(VLOOKUP('Customer Info'!A4128,'Customer Info'!A4128:C4627,3,FALSE),"Not Found")</f>
        <v>Not Found</v>
      </c>
      <c r="I4136" s="6" t="str">
        <f>IFERROR(VLOOKUP('Customer Info'!A4128,'Customer Info'!A4128:E4627,5,FALSE),"Not Found")</f>
        <v>Not Found</v>
      </c>
      <c r="J4136" s="2">
        <v>1718</v>
      </c>
      <c r="K4136" s="2">
        <v>1545</v>
      </c>
      <c r="L4136" s="2">
        <v>4</v>
      </c>
      <c r="M4136" s="7">
        <f t="shared" si="320"/>
        <v>6180</v>
      </c>
      <c r="N4136" s="7">
        <f t="shared" si="321"/>
        <v>6872</v>
      </c>
      <c r="O4136" s="2">
        <v>32</v>
      </c>
      <c r="P4136" s="8">
        <f t="shared" si="322"/>
        <v>6904</v>
      </c>
      <c r="Q4136" s="8">
        <f t="shared" si="323"/>
        <v>5327</v>
      </c>
      <c r="R4136" s="2" t="s">
        <v>28</v>
      </c>
      <c r="S4136" s="9">
        <f t="shared" si="324"/>
        <v>345.20000000000005</v>
      </c>
    </row>
    <row r="4137" spans="1:19" x14ac:dyDescent="0.3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str">
        <f>IFERROR(VLOOKUP('Customer Info'!A4129,'Customer Info'!A4129:C4628,2,FALSE),"Not Found")</f>
        <v>Not Found</v>
      </c>
      <c r="H4137" s="6" t="str">
        <f>IFERROR(VLOOKUP('Customer Info'!A4129,'Customer Info'!A4129:C4628,3,FALSE),"Not Found")</f>
        <v>Not Found</v>
      </c>
      <c r="I4137" s="6" t="str">
        <f>IFERROR(VLOOKUP('Customer Info'!A4129,'Customer Info'!A4129:E4628,5,FALSE),"Not Found")</f>
        <v>Not Found</v>
      </c>
      <c r="J4137" s="2">
        <v>27691</v>
      </c>
      <c r="K4137" s="2">
        <v>25616</v>
      </c>
      <c r="L4137" s="2">
        <v>4</v>
      </c>
      <c r="M4137" s="7">
        <f t="shared" si="320"/>
        <v>102464</v>
      </c>
      <c r="N4137" s="7">
        <f t="shared" si="321"/>
        <v>110764</v>
      </c>
      <c r="O4137" s="2">
        <v>53</v>
      </c>
      <c r="P4137" s="8">
        <f t="shared" si="322"/>
        <v>110817</v>
      </c>
      <c r="Q4137" s="8">
        <f t="shared" si="323"/>
        <v>85148</v>
      </c>
      <c r="R4137" s="2" t="s">
        <v>50</v>
      </c>
      <c r="S4137" s="9">
        <f t="shared" si="324"/>
        <v>13298.039999999999</v>
      </c>
    </row>
    <row r="4138" spans="1:19" x14ac:dyDescent="0.3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str">
        <f>IFERROR(VLOOKUP('Customer Info'!A4130,'Customer Info'!A4130:C4629,2,FALSE),"Not Found")</f>
        <v>Not Found</v>
      </c>
      <c r="H4138" s="6" t="str">
        <f>IFERROR(VLOOKUP('Customer Info'!A4130,'Customer Info'!A4130:C4629,3,FALSE),"Not Found")</f>
        <v>Not Found</v>
      </c>
      <c r="I4138" s="6" t="str">
        <f>IFERROR(VLOOKUP('Customer Info'!A4130,'Customer Info'!A4130:E4629,5,FALSE),"Not Found")</f>
        <v>Not Found</v>
      </c>
      <c r="J4138" s="2">
        <v>2466</v>
      </c>
      <c r="K4138" s="2">
        <v>2350</v>
      </c>
      <c r="L4138" s="2">
        <v>11</v>
      </c>
      <c r="M4138" s="7">
        <f t="shared" si="320"/>
        <v>25850</v>
      </c>
      <c r="N4138" s="7">
        <f t="shared" si="321"/>
        <v>27126</v>
      </c>
      <c r="O4138" s="2">
        <v>93</v>
      </c>
      <c r="P4138" s="8">
        <f t="shared" si="322"/>
        <v>27219</v>
      </c>
      <c r="Q4138" s="8">
        <f t="shared" si="323"/>
        <v>24776</v>
      </c>
      <c r="R4138" s="2" t="s">
        <v>26</v>
      </c>
      <c r="S4138" s="9">
        <f t="shared" si="324"/>
        <v>1905.3300000000002</v>
      </c>
    </row>
    <row r="4139" spans="1:19" x14ac:dyDescent="0.3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str">
        <f>IFERROR(VLOOKUP('Customer Info'!A4131,'Customer Info'!A4131:C4630,2,FALSE),"Not Found")</f>
        <v>Not Found</v>
      </c>
      <c r="H4139" s="6" t="str">
        <f>IFERROR(VLOOKUP('Customer Info'!A4131,'Customer Info'!A4131:C4630,3,FALSE),"Not Found")</f>
        <v>Not Found</v>
      </c>
      <c r="I4139" s="6" t="str">
        <f>IFERROR(VLOOKUP('Customer Info'!A4131,'Customer Info'!A4131:E4630,5,FALSE),"Not Found")</f>
        <v>Not Found</v>
      </c>
      <c r="J4139" s="2">
        <v>1169</v>
      </c>
      <c r="K4139" s="2">
        <v>1103</v>
      </c>
      <c r="L4139" s="2">
        <v>4</v>
      </c>
      <c r="M4139" s="7">
        <f t="shared" si="320"/>
        <v>4412</v>
      </c>
      <c r="N4139" s="7">
        <f t="shared" si="321"/>
        <v>4676</v>
      </c>
      <c r="O4139" s="2">
        <v>90</v>
      </c>
      <c r="P4139" s="8">
        <f t="shared" si="322"/>
        <v>4766</v>
      </c>
      <c r="Q4139" s="8">
        <f t="shared" si="323"/>
        <v>3573</v>
      </c>
      <c r="R4139" s="2" t="s">
        <v>28</v>
      </c>
      <c r="S4139" s="9">
        <f t="shared" si="324"/>
        <v>95.320000000000007</v>
      </c>
    </row>
    <row r="4140" spans="1:19" x14ac:dyDescent="0.3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str">
        <f>IFERROR(VLOOKUP('Customer Info'!A4132,'Customer Info'!A4132:C4631,2,FALSE),"Not Found")</f>
        <v>Not Found</v>
      </c>
      <c r="H4140" s="6" t="str">
        <f>IFERROR(VLOOKUP('Customer Info'!A4132,'Customer Info'!A4132:C4631,3,FALSE),"Not Found")</f>
        <v>Not Found</v>
      </c>
      <c r="I4140" s="6" t="str">
        <f>IFERROR(VLOOKUP('Customer Info'!A4132,'Customer Info'!A4132:E4631,5,FALSE),"Not Found")</f>
        <v>Not Found</v>
      </c>
      <c r="J4140" s="2">
        <v>210</v>
      </c>
      <c r="K4140" s="2">
        <v>193</v>
      </c>
      <c r="L4140" s="2">
        <v>1</v>
      </c>
      <c r="M4140" s="7">
        <f t="shared" si="320"/>
        <v>193</v>
      </c>
      <c r="N4140" s="7">
        <f t="shared" si="321"/>
        <v>210</v>
      </c>
      <c r="O4140" s="2">
        <v>32</v>
      </c>
      <c r="P4140" s="8">
        <f t="shared" si="322"/>
        <v>242</v>
      </c>
      <c r="Q4140" s="8">
        <f t="shared" si="323"/>
        <v>17</v>
      </c>
      <c r="R4140" s="2" t="s">
        <v>28</v>
      </c>
      <c r="S4140" s="9">
        <f t="shared" si="324"/>
        <v>4.84</v>
      </c>
    </row>
    <row r="4141" spans="1:19" x14ac:dyDescent="0.3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str">
        <f>IFERROR(VLOOKUP('Customer Info'!A4133,'Customer Info'!A4133:C4632,2,FALSE),"Not Found")</f>
        <v>Not Found</v>
      </c>
      <c r="H4141" s="6" t="str">
        <f>IFERROR(VLOOKUP('Customer Info'!A4133,'Customer Info'!A4133:C4632,3,FALSE),"Not Found")</f>
        <v>Not Found</v>
      </c>
      <c r="I4141" s="6" t="str">
        <f>IFERROR(VLOOKUP('Customer Info'!A4133,'Customer Info'!A4133:E4632,5,FALSE),"Not Found")</f>
        <v>Not Found</v>
      </c>
      <c r="J4141" s="2">
        <v>1332</v>
      </c>
      <c r="K4141" s="2">
        <v>1209</v>
      </c>
      <c r="L4141" s="2">
        <v>1</v>
      </c>
      <c r="M4141" s="7">
        <f t="shared" si="320"/>
        <v>1209</v>
      </c>
      <c r="N4141" s="7">
        <f t="shared" si="321"/>
        <v>1332</v>
      </c>
      <c r="O4141" s="2">
        <v>43</v>
      </c>
      <c r="P4141" s="8">
        <f t="shared" si="322"/>
        <v>1375</v>
      </c>
      <c r="Q4141" s="8">
        <f t="shared" si="323"/>
        <v>123</v>
      </c>
      <c r="R4141" s="2" t="s">
        <v>50</v>
      </c>
      <c r="S4141" s="9">
        <f t="shared" si="324"/>
        <v>27.5</v>
      </c>
    </row>
    <row r="4142" spans="1:19" x14ac:dyDescent="0.3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str">
        <f>IFERROR(VLOOKUP('Customer Info'!A4134,'Customer Info'!A4134:C4633,2,FALSE),"Not Found")</f>
        <v>Not Found</v>
      </c>
      <c r="H4142" s="6" t="str">
        <f>IFERROR(VLOOKUP('Customer Info'!A4134,'Customer Info'!A4134:C4633,3,FALSE),"Not Found")</f>
        <v>Not Found</v>
      </c>
      <c r="I4142" s="6" t="str">
        <f>IFERROR(VLOOKUP('Customer Info'!A4134,'Customer Info'!A4134:E4633,5,FALSE),"Not Found")</f>
        <v>Not Found</v>
      </c>
      <c r="J4142" s="2">
        <v>29378</v>
      </c>
      <c r="K4142" s="2">
        <v>26912</v>
      </c>
      <c r="L4142" s="2">
        <v>1</v>
      </c>
      <c r="M4142" s="7">
        <f t="shared" si="320"/>
        <v>26912</v>
      </c>
      <c r="N4142" s="7">
        <f t="shared" si="321"/>
        <v>29378</v>
      </c>
      <c r="O4142" s="2">
        <v>95</v>
      </c>
      <c r="P4142" s="8">
        <f t="shared" si="322"/>
        <v>29473</v>
      </c>
      <c r="Q4142" s="8">
        <f t="shared" si="323"/>
        <v>2466</v>
      </c>
      <c r="R4142" s="2" t="s">
        <v>28</v>
      </c>
      <c r="S4142" s="9">
        <f t="shared" si="324"/>
        <v>2063.11</v>
      </c>
    </row>
    <row r="4143" spans="1:19" x14ac:dyDescent="0.3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str">
        <f>IFERROR(VLOOKUP('Customer Info'!A4135,'Customer Info'!A4135:C4634,2,FALSE),"Not Found")</f>
        <v>Not Found</v>
      </c>
      <c r="H4143" s="6" t="str">
        <f>IFERROR(VLOOKUP('Customer Info'!A4135,'Customer Info'!A4135:C4634,3,FALSE),"Not Found")</f>
        <v>Not Found</v>
      </c>
      <c r="I4143" s="6" t="str">
        <f>IFERROR(VLOOKUP('Customer Info'!A4135,'Customer Info'!A4135:E4634,5,FALSE),"Not Found")</f>
        <v>Not Found</v>
      </c>
      <c r="J4143" s="2">
        <v>743</v>
      </c>
      <c r="K4143" s="2">
        <v>694</v>
      </c>
      <c r="L4143" s="2">
        <v>4</v>
      </c>
      <c r="M4143" s="7">
        <f t="shared" si="320"/>
        <v>2776</v>
      </c>
      <c r="N4143" s="7">
        <f t="shared" si="321"/>
        <v>2972</v>
      </c>
      <c r="O4143" s="2">
        <v>36</v>
      </c>
      <c r="P4143" s="8">
        <f t="shared" si="322"/>
        <v>3008</v>
      </c>
      <c r="Q4143" s="8">
        <f t="shared" si="323"/>
        <v>2278</v>
      </c>
      <c r="R4143" s="2" t="s">
        <v>28</v>
      </c>
      <c r="S4143" s="9">
        <f t="shared" si="324"/>
        <v>60.160000000000004</v>
      </c>
    </row>
    <row r="4144" spans="1:19" x14ac:dyDescent="0.3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str">
        <f>IFERROR(VLOOKUP('Customer Info'!A4136,'Customer Info'!A4136:C4635,2,FALSE),"Not Found")</f>
        <v>Not Found</v>
      </c>
      <c r="H4144" s="6" t="str">
        <f>IFERROR(VLOOKUP('Customer Info'!A4136,'Customer Info'!A4136:C4635,3,FALSE),"Not Found")</f>
        <v>Not Found</v>
      </c>
      <c r="I4144" s="6" t="str">
        <f>IFERROR(VLOOKUP('Customer Info'!A4136,'Customer Info'!A4136:E4635,5,FALSE),"Not Found")</f>
        <v>Not Found</v>
      </c>
      <c r="J4144" s="2">
        <v>531</v>
      </c>
      <c r="K4144" s="2">
        <v>487</v>
      </c>
      <c r="L4144" s="2">
        <v>8</v>
      </c>
      <c r="M4144" s="7">
        <f t="shared" si="320"/>
        <v>3896</v>
      </c>
      <c r="N4144" s="7">
        <f t="shared" si="321"/>
        <v>4248</v>
      </c>
      <c r="O4144" s="2">
        <v>53</v>
      </c>
      <c r="P4144" s="8">
        <f t="shared" si="322"/>
        <v>4301</v>
      </c>
      <c r="Q4144" s="8">
        <f t="shared" si="323"/>
        <v>3761</v>
      </c>
      <c r="R4144" s="2" t="s">
        <v>50</v>
      </c>
      <c r="S4144" s="9">
        <f t="shared" si="324"/>
        <v>86.02</v>
      </c>
    </row>
    <row r="4145" spans="1:19" x14ac:dyDescent="0.3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str">
        <f>IFERROR(VLOOKUP('Customer Info'!A4137,'Customer Info'!A4137:C4636,2,FALSE),"Not Found")</f>
        <v>Not Found</v>
      </c>
      <c r="H4145" s="6" t="str">
        <f>IFERROR(VLOOKUP('Customer Info'!A4137,'Customer Info'!A4137:C4636,3,FALSE),"Not Found")</f>
        <v>Not Found</v>
      </c>
      <c r="I4145" s="6" t="str">
        <f>IFERROR(VLOOKUP('Customer Info'!A4137,'Customer Info'!A4137:E4636,5,FALSE),"Not Found")</f>
        <v>Not Found</v>
      </c>
      <c r="J4145" s="2">
        <v>5906</v>
      </c>
      <c r="K4145" s="2">
        <v>5266</v>
      </c>
      <c r="L4145" s="2">
        <v>2</v>
      </c>
      <c r="M4145" s="7">
        <f t="shared" si="320"/>
        <v>10532</v>
      </c>
      <c r="N4145" s="7">
        <f t="shared" si="321"/>
        <v>11812</v>
      </c>
      <c r="O4145" s="2">
        <v>92</v>
      </c>
      <c r="P4145" s="8">
        <f t="shared" si="322"/>
        <v>11904</v>
      </c>
      <c r="Q4145" s="8">
        <f t="shared" si="323"/>
        <v>6546</v>
      </c>
      <c r="R4145" s="2" t="s">
        <v>50</v>
      </c>
      <c r="S4145" s="9">
        <f t="shared" si="324"/>
        <v>595.20000000000005</v>
      </c>
    </row>
    <row r="4146" spans="1:19" x14ac:dyDescent="0.3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str">
        <f>IFERROR(VLOOKUP('Customer Info'!A4138,'Customer Info'!A4138:C4637,2,FALSE),"Not Found")</f>
        <v>Not Found</v>
      </c>
      <c r="H4146" s="6" t="str">
        <f>IFERROR(VLOOKUP('Customer Info'!A4138,'Customer Info'!A4138:C4637,3,FALSE),"Not Found")</f>
        <v>Not Found</v>
      </c>
      <c r="I4146" s="6" t="str">
        <f>IFERROR(VLOOKUP('Customer Info'!A4138,'Customer Info'!A4138:E4637,5,FALSE),"Not Found")</f>
        <v>Not Found</v>
      </c>
      <c r="J4146" s="2">
        <v>1359</v>
      </c>
      <c r="K4146" s="2">
        <v>1221</v>
      </c>
      <c r="L4146" s="2">
        <v>2</v>
      </c>
      <c r="M4146" s="7">
        <f t="shared" si="320"/>
        <v>2442</v>
      </c>
      <c r="N4146" s="7">
        <f t="shared" si="321"/>
        <v>2718</v>
      </c>
      <c r="O4146" s="2">
        <v>80</v>
      </c>
      <c r="P4146" s="8">
        <f t="shared" si="322"/>
        <v>2798</v>
      </c>
      <c r="Q4146" s="8">
        <f t="shared" si="323"/>
        <v>1497</v>
      </c>
      <c r="R4146" s="2" t="s">
        <v>50</v>
      </c>
      <c r="S4146" s="9">
        <f t="shared" si="324"/>
        <v>55.96</v>
      </c>
    </row>
    <row r="4147" spans="1:19" x14ac:dyDescent="0.3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str">
        <f>IFERROR(VLOOKUP('Customer Info'!A4139,'Customer Info'!A4139:C4638,2,FALSE),"Not Found")</f>
        <v>Not Found</v>
      </c>
      <c r="H4147" s="6" t="str">
        <f>IFERROR(VLOOKUP('Customer Info'!A4139,'Customer Info'!A4139:C4638,3,FALSE),"Not Found")</f>
        <v>Not Found</v>
      </c>
      <c r="I4147" s="6" t="str">
        <f>IFERROR(VLOOKUP('Customer Info'!A4139,'Customer Info'!A4139:E4638,5,FALSE),"Not Found")</f>
        <v>Not Found</v>
      </c>
      <c r="J4147" s="2">
        <v>887</v>
      </c>
      <c r="K4147" s="2">
        <v>814</v>
      </c>
      <c r="L4147" s="2">
        <v>6</v>
      </c>
      <c r="M4147" s="7">
        <f t="shared" si="320"/>
        <v>4884</v>
      </c>
      <c r="N4147" s="7">
        <f t="shared" si="321"/>
        <v>5322</v>
      </c>
      <c r="O4147" s="2">
        <v>96</v>
      </c>
      <c r="P4147" s="8">
        <f t="shared" si="322"/>
        <v>5418</v>
      </c>
      <c r="Q4147" s="8">
        <f t="shared" si="323"/>
        <v>4508</v>
      </c>
      <c r="R4147" s="2" t="s">
        <v>28</v>
      </c>
      <c r="S4147" s="9">
        <f t="shared" si="324"/>
        <v>270.90000000000003</v>
      </c>
    </row>
    <row r="4148" spans="1:19" x14ac:dyDescent="0.3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str">
        <f>IFERROR(VLOOKUP('Customer Info'!A4140,'Customer Info'!A4140:C4639,2,FALSE),"Not Found")</f>
        <v>Not Found</v>
      </c>
      <c r="H4148" s="6" t="str">
        <f>IFERROR(VLOOKUP('Customer Info'!A4140,'Customer Info'!A4140:C4639,3,FALSE),"Not Found")</f>
        <v>Not Found</v>
      </c>
      <c r="I4148" s="6" t="str">
        <f>IFERROR(VLOOKUP('Customer Info'!A4140,'Customer Info'!A4140:E4639,5,FALSE),"Not Found")</f>
        <v>Not Found</v>
      </c>
      <c r="J4148" s="2">
        <v>3248</v>
      </c>
      <c r="K4148" s="2">
        <v>3035</v>
      </c>
      <c r="L4148" s="2">
        <v>6</v>
      </c>
      <c r="M4148" s="7">
        <f t="shared" si="320"/>
        <v>18210</v>
      </c>
      <c r="N4148" s="7">
        <f t="shared" si="321"/>
        <v>19488</v>
      </c>
      <c r="O4148" s="2">
        <v>71</v>
      </c>
      <c r="P4148" s="8">
        <f t="shared" si="322"/>
        <v>19559</v>
      </c>
      <c r="Q4148" s="8">
        <f t="shared" si="323"/>
        <v>16453</v>
      </c>
      <c r="R4148" s="2" t="s">
        <v>28</v>
      </c>
      <c r="S4148" s="9">
        <f t="shared" si="324"/>
        <v>977.95</v>
      </c>
    </row>
    <row r="4149" spans="1:19" x14ac:dyDescent="0.3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str">
        <f>IFERROR(VLOOKUP('Customer Info'!A4141,'Customer Info'!A4141:C4640,2,FALSE),"Not Found")</f>
        <v>Not Found</v>
      </c>
      <c r="H4149" s="6" t="str">
        <f>IFERROR(VLOOKUP('Customer Info'!A4141,'Customer Info'!A4141:C4640,3,FALSE),"Not Found")</f>
        <v>Not Found</v>
      </c>
      <c r="I4149" s="6" t="str">
        <f>IFERROR(VLOOKUP('Customer Info'!A4141,'Customer Info'!A4141:E4640,5,FALSE),"Not Found")</f>
        <v>Not Found</v>
      </c>
      <c r="J4149" s="2">
        <v>2981</v>
      </c>
      <c r="K4149" s="2">
        <v>2870</v>
      </c>
      <c r="L4149" s="2">
        <v>1</v>
      </c>
      <c r="M4149" s="7">
        <f t="shared" si="320"/>
        <v>2870</v>
      </c>
      <c r="N4149" s="7">
        <f t="shared" si="321"/>
        <v>2981</v>
      </c>
      <c r="O4149" s="2">
        <v>26</v>
      </c>
      <c r="P4149" s="8">
        <f t="shared" si="322"/>
        <v>3007</v>
      </c>
      <c r="Q4149" s="8">
        <f t="shared" si="323"/>
        <v>111</v>
      </c>
      <c r="R4149" s="2" t="s">
        <v>28</v>
      </c>
      <c r="S4149" s="9">
        <f t="shared" si="324"/>
        <v>60.14</v>
      </c>
    </row>
    <row r="4150" spans="1:19" x14ac:dyDescent="0.3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str">
        <f>IFERROR(VLOOKUP('Customer Info'!A4142,'Customer Info'!A4142:C4641,2,FALSE),"Not Found")</f>
        <v>Not Found</v>
      </c>
      <c r="H4150" s="6" t="str">
        <f>IFERROR(VLOOKUP('Customer Info'!A4142,'Customer Info'!A4142:C4641,3,FALSE),"Not Found")</f>
        <v>Not Found</v>
      </c>
      <c r="I4150" s="6" t="str">
        <f>IFERROR(VLOOKUP('Customer Info'!A4142,'Customer Info'!A4142:E4641,5,FALSE),"Not Found")</f>
        <v>Not Found</v>
      </c>
      <c r="J4150" s="2">
        <v>3017</v>
      </c>
      <c r="K4150" s="2">
        <v>2825</v>
      </c>
      <c r="L4150" s="2">
        <v>7</v>
      </c>
      <c r="M4150" s="7">
        <f t="shared" si="320"/>
        <v>19775</v>
      </c>
      <c r="N4150" s="7">
        <f t="shared" si="321"/>
        <v>21119</v>
      </c>
      <c r="O4150" s="2">
        <v>94</v>
      </c>
      <c r="P4150" s="8">
        <f t="shared" si="322"/>
        <v>21213</v>
      </c>
      <c r="Q4150" s="8">
        <f t="shared" si="323"/>
        <v>18294</v>
      </c>
      <c r="R4150" s="2" t="s">
        <v>28</v>
      </c>
      <c r="S4150" s="9">
        <f t="shared" si="324"/>
        <v>1060.6500000000001</v>
      </c>
    </row>
    <row r="4151" spans="1:19" x14ac:dyDescent="0.3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str">
        <f>IFERROR(VLOOKUP('Customer Info'!A4143,'Customer Info'!A4143:C4642,2,FALSE),"Not Found")</f>
        <v>Not Found</v>
      </c>
      <c r="H4151" s="6" t="str">
        <f>IFERROR(VLOOKUP('Customer Info'!A4143,'Customer Info'!A4143:C4642,3,FALSE),"Not Found")</f>
        <v>Not Found</v>
      </c>
      <c r="I4151" s="6" t="str">
        <f>IFERROR(VLOOKUP('Customer Info'!A4143,'Customer Info'!A4143:E4642,5,FALSE),"Not Found")</f>
        <v>Not Found</v>
      </c>
      <c r="J4151" s="2">
        <v>81</v>
      </c>
      <c r="K4151" s="2">
        <v>77</v>
      </c>
      <c r="L4151" s="2">
        <v>2</v>
      </c>
      <c r="M4151" s="7">
        <f t="shared" si="320"/>
        <v>154</v>
      </c>
      <c r="N4151" s="7">
        <f t="shared" si="321"/>
        <v>162</v>
      </c>
      <c r="O4151" s="2">
        <v>10</v>
      </c>
      <c r="P4151" s="8">
        <f t="shared" si="322"/>
        <v>172</v>
      </c>
      <c r="Q4151" s="8">
        <f t="shared" si="323"/>
        <v>85</v>
      </c>
      <c r="R4151" s="2" t="s">
        <v>50</v>
      </c>
      <c r="S4151" s="9">
        <f t="shared" si="324"/>
        <v>3.44</v>
      </c>
    </row>
    <row r="4152" spans="1:19" x14ac:dyDescent="0.3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str">
        <f>IFERROR(VLOOKUP('Customer Info'!A4144,'Customer Info'!A4144:C4643,2,FALSE),"Not Found")</f>
        <v>Not Found</v>
      </c>
      <c r="H4152" s="6" t="str">
        <f>IFERROR(VLOOKUP('Customer Info'!A4144,'Customer Info'!A4144:C4643,3,FALSE),"Not Found")</f>
        <v>Not Found</v>
      </c>
      <c r="I4152" s="6" t="str">
        <f>IFERROR(VLOOKUP('Customer Info'!A4144,'Customer Info'!A4144:E4643,5,FALSE),"Not Found")</f>
        <v>Not Found</v>
      </c>
      <c r="J4152" s="2">
        <v>8617</v>
      </c>
      <c r="K4152" s="2">
        <v>7900</v>
      </c>
      <c r="L4152" s="2">
        <v>4</v>
      </c>
      <c r="M4152" s="7">
        <f t="shared" si="320"/>
        <v>31600</v>
      </c>
      <c r="N4152" s="7">
        <f t="shared" si="321"/>
        <v>34468</v>
      </c>
      <c r="O4152" s="2">
        <v>67</v>
      </c>
      <c r="P4152" s="8">
        <f t="shared" si="322"/>
        <v>34535</v>
      </c>
      <c r="Q4152" s="8">
        <f t="shared" si="323"/>
        <v>26568</v>
      </c>
      <c r="R4152" s="2" t="s">
        <v>28</v>
      </c>
      <c r="S4152" s="9">
        <f t="shared" si="324"/>
        <v>2417.4500000000003</v>
      </c>
    </row>
    <row r="4153" spans="1:19" x14ac:dyDescent="0.3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str">
        <f>IFERROR(VLOOKUP('Customer Info'!A4145,'Customer Info'!A4145:C4644,2,FALSE),"Not Found")</f>
        <v>Not Found</v>
      </c>
      <c r="H4153" s="6" t="str">
        <f>IFERROR(VLOOKUP('Customer Info'!A4145,'Customer Info'!A4145:C4644,3,FALSE),"Not Found")</f>
        <v>Not Found</v>
      </c>
      <c r="I4153" s="6" t="str">
        <f>IFERROR(VLOOKUP('Customer Info'!A4145,'Customer Info'!A4145:E4644,5,FALSE),"Not Found")</f>
        <v>Not Found</v>
      </c>
      <c r="J4153" s="2">
        <v>1048</v>
      </c>
      <c r="K4153" s="2">
        <v>979</v>
      </c>
      <c r="L4153" s="2">
        <v>3</v>
      </c>
      <c r="M4153" s="7">
        <f t="shared" si="320"/>
        <v>2937</v>
      </c>
      <c r="N4153" s="7">
        <f t="shared" si="321"/>
        <v>3144</v>
      </c>
      <c r="O4153" s="2">
        <v>65</v>
      </c>
      <c r="P4153" s="8">
        <f t="shared" si="322"/>
        <v>3209</v>
      </c>
      <c r="Q4153" s="8">
        <f t="shared" si="323"/>
        <v>2165</v>
      </c>
      <c r="R4153" s="2" t="s">
        <v>28</v>
      </c>
      <c r="S4153" s="9">
        <f t="shared" si="324"/>
        <v>64.180000000000007</v>
      </c>
    </row>
    <row r="4154" spans="1:19" x14ac:dyDescent="0.3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str">
        <f>IFERROR(VLOOKUP('Customer Info'!A4146,'Customer Info'!A4146:C4645,2,FALSE),"Not Found")</f>
        <v>Not Found</v>
      </c>
      <c r="H4154" s="6" t="str">
        <f>IFERROR(VLOOKUP('Customer Info'!A4146,'Customer Info'!A4146:C4645,3,FALSE),"Not Found")</f>
        <v>Not Found</v>
      </c>
      <c r="I4154" s="6" t="str">
        <f>IFERROR(VLOOKUP('Customer Info'!A4146,'Customer Info'!A4146:E4645,5,FALSE),"Not Found")</f>
        <v>Not Found</v>
      </c>
      <c r="J4154" s="2">
        <v>2787</v>
      </c>
      <c r="K4154" s="2">
        <v>2681</v>
      </c>
      <c r="L4154" s="2">
        <v>1</v>
      </c>
      <c r="M4154" s="7">
        <f t="shared" si="320"/>
        <v>2681</v>
      </c>
      <c r="N4154" s="7">
        <f t="shared" si="321"/>
        <v>2787</v>
      </c>
      <c r="O4154" s="2">
        <v>50</v>
      </c>
      <c r="P4154" s="8">
        <f t="shared" si="322"/>
        <v>2837</v>
      </c>
      <c r="Q4154" s="8">
        <f t="shared" si="323"/>
        <v>106</v>
      </c>
      <c r="R4154" s="2" t="s">
        <v>50</v>
      </c>
      <c r="S4154" s="9">
        <f t="shared" si="324"/>
        <v>56.74</v>
      </c>
    </row>
    <row r="4155" spans="1:19" x14ac:dyDescent="0.3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str">
        <f>IFERROR(VLOOKUP('Customer Info'!A4147,'Customer Info'!A4147:C4646,2,FALSE),"Not Found")</f>
        <v>Not Found</v>
      </c>
      <c r="H4155" s="6" t="str">
        <f>IFERROR(VLOOKUP('Customer Info'!A4147,'Customer Info'!A4147:C4646,3,FALSE),"Not Found")</f>
        <v>Not Found</v>
      </c>
      <c r="I4155" s="6" t="str">
        <f>IFERROR(VLOOKUP('Customer Info'!A4147,'Customer Info'!A4147:E4646,5,FALSE),"Not Found")</f>
        <v>Not Found</v>
      </c>
      <c r="J4155" s="2">
        <v>138</v>
      </c>
      <c r="K4155" s="2">
        <v>128</v>
      </c>
      <c r="L4155" s="2">
        <v>6</v>
      </c>
      <c r="M4155" s="7">
        <f t="shared" si="320"/>
        <v>768</v>
      </c>
      <c r="N4155" s="7">
        <f t="shared" si="321"/>
        <v>828</v>
      </c>
      <c r="O4155" s="2">
        <v>30</v>
      </c>
      <c r="P4155" s="8">
        <f t="shared" si="322"/>
        <v>858</v>
      </c>
      <c r="Q4155" s="8">
        <f t="shared" si="323"/>
        <v>700</v>
      </c>
      <c r="R4155" s="2" t="s">
        <v>26</v>
      </c>
      <c r="S4155" s="9">
        <f t="shared" si="324"/>
        <v>17.16</v>
      </c>
    </row>
    <row r="4156" spans="1:19" x14ac:dyDescent="0.3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str">
        <f>IFERROR(VLOOKUP('Customer Info'!A4148,'Customer Info'!A4148:C4647,2,FALSE),"Not Found")</f>
        <v>Not Found</v>
      </c>
      <c r="H4156" s="6" t="str">
        <f>IFERROR(VLOOKUP('Customer Info'!A4148,'Customer Info'!A4148:C4647,3,FALSE),"Not Found")</f>
        <v>Not Found</v>
      </c>
      <c r="I4156" s="6" t="str">
        <f>IFERROR(VLOOKUP('Customer Info'!A4148,'Customer Info'!A4148:E4647,5,FALSE),"Not Found")</f>
        <v>Not Found</v>
      </c>
      <c r="J4156" s="2">
        <v>2273</v>
      </c>
      <c r="K4156" s="2">
        <v>2229</v>
      </c>
      <c r="L4156" s="2">
        <v>2</v>
      </c>
      <c r="M4156" s="7">
        <f t="shared" si="320"/>
        <v>4458</v>
      </c>
      <c r="N4156" s="7">
        <f t="shared" si="321"/>
        <v>4546</v>
      </c>
      <c r="O4156" s="2">
        <v>81</v>
      </c>
      <c r="P4156" s="8">
        <f t="shared" si="322"/>
        <v>4627</v>
      </c>
      <c r="Q4156" s="8">
        <f t="shared" si="323"/>
        <v>2317</v>
      </c>
      <c r="R4156" s="2" t="s">
        <v>28</v>
      </c>
      <c r="S4156" s="9">
        <f t="shared" si="324"/>
        <v>92.54</v>
      </c>
    </row>
    <row r="4157" spans="1:19" x14ac:dyDescent="0.3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str">
        <f>IFERROR(VLOOKUP('Customer Info'!A4149,'Customer Info'!A4149:C4648,2,FALSE),"Not Found")</f>
        <v>Not Found</v>
      </c>
      <c r="H4157" s="6" t="str">
        <f>IFERROR(VLOOKUP('Customer Info'!A4149,'Customer Info'!A4149:C4648,3,FALSE),"Not Found")</f>
        <v>Not Found</v>
      </c>
      <c r="I4157" s="6" t="str">
        <f>IFERROR(VLOOKUP('Customer Info'!A4149,'Customer Info'!A4149:E4648,5,FALSE),"Not Found")</f>
        <v>Not Found</v>
      </c>
      <c r="J4157" s="2">
        <v>25658</v>
      </c>
      <c r="K4157" s="2">
        <v>24466</v>
      </c>
      <c r="L4157" s="2">
        <v>7</v>
      </c>
      <c r="M4157" s="7">
        <f t="shared" si="320"/>
        <v>171262</v>
      </c>
      <c r="N4157" s="7">
        <f t="shared" si="321"/>
        <v>179606</v>
      </c>
      <c r="O4157" s="2">
        <v>94</v>
      </c>
      <c r="P4157" s="8">
        <f t="shared" si="322"/>
        <v>179700</v>
      </c>
      <c r="Q4157" s="8">
        <f t="shared" si="323"/>
        <v>155140</v>
      </c>
      <c r="R4157" s="2" t="s">
        <v>28</v>
      </c>
      <c r="S4157" s="9">
        <f t="shared" si="324"/>
        <v>21564</v>
      </c>
    </row>
    <row r="4158" spans="1:19" x14ac:dyDescent="0.3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str">
        <f>IFERROR(VLOOKUP('Customer Info'!A4150,'Customer Info'!A4150:C4649,2,FALSE),"Not Found")</f>
        <v>Not Found</v>
      </c>
      <c r="H4158" s="6" t="str">
        <f>IFERROR(VLOOKUP('Customer Info'!A4150,'Customer Info'!A4150:C4649,3,FALSE),"Not Found")</f>
        <v>Not Found</v>
      </c>
      <c r="I4158" s="6" t="str">
        <f>IFERROR(VLOOKUP('Customer Info'!A4150,'Customer Info'!A4150:E4649,5,FALSE),"Not Found")</f>
        <v>Not Found</v>
      </c>
      <c r="J4158" s="2">
        <v>8686</v>
      </c>
      <c r="K4158" s="2">
        <v>8035</v>
      </c>
      <c r="L4158" s="2">
        <v>6</v>
      </c>
      <c r="M4158" s="7">
        <f t="shared" si="320"/>
        <v>48210</v>
      </c>
      <c r="N4158" s="7">
        <f t="shared" si="321"/>
        <v>52116</v>
      </c>
      <c r="O4158" s="2">
        <v>40</v>
      </c>
      <c r="P4158" s="8">
        <f t="shared" si="322"/>
        <v>52156</v>
      </c>
      <c r="Q4158" s="8">
        <f t="shared" si="323"/>
        <v>44081</v>
      </c>
      <c r="R4158" s="2" t="s">
        <v>28</v>
      </c>
      <c r="S4158" s="9">
        <f t="shared" si="324"/>
        <v>4694.04</v>
      </c>
    </row>
    <row r="4159" spans="1:19" x14ac:dyDescent="0.3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str">
        <f>IFERROR(VLOOKUP('Customer Info'!A4151,'Customer Info'!A4151:C4650,2,FALSE),"Not Found")</f>
        <v>Not Found</v>
      </c>
      <c r="H4159" s="6" t="str">
        <f>IFERROR(VLOOKUP('Customer Info'!A4151,'Customer Info'!A4151:C4650,3,FALSE),"Not Found")</f>
        <v>Not Found</v>
      </c>
      <c r="I4159" s="6" t="str">
        <f>IFERROR(VLOOKUP('Customer Info'!A4151,'Customer Info'!A4151:E4650,5,FALSE),"Not Found")</f>
        <v>Not Found</v>
      </c>
      <c r="J4159" s="2">
        <v>445</v>
      </c>
      <c r="K4159" s="2">
        <v>415</v>
      </c>
      <c r="L4159" s="2">
        <v>3</v>
      </c>
      <c r="M4159" s="7">
        <f t="shared" si="320"/>
        <v>1245</v>
      </c>
      <c r="N4159" s="7">
        <f t="shared" si="321"/>
        <v>1335</v>
      </c>
      <c r="O4159" s="2">
        <v>98</v>
      </c>
      <c r="P4159" s="8">
        <f t="shared" si="322"/>
        <v>1433</v>
      </c>
      <c r="Q4159" s="8">
        <f t="shared" si="323"/>
        <v>920</v>
      </c>
      <c r="R4159" s="2" t="s">
        <v>28</v>
      </c>
      <c r="S4159" s="9">
        <f t="shared" si="324"/>
        <v>28.66</v>
      </c>
    </row>
    <row r="4160" spans="1:19" x14ac:dyDescent="0.3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str">
        <f>IFERROR(VLOOKUP('Customer Info'!A4152,'Customer Info'!A4152:C4651,2,FALSE),"Not Found")</f>
        <v>Not Found</v>
      </c>
      <c r="H4160" s="6" t="str">
        <f>IFERROR(VLOOKUP('Customer Info'!A4152,'Customer Info'!A4152:C4651,3,FALSE),"Not Found")</f>
        <v>Not Found</v>
      </c>
      <c r="I4160" s="6" t="str">
        <f>IFERROR(VLOOKUP('Customer Info'!A4152,'Customer Info'!A4152:E4651,5,FALSE),"Not Found")</f>
        <v>Not Found</v>
      </c>
      <c r="J4160" s="2">
        <v>4577</v>
      </c>
      <c r="K4160" s="2">
        <v>4280</v>
      </c>
      <c r="L4160" s="2">
        <v>6</v>
      </c>
      <c r="M4160" s="7">
        <f t="shared" si="320"/>
        <v>25680</v>
      </c>
      <c r="N4160" s="7">
        <f t="shared" si="321"/>
        <v>27462</v>
      </c>
      <c r="O4160" s="2">
        <v>39</v>
      </c>
      <c r="P4160" s="8">
        <f t="shared" si="322"/>
        <v>27501</v>
      </c>
      <c r="Q4160" s="8">
        <f t="shared" si="323"/>
        <v>23182</v>
      </c>
      <c r="R4160" s="2" t="s">
        <v>50</v>
      </c>
      <c r="S4160" s="9">
        <f t="shared" si="324"/>
        <v>1925.0700000000002</v>
      </c>
    </row>
    <row r="4161" spans="1:19" x14ac:dyDescent="0.3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str">
        <f>IFERROR(VLOOKUP('Customer Info'!A4153,'Customer Info'!A4153:C4652,2,FALSE),"Not Found")</f>
        <v>Not Found</v>
      </c>
      <c r="H4161" s="6" t="str">
        <f>IFERROR(VLOOKUP('Customer Info'!A4153,'Customer Info'!A4153:C4652,3,FALSE),"Not Found")</f>
        <v>Not Found</v>
      </c>
      <c r="I4161" s="6" t="str">
        <f>IFERROR(VLOOKUP('Customer Info'!A4153,'Customer Info'!A4153:E4652,5,FALSE),"Not Found")</f>
        <v>Not Found</v>
      </c>
      <c r="J4161" s="2">
        <v>170</v>
      </c>
      <c r="K4161" s="2">
        <v>153</v>
      </c>
      <c r="L4161" s="2">
        <v>2</v>
      </c>
      <c r="M4161" s="7">
        <f t="shared" si="320"/>
        <v>306</v>
      </c>
      <c r="N4161" s="7">
        <f t="shared" si="321"/>
        <v>340</v>
      </c>
      <c r="O4161" s="2">
        <v>30</v>
      </c>
      <c r="P4161" s="8">
        <f t="shared" si="322"/>
        <v>370</v>
      </c>
      <c r="Q4161" s="8">
        <f t="shared" si="323"/>
        <v>187</v>
      </c>
      <c r="R4161" s="2" t="s">
        <v>28</v>
      </c>
      <c r="S4161" s="9">
        <f t="shared" si="324"/>
        <v>7.4</v>
      </c>
    </row>
    <row r="4162" spans="1:19" x14ac:dyDescent="0.3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str">
        <f>IFERROR(VLOOKUP('Customer Info'!A4154,'Customer Info'!A4154:C4653,2,FALSE),"Not Found")</f>
        <v>Not Found</v>
      </c>
      <c r="H4162" s="6" t="str">
        <f>IFERROR(VLOOKUP('Customer Info'!A4154,'Customer Info'!A4154:C4653,3,FALSE),"Not Found")</f>
        <v>Not Found</v>
      </c>
      <c r="I4162" s="6" t="str">
        <f>IFERROR(VLOOKUP('Customer Info'!A4154,'Customer Info'!A4154:E4653,5,FALSE),"Not Found")</f>
        <v>Not Found</v>
      </c>
      <c r="J4162" s="2">
        <v>2551</v>
      </c>
      <c r="K4162" s="2">
        <v>2456</v>
      </c>
      <c r="L4162" s="2">
        <v>3</v>
      </c>
      <c r="M4162" s="7">
        <f t="shared" si="320"/>
        <v>7368</v>
      </c>
      <c r="N4162" s="7">
        <f t="shared" si="321"/>
        <v>7653</v>
      </c>
      <c r="O4162" s="2">
        <v>27</v>
      </c>
      <c r="P4162" s="8">
        <f t="shared" si="322"/>
        <v>7680</v>
      </c>
      <c r="Q4162" s="8">
        <f t="shared" si="323"/>
        <v>5197</v>
      </c>
      <c r="R4162" s="2" t="s">
        <v>50</v>
      </c>
      <c r="S4162" s="9">
        <f t="shared" si="324"/>
        <v>384</v>
      </c>
    </row>
    <row r="4163" spans="1:19" x14ac:dyDescent="0.3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str">
        <f>IFERROR(VLOOKUP('Customer Info'!A4155,'Customer Info'!A4155:C4654,2,FALSE),"Not Found")</f>
        <v>Not Found</v>
      </c>
      <c r="H4163" s="6" t="str">
        <f>IFERROR(VLOOKUP('Customer Info'!A4155,'Customer Info'!A4155:C4654,3,FALSE),"Not Found")</f>
        <v>Not Found</v>
      </c>
      <c r="I4163" s="6" t="str">
        <f>IFERROR(VLOOKUP('Customer Info'!A4155,'Customer Info'!A4155:E4654,5,FALSE),"Not Found")</f>
        <v>Not Found</v>
      </c>
      <c r="J4163" s="2">
        <v>1358</v>
      </c>
      <c r="K4163" s="2">
        <v>1294</v>
      </c>
      <c r="L4163" s="2">
        <v>3</v>
      </c>
      <c r="M4163" s="7">
        <f t="shared" si="320"/>
        <v>3882</v>
      </c>
      <c r="N4163" s="7">
        <f t="shared" si="321"/>
        <v>4074</v>
      </c>
      <c r="O4163" s="2">
        <v>90</v>
      </c>
      <c r="P4163" s="8">
        <f t="shared" si="322"/>
        <v>4164</v>
      </c>
      <c r="Q4163" s="8">
        <f t="shared" si="323"/>
        <v>2780</v>
      </c>
      <c r="R4163" s="2" t="s">
        <v>28</v>
      </c>
      <c r="S4163" s="9">
        <f t="shared" si="324"/>
        <v>83.28</v>
      </c>
    </row>
    <row r="4164" spans="1:19" x14ac:dyDescent="0.3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str">
        <f>IFERROR(VLOOKUP('Customer Info'!A4156,'Customer Info'!A4156:C4655,2,FALSE),"Not Found")</f>
        <v>Not Found</v>
      </c>
      <c r="H4164" s="6" t="str">
        <f>IFERROR(VLOOKUP('Customer Info'!A4156,'Customer Info'!A4156:C4655,3,FALSE),"Not Found")</f>
        <v>Not Found</v>
      </c>
      <c r="I4164" s="6" t="str">
        <f>IFERROR(VLOOKUP('Customer Info'!A4156,'Customer Info'!A4156:E4655,5,FALSE),"Not Found")</f>
        <v>Not Found</v>
      </c>
      <c r="J4164" s="2">
        <v>5894</v>
      </c>
      <c r="K4164" s="2">
        <v>5621</v>
      </c>
      <c r="L4164" s="2">
        <v>2</v>
      </c>
      <c r="M4164" s="7">
        <f t="shared" si="320"/>
        <v>11242</v>
      </c>
      <c r="N4164" s="7">
        <f t="shared" si="321"/>
        <v>11788</v>
      </c>
      <c r="O4164" s="2">
        <v>67</v>
      </c>
      <c r="P4164" s="8">
        <f t="shared" si="322"/>
        <v>11855</v>
      </c>
      <c r="Q4164" s="8">
        <f t="shared" si="323"/>
        <v>6167</v>
      </c>
      <c r="R4164" s="2" t="s">
        <v>28</v>
      </c>
      <c r="S4164" s="9">
        <f t="shared" si="324"/>
        <v>592.75</v>
      </c>
    </row>
    <row r="4165" spans="1:19" x14ac:dyDescent="0.3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str">
        <f>IFERROR(VLOOKUP('Customer Info'!A4157,'Customer Info'!A4157:C4656,2,FALSE),"Not Found")</f>
        <v>Not Found</v>
      </c>
      <c r="H4165" s="6" t="str">
        <f>IFERROR(VLOOKUP('Customer Info'!A4157,'Customer Info'!A4157:C4656,3,FALSE),"Not Found")</f>
        <v>Not Found</v>
      </c>
      <c r="I4165" s="6" t="str">
        <f>IFERROR(VLOOKUP('Customer Info'!A4157,'Customer Info'!A4157:E4656,5,FALSE),"Not Found")</f>
        <v>Not Found</v>
      </c>
      <c r="J4165" s="2">
        <v>495</v>
      </c>
      <c r="K4165" s="2">
        <v>458</v>
      </c>
      <c r="L4165" s="2">
        <v>2</v>
      </c>
      <c r="M4165" s="7">
        <f t="shared" si="320"/>
        <v>916</v>
      </c>
      <c r="N4165" s="7">
        <f t="shared" si="321"/>
        <v>990</v>
      </c>
      <c r="O4165" s="2">
        <v>44</v>
      </c>
      <c r="P4165" s="8">
        <f t="shared" si="322"/>
        <v>1034</v>
      </c>
      <c r="Q4165" s="8">
        <f t="shared" si="323"/>
        <v>532</v>
      </c>
      <c r="R4165" s="2" t="s">
        <v>28</v>
      </c>
      <c r="S4165" s="9">
        <f t="shared" si="324"/>
        <v>20.68</v>
      </c>
    </row>
    <row r="4166" spans="1:19" x14ac:dyDescent="0.3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str">
        <f>IFERROR(VLOOKUP('Customer Info'!A4158,'Customer Info'!A4158:C4657,2,FALSE),"Not Found")</f>
        <v>Not Found</v>
      </c>
      <c r="H4166" s="6" t="str">
        <f>IFERROR(VLOOKUP('Customer Info'!A4158,'Customer Info'!A4158:C4657,3,FALSE),"Not Found")</f>
        <v>Not Found</v>
      </c>
      <c r="I4166" s="6" t="str">
        <f>IFERROR(VLOOKUP('Customer Info'!A4158,'Customer Info'!A4158:E4657,5,FALSE),"Not Found")</f>
        <v>Not Found</v>
      </c>
      <c r="J4166" s="2">
        <v>2177</v>
      </c>
      <c r="K4166" s="2">
        <v>2054</v>
      </c>
      <c r="L4166" s="2">
        <v>6</v>
      </c>
      <c r="M4166" s="7">
        <f t="shared" si="320"/>
        <v>12324</v>
      </c>
      <c r="N4166" s="7">
        <f t="shared" si="321"/>
        <v>13062</v>
      </c>
      <c r="O4166" s="2">
        <v>57</v>
      </c>
      <c r="P4166" s="8">
        <f t="shared" si="322"/>
        <v>13119</v>
      </c>
      <c r="Q4166" s="8">
        <f t="shared" si="323"/>
        <v>11008</v>
      </c>
      <c r="R4166" s="2" t="s">
        <v>50</v>
      </c>
      <c r="S4166" s="9">
        <f t="shared" si="324"/>
        <v>655.95</v>
      </c>
    </row>
    <row r="4167" spans="1:19" x14ac:dyDescent="0.3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str">
        <f>IFERROR(VLOOKUP('Customer Info'!A4159,'Customer Info'!A4159:C4658,2,FALSE),"Not Found")</f>
        <v>Not Found</v>
      </c>
      <c r="H4167" s="6" t="str">
        <f>IFERROR(VLOOKUP('Customer Info'!A4159,'Customer Info'!A4159:C4658,3,FALSE),"Not Found")</f>
        <v>Not Found</v>
      </c>
      <c r="I4167" s="6" t="str">
        <f>IFERROR(VLOOKUP('Customer Info'!A4159,'Customer Info'!A4159:E4658,5,FALSE),"Not Found")</f>
        <v>Not Found</v>
      </c>
      <c r="J4167" s="2">
        <v>1718</v>
      </c>
      <c r="K4167" s="2">
        <v>1545</v>
      </c>
      <c r="L4167" s="2">
        <v>3</v>
      </c>
      <c r="M4167" s="7">
        <f t="shared" si="320"/>
        <v>4635</v>
      </c>
      <c r="N4167" s="7">
        <f t="shared" si="321"/>
        <v>5154</v>
      </c>
      <c r="O4167" s="2">
        <v>46</v>
      </c>
      <c r="P4167" s="8">
        <f t="shared" si="322"/>
        <v>5200</v>
      </c>
      <c r="Q4167" s="8">
        <f t="shared" si="323"/>
        <v>3609</v>
      </c>
      <c r="R4167" s="2" t="s">
        <v>50</v>
      </c>
      <c r="S4167" s="9">
        <f t="shared" si="324"/>
        <v>260</v>
      </c>
    </row>
    <row r="4168" spans="1:19" x14ac:dyDescent="0.3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str">
        <f>IFERROR(VLOOKUP('Customer Info'!A4160,'Customer Info'!A4160:C4659,2,FALSE),"Not Found")</f>
        <v>Not Found</v>
      </c>
      <c r="H4168" s="6" t="str">
        <f>IFERROR(VLOOKUP('Customer Info'!A4160,'Customer Info'!A4160:C4659,3,FALSE),"Not Found")</f>
        <v>Not Found</v>
      </c>
      <c r="I4168" s="6" t="str">
        <f>IFERROR(VLOOKUP('Customer Info'!A4160,'Customer Info'!A4160:E4659,5,FALSE),"Not Found")</f>
        <v>Not Found</v>
      </c>
      <c r="J4168" s="2">
        <v>3275</v>
      </c>
      <c r="K4168" s="2">
        <v>3090</v>
      </c>
      <c r="L4168" s="2">
        <v>2</v>
      </c>
      <c r="M4168" s="7">
        <f t="shared" si="320"/>
        <v>6180</v>
      </c>
      <c r="N4168" s="7">
        <f t="shared" si="321"/>
        <v>6550</v>
      </c>
      <c r="O4168" s="2">
        <v>21</v>
      </c>
      <c r="P4168" s="8">
        <f t="shared" si="322"/>
        <v>6571</v>
      </c>
      <c r="Q4168" s="8">
        <f t="shared" si="323"/>
        <v>3460</v>
      </c>
      <c r="R4168" s="2" t="s">
        <v>28</v>
      </c>
      <c r="S4168" s="9">
        <f t="shared" si="324"/>
        <v>328.55</v>
      </c>
    </row>
    <row r="4169" spans="1:19" x14ac:dyDescent="0.3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str">
        <f>IFERROR(VLOOKUP('Customer Info'!A4161,'Customer Info'!A4161:C4660,2,FALSE),"Not Found")</f>
        <v>Not Found</v>
      </c>
      <c r="H4169" s="6" t="str">
        <f>IFERROR(VLOOKUP('Customer Info'!A4161,'Customer Info'!A4161:C4660,3,FALSE),"Not Found")</f>
        <v>Not Found</v>
      </c>
      <c r="I4169" s="6" t="str">
        <f>IFERROR(VLOOKUP('Customer Info'!A4161,'Customer Info'!A4161:E4660,5,FALSE),"Not Found")</f>
        <v>Not Found</v>
      </c>
      <c r="J4169" s="2">
        <v>825</v>
      </c>
      <c r="K4169" s="2">
        <v>793</v>
      </c>
      <c r="L4169" s="2">
        <v>2</v>
      </c>
      <c r="M4169" s="7">
        <f t="shared" si="320"/>
        <v>1586</v>
      </c>
      <c r="N4169" s="7">
        <f t="shared" si="321"/>
        <v>1650</v>
      </c>
      <c r="O4169" s="2">
        <v>50</v>
      </c>
      <c r="P4169" s="8">
        <f t="shared" si="322"/>
        <v>1700</v>
      </c>
      <c r="Q4169" s="8">
        <f t="shared" si="323"/>
        <v>857</v>
      </c>
      <c r="R4169" s="2" t="s">
        <v>28</v>
      </c>
      <c r="S4169" s="9">
        <f t="shared" si="324"/>
        <v>34</v>
      </c>
    </row>
    <row r="4170" spans="1:19" x14ac:dyDescent="0.3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str">
        <f>IFERROR(VLOOKUP('Customer Info'!A4162,'Customer Info'!A4162:C4661,2,FALSE),"Not Found")</f>
        <v>Not Found</v>
      </c>
      <c r="H4170" s="6" t="str">
        <f>IFERROR(VLOOKUP('Customer Info'!A4162,'Customer Info'!A4162:C4661,3,FALSE),"Not Found")</f>
        <v>Not Found</v>
      </c>
      <c r="I4170" s="6" t="str">
        <f>IFERROR(VLOOKUP('Customer Info'!A4162,'Customer Info'!A4162:E4661,5,FALSE),"Not Found")</f>
        <v>Not Found</v>
      </c>
      <c r="J4170" s="2">
        <v>666</v>
      </c>
      <c r="K4170" s="2">
        <v>641</v>
      </c>
      <c r="L4170" s="2">
        <v>2</v>
      </c>
      <c r="M4170" s="7">
        <f t="shared" si="320"/>
        <v>1282</v>
      </c>
      <c r="N4170" s="7">
        <f t="shared" si="321"/>
        <v>1332</v>
      </c>
      <c r="O4170" s="2">
        <v>74</v>
      </c>
      <c r="P4170" s="8">
        <f t="shared" si="322"/>
        <v>1406</v>
      </c>
      <c r="Q4170" s="8">
        <f t="shared" si="323"/>
        <v>691</v>
      </c>
      <c r="R4170" s="2" t="s">
        <v>28</v>
      </c>
      <c r="S4170" s="9">
        <f t="shared" si="324"/>
        <v>28.12</v>
      </c>
    </row>
    <row r="4171" spans="1:19" x14ac:dyDescent="0.3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str">
        <f>IFERROR(VLOOKUP('Customer Info'!A4163,'Customer Info'!A4163:C4662,2,FALSE),"Not Found")</f>
        <v>Not Found</v>
      </c>
      <c r="H4171" s="6" t="str">
        <f>IFERROR(VLOOKUP('Customer Info'!A4163,'Customer Info'!A4163:C4662,3,FALSE),"Not Found")</f>
        <v>Not Found</v>
      </c>
      <c r="I4171" s="6" t="str">
        <f>IFERROR(VLOOKUP('Customer Info'!A4163,'Customer Info'!A4163:E4662,5,FALSE),"Not Found")</f>
        <v>Not Found</v>
      </c>
      <c r="J4171" s="2">
        <v>1564</v>
      </c>
      <c r="K4171" s="2">
        <v>1420</v>
      </c>
      <c r="L4171" s="2">
        <v>1</v>
      </c>
      <c r="M4171" s="7">
        <f t="shared" ref="M4171:M4234" si="325">$K4171*$L4171</f>
        <v>1420</v>
      </c>
      <c r="N4171" s="7">
        <f t="shared" ref="N4171:N4234" si="326">$J4171*$L4171</f>
        <v>1564</v>
      </c>
      <c r="O4171" s="2">
        <v>57</v>
      </c>
      <c r="P4171" s="8">
        <f t="shared" ref="P4171:P4234" si="327">$N4171+$O4171</f>
        <v>1621</v>
      </c>
      <c r="Q4171" s="8">
        <f t="shared" ref="Q4171:Q4234" si="328">$N4171-$K4171</f>
        <v>144</v>
      </c>
      <c r="R4171" s="2" t="s">
        <v>28</v>
      </c>
      <c r="S4171" s="9">
        <f t="shared" ref="S4171:S4234" si="329" xml:space="preserve"> P4171 * VLOOKUP(P4171, $T$2:$U$6, 2, TRUE)</f>
        <v>32.42</v>
      </c>
    </row>
    <row r="4172" spans="1:19" x14ac:dyDescent="0.3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str">
        <f>IFERROR(VLOOKUP('Customer Info'!A4164,'Customer Info'!A4164:C4663,2,FALSE),"Not Found")</f>
        <v>Not Found</v>
      </c>
      <c r="H4172" s="6" t="str">
        <f>IFERROR(VLOOKUP('Customer Info'!A4164,'Customer Info'!A4164:C4663,3,FALSE),"Not Found")</f>
        <v>Not Found</v>
      </c>
      <c r="I4172" s="6" t="str">
        <f>IFERROR(VLOOKUP('Customer Info'!A4164,'Customer Info'!A4164:E4663,5,FALSE),"Not Found")</f>
        <v>Not Found</v>
      </c>
      <c r="J4172" s="2">
        <v>882</v>
      </c>
      <c r="K4172" s="2">
        <v>818</v>
      </c>
      <c r="L4172" s="2">
        <v>1</v>
      </c>
      <c r="M4172" s="7">
        <f t="shared" si="325"/>
        <v>818</v>
      </c>
      <c r="N4172" s="7">
        <f t="shared" si="326"/>
        <v>882</v>
      </c>
      <c r="O4172" s="2">
        <v>56</v>
      </c>
      <c r="P4172" s="8">
        <f t="shared" si="327"/>
        <v>938</v>
      </c>
      <c r="Q4172" s="8">
        <f t="shared" si="328"/>
        <v>64</v>
      </c>
      <c r="R4172" s="2" t="s">
        <v>28</v>
      </c>
      <c r="S4172" s="9">
        <f t="shared" si="329"/>
        <v>18.760000000000002</v>
      </c>
    </row>
    <row r="4173" spans="1:19" x14ac:dyDescent="0.3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str">
        <f>IFERROR(VLOOKUP('Customer Info'!A4165,'Customer Info'!A4165:C4664,2,FALSE),"Not Found")</f>
        <v>Not Found</v>
      </c>
      <c r="H4173" s="6" t="str">
        <f>IFERROR(VLOOKUP('Customer Info'!A4165,'Customer Info'!A4165:C4664,3,FALSE),"Not Found")</f>
        <v>Not Found</v>
      </c>
      <c r="I4173" s="6" t="str">
        <f>IFERROR(VLOOKUP('Customer Info'!A4165,'Customer Info'!A4165:E4664,5,FALSE),"Not Found")</f>
        <v>Not Found</v>
      </c>
      <c r="J4173" s="2">
        <v>1321</v>
      </c>
      <c r="K4173" s="2">
        <v>1211</v>
      </c>
      <c r="L4173" s="2">
        <v>2</v>
      </c>
      <c r="M4173" s="7">
        <f t="shared" si="325"/>
        <v>2422</v>
      </c>
      <c r="N4173" s="7">
        <f t="shared" si="326"/>
        <v>2642</v>
      </c>
      <c r="O4173" s="2">
        <v>81</v>
      </c>
      <c r="P4173" s="8">
        <f t="shared" si="327"/>
        <v>2723</v>
      </c>
      <c r="Q4173" s="8">
        <f t="shared" si="328"/>
        <v>1431</v>
      </c>
      <c r="R4173" s="2" t="s">
        <v>50</v>
      </c>
      <c r="S4173" s="9">
        <f t="shared" si="329"/>
        <v>54.46</v>
      </c>
    </row>
    <row r="4174" spans="1:19" x14ac:dyDescent="0.3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str">
        <f>IFERROR(VLOOKUP('Customer Info'!A4166,'Customer Info'!A4166:C4665,2,FALSE),"Not Found")</f>
        <v>Not Found</v>
      </c>
      <c r="H4174" s="6" t="str">
        <f>IFERROR(VLOOKUP('Customer Info'!A4166,'Customer Info'!A4166:C4665,3,FALSE),"Not Found")</f>
        <v>Not Found</v>
      </c>
      <c r="I4174" s="6" t="str">
        <f>IFERROR(VLOOKUP('Customer Info'!A4166,'Customer Info'!A4166:E4665,5,FALSE),"Not Found")</f>
        <v>Not Found</v>
      </c>
      <c r="J4174" s="2">
        <v>7508</v>
      </c>
      <c r="K4174" s="2">
        <v>6956</v>
      </c>
      <c r="L4174" s="2">
        <v>2</v>
      </c>
      <c r="M4174" s="7">
        <f t="shared" si="325"/>
        <v>13912</v>
      </c>
      <c r="N4174" s="7">
        <f t="shared" si="326"/>
        <v>15016</v>
      </c>
      <c r="O4174" s="2">
        <v>28</v>
      </c>
      <c r="P4174" s="8">
        <f t="shared" si="327"/>
        <v>15044</v>
      </c>
      <c r="Q4174" s="8">
        <f t="shared" si="328"/>
        <v>8060</v>
      </c>
      <c r="R4174" s="2" t="s">
        <v>50</v>
      </c>
      <c r="S4174" s="9">
        <f t="shared" si="329"/>
        <v>752.2</v>
      </c>
    </row>
    <row r="4175" spans="1:19" x14ac:dyDescent="0.3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str">
        <f>IFERROR(VLOOKUP('Customer Info'!A4167,'Customer Info'!A4167:C4666,2,FALSE),"Not Found")</f>
        <v>Not Found</v>
      </c>
      <c r="H4175" s="6" t="str">
        <f>IFERROR(VLOOKUP('Customer Info'!A4167,'Customer Info'!A4167:C4666,3,FALSE),"Not Found")</f>
        <v>Not Found</v>
      </c>
      <c r="I4175" s="6" t="str">
        <f>IFERROR(VLOOKUP('Customer Info'!A4167,'Customer Info'!A4167:E4666,5,FALSE),"Not Found")</f>
        <v>Not Found</v>
      </c>
      <c r="J4175" s="2">
        <v>2453</v>
      </c>
      <c r="K4175" s="2">
        <v>2336</v>
      </c>
      <c r="L4175" s="2">
        <v>6</v>
      </c>
      <c r="M4175" s="7">
        <f t="shared" si="325"/>
        <v>14016</v>
      </c>
      <c r="N4175" s="7">
        <f t="shared" si="326"/>
        <v>14718</v>
      </c>
      <c r="O4175" s="2">
        <v>98</v>
      </c>
      <c r="P4175" s="8">
        <f t="shared" si="327"/>
        <v>14816</v>
      </c>
      <c r="Q4175" s="8">
        <f t="shared" si="328"/>
        <v>12382</v>
      </c>
      <c r="R4175" s="2" t="s">
        <v>28</v>
      </c>
      <c r="S4175" s="9">
        <f t="shared" si="329"/>
        <v>740.80000000000007</v>
      </c>
    </row>
    <row r="4176" spans="1:19" x14ac:dyDescent="0.3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str">
        <f>IFERROR(VLOOKUP('Customer Info'!A4168,'Customer Info'!A4168:C4667,2,FALSE),"Not Found")</f>
        <v>Not Found</v>
      </c>
      <c r="H4176" s="6" t="str">
        <f>IFERROR(VLOOKUP('Customer Info'!A4168,'Customer Info'!A4168:C4667,3,FALSE),"Not Found")</f>
        <v>Not Found</v>
      </c>
      <c r="I4176" s="6" t="str">
        <f>IFERROR(VLOOKUP('Customer Info'!A4168,'Customer Info'!A4168:E4667,5,FALSE),"Not Found")</f>
        <v>Not Found</v>
      </c>
      <c r="J4176" s="2">
        <v>6337</v>
      </c>
      <c r="K4176" s="2">
        <v>6215</v>
      </c>
      <c r="L4176" s="2">
        <v>5</v>
      </c>
      <c r="M4176" s="7">
        <f t="shared" si="325"/>
        <v>31075</v>
      </c>
      <c r="N4176" s="7">
        <f t="shared" si="326"/>
        <v>31685</v>
      </c>
      <c r="O4176" s="2">
        <v>68</v>
      </c>
      <c r="P4176" s="8">
        <f t="shared" si="327"/>
        <v>31753</v>
      </c>
      <c r="Q4176" s="8">
        <f t="shared" si="328"/>
        <v>25470</v>
      </c>
      <c r="R4176" s="2" t="s">
        <v>28</v>
      </c>
      <c r="S4176" s="9">
        <f t="shared" si="329"/>
        <v>2222.71</v>
      </c>
    </row>
    <row r="4177" spans="1:19" x14ac:dyDescent="0.3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str">
        <f>IFERROR(VLOOKUP('Customer Info'!A4169,'Customer Info'!A4169:C4668,2,FALSE),"Not Found")</f>
        <v>Not Found</v>
      </c>
      <c r="H4177" s="6" t="str">
        <f>IFERROR(VLOOKUP('Customer Info'!A4169,'Customer Info'!A4169:C4668,3,FALSE),"Not Found")</f>
        <v>Not Found</v>
      </c>
      <c r="I4177" s="6" t="str">
        <f>IFERROR(VLOOKUP('Customer Info'!A4169,'Customer Info'!A4169:E4668,5,FALSE),"Not Found")</f>
        <v>Not Found</v>
      </c>
      <c r="J4177" s="2">
        <v>726</v>
      </c>
      <c r="K4177" s="2">
        <v>646</v>
      </c>
      <c r="L4177" s="2">
        <v>5</v>
      </c>
      <c r="M4177" s="7">
        <f t="shared" si="325"/>
        <v>3230</v>
      </c>
      <c r="N4177" s="7">
        <f t="shared" si="326"/>
        <v>3630</v>
      </c>
      <c r="O4177" s="2">
        <v>94</v>
      </c>
      <c r="P4177" s="8">
        <f t="shared" si="327"/>
        <v>3724</v>
      </c>
      <c r="Q4177" s="8">
        <f t="shared" si="328"/>
        <v>2984</v>
      </c>
      <c r="R4177" s="2" t="s">
        <v>28</v>
      </c>
      <c r="S4177" s="9">
        <f t="shared" si="329"/>
        <v>74.48</v>
      </c>
    </row>
    <row r="4178" spans="1:19" x14ac:dyDescent="0.3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str">
        <f>IFERROR(VLOOKUP('Customer Info'!A4170,'Customer Info'!A4170:C4669,2,FALSE),"Not Found")</f>
        <v>Not Found</v>
      </c>
      <c r="H4178" s="6" t="str">
        <f>IFERROR(VLOOKUP('Customer Info'!A4170,'Customer Info'!A4170:C4669,3,FALSE),"Not Found")</f>
        <v>Not Found</v>
      </c>
      <c r="I4178" s="6" t="str">
        <f>IFERROR(VLOOKUP('Customer Info'!A4170,'Customer Info'!A4170:E4669,5,FALSE),"Not Found")</f>
        <v>Not Found</v>
      </c>
      <c r="J4178" s="2">
        <v>28522</v>
      </c>
      <c r="K4178" s="2">
        <v>26384</v>
      </c>
      <c r="L4178" s="2">
        <v>2</v>
      </c>
      <c r="M4178" s="7">
        <f t="shared" si="325"/>
        <v>52768</v>
      </c>
      <c r="N4178" s="7">
        <f t="shared" si="326"/>
        <v>57044</v>
      </c>
      <c r="O4178" s="2">
        <v>79</v>
      </c>
      <c r="P4178" s="8">
        <f t="shared" si="327"/>
        <v>57123</v>
      </c>
      <c r="Q4178" s="8">
        <f t="shared" si="328"/>
        <v>30660</v>
      </c>
      <c r="R4178" s="2" t="s">
        <v>28</v>
      </c>
      <c r="S4178" s="9">
        <f t="shared" si="329"/>
        <v>5141.07</v>
      </c>
    </row>
    <row r="4179" spans="1:19" x14ac:dyDescent="0.3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str">
        <f>IFERROR(VLOOKUP('Customer Info'!A4171,'Customer Info'!A4171:C4670,2,FALSE),"Not Found")</f>
        <v>Not Found</v>
      </c>
      <c r="H4179" s="6" t="str">
        <f>IFERROR(VLOOKUP('Customer Info'!A4171,'Customer Info'!A4171:C4670,3,FALSE),"Not Found")</f>
        <v>Not Found</v>
      </c>
      <c r="I4179" s="6" t="str">
        <f>IFERROR(VLOOKUP('Customer Info'!A4171,'Customer Info'!A4171:E4670,5,FALSE),"Not Found")</f>
        <v>Not Found</v>
      </c>
      <c r="J4179" s="2">
        <v>96</v>
      </c>
      <c r="K4179" s="2">
        <v>87</v>
      </c>
      <c r="L4179" s="2">
        <v>2</v>
      </c>
      <c r="M4179" s="7">
        <f t="shared" si="325"/>
        <v>174</v>
      </c>
      <c r="N4179" s="7">
        <f t="shared" si="326"/>
        <v>192</v>
      </c>
      <c r="O4179" s="2">
        <v>10</v>
      </c>
      <c r="P4179" s="8">
        <f t="shared" si="327"/>
        <v>202</v>
      </c>
      <c r="Q4179" s="8">
        <f t="shared" si="328"/>
        <v>105</v>
      </c>
      <c r="R4179" s="2" t="s">
        <v>28</v>
      </c>
      <c r="S4179" s="9">
        <f t="shared" si="329"/>
        <v>4.04</v>
      </c>
    </row>
    <row r="4180" spans="1:19" x14ac:dyDescent="0.3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str">
        <f>IFERROR(VLOOKUP('Customer Info'!A4172,'Customer Info'!A4172:C4671,2,FALSE),"Not Found")</f>
        <v>Not Found</v>
      </c>
      <c r="H4180" s="6" t="str">
        <f>IFERROR(VLOOKUP('Customer Info'!A4172,'Customer Info'!A4172:C4671,3,FALSE),"Not Found")</f>
        <v>Not Found</v>
      </c>
      <c r="I4180" s="6" t="str">
        <f>IFERROR(VLOOKUP('Customer Info'!A4172,'Customer Info'!A4172:E4671,5,FALSE),"Not Found")</f>
        <v>Not Found</v>
      </c>
      <c r="J4180" s="2">
        <v>9033</v>
      </c>
      <c r="K4180" s="2">
        <v>8132</v>
      </c>
      <c r="L4180" s="2">
        <v>14</v>
      </c>
      <c r="M4180" s="7">
        <f t="shared" si="325"/>
        <v>113848</v>
      </c>
      <c r="N4180" s="7">
        <f t="shared" si="326"/>
        <v>126462</v>
      </c>
      <c r="O4180" s="2">
        <v>94</v>
      </c>
      <c r="P4180" s="8">
        <f t="shared" si="327"/>
        <v>126556</v>
      </c>
      <c r="Q4180" s="8">
        <f t="shared" si="328"/>
        <v>118330</v>
      </c>
      <c r="R4180" s="2" t="s">
        <v>56</v>
      </c>
      <c r="S4180" s="9">
        <f t="shared" si="329"/>
        <v>15186.72</v>
      </c>
    </row>
    <row r="4181" spans="1:19" x14ac:dyDescent="0.3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str">
        <f>IFERROR(VLOOKUP('Customer Info'!A4173,'Customer Info'!A4173:C4672,2,FALSE),"Not Found")</f>
        <v>Not Found</v>
      </c>
      <c r="H4181" s="6" t="str">
        <f>IFERROR(VLOOKUP('Customer Info'!A4173,'Customer Info'!A4173:C4672,3,FALSE),"Not Found")</f>
        <v>Not Found</v>
      </c>
      <c r="I4181" s="6" t="str">
        <f>IFERROR(VLOOKUP('Customer Info'!A4173,'Customer Info'!A4173:E4672,5,FALSE),"Not Found")</f>
        <v>Not Found</v>
      </c>
      <c r="J4181" s="2">
        <v>7534</v>
      </c>
      <c r="K4181" s="2">
        <v>7106</v>
      </c>
      <c r="L4181" s="2">
        <v>5</v>
      </c>
      <c r="M4181" s="7">
        <f t="shared" si="325"/>
        <v>35530</v>
      </c>
      <c r="N4181" s="7">
        <f t="shared" si="326"/>
        <v>37670</v>
      </c>
      <c r="O4181" s="2">
        <v>85</v>
      </c>
      <c r="P4181" s="8">
        <f t="shared" si="327"/>
        <v>37755</v>
      </c>
      <c r="Q4181" s="8">
        <f t="shared" si="328"/>
        <v>30564</v>
      </c>
      <c r="R4181" s="2" t="s">
        <v>28</v>
      </c>
      <c r="S4181" s="9">
        <f t="shared" si="329"/>
        <v>2642.8500000000004</v>
      </c>
    </row>
    <row r="4182" spans="1:19" x14ac:dyDescent="0.3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str">
        <f>IFERROR(VLOOKUP('Customer Info'!A4174,'Customer Info'!A4174:C4673,2,FALSE),"Not Found")</f>
        <v>Not Found</v>
      </c>
      <c r="H4182" s="6" t="str">
        <f>IFERROR(VLOOKUP('Customer Info'!A4174,'Customer Info'!A4174:C4673,3,FALSE),"Not Found")</f>
        <v>Not Found</v>
      </c>
      <c r="I4182" s="6" t="str">
        <f>IFERROR(VLOOKUP('Customer Info'!A4174,'Customer Info'!A4174:E4673,5,FALSE),"Not Found")</f>
        <v>Not Found</v>
      </c>
      <c r="J4182" s="2">
        <v>693</v>
      </c>
      <c r="K4182" s="2">
        <v>667</v>
      </c>
      <c r="L4182" s="2">
        <v>7</v>
      </c>
      <c r="M4182" s="7">
        <f t="shared" si="325"/>
        <v>4669</v>
      </c>
      <c r="N4182" s="7">
        <f t="shared" si="326"/>
        <v>4851</v>
      </c>
      <c r="O4182" s="2">
        <v>93</v>
      </c>
      <c r="P4182" s="8">
        <f t="shared" si="327"/>
        <v>4944</v>
      </c>
      <c r="Q4182" s="8">
        <f t="shared" si="328"/>
        <v>4184</v>
      </c>
      <c r="R4182" s="2" t="s">
        <v>28</v>
      </c>
      <c r="S4182" s="9">
        <f t="shared" si="329"/>
        <v>98.88</v>
      </c>
    </row>
    <row r="4183" spans="1:19" x14ac:dyDescent="0.3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str">
        <f>IFERROR(VLOOKUP('Customer Info'!A4175,'Customer Info'!A4175:C4674,2,FALSE),"Not Found")</f>
        <v>Not Found</v>
      </c>
      <c r="H4183" s="6" t="str">
        <f>IFERROR(VLOOKUP('Customer Info'!A4175,'Customer Info'!A4175:C4674,3,FALSE),"Not Found")</f>
        <v>Not Found</v>
      </c>
      <c r="I4183" s="6" t="str">
        <f>IFERROR(VLOOKUP('Customer Info'!A4175,'Customer Info'!A4175:E4674,5,FALSE),"Not Found")</f>
        <v>Not Found</v>
      </c>
      <c r="J4183" s="2">
        <v>222</v>
      </c>
      <c r="K4183" s="2">
        <v>204</v>
      </c>
      <c r="L4183" s="2">
        <v>5</v>
      </c>
      <c r="M4183" s="7">
        <f t="shared" si="325"/>
        <v>1020</v>
      </c>
      <c r="N4183" s="7">
        <f t="shared" si="326"/>
        <v>1110</v>
      </c>
      <c r="O4183" s="2">
        <v>32</v>
      </c>
      <c r="P4183" s="8">
        <f t="shared" si="327"/>
        <v>1142</v>
      </c>
      <c r="Q4183" s="8">
        <f t="shared" si="328"/>
        <v>906</v>
      </c>
      <c r="R4183" s="2" t="s">
        <v>28</v>
      </c>
      <c r="S4183" s="9">
        <f t="shared" si="329"/>
        <v>22.84</v>
      </c>
    </row>
    <row r="4184" spans="1:19" x14ac:dyDescent="0.3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str">
        <f>IFERROR(VLOOKUP('Customer Info'!A4176,'Customer Info'!A4176:C4675,2,FALSE),"Not Found")</f>
        <v>Not Found</v>
      </c>
      <c r="H4184" s="6" t="str">
        <f>IFERROR(VLOOKUP('Customer Info'!A4176,'Customer Info'!A4176:C4675,3,FALSE),"Not Found")</f>
        <v>Not Found</v>
      </c>
      <c r="I4184" s="6" t="str">
        <f>IFERROR(VLOOKUP('Customer Info'!A4176,'Customer Info'!A4176:E4675,5,FALSE),"Not Found")</f>
        <v>Not Found</v>
      </c>
      <c r="J4184" s="2">
        <v>101</v>
      </c>
      <c r="K4184" s="2">
        <v>98</v>
      </c>
      <c r="L4184" s="2">
        <v>2</v>
      </c>
      <c r="M4184" s="7">
        <f t="shared" si="325"/>
        <v>196</v>
      </c>
      <c r="N4184" s="7">
        <f t="shared" si="326"/>
        <v>202</v>
      </c>
      <c r="O4184" s="2">
        <v>10</v>
      </c>
      <c r="P4184" s="8">
        <f t="shared" si="327"/>
        <v>212</v>
      </c>
      <c r="Q4184" s="8">
        <f t="shared" si="328"/>
        <v>104</v>
      </c>
      <c r="R4184" s="2" t="s">
        <v>28</v>
      </c>
      <c r="S4184" s="9">
        <f t="shared" si="329"/>
        <v>4.24</v>
      </c>
    </row>
    <row r="4185" spans="1:19" x14ac:dyDescent="0.3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str">
        <f>IFERROR(VLOOKUP('Customer Info'!A4177,'Customer Info'!A4177:C4676,2,FALSE),"Not Found")</f>
        <v>Not Found</v>
      </c>
      <c r="H4185" s="6" t="str">
        <f>IFERROR(VLOOKUP('Customer Info'!A4177,'Customer Info'!A4177:C4676,3,FALSE),"Not Found")</f>
        <v>Not Found</v>
      </c>
      <c r="I4185" s="6" t="str">
        <f>IFERROR(VLOOKUP('Customer Info'!A4177,'Customer Info'!A4177:E4676,5,FALSE),"Not Found")</f>
        <v>Not Found</v>
      </c>
      <c r="J4185" s="2">
        <v>1205</v>
      </c>
      <c r="K4185" s="2">
        <v>1159</v>
      </c>
      <c r="L4185" s="2">
        <v>3</v>
      </c>
      <c r="M4185" s="7">
        <f t="shared" si="325"/>
        <v>3477</v>
      </c>
      <c r="N4185" s="7">
        <f t="shared" si="326"/>
        <v>3615</v>
      </c>
      <c r="O4185" s="2">
        <v>79</v>
      </c>
      <c r="P4185" s="8">
        <f t="shared" si="327"/>
        <v>3694</v>
      </c>
      <c r="Q4185" s="8">
        <f t="shared" si="328"/>
        <v>2456</v>
      </c>
      <c r="R4185" s="2" t="s">
        <v>50</v>
      </c>
      <c r="S4185" s="9">
        <f t="shared" si="329"/>
        <v>73.88</v>
      </c>
    </row>
    <row r="4186" spans="1:19" x14ac:dyDescent="0.3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str">
        <f>IFERROR(VLOOKUP('Customer Info'!A4178,'Customer Info'!A4178:C4677,2,FALSE),"Not Found")</f>
        <v>Not Found</v>
      </c>
      <c r="H4186" s="6" t="str">
        <f>IFERROR(VLOOKUP('Customer Info'!A4178,'Customer Info'!A4178:C4677,3,FALSE),"Not Found")</f>
        <v>Not Found</v>
      </c>
      <c r="I4186" s="6" t="str">
        <f>IFERROR(VLOOKUP('Customer Info'!A4178,'Customer Info'!A4178:E4677,5,FALSE),"Not Found")</f>
        <v>Not Found</v>
      </c>
      <c r="J4186" s="2">
        <v>7141</v>
      </c>
      <c r="K4186" s="2">
        <v>6541</v>
      </c>
      <c r="L4186" s="2">
        <v>6</v>
      </c>
      <c r="M4186" s="7">
        <f t="shared" si="325"/>
        <v>39246</v>
      </c>
      <c r="N4186" s="7">
        <f t="shared" si="326"/>
        <v>42846</v>
      </c>
      <c r="O4186" s="2">
        <v>25</v>
      </c>
      <c r="P4186" s="8">
        <f t="shared" si="327"/>
        <v>42871</v>
      </c>
      <c r="Q4186" s="8">
        <f t="shared" si="328"/>
        <v>36305</v>
      </c>
      <c r="R4186" s="2" t="s">
        <v>50</v>
      </c>
      <c r="S4186" s="9">
        <f t="shared" si="329"/>
        <v>3000.9700000000003</v>
      </c>
    </row>
    <row r="4187" spans="1:19" x14ac:dyDescent="0.3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str">
        <f>IFERROR(VLOOKUP('Customer Info'!A4179,'Customer Info'!A4179:C4678,2,FALSE),"Not Found")</f>
        <v>Not Found</v>
      </c>
      <c r="H4187" s="6" t="str">
        <f>IFERROR(VLOOKUP('Customer Info'!A4179,'Customer Info'!A4179:C4678,3,FALSE),"Not Found")</f>
        <v>Not Found</v>
      </c>
      <c r="I4187" s="6" t="str">
        <f>IFERROR(VLOOKUP('Customer Info'!A4179,'Customer Info'!A4179:E4678,5,FALSE),"Not Found")</f>
        <v>Not Found</v>
      </c>
      <c r="J4187" s="2">
        <v>7327</v>
      </c>
      <c r="K4187" s="2">
        <v>6658</v>
      </c>
      <c r="L4187" s="2">
        <v>3</v>
      </c>
      <c r="M4187" s="7">
        <f t="shared" si="325"/>
        <v>19974</v>
      </c>
      <c r="N4187" s="7">
        <f t="shared" si="326"/>
        <v>21981</v>
      </c>
      <c r="O4187" s="2">
        <v>47</v>
      </c>
      <c r="P4187" s="8">
        <f t="shared" si="327"/>
        <v>22028</v>
      </c>
      <c r="Q4187" s="8">
        <f t="shared" si="328"/>
        <v>15323</v>
      </c>
      <c r="R4187" s="2" t="s">
        <v>28</v>
      </c>
      <c r="S4187" s="9">
        <f t="shared" si="329"/>
        <v>1101.4000000000001</v>
      </c>
    </row>
    <row r="4188" spans="1:19" x14ac:dyDescent="0.3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str">
        <f>IFERROR(VLOOKUP('Customer Info'!A4180,'Customer Info'!A4180:C4679,2,FALSE),"Not Found")</f>
        <v>Not Found</v>
      </c>
      <c r="H4188" s="6" t="str">
        <f>IFERROR(VLOOKUP('Customer Info'!A4180,'Customer Info'!A4180:C4679,3,FALSE),"Not Found")</f>
        <v>Not Found</v>
      </c>
      <c r="I4188" s="6" t="str">
        <f>IFERROR(VLOOKUP('Customer Info'!A4180,'Customer Info'!A4180:E4679,5,FALSE),"Not Found")</f>
        <v>Not Found</v>
      </c>
      <c r="J4188" s="2">
        <v>3176</v>
      </c>
      <c r="K4188" s="2">
        <v>3116</v>
      </c>
      <c r="L4188" s="2">
        <v>5</v>
      </c>
      <c r="M4188" s="7">
        <f t="shared" si="325"/>
        <v>15580</v>
      </c>
      <c r="N4188" s="7">
        <f t="shared" si="326"/>
        <v>15880</v>
      </c>
      <c r="O4188" s="2">
        <v>99</v>
      </c>
      <c r="P4188" s="8">
        <f t="shared" si="327"/>
        <v>15979</v>
      </c>
      <c r="Q4188" s="8">
        <f t="shared" si="328"/>
        <v>12764</v>
      </c>
      <c r="R4188" s="2" t="s">
        <v>56</v>
      </c>
      <c r="S4188" s="9">
        <f t="shared" si="329"/>
        <v>798.95</v>
      </c>
    </row>
    <row r="4189" spans="1:19" x14ac:dyDescent="0.3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str">
        <f>IFERROR(VLOOKUP('Customer Info'!A4181,'Customer Info'!A4181:C4680,2,FALSE),"Not Found")</f>
        <v>Not Found</v>
      </c>
      <c r="H4189" s="6" t="str">
        <f>IFERROR(VLOOKUP('Customer Info'!A4181,'Customer Info'!A4181:C4680,3,FALSE),"Not Found")</f>
        <v>Not Found</v>
      </c>
      <c r="I4189" s="6" t="str">
        <f>IFERROR(VLOOKUP('Customer Info'!A4181,'Customer Info'!A4181:E4680,5,FALSE),"Not Found")</f>
        <v>Not Found</v>
      </c>
      <c r="J4189" s="2">
        <v>1318</v>
      </c>
      <c r="K4189" s="2">
        <v>1209</v>
      </c>
      <c r="L4189" s="2">
        <v>2</v>
      </c>
      <c r="M4189" s="7">
        <f t="shared" si="325"/>
        <v>2418</v>
      </c>
      <c r="N4189" s="7">
        <f t="shared" si="326"/>
        <v>2636</v>
      </c>
      <c r="O4189" s="2">
        <v>77</v>
      </c>
      <c r="P4189" s="8">
        <f t="shared" si="327"/>
        <v>2713</v>
      </c>
      <c r="Q4189" s="8">
        <f t="shared" si="328"/>
        <v>1427</v>
      </c>
      <c r="R4189" s="2" t="s">
        <v>28</v>
      </c>
      <c r="S4189" s="9">
        <f t="shared" si="329"/>
        <v>54.26</v>
      </c>
    </row>
    <row r="4190" spans="1:19" x14ac:dyDescent="0.3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str">
        <f>IFERROR(VLOOKUP('Customer Info'!A4182,'Customer Info'!A4182:C4681,2,FALSE),"Not Found")</f>
        <v>Not Found</v>
      </c>
      <c r="H4190" s="6" t="str">
        <f>IFERROR(VLOOKUP('Customer Info'!A4182,'Customer Info'!A4182:C4681,3,FALSE),"Not Found")</f>
        <v>Not Found</v>
      </c>
      <c r="I4190" s="6" t="str">
        <f>IFERROR(VLOOKUP('Customer Info'!A4182,'Customer Info'!A4182:E4681,5,FALSE),"Not Found")</f>
        <v>Not Found</v>
      </c>
      <c r="J4190" s="2">
        <v>144</v>
      </c>
      <c r="K4190" s="2">
        <v>133</v>
      </c>
      <c r="L4190" s="2">
        <v>1</v>
      </c>
      <c r="M4190" s="7">
        <f t="shared" si="325"/>
        <v>133</v>
      </c>
      <c r="N4190" s="7">
        <f t="shared" si="326"/>
        <v>144</v>
      </c>
      <c r="O4190" s="2">
        <v>30</v>
      </c>
      <c r="P4190" s="8">
        <f t="shared" si="327"/>
        <v>174</v>
      </c>
      <c r="Q4190" s="8">
        <f t="shared" si="328"/>
        <v>11</v>
      </c>
      <c r="R4190" s="2" t="s">
        <v>28</v>
      </c>
      <c r="S4190" s="9">
        <f t="shared" si="329"/>
        <v>3.48</v>
      </c>
    </row>
    <row r="4191" spans="1:19" x14ac:dyDescent="0.3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str">
        <f>IFERROR(VLOOKUP('Customer Info'!A4183,'Customer Info'!A4183:C4682,2,FALSE),"Not Found")</f>
        <v>Not Found</v>
      </c>
      <c r="H4191" s="6" t="str">
        <f>IFERROR(VLOOKUP('Customer Info'!A4183,'Customer Info'!A4183:C4682,3,FALSE),"Not Found")</f>
        <v>Not Found</v>
      </c>
      <c r="I4191" s="6" t="str">
        <f>IFERROR(VLOOKUP('Customer Info'!A4183,'Customer Info'!A4183:E4682,5,FALSE),"Not Found")</f>
        <v>Not Found</v>
      </c>
      <c r="J4191" s="2">
        <v>1413</v>
      </c>
      <c r="K4191" s="2">
        <v>1334</v>
      </c>
      <c r="L4191" s="2">
        <v>1</v>
      </c>
      <c r="M4191" s="7">
        <f t="shared" si="325"/>
        <v>1334</v>
      </c>
      <c r="N4191" s="7">
        <f t="shared" si="326"/>
        <v>1413</v>
      </c>
      <c r="O4191" s="2">
        <v>90</v>
      </c>
      <c r="P4191" s="8">
        <f t="shared" si="327"/>
        <v>1503</v>
      </c>
      <c r="Q4191" s="8">
        <f t="shared" si="328"/>
        <v>79</v>
      </c>
      <c r="R4191" s="2" t="s">
        <v>28</v>
      </c>
      <c r="S4191" s="9">
        <f t="shared" si="329"/>
        <v>30.060000000000002</v>
      </c>
    </row>
    <row r="4192" spans="1:19" x14ac:dyDescent="0.3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str">
        <f>IFERROR(VLOOKUP('Customer Info'!A4184,'Customer Info'!A4184:C4683,2,FALSE),"Not Found")</f>
        <v>Not Found</v>
      </c>
      <c r="H4192" s="6" t="str">
        <f>IFERROR(VLOOKUP('Customer Info'!A4184,'Customer Info'!A4184:C4683,3,FALSE),"Not Found")</f>
        <v>Not Found</v>
      </c>
      <c r="I4192" s="6" t="str">
        <f>IFERROR(VLOOKUP('Customer Info'!A4184,'Customer Info'!A4184:E4683,5,FALSE),"Not Found")</f>
        <v>Not Found</v>
      </c>
      <c r="J4192" s="2">
        <v>6027</v>
      </c>
      <c r="K4192" s="2">
        <v>5694</v>
      </c>
      <c r="L4192" s="2">
        <v>2</v>
      </c>
      <c r="M4192" s="7">
        <f t="shared" si="325"/>
        <v>11388</v>
      </c>
      <c r="N4192" s="7">
        <f t="shared" si="326"/>
        <v>12054</v>
      </c>
      <c r="O4192" s="2">
        <v>48</v>
      </c>
      <c r="P4192" s="8">
        <f t="shared" si="327"/>
        <v>12102</v>
      </c>
      <c r="Q4192" s="8">
        <f t="shared" si="328"/>
        <v>6360</v>
      </c>
      <c r="R4192" s="2" t="s">
        <v>28</v>
      </c>
      <c r="S4192" s="9">
        <f t="shared" si="329"/>
        <v>605.1</v>
      </c>
    </row>
    <row r="4193" spans="1:19" x14ac:dyDescent="0.3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str">
        <f>IFERROR(VLOOKUP('Customer Info'!A4185,'Customer Info'!A4185:C4684,2,FALSE),"Not Found")</f>
        <v>Not Found</v>
      </c>
      <c r="H4193" s="6" t="str">
        <f>IFERROR(VLOOKUP('Customer Info'!A4185,'Customer Info'!A4185:C4684,3,FALSE),"Not Found")</f>
        <v>Not Found</v>
      </c>
      <c r="I4193" s="6" t="str">
        <f>IFERROR(VLOOKUP('Customer Info'!A4185,'Customer Info'!A4185:E4684,5,FALSE),"Not Found")</f>
        <v>Not Found</v>
      </c>
      <c r="J4193" s="2">
        <v>184</v>
      </c>
      <c r="K4193" s="2">
        <v>176</v>
      </c>
      <c r="L4193" s="2">
        <v>6</v>
      </c>
      <c r="M4193" s="7">
        <f t="shared" si="325"/>
        <v>1056</v>
      </c>
      <c r="N4193" s="7">
        <f t="shared" si="326"/>
        <v>1104</v>
      </c>
      <c r="O4193" s="2">
        <v>30</v>
      </c>
      <c r="P4193" s="8">
        <f t="shared" si="327"/>
        <v>1134</v>
      </c>
      <c r="Q4193" s="8">
        <f t="shared" si="328"/>
        <v>928</v>
      </c>
      <c r="R4193" s="2" t="s">
        <v>28</v>
      </c>
      <c r="S4193" s="9">
        <f t="shared" si="329"/>
        <v>22.68</v>
      </c>
    </row>
    <row r="4194" spans="1:19" x14ac:dyDescent="0.3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str">
        <f>IFERROR(VLOOKUP('Customer Info'!A4186,'Customer Info'!A4186:C4685,2,FALSE),"Not Found")</f>
        <v>Not Found</v>
      </c>
      <c r="H4194" s="6" t="str">
        <f>IFERROR(VLOOKUP('Customer Info'!A4186,'Customer Info'!A4186:C4685,3,FALSE),"Not Found")</f>
        <v>Not Found</v>
      </c>
      <c r="I4194" s="6" t="str">
        <f>IFERROR(VLOOKUP('Customer Info'!A4186,'Customer Info'!A4186:E4685,5,FALSE),"Not Found")</f>
        <v>Not Found</v>
      </c>
      <c r="J4194" s="2">
        <v>954</v>
      </c>
      <c r="K4194" s="2">
        <v>901</v>
      </c>
      <c r="L4194" s="2">
        <v>1</v>
      </c>
      <c r="M4194" s="7">
        <f t="shared" si="325"/>
        <v>901</v>
      </c>
      <c r="N4194" s="7">
        <f t="shared" si="326"/>
        <v>954</v>
      </c>
      <c r="O4194" s="2">
        <v>20</v>
      </c>
      <c r="P4194" s="8">
        <f t="shared" si="327"/>
        <v>974</v>
      </c>
      <c r="Q4194" s="8">
        <f t="shared" si="328"/>
        <v>53</v>
      </c>
      <c r="R4194" s="2" t="s">
        <v>50</v>
      </c>
      <c r="S4194" s="9">
        <f t="shared" si="329"/>
        <v>19.48</v>
      </c>
    </row>
    <row r="4195" spans="1:19" x14ac:dyDescent="0.3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str">
        <f>IFERROR(VLOOKUP('Customer Info'!A4187,'Customer Info'!A4187:C4686,2,FALSE),"Not Found")</f>
        <v>Not Found</v>
      </c>
      <c r="H4195" s="6" t="str">
        <f>IFERROR(VLOOKUP('Customer Info'!A4187,'Customer Info'!A4187:C4686,3,FALSE),"Not Found")</f>
        <v>Not Found</v>
      </c>
      <c r="I4195" s="6" t="str">
        <f>IFERROR(VLOOKUP('Customer Info'!A4187,'Customer Info'!A4187:E4686,5,FALSE),"Not Found")</f>
        <v>Not Found</v>
      </c>
      <c r="J4195" s="2">
        <v>511</v>
      </c>
      <c r="K4195" s="2">
        <v>468</v>
      </c>
      <c r="L4195" s="2">
        <v>2</v>
      </c>
      <c r="M4195" s="7">
        <f t="shared" si="325"/>
        <v>936</v>
      </c>
      <c r="N4195" s="7">
        <f t="shared" si="326"/>
        <v>1022</v>
      </c>
      <c r="O4195" s="2">
        <v>28</v>
      </c>
      <c r="P4195" s="8">
        <f t="shared" si="327"/>
        <v>1050</v>
      </c>
      <c r="Q4195" s="8">
        <f t="shared" si="328"/>
        <v>554</v>
      </c>
      <c r="R4195" s="2" t="s">
        <v>50</v>
      </c>
      <c r="S4195" s="9">
        <f t="shared" si="329"/>
        <v>21</v>
      </c>
    </row>
    <row r="4196" spans="1:19" x14ac:dyDescent="0.3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str">
        <f>IFERROR(VLOOKUP('Customer Info'!A4188,'Customer Info'!A4188:C4687,2,FALSE),"Not Found")</f>
        <v>Not Found</v>
      </c>
      <c r="H4196" s="6" t="str">
        <f>IFERROR(VLOOKUP('Customer Info'!A4188,'Customer Info'!A4188:C4687,3,FALSE),"Not Found")</f>
        <v>Not Found</v>
      </c>
      <c r="I4196" s="6" t="str">
        <f>IFERROR(VLOOKUP('Customer Info'!A4188,'Customer Info'!A4188:E4687,5,FALSE),"Not Found")</f>
        <v>Not Found</v>
      </c>
      <c r="J4196" s="2">
        <v>1574</v>
      </c>
      <c r="K4196" s="2">
        <v>1458</v>
      </c>
      <c r="L4196" s="2">
        <v>1</v>
      </c>
      <c r="M4196" s="7">
        <f t="shared" si="325"/>
        <v>1458</v>
      </c>
      <c r="N4196" s="7">
        <f t="shared" si="326"/>
        <v>1574</v>
      </c>
      <c r="O4196" s="2">
        <v>49</v>
      </c>
      <c r="P4196" s="8">
        <f t="shared" si="327"/>
        <v>1623</v>
      </c>
      <c r="Q4196" s="8">
        <f t="shared" si="328"/>
        <v>116</v>
      </c>
      <c r="R4196" s="2" t="s">
        <v>28</v>
      </c>
      <c r="S4196" s="9">
        <f t="shared" si="329"/>
        <v>32.46</v>
      </c>
    </row>
    <row r="4197" spans="1:19" x14ac:dyDescent="0.3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str">
        <f>IFERROR(VLOOKUP('Customer Info'!A4189,'Customer Info'!A4189:C4688,2,FALSE),"Not Found")</f>
        <v>Not Found</v>
      </c>
      <c r="H4197" s="6" t="str">
        <f>IFERROR(VLOOKUP('Customer Info'!A4189,'Customer Info'!A4189:C4688,3,FALSE),"Not Found")</f>
        <v>Not Found</v>
      </c>
      <c r="I4197" s="6" t="str">
        <f>IFERROR(VLOOKUP('Customer Info'!A4189,'Customer Info'!A4189:E4688,5,FALSE),"Not Found")</f>
        <v>Not Found</v>
      </c>
      <c r="J4197" s="2">
        <v>805</v>
      </c>
      <c r="K4197" s="2">
        <v>746</v>
      </c>
      <c r="L4197" s="2">
        <v>1</v>
      </c>
      <c r="M4197" s="7">
        <f t="shared" si="325"/>
        <v>746</v>
      </c>
      <c r="N4197" s="7">
        <f t="shared" si="326"/>
        <v>805</v>
      </c>
      <c r="O4197" s="2">
        <v>35</v>
      </c>
      <c r="P4197" s="8">
        <f t="shared" si="327"/>
        <v>840</v>
      </c>
      <c r="Q4197" s="8">
        <f t="shared" si="328"/>
        <v>59</v>
      </c>
      <c r="R4197" s="2" t="s">
        <v>28</v>
      </c>
      <c r="S4197" s="9">
        <f t="shared" si="329"/>
        <v>16.8</v>
      </c>
    </row>
    <row r="4198" spans="1:19" x14ac:dyDescent="0.3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str">
        <f>IFERROR(VLOOKUP('Customer Info'!A4190,'Customer Info'!A4190:C4689,2,FALSE),"Not Found")</f>
        <v>Not Found</v>
      </c>
      <c r="H4198" s="6" t="str">
        <f>IFERROR(VLOOKUP('Customer Info'!A4190,'Customer Info'!A4190:C4689,3,FALSE),"Not Found")</f>
        <v>Not Found</v>
      </c>
      <c r="I4198" s="6" t="str">
        <f>IFERROR(VLOOKUP('Customer Info'!A4190,'Customer Info'!A4190:E4689,5,FALSE),"Not Found")</f>
        <v>Not Found</v>
      </c>
      <c r="J4198" s="2">
        <v>9214</v>
      </c>
      <c r="K4198" s="2">
        <v>8295</v>
      </c>
      <c r="L4198" s="2">
        <v>6</v>
      </c>
      <c r="M4198" s="7">
        <f t="shared" si="325"/>
        <v>49770</v>
      </c>
      <c r="N4198" s="7">
        <f t="shared" si="326"/>
        <v>55284</v>
      </c>
      <c r="O4198" s="2">
        <v>80</v>
      </c>
      <c r="P4198" s="8">
        <f t="shared" si="327"/>
        <v>55364</v>
      </c>
      <c r="Q4198" s="8">
        <f t="shared" si="328"/>
        <v>46989</v>
      </c>
      <c r="R4198" s="2" t="s">
        <v>56</v>
      </c>
      <c r="S4198" s="9">
        <f t="shared" si="329"/>
        <v>4982.76</v>
      </c>
    </row>
    <row r="4199" spans="1:19" x14ac:dyDescent="0.3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str">
        <f>IFERROR(VLOOKUP('Customer Info'!A4191,'Customer Info'!A4191:C4690,2,FALSE),"Not Found")</f>
        <v>Not Found</v>
      </c>
      <c r="H4199" s="6" t="str">
        <f>IFERROR(VLOOKUP('Customer Info'!A4191,'Customer Info'!A4191:C4690,3,FALSE),"Not Found")</f>
        <v>Not Found</v>
      </c>
      <c r="I4199" s="6" t="str">
        <f>IFERROR(VLOOKUP('Customer Info'!A4191,'Customer Info'!A4191:E4690,5,FALSE),"Not Found")</f>
        <v>Not Found</v>
      </c>
      <c r="J4199" s="2">
        <v>101</v>
      </c>
      <c r="K4199" s="2">
        <v>98</v>
      </c>
      <c r="L4199" s="2">
        <v>3</v>
      </c>
      <c r="M4199" s="7">
        <f t="shared" si="325"/>
        <v>294</v>
      </c>
      <c r="N4199" s="7">
        <f t="shared" si="326"/>
        <v>303</v>
      </c>
      <c r="O4199" s="2">
        <v>10</v>
      </c>
      <c r="P4199" s="8">
        <f t="shared" si="327"/>
        <v>313</v>
      </c>
      <c r="Q4199" s="8">
        <f t="shared" si="328"/>
        <v>205</v>
      </c>
      <c r="R4199" s="2" t="s">
        <v>50</v>
      </c>
      <c r="S4199" s="9">
        <f t="shared" si="329"/>
        <v>6.26</v>
      </c>
    </row>
    <row r="4200" spans="1:19" x14ac:dyDescent="0.3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str">
        <f>IFERROR(VLOOKUP('Customer Info'!A4192,'Customer Info'!A4192:C4691,2,FALSE),"Not Found")</f>
        <v>Not Found</v>
      </c>
      <c r="H4200" s="6" t="str">
        <f>IFERROR(VLOOKUP('Customer Info'!A4192,'Customer Info'!A4192:C4691,3,FALSE),"Not Found")</f>
        <v>Not Found</v>
      </c>
      <c r="I4200" s="6" t="str">
        <f>IFERROR(VLOOKUP('Customer Info'!A4192,'Customer Info'!A4192:E4691,5,FALSE),"Not Found")</f>
        <v>Not Found</v>
      </c>
      <c r="J4200" s="2">
        <v>1878</v>
      </c>
      <c r="K4200" s="2">
        <v>1790</v>
      </c>
      <c r="L4200" s="2">
        <v>2</v>
      </c>
      <c r="M4200" s="7">
        <f t="shared" si="325"/>
        <v>3580</v>
      </c>
      <c r="N4200" s="7">
        <f t="shared" si="326"/>
        <v>3756</v>
      </c>
      <c r="O4200" s="2">
        <v>42</v>
      </c>
      <c r="P4200" s="8">
        <f t="shared" si="327"/>
        <v>3798</v>
      </c>
      <c r="Q4200" s="8">
        <f t="shared" si="328"/>
        <v>1966</v>
      </c>
      <c r="R4200" s="2" t="s">
        <v>28</v>
      </c>
      <c r="S4200" s="9">
        <f t="shared" si="329"/>
        <v>75.960000000000008</v>
      </c>
    </row>
    <row r="4201" spans="1:19" x14ac:dyDescent="0.3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str">
        <f>IFERROR(VLOOKUP('Customer Info'!A4193,'Customer Info'!A4193:C4692,2,FALSE),"Not Found")</f>
        <v>Not Found</v>
      </c>
      <c r="H4201" s="6" t="str">
        <f>IFERROR(VLOOKUP('Customer Info'!A4193,'Customer Info'!A4193:C4692,3,FALSE),"Not Found")</f>
        <v>Not Found</v>
      </c>
      <c r="I4201" s="6" t="str">
        <f>IFERROR(VLOOKUP('Customer Info'!A4193,'Customer Info'!A4193:E4692,5,FALSE),"Not Found")</f>
        <v>Not Found</v>
      </c>
      <c r="J4201" s="2">
        <v>1700</v>
      </c>
      <c r="K4201" s="2">
        <v>1620</v>
      </c>
      <c r="L4201" s="2">
        <v>5</v>
      </c>
      <c r="M4201" s="7">
        <f t="shared" si="325"/>
        <v>8100</v>
      </c>
      <c r="N4201" s="7">
        <f t="shared" si="326"/>
        <v>8500</v>
      </c>
      <c r="O4201" s="2">
        <v>22</v>
      </c>
      <c r="P4201" s="8">
        <f t="shared" si="327"/>
        <v>8522</v>
      </c>
      <c r="Q4201" s="8">
        <f t="shared" si="328"/>
        <v>6880</v>
      </c>
      <c r="R4201" s="2" t="s">
        <v>28</v>
      </c>
      <c r="S4201" s="9">
        <f t="shared" si="329"/>
        <v>426.1</v>
      </c>
    </row>
    <row r="4202" spans="1:19" x14ac:dyDescent="0.3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str">
        <f>IFERROR(VLOOKUP('Customer Info'!A4194,'Customer Info'!A4194:C4693,2,FALSE),"Not Found")</f>
        <v>Not Found</v>
      </c>
      <c r="H4202" s="6" t="str">
        <f>IFERROR(VLOOKUP('Customer Info'!A4194,'Customer Info'!A4194:C4693,3,FALSE),"Not Found")</f>
        <v>Not Found</v>
      </c>
      <c r="I4202" s="6" t="str">
        <f>IFERROR(VLOOKUP('Customer Info'!A4194,'Customer Info'!A4194:E4693,5,FALSE),"Not Found")</f>
        <v>Not Found</v>
      </c>
      <c r="J4202" s="2">
        <v>2627</v>
      </c>
      <c r="K4202" s="2">
        <v>2528</v>
      </c>
      <c r="L4202" s="2">
        <v>2</v>
      </c>
      <c r="M4202" s="7">
        <f t="shared" si="325"/>
        <v>5056</v>
      </c>
      <c r="N4202" s="7">
        <f t="shared" si="326"/>
        <v>5254</v>
      </c>
      <c r="O4202" s="2">
        <v>62</v>
      </c>
      <c r="P4202" s="8">
        <f t="shared" si="327"/>
        <v>5316</v>
      </c>
      <c r="Q4202" s="8">
        <f t="shared" si="328"/>
        <v>2726</v>
      </c>
      <c r="R4202" s="2" t="s">
        <v>26</v>
      </c>
      <c r="S4202" s="9">
        <f t="shared" si="329"/>
        <v>265.8</v>
      </c>
    </row>
    <row r="4203" spans="1:19" x14ac:dyDescent="0.3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str">
        <f>IFERROR(VLOOKUP('Customer Info'!A4195,'Customer Info'!A4195:C4694,2,FALSE),"Not Found")</f>
        <v>Not Found</v>
      </c>
      <c r="H4203" s="6" t="str">
        <f>IFERROR(VLOOKUP('Customer Info'!A4195,'Customer Info'!A4195:C4694,3,FALSE),"Not Found")</f>
        <v>Not Found</v>
      </c>
      <c r="I4203" s="6" t="str">
        <f>IFERROR(VLOOKUP('Customer Info'!A4195,'Customer Info'!A4195:E4694,5,FALSE),"Not Found")</f>
        <v>Not Found</v>
      </c>
      <c r="J4203" s="2">
        <v>6400</v>
      </c>
      <c r="K4203" s="2">
        <v>6401</v>
      </c>
      <c r="L4203" s="2">
        <v>1</v>
      </c>
      <c r="M4203" s="7">
        <f t="shared" si="325"/>
        <v>6401</v>
      </c>
      <c r="N4203" s="7">
        <f t="shared" si="326"/>
        <v>6400</v>
      </c>
      <c r="O4203" s="2">
        <v>53</v>
      </c>
      <c r="P4203" s="8">
        <f t="shared" si="327"/>
        <v>6453</v>
      </c>
      <c r="Q4203" s="8">
        <f t="shared" si="328"/>
        <v>-1</v>
      </c>
      <c r="R4203" s="2" t="s">
        <v>28</v>
      </c>
      <c r="S4203" s="9">
        <f t="shared" si="329"/>
        <v>322.65000000000003</v>
      </c>
    </row>
    <row r="4204" spans="1:19" x14ac:dyDescent="0.3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str">
        <f>IFERROR(VLOOKUP('Customer Info'!A4196,'Customer Info'!A4196:C4695,2,FALSE),"Not Found")</f>
        <v>Not Found</v>
      </c>
      <c r="H4204" s="6" t="str">
        <f>IFERROR(VLOOKUP('Customer Info'!A4196,'Customer Info'!A4196:C4695,3,FALSE),"Not Found")</f>
        <v>Not Found</v>
      </c>
      <c r="I4204" s="6" t="str">
        <f>IFERROR(VLOOKUP('Customer Info'!A4196,'Customer Info'!A4196:E4695,5,FALSE),"Not Found")</f>
        <v>Not Found</v>
      </c>
      <c r="J4204" s="2">
        <v>3224</v>
      </c>
      <c r="K4204" s="2">
        <v>2901</v>
      </c>
      <c r="L4204" s="2">
        <v>7</v>
      </c>
      <c r="M4204" s="7">
        <f t="shared" si="325"/>
        <v>20307</v>
      </c>
      <c r="N4204" s="7">
        <f t="shared" si="326"/>
        <v>22568</v>
      </c>
      <c r="O4204" s="2">
        <v>72</v>
      </c>
      <c r="P4204" s="8">
        <f t="shared" si="327"/>
        <v>22640</v>
      </c>
      <c r="Q4204" s="8">
        <f t="shared" si="328"/>
        <v>19667</v>
      </c>
      <c r="R4204" s="2" t="s">
        <v>50</v>
      </c>
      <c r="S4204" s="9">
        <f t="shared" si="329"/>
        <v>1132</v>
      </c>
    </row>
    <row r="4205" spans="1:19" x14ac:dyDescent="0.3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str">
        <f>IFERROR(VLOOKUP('Customer Info'!A4197,'Customer Info'!A4197:C4696,2,FALSE),"Not Found")</f>
        <v>Not Found</v>
      </c>
      <c r="H4205" s="6" t="str">
        <f>IFERROR(VLOOKUP('Customer Info'!A4197,'Customer Info'!A4197:C4696,3,FALSE),"Not Found")</f>
        <v>Not Found</v>
      </c>
      <c r="I4205" s="6" t="str">
        <f>IFERROR(VLOOKUP('Customer Info'!A4197,'Customer Info'!A4197:E4696,5,FALSE),"Not Found")</f>
        <v>Not Found</v>
      </c>
      <c r="J4205" s="2">
        <v>2829</v>
      </c>
      <c r="K4205" s="2">
        <v>2596</v>
      </c>
      <c r="L4205" s="2">
        <v>1</v>
      </c>
      <c r="M4205" s="7">
        <f t="shared" si="325"/>
        <v>2596</v>
      </c>
      <c r="N4205" s="7">
        <f t="shared" si="326"/>
        <v>2829</v>
      </c>
      <c r="O4205" s="2">
        <v>53</v>
      </c>
      <c r="P4205" s="8">
        <f t="shared" si="327"/>
        <v>2882</v>
      </c>
      <c r="Q4205" s="8">
        <f t="shared" si="328"/>
        <v>233</v>
      </c>
      <c r="R4205" s="2" t="s">
        <v>28</v>
      </c>
      <c r="S4205" s="9">
        <f t="shared" si="329"/>
        <v>57.64</v>
      </c>
    </row>
    <row r="4206" spans="1:19" x14ac:dyDescent="0.3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str">
        <f>IFERROR(VLOOKUP('Customer Info'!A4198,'Customer Info'!A4198:C4697,2,FALSE),"Not Found")</f>
        <v>Not Found</v>
      </c>
      <c r="H4206" s="6" t="str">
        <f>IFERROR(VLOOKUP('Customer Info'!A4198,'Customer Info'!A4198:C4697,3,FALSE),"Not Found")</f>
        <v>Not Found</v>
      </c>
      <c r="I4206" s="6" t="str">
        <f>IFERROR(VLOOKUP('Customer Info'!A4198,'Customer Info'!A4198:E4697,5,FALSE),"Not Found")</f>
        <v>Not Found</v>
      </c>
      <c r="J4206" s="2">
        <v>1717</v>
      </c>
      <c r="K4206" s="2">
        <v>1652</v>
      </c>
      <c r="L4206" s="2">
        <v>8</v>
      </c>
      <c r="M4206" s="7">
        <f t="shared" si="325"/>
        <v>13216</v>
      </c>
      <c r="N4206" s="7">
        <f t="shared" si="326"/>
        <v>13736</v>
      </c>
      <c r="O4206" s="2">
        <v>53</v>
      </c>
      <c r="P4206" s="8">
        <f t="shared" si="327"/>
        <v>13789</v>
      </c>
      <c r="Q4206" s="8">
        <f t="shared" si="328"/>
        <v>12084</v>
      </c>
      <c r="R4206" s="2" t="s">
        <v>28</v>
      </c>
      <c r="S4206" s="9">
        <f t="shared" si="329"/>
        <v>689.45</v>
      </c>
    </row>
    <row r="4207" spans="1:19" x14ac:dyDescent="0.3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str">
        <f>IFERROR(VLOOKUP('Customer Info'!A4199,'Customer Info'!A4199:C4698,2,FALSE),"Not Found")</f>
        <v>Not Found</v>
      </c>
      <c r="H4207" s="6" t="str">
        <f>IFERROR(VLOOKUP('Customer Info'!A4199,'Customer Info'!A4199:C4698,3,FALSE),"Not Found")</f>
        <v>Not Found</v>
      </c>
      <c r="I4207" s="6" t="str">
        <f>IFERROR(VLOOKUP('Customer Info'!A4199,'Customer Info'!A4199:E4698,5,FALSE),"Not Found")</f>
        <v>Not Found</v>
      </c>
      <c r="J4207" s="2">
        <v>1169</v>
      </c>
      <c r="K4207" s="2">
        <v>1072</v>
      </c>
      <c r="L4207" s="2">
        <v>3</v>
      </c>
      <c r="M4207" s="7">
        <f t="shared" si="325"/>
        <v>3216</v>
      </c>
      <c r="N4207" s="7">
        <f t="shared" si="326"/>
        <v>3507</v>
      </c>
      <c r="O4207" s="2">
        <v>85</v>
      </c>
      <c r="P4207" s="8">
        <f t="shared" si="327"/>
        <v>3592</v>
      </c>
      <c r="Q4207" s="8">
        <f t="shared" si="328"/>
        <v>2435</v>
      </c>
      <c r="R4207" s="2" t="s">
        <v>28</v>
      </c>
      <c r="S4207" s="9">
        <f t="shared" si="329"/>
        <v>71.84</v>
      </c>
    </row>
    <row r="4208" spans="1:19" x14ac:dyDescent="0.3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str">
        <f>IFERROR(VLOOKUP('Customer Info'!A4200,'Customer Info'!A4200:C4699,2,FALSE),"Not Found")</f>
        <v>Not Found</v>
      </c>
      <c r="H4208" s="6" t="str">
        <f>IFERROR(VLOOKUP('Customer Info'!A4200,'Customer Info'!A4200:C4699,3,FALSE),"Not Found")</f>
        <v>Not Found</v>
      </c>
      <c r="I4208" s="6" t="str">
        <f>IFERROR(VLOOKUP('Customer Info'!A4200,'Customer Info'!A4200:E4699,5,FALSE),"Not Found")</f>
        <v>Not Found</v>
      </c>
      <c r="J4208" s="2">
        <v>516</v>
      </c>
      <c r="K4208" s="2">
        <v>473</v>
      </c>
      <c r="L4208" s="2">
        <v>7</v>
      </c>
      <c r="M4208" s="7">
        <f t="shared" si="325"/>
        <v>3311</v>
      </c>
      <c r="N4208" s="7">
        <f t="shared" si="326"/>
        <v>3612</v>
      </c>
      <c r="O4208" s="2">
        <v>65</v>
      </c>
      <c r="P4208" s="8">
        <f t="shared" si="327"/>
        <v>3677</v>
      </c>
      <c r="Q4208" s="8">
        <f t="shared" si="328"/>
        <v>3139</v>
      </c>
      <c r="R4208" s="2" t="s">
        <v>50</v>
      </c>
      <c r="S4208" s="9">
        <f t="shared" si="329"/>
        <v>73.540000000000006</v>
      </c>
    </row>
    <row r="4209" spans="1:19" x14ac:dyDescent="0.3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str">
        <f>IFERROR(VLOOKUP('Customer Info'!A4201,'Customer Info'!A4201:C4700,2,FALSE),"Not Found")</f>
        <v>Not Found</v>
      </c>
      <c r="H4209" s="6" t="str">
        <f>IFERROR(VLOOKUP('Customer Info'!A4201,'Customer Info'!A4201:C4700,3,FALSE),"Not Found")</f>
        <v>Not Found</v>
      </c>
      <c r="I4209" s="6" t="str">
        <f>IFERROR(VLOOKUP('Customer Info'!A4201,'Customer Info'!A4201:E4700,5,FALSE),"Not Found")</f>
        <v>Not Found</v>
      </c>
      <c r="J4209" s="2">
        <v>2874</v>
      </c>
      <c r="K4209" s="2">
        <v>2583</v>
      </c>
      <c r="L4209" s="2">
        <v>1</v>
      </c>
      <c r="M4209" s="7">
        <f t="shared" si="325"/>
        <v>2583</v>
      </c>
      <c r="N4209" s="7">
        <f t="shared" si="326"/>
        <v>2874</v>
      </c>
      <c r="O4209" s="2">
        <v>24</v>
      </c>
      <c r="P4209" s="8">
        <f t="shared" si="327"/>
        <v>2898</v>
      </c>
      <c r="Q4209" s="8">
        <f t="shared" si="328"/>
        <v>291</v>
      </c>
      <c r="R4209" s="2" t="s">
        <v>50</v>
      </c>
      <c r="S4209" s="9">
        <f t="shared" si="329"/>
        <v>57.96</v>
      </c>
    </row>
    <row r="4210" spans="1:19" x14ac:dyDescent="0.3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str">
        <f>IFERROR(VLOOKUP('Customer Info'!A4202,'Customer Info'!A4202:C4701,2,FALSE),"Not Found")</f>
        <v>Not Found</v>
      </c>
      <c r="H4210" s="6" t="str">
        <f>IFERROR(VLOOKUP('Customer Info'!A4202,'Customer Info'!A4202:C4701,3,FALSE),"Not Found")</f>
        <v>Not Found</v>
      </c>
      <c r="I4210" s="6" t="str">
        <f>IFERROR(VLOOKUP('Customer Info'!A4202,'Customer Info'!A4202:E4701,5,FALSE),"Not Found")</f>
        <v>Not Found</v>
      </c>
      <c r="J4210" s="2">
        <v>77</v>
      </c>
      <c r="K4210" s="2">
        <v>73</v>
      </c>
      <c r="L4210" s="2">
        <v>2</v>
      </c>
      <c r="M4210" s="7">
        <f t="shared" si="325"/>
        <v>146</v>
      </c>
      <c r="N4210" s="7">
        <f t="shared" si="326"/>
        <v>154</v>
      </c>
      <c r="O4210" s="2">
        <v>10</v>
      </c>
      <c r="P4210" s="8">
        <f t="shared" si="327"/>
        <v>164</v>
      </c>
      <c r="Q4210" s="8">
        <f t="shared" si="328"/>
        <v>81</v>
      </c>
      <c r="R4210" s="2" t="s">
        <v>50</v>
      </c>
      <c r="S4210" s="9">
        <f t="shared" si="329"/>
        <v>3.2800000000000002</v>
      </c>
    </row>
    <row r="4211" spans="1:19" x14ac:dyDescent="0.3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str">
        <f>IFERROR(VLOOKUP('Customer Info'!A4203,'Customer Info'!A4203:C4702,2,FALSE),"Not Found")</f>
        <v>Not Found</v>
      </c>
      <c r="H4211" s="6" t="str">
        <f>IFERROR(VLOOKUP('Customer Info'!A4203,'Customer Info'!A4203:C4702,3,FALSE),"Not Found")</f>
        <v>Not Found</v>
      </c>
      <c r="I4211" s="6" t="str">
        <f>IFERROR(VLOOKUP('Customer Info'!A4203,'Customer Info'!A4203:E4702,5,FALSE),"Not Found")</f>
        <v>Not Found</v>
      </c>
      <c r="J4211" s="2">
        <v>7065</v>
      </c>
      <c r="K4211" s="2">
        <v>6545</v>
      </c>
      <c r="L4211" s="2">
        <v>2</v>
      </c>
      <c r="M4211" s="7">
        <f t="shared" si="325"/>
        <v>13090</v>
      </c>
      <c r="N4211" s="7">
        <f t="shared" si="326"/>
        <v>14130</v>
      </c>
      <c r="O4211" s="2">
        <v>40</v>
      </c>
      <c r="P4211" s="8">
        <f t="shared" si="327"/>
        <v>14170</v>
      </c>
      <c r="Q4211" s="8">
        <f t="shared" si="328"/>
        <v>7585</v>
      </c>
      <c r="R4211" s="2" t="s">
        <v>26</v>
      </c>
      <c r="S4211" s="9">
        <f t="shared" si="329"/>
        <v>708.5</v>
      </c>
    </row>
    <row r="4212" spans="1:19" x14ac:dyDescent="0.3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str">
        <f>IFERROR(VLOOKUP('Customer Info'!A4204,'Customer Info'!A4204:C4703,2,FALSE),"Not Found")</f>
        <v>Not Found</v>
      </c>
      <c r="H4212" s="6" t="str">
        <f>IFERROR(VLOOKUP('Customer Info'!A4204,'Customer Info'!A4204:C4703,3,FALSE),"Not Found")</f>
        <v>Not Found</v>
      </c>
      <c r="I4212" s="6" t="str">
        <f>IFERROR(VLOOKUP('Customer Info'!A4204,'Customer Info'!A4204:E4703,5,FALSE),"Not Found")</f>
        <v>Not Found</v>
      </c>
      <c r="J4212" s="2">
        <v>2310</v>
      </c>
      <c r="K4212" s="2">
        <v>2040</v>
      </c>
      <c r="L4212" s="2">
        <v>7</v>
      </c>
      <c r="M4212" s="7">
        <f t="shared" si="325"/>
        <v>14280</v>
      </c>
      <c r="N4212" s="7">
        <f t="shared" si="326"/>
        <v>16170</v>
      </c>
      <c r="O4212" s="2">
        <v>74</v>
      </c>
      <c r="P4212" s="8">
        <f t="shared" si="327"/>
        <v>16244</v>
      </c>
      <c r="Q4212" s="8">
        <f t="shared" si="328"/>
        <v>14130</v>
      </c>
      <c r="R4212" s="2" t="s">
        <v>50</v>
      </c>
      <c r="S4212" s="9">
        <f t="shared" si="329"/>
        <v>812.2</v>
      </c>
    </row>
    <row r="4213" spans="1:19" x14ac:dyDescent="0.3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str">
        <f>IFERROR(VLOOKUP('Customer Info'!A4205,'Customer Info'!A4205:C4704,2,FALSE),"Not Found")</f>
        <v>Not Found</v>
      </c>
      <c r="H4213" s="6" t="str">
        <f>IFERROR(VLOOKUP('Customer Info'!A4205,'Customer Info'!A4205:C4704,3,FALSE),"Not Found")</f>
        <v>Not Found</v>
      </c>
      <c r="I4213" s="6" t="str">
        <f>IFERROR(VLOOKUP('Customer Info'!A4205,'Customer Info'!A4205:E4704,5,FALSE),"Not Found")</f>
        <v>Not Found</v>
      </c>
      <c r="J4213" s="2">
        <v>456</v>
      </c>
      <c r="K4213" s="2">
        <v>430</v>
      </c>
      <c r="L4213" s="2">
        <v>4</v>
      </c>
      <c r="M4213" s="7">
        <f t="shared" si="325"/>
        <v>1720</v>
      </c>
      <c r="N4213" s="7">
        <f t="shared" si="326"/>
        <v>1824</v>
      </c>
      <c r="O4213" s="2">
        <v>48</v>
      </c>
      <c r="P4213" s="8">
        <f t="shared" si="327"/>
        <v>1872</v>
      </c>
      <c r="Q4213" s="8">
        <f t="shared" si="328"/>
        <v>1394</v>
      </c>
      <c r="R4213" s="2" t="s">
        <v>50</v>
      </c>
      <c r="S4213" s="9">
        <f t="shared" si="329"/>
        <v>37.44</v>
      </c>
    </row>
    <row r="4214" spans="1:19" x14ac:dyDescent="0.3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str">
        <f>IFERROR(VLOOKUP('Customer Info'!A4206,'Customer Info'!A4206:C4705,2,FALSE),"Not Found")</f>
        <v>Not Found</v>
      </c>
      <c r="H4214" s="6" t="str">
        <f>IFERROR(VLOOKUP('Customer Info'!A4206,'Customer Info'!A4206:C4705,3,FALSE),"Not Found")</f>
        <v>Not Found</v>
      </c>
      <c r="I4214" s="6" t="str">
        <f>IFERROR(VLOOKUP('Customer Info'!A4206,'Customer Info'!A4206:E4705,5,FALSE),"Not Found")</f>
        <v>Not Found</v>
      </c>
      <c r="J4214" s="2">
        <v>992</v>
      </c>
      <c r="K4214" s="2">
        <v>928</v>
      </c>
      <c r="L4214" s="2">
        <v>3</v>
      </c>
      <c r="M4214" s="7">
        <f t="shared" si="325"/>
        <v>2784</v>
      </c>
      <c r="N4214" s="7">
        <f t="shared" si="326"/>
        <v>2976</v>
      </c>
      <c r="O4214" s="2">
        <v>72</v>
      </c>
      <c r="P4214" s="8">
        <f t="shared" si="327"/>
        <v>3048</v>
      </c>
      <c r="Q4214" s="8">
        <f t="shared" si="328"/>
        <v>2048</v>
      </c>
      <c r="R4214" s="2" t="s">
        <v>28</v>
      </c>
      <c r="S4214" s="9">
        <f t="shared" si="329"/>
        <v>60.96</v>
      </c>
    </row>
    <row r="4215" spans="1:19" x14ac:dyDescent="0.3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str">
        <f>IFERROR(VLOOKUP('Customer Info'!A4207,'Customer Info'!A4207:C4706,2,FALSE),"Not Found")</f>
        <v>Not Found</v>
      </c>
      <c r="H4215" s="6" t="str">
        <f>IFERROR(VLOOKUP('Customer Info'!A4207,'Customer Info'!A4207:C4706,3,FALSE),"Not Found")</f>
        <v>Not Found</v>
      </c>
      <c r="I4215" s="6" t="str">
        <f>IFERROR(VLOOKUP('Customer Info'!A4207,'Customer Info'!A4207:E4706,5,FALSE),"Not Found")</f>
        <v>Not Found</v>
      </c>
      <c r="J4215" s="2">
        <v>183</v>
      </c>
      <c r="K4215" s="2">
        <v>172</v>
      </c>
      <c r="L4215" s="2">
        <v>8</v>
      </c>
      <c r="M4215" s="7">
        <f t="shared" si="325"/>
        <v>1376</v>
      </c>
      <c r="N4215" s="7">
        <f t="shared" si="326"/>
        <v>1464</v>
      </c>
      <c r="O4215" s="2">
        <v>30</v>
      </c>
      <c r="P4215" s="8">
        <f t="shared" si="327"/>
        <v>1494</v>
      </c>
      <c r="Q4215" s="8">
        <f t="shared" si="328"/>
        <v>1292</v>
      </c>
      <c r="R4215" s="2" t="s">
        <v>50</v>
      </c>
      <c r="S4215" s="9">
        <f t="shared" si="329"/>
        <v>29.88</v>
      </c>
    </row>
    <row r="4216" spans="1:19" x14ac:dyDescent="0.3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str">
        <f>IFERROR(VLOOKUP('Customer Info'!A4208,'Customer Info'!A4208:C4707,2,FALSE),"Not Found")</f>
        <v>Not Found</v>
      </c>
      <c r="H4216" s="6" t="str">
        <f>IFERROR(VLOOKUP('Customer Info'!A4208,'Customer Info'!A4208:C4707,3,FALSE),"Not Found")</f>
        <v>Not Found</v>
      </c>
      <c r="I4216" s="6" t="str">
        <f>IFERROR(VLOOKUP('Customer Info'!A4208,'Customer Info'!A4208:E4707,5,FALSE),"Not Found")</f>
        <v>Not Found</v>
      </c>
      <c r="J4216" s="2">
        <v>7361</v>
      </c>
      <c r="K4216" s="2">
        <v>6887</v>
      </c>
      <c r="L4216" s="2">
        <v>1</v>
      </c>
      <c r="M4216" s="7">
        <f t="shared" si="325"/>
        <v>6887</v>
      </c>
      <c r="N4216" s="7">
        <f t="shared" si="326"/>
        <v>7361</v>
      </c>
      <c r="O4216" s="2">
        <v>93</v>
      </c>
      <c r="P4216" s="8">
        <f t="shared" si="327"/>
        <v>7454</v>
      </c>
      <c r="Q4216" s="8">
        <f t="shared" si="328"/>
        <v>474</v>
      </c>
      <c r="R4216" s="2" t="s">
        <v>50</v>
      </c>
      <c r="S4216" s="9">
        <f t="shared" si="329"/>
        <v>372.70000000000005</v>
      </c>
    </row>
    <row r="4217" spans="1:19" x14ac:dyDescent="0.3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str">
        <f>IFERROR(VLOOKUP('Customer Info'!A4209,'Customer Info'!A4209:C4708,2,FALSE),"Not Found")</f>
        <v>Not Found</v>
      </c>
      <c r="H4217" s="6" t="str">
        <f>IFERROR(VLOOKUP('Customer Info'!A4209,'Customer Info'!A4209:C4708,3,FALSE),"Not Found")</f>
        <v>Not Found</v>
      </c>
      <c r="I4217" s="6" t="str">
        <f>IFERROR(VLOOKUP('Customer Info'!A4209,'Customer Info'!A4209:E4708,5,FALSE),"Not Found")</f>
        <v>Not Found</v>
      </c>
      <c r="J4217" s="2">
        <v>1651</v>
      </c>
      <c r="K4217" s="2">
        <v>1604</v>
      </c>
      <c r="L4217" s="2">
        <v>2</v>
      </c>
      <c r="M4217" s="7">
        <f t="shared" si="325"/>
        <v>3208</v>
      </c>
      <c r="N4217" s="7">
        <f t="shared" si="326"/>
        <v>3302</v>
      </c>
      <c r="O4217" s="2">
        <v>26</v>
      </c>
      <c r="P4217" s="8">
        <f t="shared" si="327"/>
        <v>3328</v>
      </c>
      <c r="Q4217" s="8">
        <f t="shared" si="328"/>
        <v>1698</v>
      </c>
      <c r="R4217" s="2" t="s">
        <v>28</v>
      </c>
      <c r="S4217" s="9">
        <f t="shared" si="329"/>
        <v>66.56</v>
      </c>
    </row>
    <row r="4218" spans="1:19" x14ac:dyDescent="0.3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str">
        <f>IFERROR(VLOOKUP('Customer Info'!A4210,'Customer Info'!A4210:C4709,2,FALSE),"Not Found")</f>
        <v>Not Found</v>
      </c>
      <c r="H4218" s="6" t="str">
        <f>IFERROR(VLOOKUP('Customer Info'!A4210,'Customer Info'!A4210:C4709,3,FALSE),"Not Found")</f>
        <v>Not Found</v>
      </c>
      <c r="I4218" s="6" t="str">
        <f>IFERROR(VLOOKUP('Customer Info'!A4210,'Customer Info'!A4210:E4709,5,FALSE),"Not Found")</f>
        <v>Not Found</v>
      </c>
      <c r="J4218" s="2">
        <v>6274</v>
      </c>
      <c r="K4218" s="2">
        <v>6093</v>
      </c>
      <c r="L4218" s="2">
        <v>3</v>
      </c>
      <c r="M4218" s="7">
        <f t="shared" si="325"/>
        <v>18279</v>
      </c>
      <c r="N4218" s="7">
        <f t="shared" si="326"/>
        <v>18822</v>
      </c>
      <c r="O4218" s="2">
        <v>66</v>
      </c>
      <c r="P4218" s="8">
        <f t="shared" si="327"/>
        <v>18888</v>
      </c>
      <c r="Q4218" s="8">
        <f t="shared" si="328"/>
        <v>12729</v>
      </c>
      <c r="R4218" s="2" t="s">
        <v>28</v>
      </c>
      <c r="S4218" s="9">
        <f t="shared" si="329"/>
        <v>944.40000000000009</v>
      </c>
    </row>
    <row r="4219" spans="1:19" x14ac:dyDescent="0.3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str">
        <f>IFERROR(VLOOKUP('Customer Info'!A4211,'Customer Info'!A4211:C4710,2,FALSE),"Not Found")</f>
        <v>Not Found</v>
      </c>
      <c r="H4219" s="6" t="str">
        <f>IFERROR(VLOOKUP('Customer Info'!A4211,'Customer Info'!A4211:C4710,3,FALSE),"Not Found")</f>
        <v>Not Found</v>
      </c>
      <c r="I4219" s="6" t="str">
        <f>IFERROR(VLOOKUP('Customer Info'!A4211,'Customer Info'!A4211:E4710,5,FALSE),"Not Found")</f>
        <v>Not Found</v>
      </c>
      <c r="J4219" s="2">
        <v>7361</v>
      </c>
      <c r="K4219" s="2">
        <v>6887</v>
      </c>
      <c r="L4219" s="2">
        <v>2</v>
      </c>
      <c r="M4219" s="7">
        <f t="shared" si="325"/>
        <v>13774</v>
      </c>
      <c r="N4219" s="7">
        <f t="shared" si="326"/>
        <v>14722</v>
      </c>
      <c r="O4219" s="2">
        <v>99</v>
      </c>
      <c r="P4219" s="8">
        <f t="shared" si="327"/>
        <v>14821</v>
      </c>
      <c r="Q4219" s="8">
        <f t="shared" si="328"/>
        <v>7835</v>
      </c>
      <c r="R4219" s="2" t="s">
        <v>50</v>
      </c>
      <c r="S4219" s="9">
        <f t="shared" si="329"/>
        <v>741.05000000000007</v>
      </c>
    </row>
    <row r="4220" spans="1:19" x14ac:dyDescent="0.3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str">
        <f>IFERROR(VLOOKUP('Customer Info'!A4212,'Customer Info'!A4212:C4711,2,FALSE),"Not Found")</f>
        <v>Not Found</v>
      </c>
      <c r="H4220" s="6" t="str">
        <f>IFERROR(VLOOKUP('Customer Info'!A4212,'Customer Info'!A4212:C4711,3,FALSE),"Not Found")</f>
        <v>Not Found</v>
      </c>
      <c r="I4220" s="6" t="str">
        <f>IFERROR(VLOOKUP('Customer Info'!A4212,'Customer Info'!A4212:E4711,5,FALSE),"Not Found")</f>
        <v>Not Found</v>
      </c>
      <c r="J4220" s="2">
        <v>2155</v>
      </c>
      <c r="K4220" s="2">
        <v>2014</v>
      </c>
      <c r="L4220" s="2">
        <v>2</v>
      </c>
      <c r="M4220" s="7">
        <f t="shared" si="325"/>
        <v>4028</v>
      </c>
      <c r="N4220" s="7">
        <f t="shared" si="326"/>
        <v>4310</v>
      </c>
      <c r="O4220" s="2">
        <v>56</v>
      </c>
      <c r="P4220" s="8">
        <f t="shared" si="327"/>
        <v>4366</v>
      </c>
      <c r="Q4220" s="8">
        <f t="shared" si="328"/>
        <v>2296</v>
      </c>
      <c r="R4220" s="2" t="s">
        <v>50</v>
      </c>
      <c r="S4220" s="9">
        <f t="shared" si="329"/>
        <v>87.320000000000007</v>
      </c>
    </row>
    <row r="4221" spans="1:19" x14ac:dyDescent="0.3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str">
        <f>IFERROR(VLOOKUP('Customer Info'!A4213,'Customer Info'!A4213:C4712,2,FALSE),"Not Found")</f>
        <v>Not Found</v>
      </c>
      <c r="H4221" s="6" t="str">
        <f>IFERROR(VLOOKUP('Customer Info'!A4213,'Customer Info'!A4213:C4712,3,FALSE),"Not Found")</f>
        <v>Not Found</v>
      </c>
      <c r="I4221" s="6" t="str">
        <f>IFERROR(VLOOKUP('Customer Info'!A4213,'Customer Info'!A4213:E4712,5,FALSE),"Not Found")</f>
        <v>Not Found</v>
      </c>
      <c r="J4221" s="2">
        <v>28522</v>
      </c>
      <c r="K4221" s="2">
        <v>26384</v>
      </c>
      <c r="L4221" s="2">
        <v>6</v>
      </c>
      <c r="M4221" s="7">
        <f t="shared" si="325"/>
        <v>158304</v>
      </c>
      <c r="N4221" s="7">
        <f t="shared" si="326"/>
        <v>171132</v>
      </c>
      <c r="O4221" s="2">
        <v>52</v>
      </c>
      <c r="P4221" s="8">
        <f t="shared" si="327"/>
        <v>171184</v>
      </c>
      <c r="Q4221" s="8">
        <f t="shared" si="328"/>
        <v>144748</v>
      </c>
      <c r="R4221" s="2" t="s">
        <v>50</v>
      </c>
      <c r="S4221" s="9">
        <f t="shared" si="329"/>
        <v>20542.079999999998</v>
      </c>
    </row>
    <row r="4222" spans="1:19" x14ac:dyDescent="0.3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str">
        <f>IFERROR(VLOOKUP('Customer Info'!A4214,'Customer Info'!A4214:C4713,2,FALSE),"Not Found")</f>
        <v>Not Found</v>
      </c>
      <c r="H4222" s="6" t="str">
        <f>IFERROR(VLOOKUP('Customer Info'!A4214,'Customer Info'!A4214:C4713,3,FALSE),"Not Found")</f>
        <v>Not Found</v>
      </c>
      <c r="I4222" s="6" t="str">
        <f>IFERROR(VLOOKUP('Customer Info'!A4214,'Customer Info'!A4214:E4713,5,FALSE),"Not Found")</f>
        <v>Not Found</v>
      </c>
      <c r="J4222" s="2">
        <v>101</v>
      </c>
      <c r="K4222" s="2">
        <v>98</v>
      </c>
      <c r="L4222" s="2">
        <v>2</v>
      </c>
      <c r="M4222" s="7">
        <f t="shared" si="325"/>
        <v>196</v>
      </c>
      <c r="N4222" s="7">
        <f t="shared" si="326"/>
        <v>202</v>
      </c>
      <c r="O4222" s="2">
        <v>10</v>
      </c>
      <c r="P4222" s="8">
        <f t="shared" si="327"/>
        <v>212</v>
      </c>
      <c r="Q4222" s="8">
        <f t="shared" si="328"/>
        <v>104</v>
      </c>
      <c r="R4222" s="2" t="s">
        <v>50</v>
      </c>
      <c r="S4222" s="9">
        <f t="shared" si="329"/>
        <v>4.24</v>
      </c>
    </row>
    <row r="4223" spans="1:19" x14ac:dyDescent="0.3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str">
        <f>IFERROR(VLOOKUP('Customer Info'!A4215,'Customer Info'!A4215:C4714,2,FALSE),"Not Found")</f>
        <v>Not Found</v>
      </c>
      <c r="H4223" s="6" t="str">
        <f>IFERROR(VLOOKUP('Customer Info'!A4215,'Customer Info'!A4215:C4714,3,FALSE),"Not Found")</f>
        <v>Not Found</v>
      </c>
      <c r="I4223" s="6" t="str">
        <f>IFERROR(VLOOKUP('Customer Info'!A4215,'Customer Info'!A4215:E4714,5,FALSE),"Not Found")</f>
        <v>Not Found</v>
      </c>
      <c r="J4223" s="2">
        <v>8351</v>
      </c>
      <c r="K4223" s="2">
        <v>8033</v>
      </c>
      <c r="L4223" s="2">
        <v>1</v>
      </c>
      <c r="M4223" s="7">
        <f t="shared" si="325"/>
        <v>8033</v>
      </c>
      <c r="N4223" s="7">
        <f t="shared" si="326"/>
        <v>8351</v>
      </c>
      <c r="O4223" s="2">
        <v>21</v>
      </c>
      <c r="P4223" s="8">
        <f t="shared" si="327"/>
        <v>8372</v>
      </c>
      <c r="Q4223" s="8">
        <f t="shared" si="328"/>
        <v>318</v>
      </c>
      <c r="R4223" s="2" t="s">
        <v>28</v>
      </c>
      <c r="S4223" s="9">
        <f t="shared" si="329"/>
        <v>418.6</v>
      </c>
    </row>
    <row r="4224" spans="1:19" x14ac:dyDescent="0.3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str">
        <f>IFERROR(VLOOKUP('Customer Info'!A4216,'Customer Info'!A4216:C4715,2,FALSE),"Not Found")</f>
        <v>Not Found</v>
      </c>
      <c r="H4224" s="6" t="str">
        <f>IFERROR(VLOOKUP('Customer Info'!A4216,'Customer Info'!A4216:C4715,3,FALSE),"Not Found")</f>
        <v>Not Found</v>
      </c>
      <c r="I4224" s="6" t="str">
        <f>IFERROR(VLOOKUP('Customer Info'!A4216,'Customer Info'!A4216:E4715,5,FALSE),"Not Found")</f>
        <v>Not Found</v>
      </c>
      <c r="J4224" s="2">
        <v>63</v>
      </c>
      <c r="K4224" s="2">
        <v>59</v>
      </c>
      <c r="L4224" s="2">
        <v>5</v>
      </c>
      <c r="M4224" s="7">
        <f t="shared" si="325"/>
        <v>295</v>
      </c>
      <c r="N4224" s="7">
        <f t="shared" si="326"/>
        <v>315</v>
      </c>
      <c r="O4224" s="2">
        <v>10</v>
      </c>
      <c r="P4224" s="8">
        <f t="shared" si="327"/>
        <v>325</v>
      </c>
      <c r="Q4224" s="8">
        <f t="shared" si="328"/>
        <v>256</v>
      </c>
      <c r="R4224" s="2" t="s">
        <v>28</v>
      </c>
      <c r="S4224" s="9">
        <f t="shared" si="329"/>
        <v>6.5</v>
      </c>
    </row>
    <row r="4225" spans="1:19" x14ac:dyDescent="0.3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str">
        <f>IFERROR(VLOOKUP('Customer Info'!A4217,'Customer Info'!A4217:C4716,2,FALSE),"Not Found")</f>
        <v>Not Found</v>
      </c>
      <c r="H4225" s="6" t="str">
        <f>IFERROR(VLOOKUP('Customer Info'!A4217,'Customer Info'!A4217:C4716,3,FALSE),"Not Found")</f>
        <v>Not Found</v>
      </c>
      <c r="I4225" s="6" t="str">
        <f>IFERROR(VLOOKUP('Customer Info'!A4217,'Customer Info'!A4217:E4716,5,FALSE),"Not Found")</f>
        <v>Not Found</v>
      </c>
      <c r="J4225" s="2">
        <v>2342</v>
      </c>
      <c r="K4225" s="2">
        <v>2210</v>
      </c>
      <c r="L4225" s="2">
        <v>2</v>
      </c>
      <c r="M4225" s="7">
        <f t="shared" si="325"/>
        <v>4420</v>
      </c>
      <c r="N4225" s="7">
        <f t="shared" si="326"/>
        <v>4684</v>
      </c>
      <c r="O4225" s="2">
        <v>96</v>
      </c>
      <c r="P4225" s="8">
        <f t="shared" si="327"/>
        <v>4780</v>
      </c>
      <c r="Q4225" s="8">
        <f t="shared" si="328"/>
        <v>2474</v>
      </c>
      <c r="R4225" s="2" t="s">
        <v>50</v>
      </c>
      <c r="S4225" s="9">
        <f t="shared" si="329"/>
        <v>95.600000000000009</v>
      </c>
    </row>
    <row r="4226" spans="1:19" x14ac:dyDescent="0.3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str">
        <f>IFERROR(VLOOKUP('Customer Info'!A4218,'Customer Info'!A4218:C4717,2,FALSE),"Not Found")</f>
        <v>Not Found</v>
      </c>
      <c r="H4226" s="6" t="str">
        <f>IFERROR(VLOOKUP('Customer Info'!A4218,'Customer Info'!A4218:C4717,3,FALSE),"Not Found")</f>
        <v>Not Found</v>
      </c>
      <c r="I4226" s="6" t="str">
        <f>IFERROR(VLOOKUP('Customer Info'!A4218,'Customer Info'!A4218:E4717,5,FALSE),"Not Found")</f>
        <v>Not Found</v>
      </c>
      <c r="J4226" s="2">
        <v>69</v>
      </c>
      <c r="K4226" s="2">
        <v>64</v>
      </c>
      <c r="L4226" s="2">
        <v>3</v>
      </c>
      <c r="M4226" s="7">
        <f t="shared" si="325"/>
        <v>192</v>
      </c>
      <c r="N4226" s="7">
        <f t="shared" si="326"/>
        <v>207</v>
      </c>
      <c r="O4226" s="2">
        <v>10</v>
      </c>
      <c r="P4226" s="8">
        <f t="shared" si="327"/>
        <v>217</v>
      </c>
      <c r="Q4226" s="8">
        <f t="shared" si="328"/>
        <v>143</v>
      </c>
      <c r="R4226" s="2" t="s">
        <v>28</v>
      </c>
      <c r="S4226" s="9">
        <f t="shared" si="329"/>
        <v>4.34</v>
      </c>
    </row>
    <row r="4227" spans="1:19" x14ac:dyDescent="0.3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str">
        <f>IFERROR(VLOOKUP('Customer Info'!A4219,'Customer Info'!A4219:C4718,2,FALSE),"Not Found")</f>
        <v>Not Found</v>
      </c>
      <c r="H4227" s="6" t="str">
        <f>IFERROR(VLOOKUP('Customer Info'!A4219,'Customer Info'!A4219:C4718,3,FALSE),"Not Found")</f>
        <v>Not Found</v>
      </c>
      <c r="I4227" s="6" t="str">
        <f>IFERROR(VLOOKUP('Customer Info'!A4219,'Customer Info'!A4219:E4718,5,FALSE),"Not Found")</f>
        <v>Not Found</v>
      </c>
      <c r="J4227" s="2">
        <v>1413</v>
      </c>
      <c r="K4227" s="2">
        <v>1334</v>
      </c>
      <c r="L4227" s="2">
        <v>6</v>
      </c>
      <c r="M4227" s="7">
        <f t="shared" si="325"/>
        <v>8004</v>
      </c>
      <c r="N4227" s="7">
        <f t="shared" si="326"/>
        <v>8478</v>
      </c>
      <c r="O4227" s="2">
        <v>49</v>
      </c>
      <c r="P4227" s="8">
        <f t="shared" si="327"/>
        <v>8527</v>
      </c>
      <c r="Q4227" s="8">
        <f t="shared" si="328"/>
        <v>7144</v>
      </c>
      <c r="R4227" s="2" t="s">
        <v>28</v>
      </c>
      <c r="S4227" s="9">
        <f t="shared" si="329"/>
        <v>426.35</v>
      </c>
    </row>
    <row r="4228" spans="1:19" x14ac:dyDescent="0.3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str">
        <f>IFERROR(VLOOKUP('Customer Info'!A4220,'Customer Info'!A4220:C4719,2,FALSE),"Not Found")</f>
        <v>Not Found</v>
      </c>
      <c r="H4228" s="6" t="str">
        <f>IFERROR(VLOOKUP('Customer Info'!A4220,'Customer Info'!A4220:C4719,3,FALSE),"Not Found")</f>
        <v>Not Found</v>
      </c>
      <c r="I4228" s="6" t="str">
        <f>IFERROR(VLOOKUP('Customer Info'!A4220,'Customer Info'!A4220:E4719,5,FALSE),"Not Found")</f>
        <v>Not Found</v>
      </c>
      <c r="J4228" s="2">
        <v>2466</v>
      </c>
      <c r="K4228" s="2">
        <v>2350</v>
      </c>
      <c r="L4228" s="2">
        <v>6</v>
      </c>
      <c r="M4228" s="7">
        <f t="shared" si="325"/>
        <v>14100</v>
      </c>
      <c r="N4228" s="7">
        <f t="shared" si="326"/>
        <v>14796</v>
      </c>
      <c r="O4228" s="2">
        <v>64</v>
      </c>
      <c r="P4228" s="8">
        <f t="shared" si="327"/>
        <v>14860</v>
      </c>
      <c r="Q4228" s="8">
        <f t="shared" si="328"/>
        <v>12446</v>
      </c>
      <c r="R4228" s="2" t="s">
        <v>50</v>
      </c>
      <c r="S4228" s="9">
        <f t="shared" si="329"/>
        <v>743</v>
      </c>
    </row>
    <row r="4229" spans="1:19" x14ac:dyDescent="0.3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str">
        <f>IFERROR(VLOOKUP('Customer Info'!A4221,'Customer Info'!A4221:C4720,2,FALSE),"Not Found")</f>
        <v>Not Found</v>
      </c>
      <c r="H4229" s="6" t="str">
        <f>IFERROR(VLOOKUP('Customer Info'!A4221,'Customer Info'!A4221:C4720,3,FALSE),"Not Found")</f>
        <v>Not Found</v>
      </c>
      <c r="I4229" s="6" t="str">
        <f>IFERROR(VLOOKUP('Customer Info'!A4221,'Customer Info'!A4221:E4720,5,FALSE),"Not Found")</f>
        <v>Not Found</v>
      </c>
      <c r="J4229" s="2">
        <v>2829</v>
      </c>
      <c r="K4229" s="2">
        <v>2596</v>
      </c>
      <c r="L4229" s="2">
        <v>1</v>
      </c>
      <c r="M4229" s="7">
        <f t="shared" si="325"/>
        <v>2596</v>
      </c>
      <c r="N4229" s="7">
        <f t="shared" si="326"/>
        <v>2829</v>
      </c>
      <c r="O4229" s="2">
        <v>39</v>
      </c>
      <c r="P4229" s="8">
        <f t="shared" si="327"/>
        <v>2868</v>
      </c>
      <c r="Q4229" s="8">
        <f t="shared" si="328"/>
        <v>233</v>
      </c>
      <c r="R4229" s="2" t="s">
        <v>50</v>
      </c>
      <c r="S4229" s="9">
        <f t="shared" si="329"/>
        <v>57.36</v>
      </c>
    </row>
    <row r="4230" spans="1:19" x14ac:dyDescent="0.3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str">
        <f>IFERROR(VLOOKUP('Customer Info'!A4222,'Customer Info'!A4222:C4721,2,FALSE),"Not Found")</f>
        <v>Not Found</v>
      </c>
      <c r="H4230" s="6" t="str">
        <f>IFERROR(VLOOKUP('Customer Info'!A4222,'Customer Info'!A4222:C4721,3,FALSE),"Not Found")</f>
        <v>Not Found</v>
      </c>
      <c r="I4230" s="6" t="str">
        <f>IFERROR(VLOOKUP('Customer Info'!A4222,'Customer Info'!A4222:E4721,5,FALSE),"Not Found")</f>
        <v>Not Found</v>
      </c>
      <c r="J4230" s="2">
        <v>516</v>
      </c>
      <c r="K4230" s="2">
        <v>473</v>
      </c>
      <c r="L4230" s="2">
        <v>3</v>
      </c>
      <c r="M4230" s="7">
        <f t="shared" si="325"/>
        <v>1419</v>
      </c>
      <c r="N4230" s="7">
        <f t="shared" si="326"/>
        <v>1548</v>
      </c>
      <c r="O4230" s="2">
        <v>22</v>
      </c>
      <c r="P4230" s="8">
        <f t="shared" si="327"/>
        <v>1570</v>
      </c>
      <c r="Q4230" s="8">
        <f t="shared" si="328"/>
        <v>1075</v>
      </c>
      <c r="R4230" s="2" t="s">
        <v>50</v>
      </c>
      <c r="S4230" s="9">
        <f t="shared" si="329"/>
        <v>31.400000000000002</v>
      </c>
    </row>
    <row r="4231" spans="1:19" x14ac:dyDescent="0.3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str">
        <f>IFERROR(VLOOKUP('Customer Info'!A4223,'Customer Info'!A4223:C4722,2,FALSE),"Not Found")</f>
        <v>Not Found</v>
      </c>
      <c r="H4231" s="6" t="str">
        <f>IFERROR(VLOOKUP('Customer Info'!A4223,'Customer Info'!A4223:C4722,3,FALSE),"Not Found")</f>
        <v>Not Found</v>
      </c>
      <c r="I4231" s="6" t="str">
        <f>IFERROR(VLOOKUP('Customer Info'!A4223,'Customer Info'!A4223:E4722,5,FALSE),"Not Found")</f>
        <v>Not Found</v>
      </c>
      <c r="J4231" s="2">
        <v>2242</v>
      </c>
      <c r="K4231" s="2">
        <v>2075</v>
      </c>
      <c r="L4231" s="2">
        <v>4</v>
      </c>
      <c r="M4231" s="7">
        <f t="shared" si="325"/>
        <v>8300</v>
      </c>
      <c r="N4231" s="7">
        <f t="shared" si="326"/>
        <v>8968</v>
      </c>
      <c r="O4231" s="2">
        <v>75</v>
      </c>
      <c r="P4231" s="8">
        <f t="shared" si="327"/>
        <v>9043</v>
      </c>
      <c r="Q4231" s="8">
        <f t="shared" si="328"/>
        <v>6893</v>
      </c>
      <c r="R4231" s="2" t="s">
        <v>28</v>
      </c>
      <c r="S4231" s="9">
        <f t="shared" si="329"/>
        <v>452.15000000000003</v>
      </c>
    </row>
    <row r="4232" spans="1:19" x14ac:dyDescent="0.3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str">
        <f>IFERROR(VLOOKUP('Customer Info'!A4224,'Customer Info'!A4224:C4723,2,FALSE),"Not Found")</f>
        <v>Not Found</v>
      </c>
      <c r="H4232" s="6" t="str">
        <f>IFERROR(VLOOKUP('Customer Info'!A4224,'Customer Info'!A4224:C4723,3,FALSE),"Not Found")</f>
        <v>Not Found</v>
      </c>
      <c r="I4232" s="6" t="str">
        <f>IFERROR(VLOOKUP('Customer Info'!A4224,'Customer Info'!A4224:E4723,5,FALSE),"Not Found")</f>
        <v>Not Found</v>
      </c>
      <c r="J4232" s="2">
        <v>56</v>
      </c>
      <c r="K4232" s="2">
        <v>54</v>
      </c>
      <c r="L4232" s="2">
        <v>3</v>
      </c>
      <c r="M4232" s="7">
        <f t="shared" si="325"/>
        <v>162</v>
      </c>
      <c r="N4232" s="7">
        <f t="shared" si="326"/>
        <v>168</v>
      </c>
      <c r="O4232" s="2">
        <v>10</v>
      </c>
      <c r="P4232" s="8">
        <f t="shared" si="327"/>
        <v>178</v>
      </c>
      <c r="Q4232" s="8">
        <f t="shared" si="328"/>
        <v>114</v>
      </c>
      <c r="R4232" s="2" t="s">
        <v>28</v>
      </c>
      <c r="S4232" s="9">
        <f t="shared" si="329"/>
        <v>3.56</v>
      </c>
    </row>
    <row r="4233" spans="1:19" x14ac:dyDescent="0.3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str">
        <f>IFERROR(VLOOKUP('Customer Info'!A4225,'Customer Info'!A4225:C4724,2,FALSE),"Not Found")</f>
        <v>Not Found</v>
      </c>
      <c r="H4233" s="6" t="str">
        <f>IFERROR(VLOOKUP('Customer Info'!A4225,'Customer Info'!A4225:C4724,3,FALSE),"Not Found")</f>
        <v>Not Found</v>
      </c>
      <c r="I4233" s="6" t="str">
        <f>IFERROR(VLOOKUP('Customer Info'!A4225,'Customer Info'!A4225:E4724,5,FALSE),"Not Found")</f>
        <v>Not Found</v>
      </c>
      <c r="J4233" s="2">
        <v>4784</v>
      </c>
      <c r="K4233" s="2">
        <v>4518</v>
      </c>
      <c r="L4233" s="2">
        <v>1</v>
      </c>
      <c r="M4233" s="7">
        <f t="shared" si="325"/>
        <v>4518</v>
      </c>
      <c r="N4233" s="7">
        <f t="shared" si="326"/>
        <v>4784</v>
      </c>
      <c r="O4233" s="2">
        <v>55</v>
      </c>
      <c r="P4233" s="8">
        <f t="shared" si="327"/>
        <v>4839</v>
      </c>
      <c r="Q4233" s="8">
        <f t="shared" si="328"/>
        <v>266</v>
      </c>
      <c r="R4233" s="2" t="s">
        <v>26</v>
      </c>
      <c r="S4233" s="9">
        <f t="shared" si="329"/>
        <v>96.78</v>
      </c>
    </row>
    <row r="4234" spans="1:19" x14ac:dyDescent="0.3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str">
        <f>IFERROR(VLOOKUP('Customer Info'!A4226,'Customer Info'!A4226:C4725,2,FALSE),"Not Found")</f>
        <v>Not Found</v>
      </c>
      <c r="H4234" s="6" t="str">
        <f>IFERROR(VLOOKUP('Customer Info'!A4226,'Customer Info'!A4226:C4725,3,FALSE),"Not Found")</f>
        <v>Not Found</v>
      </c>
      <c r="I4234" s="6" t="str">
        <f>IFERROR(VLOOKUP('Customer Info'!A4226,'Customer Info'!A4226:E4725,5,FALSE),"Not Found")</f>
        <v>Not Found</v>
      </c>
      <c r="J4234" s="2">
        <v>1169</v>
      </c>
      <c r="K4234" s="2">
        <v>1072</v>
      </c>
      <c r="L4234" s="2">
        <v>5</v>
      </c>
      <c r="M4234" s="7">
        <f t="shared" si="325"/>
        <v>5360</v>
      </c>
      <c r="N4234" s="7">
        <f t="shared" si="326"/>
        <v>5845</v>
      </c>
      <c r="O4234" s="2">
        <v>86</v>
      </c>
      <c r="P4234" s="8">
        <f t="shared" si="327"/>
        <v>5931</v>
      </c>
      <c r="Q4234" s="8">
        <f t="shared" si="328"/>
        <v>4773</v>
      </c>
      <c r="R4234" s="2" t="s">
        <v>50</v>
      </c>
      <c r="S4234" s="9">
        <f t="shared" si="329"/>
        <v>296.55</v>
      </c>
    </row>
    <row r="4235" spans="1:19" x14ac:dyDescent="0.3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str">
        <f>IFERROR(VLOOKUP('Customer Info'!A4227,'Customer Info'!A4227:C4726,2,FALSE),"Not Found")</f>
        <v>Not Found</v>
      </c>
      <c r="H4235" s="6" t="str">
        <f>IFERROR(VLOOKUP('Customer Info'!A4227,'Customer Info'!A4227:C4726,3,FALSE),"Not Found")</f>
        <v>Not Found</v>
      </c>
      <c r="I4235" s="6" t="str">
        <f>IFERROR(VLOOKUP('Customer Info'!A4227,'Customer Info'!A4227:E4726,5,FALSE),"Not Found")</f>
        <v>Not Found</v>
      </c>
      <c r="J4235" s="2">
        <v>531</v>
      </c>
      <c r="K4235" s="2">
        <v>487</v>
      </c>
      <c r="L4235" s="2">
        <v>6</v>
      </c>
      <c r="M4235" s="7">
        <f t="shared" ref="M4235:M4298" si="330">$K4235*$L4235</f>
        <v>2922</v>
      </c>
      <c r="N4235" s="7">
        <f t="shared" ref="N4235:N4298" si="331">$J4235*$L4235</f>
        <v>3186</v>
      </c>
      <c r="O4235" s="2">
        <v>30</v>
      </c>
      <c r="P4235" s="8">
        <f t="shared" ref="P4235:P4298" si="332">$N4235+$O4235</f>
        <v>3216</v>
      </c>
      <c r="Q4235" s="8">
        <f t="shared" ref="Q4235:Q4298" si="333">$N4235-$K4235</f>
        <v>2699</v>
      </c>
      <c r="R4235" s="2" t="s">
        <v>28</v>
      </c>
      <c r="S4235" s="9">
        <f t="shared" ref="S4235:S4298" si="334" xml:space="preserve"> P4235 * VLOOKUP(P4235, $T$2:$U$6, 2, TRUE)</f>
        <v>64.320000000000007</v>
      </c>
    </row>
    <row r="4236" spans="1:19" x14ac:dyDescent="0.3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str">
        <f>IFERROR(VLOOKUP('Customer Info'!A4228,'Customer Info'!A4228:C4727,2,FALSE),"Not Found")</f>
        <v>Not Found</v>
      </c>
      <c r="H4236" s="6" t="str">
        <f>IFERROR(VLOOKUP('Customer Info'!A4228,'Customer Info'!A4228:C4727,3,FALSE),"Not Found")</f>
        <v>Not Found</v>
      </c>
      <c r="I4236" s="6" t="str">
        <f>IFERROR(VLOOKUP('Customer Info'!A4228,'Customer Info'!A4228:E4727,5,FALSE),"Not Found")</f>
        <v>Not Found</v>
      </c>
      <c r="J4236" s="2">
        <v>887</v>
      </c>
      <c r="K4236" s="2">
        <v>814</v>
      </c>
      <c r="L4236" s="2">
        <v>1</v>
      </c>
      <c r="M4236" s="7">
        <f t="shared" si="330"/>
        <v>814</v>
      </c>
      <c r="N4236" s="7">
        <f t="shared" si="331"/>
        <v>887</v>
      </c>
      <c r="O4236" s="2">
        <v>57</v>
      </c>
      <c r="P4236" s="8">
        <f t="shared" si="332"/>
        <v>944</v>
      </c>
      <c r="Q4236" s="8">
        <f t="shared" si="333"/>
        <v>73</v>
      </c>
      <c r="R4236" s="2" t="s">
        <v>28</v>
      </c>
      <c r="S4236" s="9">
        <f t="shared" si="334"/>
        <v>18.88</v>
      </c>
    </row>
    <row r="4237" spans="1:19" x14ac:dyDescent="0.3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str">
        <f>IFERROR(VLOOKUP('Customer Info'!A4229,'Customer Info'!A4229:C4728,2,FALSE),"Not Found")</f>
        <v>Not Found</v>
      </c>
      <c r="H4237" s="6" t="str">
        <f>IFERROR(VLOOKUP('Customer Info'!A4229,'Customer Info'!A4229:C4728,3,FALSE),"Not Found")</f>
        <v>Not Found</v>
      </c>
      <c r="I4237" s="6" t="str">
        <f>IFERROR(VLOOKUP('Customer Info'!A4229,'Customer Info'!A4229:E4728,5,FALSE),"Not Found")</f>
        <v>Not Found</v>
      </c>
      <c r="J4237" s="2">
        <v>1512</v>
      </c>
      <c r="K4237" s="2">
        <v>1497</v>
      </c>
      <c r="L4237" s="2">
        <v>2</v>
      </c>
      <c r="M4237" s="7">
        <f t="shared" si="330"/>
        <v>2994</v>
      </c>
      <c r="N4237" s="7">
        <f t="shared" si="331"/>
        <v>3024</v>
      </c>
      <c r="O4237" s="2">
        <v>74</v>
      </c>
      <c r="P4237" s="8">
        <f t="shared" si="332"/>
        <v>3098</v>
      </c>
      <c r="Q4237" s="8">
        <f t="shared" si="333"/>
        <v>1527</v>
      </c>
      <c r="R4237" s="2" t="s">
        <v>28</v>
      </c>
      <c r="S4237" s="9">
        <f t="shared" si="334"/>
        <v>61.96</v>
      </c>
    </row>
    <row r="4238" spans="1:19" x14ac:dyDescent="0.3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str">
        <f>IFERROR(VLOOKUP('Customer Info'!A4230,'Customer Info'!A4230:C4729,2,FALSE),"Not Found")</f>
        <v>Not Found</v>
      </c>
      <c r="H4238" s="6" t="str">
        <f>IFERROR(VLOOKUP('Customer Info'!A4230,'Customer Info'!A4230:C4729,3,FALSE),"Not Found")</f>
        <v>Not Found</v>
      </c>
      <c r="I4238" s="6" t="str">
        <f>IFERROR(VLOOKUP('Customer Info'!A4230,'Customer Info'!A4230:E4729,5,FALSE),"Not Found")</f>
        <v>Not Found</v>
      </c>
      <c r="J4238" s="2">
        <v>142</v>
      </c>
      <c r="K4238" s="2">
        <v>129</v>
      </c>
      <c r="L4238" s="2">
        <v>4</v>
      </c>
      <c r="M4238" s="7">
        <f t="shared" si="330"/>
        <v>516</v>
      </c>
      <c r="N4238" s="7">
        <f t="shared" si="331"/>
        <v>568</v>
      </c>
      <c r="O4238" s="2">
        <v>30</v>
      </c>
      <c r="P4238" s="8">
        <f t="shared" si="332"/>
        <v>598</v>
      </c>
      <c r="Q4238" s="8">
        <f t="shared" si="333"/>
        <v>439</v>
      </c>
      <c r="R4238" s="2" t="s">
        <v>28</v>
      </c>
      <c r="S4238" s="9">
        <f t="shared" si="334"/>
        <v>11.96</v>
      </c>
    </row>
    <row r="4239" spans="1:19" x14ac:dyDescent="0.3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str">
        <f>IFERROR(VLOOKUP('Customer Info'!A4231,'Customer Info'!A4231:C4730,2,FALSE),"Not Found")</f>
        <v>Not Found</v>
      </c>
      <c r="H4239" s="6" t="str">
        <f>IFERROR(VLOOKUP('Customer Info'!A4231,'Customer Info'!A4231:C4730,3,FALSE),"Not Found")</f>
        <v>Not Found</v>
      </c>
      <c r="I4239" s="6" t="str">
        <f>IFERROR(VLOOKUP('Customer Info'!A4231,'Customer Info'!A4231:E4730,5,FALSE),"Not Found")</f>
        <v>Not Found</v>
      </c>
      <c r="J4239" s="2">
        <v>400</v>
      </c>
      <c r="K4239" s="2">
        <v>360</v>
      </c>
      <c r="L4239" s="2">
        <v>4</v>
      </c>
      <c r="M4239" s="7">
        <f t="shared" si="330"/>
        <v>1440</v>
      </c>
      <c r="N4239" s="7">
        <f t="shared" si="331"/>
        <v>1600</v>
      </c>
      <c r="O4239" s="2">
        <v>58</v>
      </c>
      <c r="P4239" s="8">
        <f t="shared" si="332"/>
        <v>1658</v>
      </c>
      <c r="Q4239" s="8">
        <f t="shared" si="333"/>
        <v>1240</v>
      </c>
      <c r="R4239" s="2" t="s">
        <v>28</v>
      </c>
      <c r="S4239" s="9">
        <f t="shared" si="334"/>
        <v>33.160000000000004</v>
      </c>
    </row>
    <row r="4240" spans="1:19" x14ac:dyDescent="0.3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str">
        <f>IFERROR(VLOOKUP('Customer Info'!A4232,'Customer Info'!A4232:C4731,2,FALSE),"Not Found")</f>
        <v>Not Found</v>
      </c>
      <c r="H4240" s="6" t="str">
        <f>IFERROR(VLOOKUP('Customer Info'!A4232,'Customer Info'!A4232:C4731,3,FALSE),"Not Found")</f>
        <v>Not Found</v>
      </c>
      <c r="I4240" s="6" t="str">
        <f>IFERROR(VLOOKUP('Customer Info'!A4232,'Customer Info'!A4232:E4731,5,FALSE),"Not Found")</f>
        <v>Not Found</v>
      </c>
      <c r="J4240" s="2">
        <v>1545</v>
      </c>
      <c r="K4240" s="2">
        <v>1486</v>
      </c>
      <c r="L4240" s="2">
        <v>1</v>
      </c>
      <c r="M4240" s="7">
        <f t="shared" si="330"/>
        <v>1486</v>
      </c>
      <c r="N4240" s="7">
        <f t="shared" si="331"/>
        <v>1545</v>
      </c>
      <c r="O4240" s="2">
        <v>67</v>
      </c>
      <c r="P4240" s="8">
        <f t="shared" si="332"/>
        <v>1612</v>
      </c>
      <c r="Q4240" s="8">
        <f t="shared" si="333"/>
        <v>59</v>
      </c>
      <c r="R4240" s="2" t="s">
        <v>28</v>
      </c>
      <c r="S4240" s="9">
        <f t="shared" si="334"/>
        <v>32.24</v>
      </c>
    </row>
    <row r="4241" spans="1:19" x14ac:dyDescent="0.3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str">
        <f>IFERROR(VLOOKUP('Customer Info'!A4233,'Customer Info'!A4233:C4732,2,FALSE),"Not Found")</f>
        <v>Not Found</v>
      </c>
      <c r="H4241" s="6" t="str">
        <f>IFERROR(VLOOKUP('Customer Info'!A4233,'Customer Info'!A4233:C4732,3,FALSE),"Not Found")</f>
        <v>Not Found</v>
      </c>
      <c r="I4241" s="6" t="str">
        <f>IFERROR(VLOOKUP('Customer Info'!A4233,'Customer Info'!A4233:E4732,5,FALSE),"Not Found")</f>
        <v>Not Found</v>
      </c>
      <c r="J4241" s="2">
        <v>222</v>
      </c>
      <c r="K4241" s="2">
        <v>204</v>
      </c>
      <c r="L4241" s="2">
        <v>1</v>
      </c>
      <c r="M4241" s="7">
        <f t="shared" si="330"/>
        <v>204</v>
      </c>
      <c r="N4241" s="7">
        <f t="shared" si="331"/>
        <v>222</v>
      </c>
      <c r="O4241" s="2">
        <v>82</v>
      </c>
      <c r="P4241" s="8">
        <f t="shared" si="332"/>
        <v>304</v>
      </c>
      <c r="Q4241" s="8">
        <f t="shared" si="333"/>
        <v>18</v>
      </c>
      <c r="R4241" s="2" t="s">
        <v>28</v>
      </c>
      <c r="S4241" s="9">
        <f t="shared" si="334"/>
        <v>6.08</v>
      </c>
    </row>
    <row r="4242" spans="1:19" x14ac:dyDescent="0.3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str">
        <f>IFERROR(VLOOKUP('Customer Info'!A4234,'Customer Info'!A4234:C4733,2,FALSE),"Not Found")</f>
        <v>Not Found</v>
      </c>
      <c r="H4242" s="6" t="str">
        <f>IFERROR(VLOOKUP('Customer Info'!A4234,'Customer Info'!A4234:C4733,3,FALSE),"Not Found")</f>
        <v>Not Found</v>
      </c>
      <c r="I4242" s="6" t="str">
        <f>IFERROR(VLOOKUP('Customer Info'!A4234,'Customer Info'!A4234:E4733,5,FALSE),"Not Found")</f>
        <v>Not Found</v>
      </c>
      <c r="J4242" s="2">
        <v>6354</v>
      </c>
      <c r="K4242" s="2">
        <v>5769</v>
      </c>
      <c r="L4242" s="2">
        <v>1</v>
      </c>
      <c r="M4242" s="7">
        <f t="shared" si="330"/>
        <v>5769</v>
      </c>
      <c r="N4242" s="7">
        <f t="shared" si="331"/>
        <v>6354</v>
      </c>
      <c r="O4242" s="2">
        <v>71</v>
      </c>
      <c r="P4242" s="8">
        <f t="shared" si="332"/>
        <v>6425</v>
      </c>
      <c r="Q4242" s="8">
        <f t="shared" si="333"/>
        <v>585</v>
      </c>
      <c r="R4242" s="2" t="s">
        <v>28</v>
      </c>
      <c r="S4242" s="9">
        <f t="shared" si="334"/>
        <v>321.25</v>
      </c>
    </row>
    <row r="4243" spans="1:19" x14ac:dyDescent="0.3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str">
        <f>IFERROR(VLOOKUP('Customer Info'!A4235,'Customer Info'!A4235:C4734,2,FALSE),"Not Found")</f>
        <v>Not Found</v>
      </c>
      <c r="H4243" s="6" t="str">
        <f>IFERROR(VLOOKUP('Customer Info'!A4235,'Customer Info'!A4235:C4734,3,FALSE),"Not Found")</f>
        <v>Not Found</v>
      </c>
      <c r="I4243" s="6" t="str">
        <f>IFERROR(VLOOKUP('Customer Info'!A4235,'Customer Info'!A4235:E4734,5,FALSE),"Not Found")</f>
        <v>Not Found</v>
      </c>
      <c r="J4243" s="2">
        <v>404</v>
      </c>
      <c r="K4243" s="2">
        <v>371</v>
      </c>
      <c r="L4243" s="2">
        <v>5</v>
      </c>
      <c r="M4243" s="7">
        <f t="shared" si="330"/>
        <v>1855</v>
      </c>
      <c r="N4243" s="7">
        <f t="shared" si="331"/>
        <v>2020</v>
      </c>
      <c r="O4243" s="2">
        <v>58</v>
      </c>
      <c r="P4243" s="8">
        <f t="shared" si="332"/>
        <v>2078</v>
      </c>
      <c r="Q4243" s="8">
        <f t="shared" si="333"/>
        <v>1649</v>
      </c>
      <c r="R4243" s="2" t="s">
        <v>56</v>
      </c>
      <c r="S4243" s="9">
        <f t="shared" si="334"/>
        <v>41.56</v>
      </c>
    </row>
    <row r="4244" spans="1:19" x14ac:dyDescent="0.3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str">
        <f>IFERROR(VLOOKUP('Customer Info'!A4236,'Customer Info'!A4236:C4735,2,FALSE),"Not Found")</f>
        <v>Not Found</v>
      </c>
      <c r="H4244" s="6" t="str">
        <f>IFERROR(VLOOKUP('Customer Info'!A4236,'Customer Info'!A4236:C4735,3,FALSE),"Not Found")</f>
        <v>Not Found</v>
      </c>
      <c r="I4244" s="6" t="str">
        <f>IFERROR(VLOOKUP('Customer Info'!A4236,'Customer Info'!A4236:E4735,5,FALSE),"Not Found")</f>
        <v>Not Found</v>
      </c>
      <c r="J4244" s="2">
        <v>5882</v>
      </c>
      <c r="K4244" s="2">
        <v>5713</v>
      </c>
      <c r="L4244" s="2">
        <v>7</v>
      </c>
      <c r="M4244" s="7">
        <f t="shared" si="330"/>
        <v>39991</v>
      </c>
      <c r="N4244" s="7">
        <f t="shared" si="331"/>
        <v>41174</v>
      </c>
      <c r="O4244" s="2">
        <v>49</v>
      </c>
      <c r="P4244" s="8">
        <f t="shared" si="332"/>
        <v>41223</v>
      </c>
      <c r="Q4244" s="8">
        <f t="shared" si="333"/>
        <v>35461</v>
      </c>
      <c r="R4244" s="2" t="s">
        <v>50</v>
      </c>
      <c r="S4244" s="9">
        <f t="shared" si="334"/>
        <v>2885.61</v>
      </c>
    </row>
    <row r="4245" spans="1:19" x14ac:dyDescent="0.3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str">
        <f>IFERROR(VLOOKUP('Customer Info'!A4237,'Customer Info'!A4237:C4736,2,FALSE),"Not Found")</f>
        <v>Not Found</v>
      </c>
      <c r="H4245" s="6" t="str">
        <f>IFERROR(VLOOKUP('Customer Info'!A4237,'Customer Info'!A4237:C4736,3,FALSE),"Not Found")</f>
        <v>Not Found</v>
      </c>
      <c r="I4245" s="6" t="str">
        <f>IFERROR(VLOOKUP('Customer Info'!A4237,'Customer Info'!A4237:E4736,5,FALSE),"Not Found")</f>
        <v>Not Found</v>
      </c>
      <c r="J4245" s="2">
        <v>1568</v>
      </c>
      <c r="K4245" s="2">
        <v>1495</v>
      </c>
      <c r="L4245" s="2">
        <v>5</v>
      </c>
      <c r="M4245" s="7">
        <f t="shared" si="330"/>
        <v>7475</v>
      </c>
      <c r="N4245" s="7">
        <f t="shared" si="331"/>
        <v>7840</v>
      </c>
      <c r="O4245" s="2">
        <v>52</v>
      </c>
      <c r="P4245" s="8">
        <f t="shared" si="332"/>
        <v>7892</v>
      </c>
      <c r="Q4245" s="8">
        <f t="shared" si="333"/>
        <v>6345</v>
      </c>
      <c r="R4245" s="2" t="s">
        <v>26</v>
      </c>
      <c r="S4245" s="9">
        <f t="shared" si="334"/>
        <v>394.6</v>
      </c>
    </row>
    <row r="4246" spans="1:19" x14ac:dyDescent="0.3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str">
        <f>IFERROR(VLOOKUP('Customer Info'!A4238,'Customer Info'!A4238:C4737,2,FALSE),"Not Found")</f>
        <v>Not Found</v>
      </c>
      <c r="H4246" s="6" t="str">
        <f>IFERROR(VLOOKUP('Customer Info'!A4238,'Customer Info'!A4238:C4737,3,FALSE),"Not Found")</f>
        <v>Not Found</v>
      </c>
      <c r="I4246" s="6" t="str">
        <f>IFERROR(VLOOKUP('Customer Info'!A4238,'Customer Info'!A4238:E4737,5,FALSE),"Not Found")</f>
        <v>Not Found</v>
      </c>
      <c r="J4246" s="2">
        <v>1615</v>
      </c>
      <c r="K4246" s="2">
        <v>1525</v>
      </c>
      <c r="L4246" s="2">
        <v>3</v>
      </c>
      <c r="M4246" s="7">
        <f t="shared" si="330"/>
        <v>4575</v>
      </c>
      <c r="N4246" s="7">
        <f t="shared" si="331"/>
        <v>4845</v>
      </c>
      <c r="O4246" s="2">
        <v>47</v>
      </c>
      <c r="P4246" s="8">
        <f t="shared" si="332"/>
        <v>4892</v>
      </c>
      <c r="Q4246" s="8">
        <f t="shared" si="333"/>
        <v>3320</v>
      </c>
      <c r="R4246" s="2" t="s">
        <v>50</v>
      </c>
      <c r="S4246" s="9">
        <f t="shared" si="334"/>
        <v>97.84</v>
      </c>
    </row>
    <row r="4247" spans="1:19" x14ac:dyDescent="0.3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str">
        <f>IFERROR(VLOOKUP('Customer Info'!A4239,'Customer Info'!A4239:C4738,2,FALSE),"Not Found")</f>
        <v>Not Found</v>
      </c>
      <c r="H4247" s="6" t="str">
        <f>IFERROR(VLOOKUP('Customer Info'!A4239,'Customer Info'!A4239:C4738,3,FALSE),"Not Found")</f>
        <v>Not Found</v>
      </c>
      <c r="I4247" s="6" t="str">
        <f>IFERROR(VLOOKUP('Customer Info'!A4239,'Customer Info'!A4239:E4738,5,FALSE),"Not Found")</f>
        <v>Not Found</v>
      </c>
      <c r="J4247" s="2">
        <v>2540</v>
      </c>
      <c r="K4247" s="2">
        <v>2397</v>
      </c>
      <c r="L4247" s="2">
        <v>1</v>
      </c>
      <c r="M4247" s="7">
        <f t="shared" si="330"/>
        <v>2397</v>
      </c>
      <c r="N4247" s="7">
        <f t="shared" si="331"/>
        <v>2540</v>
      </c>
      <c r="O4247" s="2">
        <v>28</v>
      </c>
      <c r="P4247" s="8">
        <f t="shared" si="332"/>
        <v>2568</v>
      </c>
      <c r="Q4247" s="8">
        <f t="shared" si="333"/>
        <v>143</v>
      </c>
      <c r="R4247" s="2" t="s">
        <v>28</v>
      </c>
      <c r="S4247" s="9">
        <f t="shared" si="334"/>
        <v>51.36</v>
      </c>
    </row>
    <row r="4248" spans="1:19" x14ac:dyDescent="0.3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str">
        <f>IFERROR(VLOOKUP('Customer Info'!A4240,'Customer Info'!A4240:C4739,2,FALSE),"Not Found")</f>
        <v>Not Found</v>
      </c>
      <c r="H4248" s="6" t="str">
        <f>IFERROR(VLOOKUP('Customer Info'!A4240,'Customer Info'!A4240:C4739,3,FALSE),"Not Found")</f>
        <v>Not Found</v>
      </c>
      <c r="I4248" s="6" t="str">
        <f>IFERROR(VLOOKUP('Customer Info'!A4240,'Customer Info'!A4240:E4739,5,FALSE),"Not Found")</f>
        <v>Not Found</v>
      </c>
      <c r="J4248" s="2">
        <v>4122</v>
      </c>
      <c r="K4248" s="2">
        <v>3781</v>
      </c>
      <c r="L4248" s="2">
        <v>3</v>
      </c>
      <c r="M4248" s="7">
        <f t="shared" si="330"/>
        <v>11343</v>
      </c>
      <c r="N4248" s="7">
        <f t="shared" si="331"/>
        <v>12366</v>
      </c>
      <c r="O4248" s="2">
        <v>58</v>
      </c>
      <c r="P4248" s="8">
        <f t="shared" si="332"/>
        <v>12424</v>
      </c>
      <c r="Q4248" s="8">
        <f t="shared" si="333"/>
        <v>8585</v>
      </c>
      <c r="R4248" s="2" t="s">
        <v>28</v>
      </c>
      <c r="S4248" s="9">
        <f t="shared" si="334"/>
        <v>621.20000000000005</v>
      </c>
    </row>
    <row r="4249" spans="1:19" x14ac:dyDescent="0.3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str">
        <f>IFERROR(VLOOKUP('Customer Info'!A4241,'Customer Info'!A4241:C4740,2,FALSE),"Not Found")</f>
        <v>Not Found</v>
      </c>
      <c r="H4249" s="6" t="str">
        <f>IFERROR(VLOOKUP('Customer Info'!A4241,'Customer Info'!A4241:C4740,3,FALSE),"Not Found")</f>
        <v>Not Found</v>
      </c>
      <c r="I4249" s="6" t="str">
        <f>IFERROR(VLOOKUP('Customer Info'!A4241,'Customer Info'!A4241:E4740,5,FALSE),"Not Found")</f>
        <v>Not Found</v>
      </c>
      <c r="J4249" s="2">
        <v>2155</v>
      </c>
      <c r="K4249" s="2">
        <v>2014</v>
      </c>
      <c r="L4249" s="2">
        <v>1</v>
      </c>
      <c r="M4249" s="7">
        <f t="shared" si="330"/>
        <v>2014</v>
      </c>
      <c r="N4249" s="7">
        <f t="shared" si="331"/>
        <v>2155</v>
      </c>
      <c r="O4249" s="2">
        <v>34</v>
      </c>
      <c r="P4249" s="8">
        <f t="shared" si="332"/>
        <v>2189</v>
      </c>
      <c r="Q4249" s="8">
        <f t="shared" si="333"/>
        <v>141</v>
      </c>
      <c r="R4249" s="2" t="s">
        <v>28</v>
      </c>
      <c r="S4249" s="9">
        <f t="shared" si="334"/>
        <v>43.78</v>
      </c>
    </row>
    <row r="4250" spans="1:19" x14ac:dyDescent="0.3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str">
        <f>IFERROR(VLOOKUP('Customer Info'!A4242,'Customer Info'!A4242:C4741,2,FALSE),"Not Found")</f>
        <v>Not Found</v>
      </c>
      <c r="H4250" s="6" t="str">
        <f>IFERROR(VLOOKUP('Customer Info'!A4242,'Customer Info'!A4242:C4741,3,FALSE),"Not Found")</f>
        <v>Not Found</v>
      </c>
      <c r="I4250" s="6" t="str">
        <f>IFERROR(VLOOKUP('Customer Info'!A4242,'Customer Info'!A4242:E4741,5,FALSE),"Not Found")</f>
        <v>Not Found</v>
      </c>
      <c r="J4250" s="2">
        <v>6024</v>
      </c>
      <c r="K4250" s="2">
        <v>5424</v>
      </c>
      <c r="L4250" s="2">
        <v>6</v>
      </c>
      <c r="M4250" s="7">
        <f t="shared" si="330"/>
        <v>32544</v>
      </c>
      <c r="N4250" s="7">
        <f t="shared" si="331"/>
        <v>36144</v>
      </c>
      <c r="O4250" s="2">
        <v>91</v>
      </c>
      <c r="P4250" s="8">
        <f t="shared" si="332"/>
        <v>36235</v>
      </c>
      <c r="Q4250" s="8">
        <f t="shared" si="333"/>
        <v>30720</v>
      </c>
      <c r="R4250" s="2" t="s">
        <v>28</v>
      </c>
      <c r="S4250" s="9">
        <f t="shared" si="334"/>
        <v>2536.4500000000003</v>
      </c>
    </row>
    <row r="4251" spans="1:19" x14ac:dyDescent="0.3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str">
        <f>IFERROR(VLOOKUP('Customer Info'!A4243,'Customer Info'!A4243:C4742,2,FALSE),"Not Found")</f>
        <v>Not Found</v>
      </c>
      <c r="H4251" s="6" t="str">
        <f>IFERROR(VLOOKUP('Customer Info'!A4243,'Customer Info'!A4243:C4742,3,FALSE),"Not Found")</f>
        <v>Not Found</v>
      </c>
      <c r="I4251" s="6" t="str">
        <f>IFERROR(VLOOKUP('Customer Info'!A4243,'Customer Info'!A4243:E4742,5,FALSE),"Not Found")</f>
        <v>Not Found</v>
      </c>
      <c r="J4251" s="2">
        <v>63</v>
      </c>
      <c r="K4251" s="2">
        <v>59</v>
      </c>
      <c r="L4251" s="2">
        <v>3</v>
      </c>
      <c r="M4251" s="7">
        <f t="shared" si="330"/>
        <v>177</v>
      </c>
      <c r="N4251" s="7">
        <f t="shared" si="331"/>
        <v>189</v>
      </c>
      <c r="O4251" s="2">
        <v>10</v>
      </c>
      <c r="P4251" s="8">
        <f t="shared" si="332"/>
        <v>199</v>
      </c>
      <c r="Q4251" s="8">
        <f t="shared" si="333"/>
        <v>130</v>
      </c>
      <c r="R4251" s="2" t="s">
        <v>28</v>
      </c>
      <c r="S4251" s="9">
        <f t="shared" si="334"/>
        <v>3.98</v>
      </c>
    </row>
    <row r="4252" spans="1:19" x14ac:dyDescent="0.3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str">
        <f>IFERROR(VLOOKUP('Customer Info'!A4244,'Customer Info'!A4244:C4743,2,FALSE),"Not Found")</f>
        <v>Not Found</v>
      </c>
      <c r="H4252" s="6" t="str">
        <f>IFERROR(VLOOKUP('Customer Info'!A4244,'Customer Info'!A4244:C4743,3,FALSE),"Not Found")</f>
        <v>Not Found</v>
      </c>
      <c r="I4252" s="6" t="str">
        <f>IFERROR(VLOOKUP('Customer Info'!A4244,'Customer Info'!A4244:E4743,5,FALSE),"Not Found")</f>
        <v>Not Found</v>
      </c>
      <c r="J4252" s="2">
        <v>526</v>
      </c>
      <c r="K4252" s="2">
        <v>487</v>
      </c>
      <c r="L4252" s="2">
        <v>6</v>
      </c>
      <c r="M4252" s="7">
        <f t="shared" si="330"/>
        <v>2922</v>
      </c>
      <c r="N4252" s="7">
        <f t="shared" si="331"/>
        <v>3156</v>
      </c>
      <c r="O4252" s="2">
        <v>34</v>
      </c>
      <c r="P4252" s="8">
        <f t="shared" si="332"/>
        <v>3190</v>
      </c>
      <c r="Q4252" s="8">
        <f t="shared" si="333"/>
        <v>2669</v>
      </c>
      <c r="R4252" s="2" t="s">
        <v>28</v>
      </c>
      <c r="S4252" s="9">
        <f t="shared" si="334"/>
        <v>63.800000000000004</v>
      </c>
    </row>
    <row r="4253" spans="1:19" x14ac:dyDescent="0.3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str">
        <f>IFERROR(VLOOKUP('Customer Info'!A4245,'Customer Info'!A4245:C4744,2,FALSE),"Not Found")</f>
        <v>Not Found</v>
      </c>
      <c r="H4253" s="6" t="str">
        <f>IFERROR(VLOOKUP('Customer Info'!A4245,'Customer Info'!A4245:C4744,3,FALSE),"Not Found")</f>
        <v>Not Found</v>
      </c>
      <c r="I4253" s="6" t="str">
        <f>IFERROR(VLOOKUP('Customer Info'!A4245,'Customer Info'!A4245:E4744,5,FALSE),"Not Found")</f>
        <v>Not Found</v>
      </c>
      <c r="J4253" s="2">
        <v>77</v>
      </c>
      <c r="K4253" s="2">
        <v>73</v>
      </c>
      <c r="L4253" s="2">
        <v>2</v>
      </c>
      <c r="M4253" s="7">
        <f t="shared" si="330"/>
        <v>146</v>
      </c>
      <c r="N4253" s="7">
        <f t="shared" si="331"/>
        <v>154</v>
      </c>
      <c r="O4253" s="2">
        <v>10</v>
      </c>
      <c r="P4253" s="8">
        <f t="shared" si="332"/>
        <v>164</v>
      </c>
      <c r="Q4253" s="8">
        <f t="shared" si="333"/>
        <v>81</v>
      </c>
      <c r="R4253" s="2" t="s">
        <v>28</v>
      </c>
      <c r="S4253" s="9">
        <f t="shared" si="334"/>
        <v>3.2800000000000002</v>
      </c>
    </row>
    <row r="4254" spans="1:19" x14ac:dyDescent="0.3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str">
        <f>IFERROR(VLOOKUP('Customer Info'!A4246,'Customer Info'!A4246:C4745,2,FALSE),"Not Found")</f>
        <v>Not Found</v>
      </c>
      <c r="H4254" s="6" t="str">
        <f>IFERROR(VLOOKUP('Customer Info'!A4246,'Customer Info'!A4246:C4745,3,FALSE),"Not Found")</f>
        <v>Not Found</v>
      </c>
      <c r="I4254" s="6" t="str">
        <f>IFERROR(VLOOKUP('Customer Info'!A4246,'Customer Info'!A4246:E4745,5,FALSE),"Not Found")</f>
        <v>Not Found</v>
      </c>
      <c r="J4254" s="2">
        <v>7534</v>
      </c>
      <c r="K4254" s="2">
        <v>7106</v>
      </c>
      <c r="L4254" s="2">
        <v>3</v>
      </c>
      <c r="M4254" s="7">
        <f t="shared" si="330"/>
        <v>21318</v>
      </c>
      <c r="N4254" s="7">
        <f t="shared" si="331"/>
        <v>22602</v>
      </c>
      <c r="O4254" s="2">
        <v>39</v>
      </c>
      <c r="P4254" s="8">
        <f t="shared" si="332"/>
        <v>22641</v>
      </c>
      <c r="Q4254" s="8">
        <f t="shared" si="333"/>
        <v>15496</v>
      </c>
      <c r="R4254" s="2" t="s">
        <v>28</v>
      </c>
      <c r="S4254" s="9">
        <f t="shared" si="334"/>
        <v>1132.05</v>
      </c>
    </row>
    <row r="4255" spans="1:19" x14ac:dyDescent="0.3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str">
        <f>IFERROR(VLOOKUP('Customer Info'!A4247,'Customer Info'!A4247:C4746,2,FALSE),"Not Found")</f>
        <v>Not Found</v>
      </c>
      <c r="H4255" s="6" t="str">
        <f>IFERROR(VLOOKUP('Customer Info'!A4247,'Customer Info'!A4247:C4746,3,FALSE),"Not Found")</f>
        <v>Not Found</v>
      </c>
      <c r="I4255" s="6" t="str">
        <f>IFERROR(VLOOKUP('Customer Info'!A4247,'Customer Info'!A4247:E4746,5,FALSE),"Not Found")</f>
        <v>Not Found</v>
      </c>
      <c r="J4255" s="2">
        <v>39095</v>
      </c>
      <c r="K4255" s="2">
        <v>35516</v>
      </c>
      <c r="L4255" s="2">
        <v>2</v>
      </c>
      <c r="M4255" s="7">
        <f t="shared" si="330"/>
        <v>71032</v>
      </c>
      <c r="N4255" s="7">
        <f t="shared" si="331"/>
        <v>78190</v>
      </c>
      <c r="O4255" s="2">
        <v>56</v>
      </c>
      <c r="P4255" s="8">
        <f t="shared" si="332"/>
        <v>78246</v>
      </c>
      <c r="Q4255" s="8">
        <f t="shared" si="333"/>
        <v>42674</v>
      </c>
      <c r="R4255" s="2" t="s">
        <v>50</v>
      </c>
      <c r="S4255" s="9">
        <f t="shared" si="334"/>
        <v>7042.1399999999994</v>
      </c>
    </row>
    <row r="4256" spans="1:19" x14ac:dyDescent="0.3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str">
        <f>IFERROR(VLOOKUP('Customer Info'!A4248,'Customer Info'!A4248:C4747,2,FALSE),"Not Found")</f>
        <v>Not Found</v>
      </c>
      <c r="H4256" s="6" t="str">
        <f>IFERROR(VLOOKUP('Customer Info'!A4248,'Customer Info'!A4248:C4747,3,FALSE),"Not Found")</f>
        <v>Not Found</v>
      </c>
      <c r="I4256" s="6" t="str">
        <f>IFERROR(VLOOKUP('Customer Info'!A4248,'Customer Info'!A4248:E4747,5,FALSE),"Not Found")</f>
        <v>Not Found</v>
      </c>
      <c r="J4256" s="2">
        <v>2017</v>
      </c>
      <c r="K4256" s="2">
        <v>1834</v>
      </c>
      <c r="L4256" s="2">
        <v>5</v>
      </c>
      <c r="M4256" s="7">
        <f t="shared" si="330"/>
        <v>9170</v>
      </c>
      <c r="N4256" s="7">
        <f t="shared" si="331"/>
        <v>10085</v>
      </c>
      <c r="O4256" s="2">
        <v>74</v>
      </c>
      <c r="P4256" s="8">
        <f t="shared" si="332"/>
        <v>10159</v>
      </c>
      <c r="Q4256" s="8">
        <f t="shared" si="333"/>
        <v>8251</v>
      </c>
      <c r="R4256" s="2" t="s">
        <v>50</v>
      </c>
      <c r="S4256" s="9">
        <f t="shared" si="334"/>
        <v>507.95000000000005</v>
      </c>
    </row>
    <row r="4257" spans="1:19" x14ac:dyDescent="0.3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str">
        <f>IFERROR(VLOOKUP('Customer Info'!A4249,'Customer Info'!A4249:C4748,2,FALSE),"Not Found")</f>
        <v>Not Found</v>
      </c>
      <c r="H4257" s="6" t="str">
        <f>IFERROR(VLOOKUP('Customer Info'!A4249,'Customer Info'!A4249:C4748,3,FALSE),"Not Found")</f>
        <v>Not Found</v>
      </c>
      <c r="I4257" s="6" t="str">
        <f>IFERROR(VLOOKUP('Customer Info'!A4249,'Customer Info'!A4249:E4748,5,FALSE),"Not Found")</f>
        <v>Not Found</v>
      </c>
      <c r="J4257" s="2">
        <v>954</v>
      </c>
      <c r="K4257" s="2">
        <v>901</v>
      </c>
      <c r="L4257" s="2">
        <v>2</v>
      </c>
      <c r="M4257" s="7">
        <f t="shared" si="330"/>
        <v>1802</v>
      </c>
      <c r="N4257" s="7">
        <f t="shared" si="331"/>
        <v>1908</v>
      </c>
      <c r="O4257" s="2">
        <v>33</v>
      </c>
      <c r="P4257" s="8">
        <f t="shared" si="332"/>
        <v>1941</v>
      </c>
      <c r="Q4257" s="8">
        <f t="shared" si="333"/>
        <v>1007</v>
      </c>
      <c r="R4257" s="2" t="s">
        <v>28</v>
      </c>
      <c r="S4257" s="9">
        <f t="shared" si="334"/>
        <v>38.82</v>
      </c>
    </row>
    <row r="4258" spans="1:19" x14ac:dyDescent="0.3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str">
        <f>IFERROR(VLOOKUP('Customer Info'!A4250,'Customer Info'!A4250:C4749,2,FALSE),"Not Found")</f>
        <v>Not Found</v>
      </c>
      <c r="H4258" s="6" t="str">
        <f>IFERROR(VLOOKUP('Customer Info'!A4250,'Customer Info'!A4250:C4749,3,FALSE),"Not Found")</f>
        <v>Not Found</v>
      </c>
      <c r="I4258" s="6" t="str">
        <f>IFERROR(VLOOKUP('Customer Info'!A4250,'Customer Info'!A4250:E4749,5,FALSE),"Not Found")</f>
        <v>Not Found</v>
      </c>
      <c r="J4258" s="2">
        <v>38328</v>
      </c>
      <c r="K4258" s="2">
        <v>35164</v>
      </c>
      <c r="L4258" s="2">
        <v>5</v>
      </c>
      <c r="M4258" s="7">
        <f t="shared" si="330"/>
        <v>175820</v>
      </c>
      <c r="N4258" s="7">
        <f t="shared" si="331"/>
        <v>191640</v>
      </c>
      <c r="O4258" s="2">
        <v>88</v>
      </c>
      <c r="P4258" s="8">
        <f t="shared" si="332"/>
        <v>191728</v>
      </c>
      <c r="Q4258" s="8">
        <f t="shared" si="333"/>
        <v>156476</v>
      </c>
      <c r="R4258" s="2" t="s">
        <v>50</v>
      </c>
      <c r="S4258" s="9">
        <f t="shared" si="334"/>
        <v>23007.360000000001</v>
      </c>
    </row>
    <row r="4259" spans="1:19" x14ac:dyDescent="0.3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str">
        <f>IFERROR(VLOOKUP('Customer Info'!A4251,'Customer Info'!A4251:C4750,2,FALSE),"Not Found")</f>
        <v>Not Found</v>
      </c>
      <c r="H4259" s="6" t="str">
        <f>IFERROR(VLOOKUP('Customer Info'!A4251,'Customer Info'!A4251:C4750,3,FALSE),"Not Found")</f>
        <v>Not Found</v>
      </c>
      <c r="I4259" s="6" t="str">
        <f>IFERROR(VLOOKUP('Customer Info'!A4251,'Customer Info'!A4251:E4750,5,FALSE),"Not Found")</f>
        <v>Not Found</v>
      </c>
      <c r="J4259" s="2">
        <v>6585</v>
      </c>
      <c r="K4259" s="2">
        <v>6105</v>
      </c>
      <c r="L4259" s="2">
        <v>1</v>
      </c>
      <c r="M4259" s="7">
        <f t="shared" si="330"/>
        <v>6105</v>
      </c>
      <c r="N4259" s="7">
        <f t="shared" si="331"/>
        <v>6585</v>
      </c>
      <c r="O4259" s="2">
        <v>27</v>
      </c>
      <c r="P4259" s="8">
        <f t="shared" si="332"/>
        <v>6612</v>
      </c>
      <c r="Q4259" s="8">
        <f t="shared" si="333"/>
        <v>480</v>
      </c>
      <c r="R4259" s="2" t="s">
        <v>56</v>
      </c>
      <c r="S4259" s="9">
        <f t="shared" si="334"/>
        <v>330.6</v>
      </c>
    </row>
    <row r="4260" spans="1:19" x14ac:dyDescent="0.3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str">
        <f>IFERROR(VLOOKUP('Customer Info'!A4252,'Customer Info'!A4252:C4751,2,FALSE),"Not Found")</f>
        <v>Not Found</v>
      </c>
      <c r="H4260" s="6" t="str">
        <f>IFERROR(VLOOKUP('Customer Info'!A4252,'Customer Info'!A4252:C4751,3,FALSE),"Not Found")</f>
        <v>Not Found</v>
      </c>
      <c r="I4260" s="6" t="str">
        <f>IFERROR(VLOOKUP('Customer Info'!A4252,'Customer Info'!A4252:E4751,5,FALSE),"Not Found")</f>
        <v>Not Found</v>
      </c>
      <c r="J4260" s="2">
        <v>729</v>
      </c>
      <c r="K4260" s="2">
        <v>689</v>
      </c>
      <c r="L4260" s="2">
        <v>3</v>
      </c>
      <c r="M4260" s="7">
        <f t="shared" si="330"/>
        <v>2067</v>
      </c>
      <c r="N4260" s="7">
        <f t="shared" si="331"/>
        <v>2187</v>
      </c>
      <c r="O4260" s="2">
        <v>28</v>
      </c>
      <c r="P4260" s="8">
        <f t="shared" si="332"/>
        <v>2215</v>
      </c>
      <c r="Q4260" s="8">
        <f t="shared" si="333"/>
        <v>1498</v>
      </c>
      <c r="R4260" s="2" t="s">
        <v>28</v>
      </c>
      <c r="S4260" s="9">
        <f t="shared" si="334"/>
        <v>44.300000000000004</v>
      </c>
    </row>
    <row r="4261" spans="1:19" x14ac:dyDescent="0.3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str">
        <f>IFERROR(VLOOKUP('Customer Info'!A4253,'Customer Info'!A4253:C4752,2,FALSE),"Not Found")</f>
        <v>Not Found</v>
      </c>
      <c r="H4261" s="6" t="str">
        <f>IFERROR(VLOOKUP('Customer Info'!A4253,'Customer Info'!A4253:C4752,3,FALSE),"Not Found")</f>
        <v>Not Found</v>
      </c>
      <c r="I4261" s="6" t="str">
        <f>IFERROR(VLOOKUP('Customer Info'!A4253,'Customer Info'!A4253:E4752,5,FALSE),"Not Found")</f>
        <v>Not Found</v>
      </c>
      <c r="J4261" s="2">
        <v>2951</v>
      </c>
      <c r="K4261" s="2">
        <v>2786</v>
      </c>
      <c r="L4261" s="2">
        <v>2</v>
      </c>
      <c r="M4261" s="7">
        <f t="shared" si="330"/>
        <v>5572</v>
      </c>
      <c r="N4261" s="7">
        <f t="shared" si="331"/>
        <v>5902</v>
      </c>
      <c r="O4261" s="2">
        <v>55</v>
      </c>
      <c r="P4261" s="8">
        <f t="shared" si="332"/>
        <v>5957</v>
      </c>
      <c r="Q4261" s="8">
        <f t="shared" si="333"/>
        <v>3116</v>
      </c>
      <c r="R4261" s="2" t="s">
        <v>28</v>
      </c>
      <c r="S4261" s="9">
        <f t="shared" si="334"/>
        <v>297.85000000000002</v>
      </c>
    </row>
    <row r="4262" spans="1:19" x14ac:dyDescent="0.3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str">
        <f>IFERROR(VLOOKUP('Customer Info'!A4254,'Customer Info'!A4254:C4753,2,FALSE),"Not Found")</f>
        <v>Not Found</v>
      </c>
      <c r="H4262" s="6" t="str">
        <f>IFERROR(VLOOKUP('Customer Info'!A4254,'Customer Info'!A4254:C4753,3,FALSE),"Not Found")</f>
        <v>Not Found</v>
      </c>
      <c r="I4262" s="6" t="str">
        <f>IFERROR(VLOOKUP('Customer Info'!A4254,'Customer Info'!A4254:E4753,5,FALSE),"Not Found")</f>
        <v>Not Found</v>
      </c>
      <c r="J4262" s="2">
        <v>1321</v>
      </c>
      <c r="K4262" s="2">
        <v>1211</v>
      </c>
      <c r="L4262" s="2">
        <v>6</v>
      </c>
      <c r="M4262" s="7">
        <f t="shared" si="330"/>
        <v>7266</v>
      </c>
      <c r="N4262" s="7">
        <f t="shared" si="331"/>
        <v>7926</v>
      </c>
      <c r="O4262" s="2">
        <v>47</v>
      </c>
      <c r="P4262" s="8">
        <f t="shared" si="332"/>
        <v>7973</v>
      </c>
      <c r="Q4262" s="8">
        <f t="shared" si="333"/>
        <v>6715</v>
      </c>
      <c r="R4262" s="2" t="s">
        <v>50</v>
      </c>
      <c r="S4262" s="9">
        <f t="shared" si="334"/>
        <v>398.65000000000003</v>
      </c>
    </row>
    <row r="4263" spans="1:19" x14ac:dyDescent="0.3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str">
        <f>IFERROR(VLOOKUP('Customer Info'!A4255,'Customer Info'!A4255:C4754,2,FALSE),"Not Found")</f>
        <v>Not Found</v>
      </c>
      <c r="H4263" s="6" t="str">
        <f>IFERROR(VLOOKUP('Customer Info'!A4255,'Customer Info'!A4255:C4754,3,FALSE),"Not Found")</f>
        <v>Not Found</v>
      </c>
      <c r="I4263" s="6" t="str">
        <f>IFERROR(VLOOKUP('Customer Info'!A4255,'Customer Info'!A4255:E4754,5,FALSE),"Not Found")</f>
        <v>Not Found</v>
      </c>
      <c r="J4263" s="2">
        <v>167</v>
      </c>
      <c r="K4263" s="2">
        <v>155</v>
      </c>
      <c r="L4263" s="2">
        <v>1</v>
      </c>
      <c r="M4263" s="7">
        <f t="shared" si="330"/>
        <v>155</v>
      </c>
      <c r="N4263" s="7">
        <f t="shared" si="331"/>
        <v>167</v>
      </c>
      <c r="O4263" s="2">
        <v>30</v>
      </c>
      <c r="P4263" s="8">
        <f t="shared" si="332"/>
        <v>197</v>
      </c>
      <c r="Q4263" s="8">
        <f t="shared" si="333"/>
        <v>12</v>
      </c>
      <c r="R4263" s="2" t="s">
        <v>28</v>
      </c>
      <c r="S4263" s="9">
        <f t="shared" si="334"/>
        <v>3.94</v>
      </c>
    </row>
    <row r="4264" spans="1:19" x14ac:dyDescent="0.3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str">
        <f>IFERROR(VLOOKUP('Customer Info'!A4256,'Customer Info'!A4256:C4755,2,FALSE),"Not Found")</f>
        <v>Not Found</v>
      </c>
      <c r="H4264" s="6" t="str">
        <f>IFERROR(VLOOKUP('Customer Info'!A4256,'Customer Info'!A4256:C4755,3,FALSE),"Not Found")</f>
        <v>Not Found</v>
      </c>
      <c r="I4264" s="6" t="str">
        <f>IFERROR(VLOOKUP('Customer Info'!A4256,'Customer Info'!A4256:E4755,5,FALSE),"Not Found")</f>
        <v>Not Found</v>
      </c>
      <c r="J4264" s="2">
        <v>3041</v>
      </c>
      <c r="K4264" s="2">
        <v>2927</v>
      </c>
      <c r="L4264" s="2">
        <v>6</v>
      </c>
      <c r="M4264" s="7">
        <f t="shared" si="330"/>
        <v>17562</v>
      </c>
      <c r="N4264" s="7">
        <f t="shared" si="331"/>
        <v>18246</v>
      </c>
      <c r="O4264" s="2">
        <v>43</v>
      </c>
      <c r="P4264" s="8">
        <f t="shared" si="332"/>
        <v>18289</v>
      </c>
      <c r="Q4264" s="8">
        <f t="shared" si="333"/>
        <v>15319</v>
      </c>
      <c r="R4264" s="2" t="s">
        <v>28</v>
      </c>
      <c r="S4264" s="9">
        <f t="shared" si="334"/>
        <v>914.45</v>
      </c>
    </row>
    <row r="4265" spans="1:19" x14ac:dyDescent="0.3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str">
        <f>IFERROR(VLOOKUP('Customer Info'!A4257,'Customer Info'!A4257:C4756,2,FALSE),"Not Found")</f>
        <v>Not Found</v>
      </c>
      <c r="H4265" s="6" t="str">
        <f>IFERROR(VLOOKUP('Customer Info'!A4257,'Customer Info'!A4257:C4756,3,FALSE),"Not Found")</f>
        <v>Not Found</v>
      </c>
      <c r="I4265" s="6" t="str">
        <f>IFERROR(VLOOKUP('Customer Info'!A4257,'Customer Info'!A4257:E4756,5,FALSE),"Not Found")</f>
        <v>Not Found</v>
      </c>
      <c r="J4265" s="2">
        <v>1637</v>
      </c>
      <c r="K4265" s="2">
        <v>1591</v>
      </c>
      <c r="L4265" s="2">
        <v>5</v>
      </c>
      <c r="M4265" s="7">
        <f t="shared" si="330"/>
        <v>7955</v>
      </c>
      <c r="N4265" s="7">
        <f t="shared" si="331"/>
        <v>8185</v>
      </c>
      <c r="O4265" s="2">
        <v>50</v>
      </c>
      <c r="P4265" s="8">
        <f t="shared" si="332"/>
        <v>8235</v>
      </c>
      <c r="Q4265" s="8">
        <f t="shared" si="333"/>
        <v>6594</v>
      </c>
      <c r="R4265" s="2" t="s">
        <v>28</v>
      </c>
      <c r="S4265" s="9">
        <f t="shared" si="334"/>
        <v>411.75</v>
      </c>
    </row>
    <row r="4266" spans="1:19" x14ac:dyDescent="0.3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str">
        <f>IFERROR(VLOOKUP('Customer Info'!A4258,'Customer Info'!A4258:C4757,2,FALSE),"Not Found")</f>
        <v>Not Found</v>
      </c>
      <c r="H4266" s="6" t="str">
        <f>IFERROR(VLOOKUP('Customer Info'!A4258,'Customer Info'!A4258:C4757,3,FALSE),"Not Found")</f>
        <v>Not Found</v>
      </c>
      <c r="I4266" s="6" t="str">
        <f>IFERROR(VLOOKUP('Customer Info'!A4258,'Customer Info'!A4258:E4757,5,FALSE),"Not Found")</f>
        <v>Not Found</v>
      </c>
      <c r="J4266" s="2">
        <v>188</v>
      </c>
      <c r="K4266" s="2">
        <v>173</v>
      </c>
      <c r="L4266" s="2">
        <v>4</v>
      </c>
      <c r="M4266" s="7">
        <f t="shared" si="330"/>
        <v>692</v>
      </c>
      <c r="N4266" s="7">
        <f t="shared" si="331"/>
        <v>752</v>
      </c>
      <c r="O4266" s="2">
        <v>30</v>
      </c>
      <c r="P4266" s="8">
        <f t="shared" si="332"/>
        <v>782</v>
      </c>
      <c r="Q4266" s="8">
        <f t="shared" si="333"/>
        <v>579</v>
      </c>
      <c r="R4266" s="2" t="s">
        <v>28</v>
      </c>
      <c r="S4266" s="9">
        <f t="shared" si="334"/>
        <v>15.64</v>
      </c>
    </row>
    <row r="4267" spans="1:19" x14ac:dyDescent="0.3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str">
        <f>IFERROR(VLOOKUP('Customer Info'!A4259,'Customer Info'!A4259:C4758,2,FALSE),"Not Found")</f>
        <v>Not Found</v>
      </c>
      <c r="H4267" s="6" t="str">
        <f>IFERROR(VLOOKUP('Customer Info'!A4259,'Customer Info'!A4259:C4758,3,FALSE),"Not Found")</f>
        <v>Not Found</v>
      </c>
      <c r="I4267" s="6" t="str">
        <f>IFERROR(VLOOKUP('Customer Info'!A4259,'Customer Info'!A4259:E4758,5,FALSE),"Not Found")</f>
        <v>Not Found</v>
      </c>
      <c r="J4267" s="2">
        <v>1774</v>
      </c>
      <c r="K4267" s="2">
        <v>1642</v>
      </c>
      <c r="L4267" s="2">
        <v>5</v>
      </c>
      <c r="M4267" s="7">
        <f t="shared" si="330"/>
        <v>8210</v>
      </c>
      <c r="N4267" s="7">
        <f t="shared" si="331"/>
        <v>8870</v>
      </c>
      <c r="O4267" s="2">
        <v>77</v>
      </c>
      <c r="P4267" s="8">
        <f t="shared" si="332"/>
        <v>8947</v>
      </c>
      <c r="Q4267" s="8">
        <f t="shared" si="333"/>
        <v>7228</v>
      </c>
      <c r="R4267" s="2" t="s">
        <v>28</v>
      </c>
      <c r="S4267" s="9">
        <f t="shared" si="334"/>
        <v>447.35</v>
      </c>
    </row>
    <row r="4268" spans="1:19" x14ac:dyDescent="0.3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str">
        <f>IFERROR(VLOOKUP('Customer Info'!A4260,'Customer Info'!A4260:C4759,2,FALSE),"Not Found")</f>
        <v>Not Found</v>
      </c>
      <c r="H4268" s="6" t="str">
        <f>IFERROR(VLOOKUP('Customer Info'!A4260,'Customer Info'!A4260:C4759,3,FALSE),"Not Found")</f>
        <v>Not Found</v>
      </c>
      <c r="I4268" s="6" t="str">
        <f>IFERROR(VLOOKUP('Customer Info'!A4260,'Customer Info'!A4260:E4759,5,FALSE),"Not Found")</f>
        <v>Not Found</v>
      </c>
      <c r="J4268" s="2">
        <v>2706</v>
      </c>
      <c r="K4268" s="2">
        <v>2553</v>
      </c>
      <c r="L4268" s="2">
        <v>4</v>
      </c>
      <c r="M4268" s="7">
        <f t="shared" si="330"/>
        <v>10212</v>
      </c>
      <c r="N4268" s="7">
        <f t="shared" si="331"/>
        <v>10824</v>
      </c>
      <c r="O4268" s="2">
        <v>79</v>
      </c>
      <c r="P4268" s="8">
        <f t="shared" si="332"/>
        <v>10903</v>
      </c>
      <c r="Q4268" s="8">
        <f t="shared" si="333"/>
        <v>8271</v>
      </c>
      <c r="R4268" s="2" t="s">
        <v>50</v>
      </c>
      <c r="S4268" s="9">
        <f t="shared" si="334"/>
        <v>545.15</v>
      </c>
    </row>
    <row r="4269" spans="1:19" x14ac:dyDescent="0.3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str">
        <f>IFERROR(VLOOKUP('Customer Info'!A4261,'Customer Info'!A4261:C4760,2,FALSE),"Not Found")</f>
        <v>Not Found</v>
      </c>
      <c r="H4269" s="6" t="str">
        <f>IFERROR(VLOOKUP('Customer Info'!A4261,'Customer Info'!A4261:C4760,3,FALSE),"Not Found")</f>
        <v>Not Found</v>
      </c>
      <c r="I4269" s="6" t="str">
        <f>IFERROR(VLOOKUP('Customer Info'!A4261,'Customer Info'!A4261:E4760,5,FALSE),"Not Found")</f>
        <v>Not Found</v>
      </c>
      <c r="J4269" s="2">
        <v>1556</v>
      </c>
      <c r="K4269" s="2">
        <v>1414</v>
      </c>
      <c r="L4269" s="2">
        <v>4</v>
      </c>
      <c r="M4269" s="7">
        <f t="shared" si="330"/>
        <v>5656</v>
      </c>
      <c r="N4269" s="7">
        <f t="shared" si="331"/>
        <v>6224</v>
      </c>
      <c r="O4269" s="2">
        <v>87</v>
      </c>
      <c r="P4269" s="8">
        <f t="shared" si="332"/>
        <v>6311</v>
      </c>
      <c r="Q4269" s="8">
        <f t="shared" si="333"/>
        <v>4810</v>
      </c>
      <c r="R4269" s="2" t="s">
        <v>28</v>
      </c>
      <c r="S4269" s="9">
        <f t="shared" si="334"/>
        <v>315.55</v>
      </c>
    </row>
    <row r="4270" spans="1:19" x14ac:dyDescent="0.3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str">
        <f>IFERROR(VLOOKUP('Customer Info'!A4262,'Customer Info'!A4262:C4761,2,FALSE),"Not Found")</f>
        <v>Not Found</v>
      </c>
      <c r="H4270" s="6" t="str">
        <f>IFERROR(VLOOKUP('Customer Info'!A4262,'Customer Info'!A4262:C4761,3,FALSE),"Not Found")</f>
        <v>Not Found</v>
      </c>
      <c r="I4270" s="6" t="str">
        <f>IFERROR(VLOOKUP('Customer Info'!A4262,'Customer Info'!A4262:E4761,5,FALSE),"Not Found")</f>
        <v>Not Found</v>
      </c>
      <c r="J4270" s="2">
        <v>71</v>
      </c>
      <c r="K4270" s="2">
        <v>64</v>
      </c>
      <c r="L4270" s="2">
        <v>5</v>
      </c>
      <c r="M4270" s="7">
        <f t="shared" si="330"/>
        <v>320</v>
      </c>
      <c r="N4270" s="7">
        <f t="shared" si="331"/>
        <v>355</v>
      </c>
      <c r="O4270" s="2">
        <v>10</v>
      </c>
      <c r="P4270" s="8">
        <f t="shared" si="332"/>
        <v>365</v>
      </c>
      <c r="Q4270" s="8">
        <f t="shared" si="333"/>
        <v>291</v>
      </c>
      <c r="R4270" s="2" t="s">
        <v>28</v>
      </c>
      <c r="S4270" s="9">
        <f t="shared" si="334"/>
        <v>7.3</v>
      </c>
    </row>
    <row r="4271" spans="1:19" x14ac:dyDescent="0.3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str">
        <f>IFERROR(VLOOKUP('Customer Info'!A4263,'Customer Info'!A4263:C4762,2,FALSE),"Not Found")</f>
        <v>Not Found</v>
      </c>
      <c r="H4271" s="6" t="str">
        <f>IFERROR(VLOOKUP('Customer Info'!A4263,'Customer Info'!A4263:C4762,3,FALSE),"Not Found")</f>
        <v>Not Found</v>
      </c>
      <c r="I4271" s="6" t="str">
        <f>IFERROR(VLOOKUP('Customer Info'!A4263,'Customer Info'!A4263:E4762,5,FALSE),"Not Found")</f>
        <v>Not Found</v>
      </c>
      <c r="J4271" s="2">
        <v>36778</v>
      </c>
      <c r="K4271" s="2">
        <v>34709</v>
      </c>
      <c r="L4271" s="2">
        <v>2</v>
      </c>
      <c r="M4271" s="7">
        <f t="shared" si="330"/>
        <v>69418</v>
      </c>
      <c r="N4271" s="7">
        <f t="shared" si="331"/>
        <v>73556</v>
      </c>
      <c r="O4271" s="2">
        <v>82</v>
      </c>
      <c r="P4271" s="8">
        <f t="shared" si="332"/>
        <v>73638</v>
      </c>
      <c r="Q4271" s="8">
        <f t="shared" si="333"/>
        <v>38847</v>
      </c>
      <c r="R4271" s="2" t="s">
        <v>28</v>
      </c>
      <c r="S4271" s="9">
        <f t="shared" si="334"/>
        <v>6627.42</v>
      </c>
    </row>
    <row r="4272" spans="1:19" x14ac:dyDescent="0.3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str">
        <f>IFERROR(VLOOKUP('Customer Info'!A4264,'Customer Info'!A4264:C4763,2,FALSE),"Not Found")</f>
        <v>Not Found</v>
      </c>
      <c r="H4272" s="6" t="str">
        <f>IFERROR(VLOOKUP('Customer Info'!A4264,'Customer Info'!A4264:C4763,3,FALSE),"Not Found")</f>
        <v>Not Found</v>
      </c>
      <c r="I4272" s="6" t="str">
        <f>IFERROR(VLOOKUP('Customer Info'!A4264,'Customer Info'!A4264:E4763,5,FALSE),"Not Found")</f>
        <v>Not Found</v>
      </c>
      <c r="J4272" s="2">
        <v>6520</v>
      </c>
      <c r="K4272" s="2">
        <v>5985</v>
      </c>
      <c r="L4272" s="2">
        <v>1</v>
      </c>
      <c r="M4272" s="7">
        <f t="shared" si="330"/>
        <v>5985</v>
      </c>
      <c r="N4272" s="7">
        <f t="shared" si="331"/>
        <v>6520</v>
      </c>
      <c r="O4272" s="2">
        <v>29</v>
      </c>
      <c r="P4272" s="8">
        <f t="shared" si="332"/>
        <v>6549</v>
      </c>
      <c r="Q4272" s="8">
        <f t="shared" si="333"/>
        <v>535</v>
      </c>
      <c r="R4272" s="2" t="s">
        <v>56</v>
      </c>
      <c r="S4272" s="9">
        <f t="shared" si="334"/>
        <v>327.45000000000005</v>
      </c>
    </row>
    <row r="4273" spans="1:19" x14ac:dyDescent="0.3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str">
        <f>IFERROR(VLOOKUP('Customer Info'!A4265,'Customer Info'!A4265:C4764,2,FALSE),"Not Found")</f>
        <v>Not Found</v>
      </c>
      <c r="H4273" s="6" t="str">
        <f>IFERROR(VLOOKUP('Customer Info'!A4265,'Customer Info'!A4265:C4764,3,FALSE),"Not Found")</f>
        <v>Not Found</v>
      </c>
      <c r="I4273" s="6" t="str">
        <f>IFERROR(VLOOKUP('Customer Info'!A4265,'Customer Info'!A4265:E4764,5,FALSE),"Not Found")</f>
        <v>Not Found</v>
      </c>
      <c r="J4273" s="2">
        <v>1081</v>
      </c>
      <c r="K4273" s="2">
        <v>983</v>
      </c>
      <c r="L4273" s="2">
        <v>2</v>
      </c>
      <c r="M4273" s="7">
        <f t="shared" si="330"/>
        <v>1966</v>
      </c>
      <c r="N4273" s="7">
        <f t="shared" si="331"/>
        <v>2162</v>
      </c>
      <c r="O4273" s="2">
        <v>40</v>
      </c>
      <c r="P4273" s="8">
        <f t="shared" si="332"/>
        <v>2202</v>
      </c>
      <c r="Q4273" s="8">
        <f t="shared" si="333"/>
        <v>1179</v>
      </c>
      <c r="R4273" s="2" t="s">
        <v>28</v>
      </c>
      <c r="S4273" s="9">
        <f t="shared" si="334"/>
        <v>44.04</v>
      </c>
    </row>
    <row r="4274" spans="1:19" x14ac:dyDescent="0.3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str">
        <f>IFERROR(VLOOKUP('Customer Info'!A4266,'Customer Info'!A4266:C4765,2,FALSE),"Not Found")</f>
        <v>Not Found</v>
      </c>
      <c r="H4274" s="6" t="str">
        <f>IFERROR(VLOOKUP('Customer Info'!A4266,'Customer Info'!A4266:C4765,3,FALSE),"Not Found")</f>
        <v>Not Found</v>
      </c>
      <c r="I4274" s="6" t="str">
        <f>IFERROR(VLOOKUP('Customer Info'!A4266,'Customer Info'!A4266:E4765,5,FALSE),"Not Found")</f>
        <v>Not Found</v>
      </c>
      <c r="J4274" s="2">
        <v>7922</v>
      </c>
      <c r="K4274" s="2">
        <v>7328</v>
      </c>
      <c r="L4274" s="2">
        <v>1</v>
      </c>
      <c r="M4274" s="7">
        <f t="shared" si="330"/>
        <v>7328</v>
      </c>
      <c r="N4274" s="7">
        <f t="shared" si="331"/>
        <v>7922</v>
      </c>
      <c r="O4274" s="2">
        <v>42</v>
      </c>
      <c r="P4274" s="8">
        <f t="shared" si="332"/>
        <v>7964</v>
      </c>
      <c r="Q4274" s="8">
        <f t="shared" si="333"/>
        <v>594</v>
      </c>
      <c r="R4274" s="2" t="s">
        <v>28</v>
      </c>
      <c r="S4274" s="9">
        <f t="shared" si="334"/>
        <v>398.20000000000005</v>
      </c>
    </row>
    <row r="4275" spans="1:19" x14ac:dyDescent="0.3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str">
        <f>IFERROR(VLOOKUP('Customer Info'!A4267,'Customer Info'!A4267:C4766,2,FALSE),"Not Found")</f>
        <v>Not Found</v>
      </c>
      <c r="H4275" s="6" t="str">
        <f>IFERROR(VLOOKUP('Customer Info'!A4267,'Customer Info'!A4267:C4766,3,FALSE),"Not Found")</f>
        <v>Not Found</v>
      </c>
      <c r="I4275" s="6" t="str">
        <f>IFERROR(VLOOKUP('Customer Info'!A4267,'Customer Info'!A4267:E4766,5,FALSE),"Not Found")</f>
        <v>Not Found</v>
      </c>
      <c r="J4275" s="2">
        <v>173</v>
      </c>
      <c r="K4275" s="2">
        <v>155</v>
      </c>
      <c r="L4275" s="2">
        <v>1</v>
      </c>
      <c r="M4275" s="7">
        <f t="shared" si="330"/>
        <v>155</v>
      </c>
      <c r="N4275" s="7">
        <f t="shared" si="331"/>
        <v>173</v>
      </c>
      <c r="O4275" s="2">
        <v>30</v>
      </c>
      <c r="P4275" s="8">
        <f t="shared" si="332"/>
        <v>203</v>
      </c>
      <c r="Q4275" s="8">
        <f t="shared" si="333"/>
        <v>18</v>
      </c>
      <c r="R4275" s="2" t="s">
        <v>50</v>
      </c>
      <c r="S4275" s="9">
        <f t="shared" si="334"/>
        <v>4.0600000000000005</v>
      </c>
    </row>
    <row r="4276" spans="1:19" x14ac:dyDescent="0.3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str">
        <f>IFERROR(VLOOKUP('Customer Info'!A4268,'Customer Info'!A4268:C4767,2,FALSE),"Not Found")</f>
        <v>Not Found</v>
      </c>
      <c r="H4276" s="6" t="str">
        <f>IFERROR(VLOOKUP('Customer Info'!A4268,'Customer Info'!A4268:C4767,3,FALSE),"Not Found")</f>
        <v>Not Found</v>
      </c>
      <c r="I4276" s="6" t="str">
        <f>IFERROR(VLOOKUP('Customer Info'!A4268,'Customer Info'!A4268:E4767,5,FALSE),"Not Found")</f>
        <v>Not Found</v>
      </c>
      <c r="J4276" s="2">
        <v>1413</v>
      </c>
      <c r="K4276" s="2">
        <v>1334</v>
      </c>
      <c r="L4276" s="2">
        <v>1</v>
      </c>
      <c r="M4276" s="7">
        <f t="shared" si="330"/>
        <v>1334</v>
      </c>
      <c r="N4276" s="7">
        <f t="shared" si="331"/>
        <v>1413</v>
      </c>
      <c r="O4276" s="2">
        <v>76</v>
      </c>
      <c r="P4276" s="8">
        <f t="shared" si="332"/>
        <v>1489</v>
      </c>
      <c r="Q4276" s="8">
        <f t="shared" si="333"/>
        <v>79</v>
      </c>
      <c r="R4276" s="2" t="s">
        <v>28</v>
      </c>
      <c r="S4276" s="9">
        <f t="shared" si="334"/>
        <v>29.78</v>
      </c>
    </row>
    <row r="4277" spans="1:19" x14ac:dyDescent="0.3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str">
        <f>IFERROR(VLOOKUP('Customer Info'!A4269,'Customer Info'!A4269:C4768,2,FALSE),"Not Found")</f>
        <v>Not Found</v>
      </c>
      <c r="H4277" s="6" t="str">
        <f>IFERROR(VLOOKUP('Customer Info'!A4269,'Customer Info'!A4269:C4768,3,FALSE),"Not Found")</f>
        <v>Not Found</v>
      </c>
      <c r="I4277" s="6" t="str">
        <f>IFERROR(VLOOKUP('Customer Info'!A4269,'Customer Info'!A4269:E4768,5,FALSE),"Not Found")</f>
        <v>Not Found</v>
      </c>
      <c r="J4277" s="2">
        <v>191</v>
      </c>
      <c r="K4277" s="2">
        <v>170</v>
      </c>
      <c r="L4277" s="2">
        <v>6</v>
      </c>
      <c r="M4277" s="7">
        <f t="shared" si="330"/>
        <v>1020</v>
      </c>
      <c r="N4277" s="7">
        <f t="shared" si="331"/>
        <v>1146</v>
      </c>
      <c r="O4277" s="2">
        <v>30</v>
      </c>
      <c r="P4277" s="8">
        <f t="shared" si="332"/>
        <v>1176</v>
      </c>
      <c r="Q4277" s="8">
        <f t="shared" si="333"/>
        <v>976</v>
      </c>
      <c r="R4277" s="2" t="s">
        <v>50</v>
      </c>
      <c r="S4277" s="9">
        <f t="shared" si="334"/>
        <v>23.52</v>
      </c>
    </row>
    <row r="4278" spans="1:19" x14ac:dyDescent="0.3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str">
        <f>IFERROR(VLOOKUP('Customer Info'!A4270,'Customer Info'!A4270:C4769,2,FALSE),"Not Found")</f>
        <v>Not Found</v>
      </c>
      <c r="H4278" s="6" t="str">
        <f>IFERROR(VLOOKUP('Customer Info'!A4270,'Customer Info'!A4270:C4769,3,FALSE),"Not Found")</f>
        <v>Not Found</v>
      </c>
      <c r="I4278" s="6" t="str">
        <f>IFERROR(VLOOKUP('Customer Info'!A4270,'Customer Info'!A4270:E4769,5,FALSE),"Not Found")</f>
        <v>Not Found</v>
      </c>
      <c r="J4278" s="2">
        <v>726</v>
      </c>
      <c r="K4278" s="2">
        <v>646</v>
      </c>
      <c r="L4278" s="2">
        <v>2</v>
      </c>
      <c r="M4278" s="7">
        <f t="shared" si="330"/>
        <v>1292</v>
      </c>
      <c r="N4278" s="7">
        <f t="shared" si="331"/>
        <v>1452</v>
      </c>
      <c r="O4278" s="2">
        <v>68</v>
      </c>
      <c r="P4278" s="8">
        <f t="shared" si="332"/>
        <v>1520</v>
      </c>
      <c r="Q4278" s="8">
        <f t="shared" si="333"/>
        <v>806</v>
      </c>
      <c r="R4278" s="2" t="s">
        <v>28</v>
      </c>
      <c r="S4278" s="9">
        <f t="shared" si="334"/>
        <v>30.400000000000002</v>
      </c>
    </row>
    <row r="4279" spans="1:19" x14ac:dyDescent="0.3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str">
        <f>IFERROR(VLOOKUP('Customer Info'!A4271,'Customer Info'!A4271:C4770,2,FALSE),"Not Found")</f>
        <v>Not Found</v>
      </c>
      <c r="H4279" s="6" t="str">
        <f>IFERROR(VLOOKUP('Customer Info'!A4271,'Customer Info'!A4271:C4770,3,FALSE),"Not Found")</f>
        <v>Not Found</v>
      </c>
      <c r="I4279" s="6" t="str">
        <f>IFERROR(VLOOKUP('Customer Info'!A4271,'Customer Info'!A4271:E4770,5,FALSE),"Not Found")</f>
        <v>Not Found</v>
      </c>
      <c r="J4279" s="2">
        <v>39095</v>
      </c>
      <c r="K4279" s="2">
        <v>35516</v>
      </c>
      <c r="L4279" s="2">
        <v>2</v>
      </c>
      <c r="M4279" s="7">
        <f t="shared" si="330"/>
        <v>71032</v>
      </c>
      <c r="N4279" s="7">
        <f t="shared" si="331"/>
        <v>78190</v>
      </c>
      <c r="O4279" s="2">
        <v>91</v>
      </c>
      <c r="P4279" s="8">
        <f t="shared" si="332"/>
        <v>78281</v>
      </c>
      <c r="Q4279" s="8">
        <f t="shared" si="333"/>
        <v>42674</v>
      </c>
      <c r="R4279" s="2" t="s">
        <v>28</v>
      </c>
      <c r="S4279" s="9">
        <f t="shared" si="334"/>
        <v>7045.29</v>
      </c>
    </row>
    <row r="4280" spans="1:19" x14ac:dyDescent="0.3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str">
        <f>IFERROR(VLOOKUP('Customer Info'!A4272,'Customer Info'!A4272:C4771,2,FALSE),"Not Found")</f>
        <v>Not Found</v>
      </c>
      <c r="H4280" s="6" t="str">
        <f>IFERROR(VLOOKUP('Customer Info'!A4272,'Customer Info'!A4272:C4771,3,FALSE),"Not Found")</f>
        <v>Not Found</v>
      </c>
      <c r="I4280" s="6" t="str">
        <f>IFERROR(VLOOKUP('Customer Info'!A4272,'Customer Info'!A4272:E4771,5,FALSE),"Not Found")</f>
        <v>Not Found</v>
      </c>
      <c r="J4280" s="2">
        <v>7315</v>
      </c>
      <c r="K4280" s="2">
        <v>6967</v>
      </c>
      <c r="L4280" s="2">
        <v>2</v>
      </c>
      <c r="M4280" s="7">
        <f t="shared" si="330"/>
        <v>13934</v>
      </c>
      <c r="N4280" s="7">
        <f t="shared" si="331"/>
        <v>14630</v>
      </c>
      <c r="O4280" s="2">
        <v>60</v>
      </c>
      <c r="P4280" s="8">
        <f t="shared" si="332"/>
        <v>14690</v>
      </c>
      <c r="Q4280" s="8">
        <f t="shared" si="333"/>
        <v>7663</v>
      </c>
      <c r="R4280" s="2" t="s">
        <v>28</v>
      </c>
      <c r="S4280" s="9">
        <f t="shared" si="334"/>
        <v>734.5</v>
      </c>
    </row>
    <row r="4281" spans="1:19" x14ac:dyDescent="0.3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str">
        <f>IFERROR(VLOOKUP('Customer Info'!A4273,'Customer Info'!A4273:C4772,2,FALSE),"Not Found")</f>
        <v>Not Found</v>
      </c>
      <c r="H4281" s="6" t="str">
        <f>IFERROR(VLOOKUP('Customer Info'!A4273,'Customer Info'!A4273:C4772,3,FALSE),"Not Found")</f>
        <v>Not Found</v>
      </c>
      <c r="I4281" s="6" t="str">
        <f>IFERROR(VLOOKUP('Customer Info'!A4273,'Customer Info'!A4273:E4772,5,FALSE),"Not Found")</f>
        <v>Not Found</v>
      </c>
      <c r="J4281" s="2">
        <v>445</v>
      </c>
      <c r="K4281" s="2">
        <v>415</v>
      </c>
      <c r="L4281" s="2">
        <v>3</v>
      </c>
      <c r="M4281" s="7">
        <f t="shared" si="330"/>
        <v>1245</v>
      </c>
      <c r="N4281" s="7">
        <f t="shared" si="331"/>
        <v>1335</v>
      </c>
      <c r="O4281" s="2">
        <v>23</v>
      </c>
      <c r="P4281" s="8">
        <f t="shared" si="332"/>
        <v>1358</v>
      </c>
      <c r="Q4281" s="8">
        <f t="shared" si="333"/>
        <v>920</v>
      </c>
      <c r="R4281" s="2" t="s">
        <v>28</v>
      </c>
      <c r="S4281" s="9">
        <f t="shared" si="334"/>
        <v>27.16</v>
      </c>
    </row>
    <row r="4282" spans="1:19" x14ac:dyDescent="0.3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str">
        <f>IFERROR(VLOOKUP('Customer Info'!A4274,'Customer Info'!A4274:C4773,2,FALSE),"Not Found")</f>
        <v>Not Found</v>
      </c>
      <c r="H4282" s="6" t="str">
        <f>IFERROR(VLOOKUP('Customer Info'!A4274,'Customer Info'!A4274:C4773,3,FALSE),"Not Found")</f>
        <v>Not Found</v>
      </c>
      <c r="I4282" s="6" t="str">
        <f>IFERROR(VLOOKUP('Customer Info'!A4274,'Customer Info'!A4274:E4773,5,FALSE),"Not Found")</f>
        <v>Not Found</v>
      </c>
      <c r="J4282" s="2">
        <v>4846</v>
      </c>
      <c r="K4282" s="2">
        <v>4492</v>
      </c>
      <c r="L4282" s="2">
        <v>6</v>
      </c>
      <c r="M4282" s="7">
        <f t="shared" si="330"/>
        <v>26952</v>
      </c>
      <c r="N4282" s="7">
        <f t="shared" si="331"/>
        <v>29076</v>
      </c>
      <c r="O4282" s="2">
        <v>99</v>
      </c>
      <c r="P4282" s="8">
        <f t="shared" si="332"/>
        <v>29175</v>
      </c>
      <c r="Q4282" s="8">
        <f t="shared" si="333"/>
        <v>24584</v>
      </c>
      <c r="R4282" s="2" t="s">
        <v>56</v>
      </c>
      <c r="S4282" s="9">
        <f t="shared" si="334"/>
        <v>2042.2500000000002</v>
      </c>
    </row>
    <row r="4283" spans="1:19" x14ac:dyDescent="0.3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str">
        <f>IFERROR(VLOOKUP('Customer Info'!A4275,'Customer Info'!A4275:C4774,2,FALSE),"Not Found")</f>
        <v>Not Found</v>
      </c>
      <c r="H4283" s="6" t="str">
        <f>IFERROR(VLOOKUP('Customer Info'!A4275,'Customer Info'!A4275:C4774,3,FALSE),"Not Found")</f>
        <v>Not Found</v>
      </c>
      <c r="I4283" s="6" t="str">
        <f>IFERROR(VLOOKUP('Customer Info'!A4275,'Customer Info'!A4275:E4774,5,FALSE),"Not Found")</f>
        <v>Not Found</v>
      </c>
      <c r="J4283" s="2">
        <v>6481</v>
      </c>
      <c r="K4283" s="2">
        <v>5884</v>
      </c>
      <c r="L4283" s="2">
        <v>2</v>
      </c>
      <c r="M4283" s="7">
        <f t="shared" si="330"/>
        <v>11768</v>
      </c>
      <c r="N4283" s="7">
        <f t="shared" si="331"/>
        <v>12962</v>
      </c>
      <c r="O4283" s="2">
        <v>100</v>
      </c>
      <c r="P4283" s="8">
        <f t="shared" si="332"/>
        <v>13062</v>
      </c>
      <c r="Q4283" s="8">
        <f t="shared" si="333"/>
        <v>7078</v>
      </c>
      <c r="R4283" s="2" t="s">
        <v>28</v>
      </c>
      <c r="S4283" s="9">
        <f t="shared" si="334"/>
        <v>653.1</v>
      </c>
    </row>
    <row r="4284" spans="1:19" x14ac:dyDescent="0.3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str">
        <f>IFERROR(VLOOKUP('Customer Info'!A4276,'Customer Info'!A4276:C4775,2,FALSE),"Not Found")</f>
        <v>Not Found</v>
      </c>
      <c r="H4284" s="6" t="str">
        <f>IFERROR(VLOOKUP('Customer Info'!A4276,'Customer Info'!A4276:C4775,3,FALSE),"Not Found")</f>
        <v>Not Found</v>
      </c>
      <c r="I4284" s="6" t="str">
        <f>IFERROR(VLOOKUP('Customer Info'!A4276,'Customer Info'!A4276:E4775,5,FALSE),"Not Found")</f>
        <v>Not Found</v>
      </c>
      <c r="J4284" s="2">
        <v>2466</v>
      </c>
      <c r="K4284" s="2">
        <v>2327</v>
      </c>
      <c r="L4284" s="2">
        <v>1</v>
      </c>
      <c r="M4284" s="7">
        <f t="shared" si="330"/>
        <v>2327</v>
      </c>
      <c r="N4284" s="7">
        <f t="shared" si="331"/>
        <v>2466</v>
      </c>
      <c r="O4284" s="2">
        <v>26</v>
      </c>
      <c r="P4284" s="8">
        <f t="shared" si="332"/>
        <v>2492</v>
      </c>
      <c r="Q4284" s="8">
        <f t="shared" si="333"/>
        <v>139</v>
      </c>
      <c r="R4284" s="2" t="s">
        <v>28</v>
      </c>
      <c r="S4284" s="9">
        <f t="shared" si="334"/>
        <v>49.84</v>
      </c>
    </row>
    <row r="4285" spans="1:19" x14ac:dyDescent="0.3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str">
        <f>IFERROR(VLOOKUP('Customer Info'!A4277,'Customer Info'!A4277:C4776,2,FALSE),"Not Found")</f>
        <v>Not Found</v>
      </c>
      <c r="H4285" s="6" t="str">
        <f>IFERROR(VLOOKUP('Customer Info'!A4277,'Customer Info'!A4277:C4776,3,FALSE),"Not Found")</f>
        <v>Not Found</v>
      </c>
      <c r="I4285" s="6" t="str">
        <f>IFERROR(VLOOKUP('Customer Info'!A4277,'Customer Info'!A4277:E4776,5,FALSE),"Not Found")</f>
        <v>Not Found</v>
      </c>
      <c r="J4285" s="2">
        <v>2007</v>
      </c>
      <c r="K4285" s="2">
        <v>1839</v>
      </c>
      <c r="L4285" s="2">
        <v>2</v>
      </c>
      <c r="M4285" s="7">
        <f t="shared" si="330"/>
        <v>3678</v>
      </c>
      <c r="N4285" s="7">
        <f t="shared" si="331"/>
        <v>4014</v>
      </c>
      <c r="O4285" s="2">
        <v>39</v>
      </c>
      <c r="P4285" s="8">
        <f t="shared" si="332"/>
        <v>4053</v>
      </c>
      <c r="Q4285" s="8">
        <f t="shared" si="333"/>
        <v>2175</v>
      </c>
      <c r="R4285" s="2" t="s">
        <v>50</v>
      </c>
      <c r="S4285" s="9">
        <f t="shared" si="334"/>
        <v>81.06</v>
      </c>
    </row>
    <row r="4286" spans="1:19" x14ac:dyDescent="0.3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str">
        <f>IFERROR(VLOOKUP('Customer Info'!A4278,'Customer Info'!A4278:C4777,2,FALSE),"Not Found")</f>
        <v>Not Found</v>
      </c>
      <c r="H4286" s="6" t="str">
        <f>IFERROR(VLOOKUP('Customer Info'!A4278,'Customer Info'!A4278:C4777,3,FALSE),"Not Found")</f>
        <v>Not Found</v>
      </c>
      <c r="I4286" s="6" t="str">
        <f>IFERROR(VLOOKUP('Customer Info'!A4278,'Customer Info'!A4278:E4777,5,FALSE),"Not Found")</f>
        <v>Not Found</v>
      </c>
      <c r="J4286" s="2">
        <v>123</v>
      </c>
      <c r="K4286" s="2">
        <v>115</v>
      </c>
      <c r="L4286" s="2">
        <v>2</v>
      </c>
      <c r="M4286" s="7">
        <f t="shared" si="330"/>
        <v>230</v>
      </c>
      <c r="N4286" s="7">
        <f t="shared" si="331"/>
        <v>246</v>
      </c>
      <c r="O4286" s="2">
        <v>30</v>
      </c>
      <c r="P4286" s="8">
        <f t="shared" si="332"/>
        <v>276</v>
      </c>
      <c r="Q4286" s="8">
        <f t="shared" si="333"/>
        <v>131</v>
      </c>
      <c r="R4286" s="2" t="s">
        <v>28</v>
      </c>
      <c r="S4286" s="9">
        <f t="shared" si="334"/>
        <v>5.5200000000000005</v>
      </c>
    </row>
    <row r="4287" spans="1:19" x14ac:dyDescent="0.3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str">
        <f>IFERROR(VLOOKUP('Customer Info'!A4279,'Customer Info'!A4279:C4778,2,FALSE),"Not Found")</f>
        <v>Not Found</v>
      </c>
      <c r="H4287" s="6" t="str">
        <f>IFERROR(VLOOKUP('Customer Info'!A4279,'Customer Info'!A4279:C4778,3,FALSE),"Not Found")</f>
        <v>Not Found</v>
      </c>
      <c r="I4287" s="6" t="str">
        <f>IFERROR(VLOOKUP('Customer Info'!A4279,'Customer Info'!A4279:E4778,5,FALSE),"Not Found")</f>
        <v>Not Found</v>
      </c>
      <c r="J4287" s="2">
        <v>140</v>
      </c>
      <c r="K4287" s="2">
        <v>137</v>
      </c>
      <c r="L4287" s="2">
        <v>9</v>
      </c>
      <c r="M4287" s="7">
        <f t="shared" si="330"/>
        <v>1233</v>
      </c>
      <c r="N4287" s="7">
        <f t="shared" si="331"/>
        <v>1260</v>
      </c>
      <c r="O4287" s="2">
        <v>30</v>
      </c>
      <c r="P4287" s="8">
        <f t="shared" si="332"/>
        <v>1290</v>
      </c>
      <c r="Q4287" s="8">
        <f t="shared" si="333"/>
        <v>1123</v>
      </c>
      <c r="R4287" s="2" t="s">
        <v>28</v>
      </c>
      <c r="S4287" s="9">
        <f t="shared" si="334"/>
        <v>25.8</v>
      </c>
    </row>
    <row r="4288" spans="1:19" x14ac:dyDescent="0.3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str">
        <f>IFERROR(VLOOKUP('Customer Info'!A4280,'Customer Info'!A4280:C4779,2,FALSE),"Not Found")</f>
        <v>Not Found</v>
      </c>
      <c r="H4288" s="6" t="str">
        <f>IFERROR(VLOOKUP('Customer Info'!A4280,'Customer Info'!A4280:C4779,3,FALSE),"Not Found")</f>
        <v>Not Found</v>
      </c>
      <c r="I4288" s="6" t="str">
        <f>IFERROR(VLOOKUP('Customer Info'!A4280,'Customer Info'!A4280:E4779,5,FALSE),"Not Found")</f>
        <v>Not Found</v>
      </c>
      <c r="J4288" s="2">
        <v>2078</v>
      </c>
      <c r="K4288" s="2">
        <v>1871</v>
      </c>
      <c r="L4288" s="2">
        <v>3</v>
      </c>
      <c r="M4288" s="7">
        <f t="shared" si="330"/>
        <v>5613</v>
      </c>
      <c r="N4288" s="7">
        <f t="shared" si="331"/>
        <v>6234</v>
      </c>
      <c r="O4288" s="2">
        <v>45</v>
      </c>
      <c r="P4288" s="8">
        <f t="shared" si="332"/>
        <v>6279</v>
      </c>
      <c r="Q4288" s="8">
        <f t="shared" si="333"/>
        <v>4363</v>
      </c>
      <c r="R4288" s="2" t="s">
        <v>50</v>
      </c>
      <c r="S4288" s="9">
        <f t="shared" si="334"/>
        <v>313.95000000000005</v>
      </c>
    </row>
    <row r="4289" spans="1:19" x14ac:dyDescent="0.3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str">
        <f>IFERROR(VLOOKUP('Customer Info'!A4281,'Customer Info'!A4281:C4780,2,FALSE),"Not Found")</f>
        <v>Not Found</v>
      </c>
      <c r="H4289" s="6" t="str">
        <f>IFERROR(VLOOKUP('Customer Info'!A4281,'Customer Info'!A4281:C4780,3,FALSE),"Not Found")</f>
        <v>Not Found</v>
      </c>
      <c r="I4289" s="6" t="str">
        <f>IFERROR(VLOOKUP('Customer Info'!A4281,'Customer Info'!A4281:E4780,5,FALSE),"Not Found")</f>
        <v>Not Found</v>
      </c>
      <c r="J4289" s="2">
        <v>511</v>
      </c>
      <c r="K4289" s="2">
        <v>468</v>
      </c>
      <c r="L4289" s="2">
        <v>1</v>
      </c>
      <c r="M4289" s="7">
        <f t="shared" si="330"/>
        <v>468</v>
      </c>
      <c r="N4289" s="7">
        <f t="shared" si="331"/>
        <v>511</v>
      </c>
      <c r="O4289" s="2">
        <v>58</v>
      </c>
      <c r="P4289" s="8">
        <f t="shared" si="332"/>
        <v>569</v>
      </c>
      <c r="Q4289" s="8">
        <f t="shared" si="333"/>
        <v>43</v>
      </c>
      <c r="R4289" s="2" t="s">
        <v>28</v>
      </c>
      <c r="S4289" s="9">
        <f t="shared" si="334"/>
        <v>11.38</v>
      </c>
    </row>
    <row r="4290" spans="1:19" x14ac:dyDescent="0.3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str">
        <f>IFERROR(VLOOKUP('Customer Info'!A4282,'Customer Info'!A4282:C4781,2,FALSE),"Not Found")</f>
        <v>Not Found</v>
      </c>
      <c r="H4290" s="6" t="str">
        <f>IFERROR(VLOOKUP('Customer Info'!A4282,'Customer Info'!A4282:C4781,3,FALSE),"Not Found")</f>
        <v>Not Found</v>
      </c>
      <c r="I4290" s="6" t="str">
        <f>IFERROR(VLOOKUP('Customer Info'!A4282,'Customer Info'!A4282:E4781,5,FALSE),"Not Found")</f>
        <v>Not Found</v>
      </c>
      <c r="J4290" s="2">
        <v>1790</v>
      </c>
      <c r="K4290" s="2">
        <v>1706</v>
      </c>
      <c r="L4290" s="2">
        <v>3</v>
      </c>
      <c r="M4290" s="7">
        <f t="shared" si="330"/>
        <v>5118</v>
      </c>
      <c r="N4290" s="7">
        <f t="shared" si="331"/>
        <v>5370</v>
      </c>
      <c r="O4290" s="2">
        <v>60</v>
      </c>
      <c r="P4290" s="8">
        <f t="shared" si="332"/>
        <v>5430</v>
      </c>
      <c r="Q4290" s="8">
        <f t="shared" si="333"/>
        <v>3664</v>
      </c>
      <c r="R4290" s="2" t="s">
        <v>50</v>
      </c>
      <c r="S4290" s="9">
        <f t="shared" si="334"/>
        <v>271.5</v>
      </c>
    </row>
    <row r="4291" spans="1:19" x14ac:dyDescent="0.3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str">
        <f>IFERROR(VLOOKUP('Customer Info'!A4283,'Customer Info'!A4283:C4782,2,FALSE),"Not Found")</f>
        <v>Not Found</v>
      </c>
      <c r="H4291" s="6" t="str">
        <f>IFERROR(VLOOKUP('Customer Info'!A4283,'Customer Info'!A4283:C4782,3,FALSE),"Not Found")</f>
        <v>Not Found</v>
      </c>
      <c r="I4291" s="6" t="str">
        <f>IFERROR(VLOOKUP('Customer Info'!A4283,'Customer Info'!A4283:E4782,5,FALSE),"Not Found")</f>
        <v>Not Found</v>
      </c>
      <c r="J4291" s="2">
        <v>511</v>
      </c>
      <c r="K4291" s="2">
        <v>477</v>
      </c>
      <c r="L4291" s="2">
        <v>1</v>
      </c>
      <c r="M4291" s="7">
        <f t="shared" si="330"/>
        <v>477</v>
      </c>
      <c r="N4291" s="7">
        <f t="shared" si="331"/>
        <v>511</v>
      </c>
      <c r="O4291" s="2">
        <v>77</v>
      </c>
      <c r="P4291" s="8">
        <f t="shared" si="332"/>
        <v>588</v>
      </c>
      <c r="Q4291" s="8">
        <f t="shared" si="333"/>
        <v>34</v>
      </c>
      <c r="R4291" s="2" t="s">
        <v>28</v>
      </c>
      <c r="S4291" s="9">
        <f t="shared" si="334"/>
        <v>11.76</v>
      </c>
    </row>
    <row r="4292" spans="1:19" x14ac:dyDescent="0.3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str">
        <f>IFERROR(VLOOKUP('Customer Info'!A4284,'Customer Info'!A4284:C4783,2,FALSE),"Not Found")</f>
        <v>Not Found</v>
      </c>
      <c r="H4292" s="6" t="str">
        <f>IFERROR(VLOOKUP('Customer Info'!A4284,'Customer Info'!A4284:C4783,3,FALSE),"Not Found")</f>
        <v>Not Found</v>
      </c>
      <c r="I4292" s="6" t="str">
        <f>IFERROR(VLOOKUP('Customer Info'!A4284,'Customer Info'!A4284:E4783,5,FALSE),"Not Found")</f>
        <v>Not Found</v>
      </c>
      <c r="J4292" s="2">
        <v>130</v>
      </c>
      <c r="K4292" s="2">
        <v>122</v>
      </c>
      <c r="L4292" s="2">
        <v>2</v>
      </c>
      <c r="M4292" s="7">
        <f t="shared" si="330"/>
        <v>244</v>
      </c>
      <c r="N4292" s="7">
        <f t="shared" si="331"/>
        <v>260</v>
      </c>
      <c r="O4292" s="2">
        <v>30</v>
      </c>
      <c r="P4292" s="8">
        <f t="shared" si="332"/>
        <v>290</v>
      </c>
      <c r="Q4292" s="8">
        <f t="shared" si="333"/>
        <v>138</v>
      </c>
      <c r="R4292" s="2" t="s">
        <v>50</v>
      </c>
      <c r="S4292" s="9">
        <f t="shared" si="334"/>
        <v>5.8</v>
      </c>
    </row>
    <row r="4293" spans="1:19" x14ac:dyDescent="0.3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str">
        <f>IFERROR(VLOOKUP('Customer Info'!A4285,'Customer Info'!A4285:C4784,2,FALSE),"Not Found")</f>
        <v>Not Found</v>
      </c>
      <c r="H4293" s="6" t="str">
        <f>IFERROR(VLOOKUP('Customer Info'!A4285,'Customer Info'!A4285:C4784,3,FALSE),"Not Found")</f>
        <v>Not Found</v>
      </c>
      <c r="I4293" s="6" t="str">
        <f>IFERROR(VLOOKUP('Customer Info'!A4285,'Customer Info'!A4285:E4784,5,FALSE),"Not Found")</f>
        <v>Not Found</v>
      </c>
      <c r="J4293" s="2">
        <v>1447</v>
      </c>
      <c r="K4293" s="2">
        <v>1326</v>
      </c>
      <c r="L4293" s="2">
        <v>7</v>
      </c>
      <c r="M4293" s="7">
        <f t="shared" si="330"/>
        <v>9282</v>
      </c>
      <c r="N4293" s="7">
        <f t="shared" si="331"/>
        <v>10129</v>
      </c>
      <c r="O4293" s="2">
        <v>34</v>
      </c>
      <c r="P4293" s="8">
        <f t="shared" si="332"/>
        <v>10163</v>
      </c>
      <c r="Q4293" s="8">
        <f t="shared" si="333"/>
        <v>8803</v>
      </c>
      <c r="R4293" s="2" t="s">
        <v>28</v>
      </c>
      <c r="S4293" s="9">
        <f t="shared" si="334"/>
        <v>508.15000000000003</v>
      </c>
    </row>
    <row r="4294" spans="1:19" x14ac:dyDescent="0.3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str">
        <f>IFERROR(VLOOKUP('Customer Info'!A4286,'Customer Info'!A4286:C4785,2,FALSE),"Not Found")</f>
        <v>Not Found</v>
      </c>
      <c r="H4294" s="6" t="str">
        <f>IFERROR(VLOOKUP('Customer Info'!A4286,'Customer Info'!A4286:C4785,3,FALSE),"Not Found")</f>
        <v>Not Found</v>
      </c>
      <c r="I4294" s="6" t="str">
        <f>IFERROR(VLOOKUP('Customer Info'!A4286,'Customer Info'!A4286:E4785,5,FALSE),"Not Found")</f>
        <v>Not Found</v>
      </c>
      <c r="J4294" s="2">
        <v>9135</v>
      </c>
      <c r="K4294" s="2">
        <v>8143</v>
      </c>
      <c r="L4294" s="2">
        <v>2</v>
      </c>
      <c r="M4294" s="7">
        <f t="shared" si="330"/>
        <v>16286</v>
      </c>
      <c r="N4294" s="7">
        <f t="shared" si="331"/>
        <v>18270</v>
      </c>
      <c r="O4294" s="2">
        <v>92</v>
      </c>
      <c r="P4294" s="8">
        <f t="shared" si="332"/>
        <v>18362</v>
      </c>
      <c r="Q4294" s="8">
        <f t="shared" si="333"/>
        <v>10127</v>
      </c>
      <c r="R4294" s="2" t="s">
        <v>28</v>
      </c>
      <c r="S4294" s="9">
        <f t="shared" si="334"/>
        <v>918.1</v>
      </c>
    </row>
    <row r="4295" spans="1:19" x14ac:dyDescent="0.3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str">
        <f>IFERROR(VLOOKUP('Customer Info'!A4287,'Customer Info'!A4287:C4786,2,FALSE),"Not Found")</f>
        <v>Not Found</v>
      </c>
      <c r="H4295" s="6" t="str">
        <f>IFERROR(VLOOKUP('Customer Info'!A4287,'Customer Info'!A4287:C4786,3,FALSE),"Not Found")</f>
        <v>Not Found</v>
      </c>
      <c r="I4295" s="6" t="str">
        <f>IFERROR(VLOOKUP('Customer Info'!A4287,'Customer Info'!A4287:E4786,5,FALSE),"Not Found")</f>
        <v>Not Found</v>
      </c>
      <c r="J4295" s="2">
        <v>8781</v>
      </c>
      <c r="K4295" s="2">
        <v>7828</v>
      </c>
      <c r="L4295" s="2">
        <v>5</v>
      </c>
      <c r="M4295" s="7">
        <f t="shared" si="330"/>
        <v>39140</v>
      </c>
      <c r="N4295" s="7">
        <f t="shared" si="331"/>
        <v>43905</v>
      </c>
      <c r="O4295" s="2">
        <v>44</v>
      </c>
      <c r="P4295" s="8">
        <f t="shared" si="332"/>
        <v>43949</v>
      </c>
      <c r="Q4295" s="8">
        <f t="shared" si="333"/>
        <v>36077</v>
      </c>
      <c r="R4295" s="2" t="s">
        <v>28</v>
      </c>
      <c r="S4295" s="9">
        <f t="shared" si="334"/>
        <v>3076.4300000000003</v>
      </c>
    </row>
    <row r="4296" spans="1:19" x14ac:dyDescent="0.3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str">
        <f>IFERROR(VLOOKUP('Customer Info'!A4288,'Customer Info'!A4288:C4787,2,FALSE),"Not Found")</f>
        <v>Not Found</v>
      </c>
      <c r="H4296" s="6" t="str">
        <f>IFERROR(VLOOKUP('Customer Info'!A4288,'Customer Info'!A4288:C4787,3,FALSE),"Not Found")</f>
        <v>Not Found</v>
      </c>
      <c r="I4296" s="6" t="str">
        <f>IFERROR(VLOOKUP('Customer Info'!A4288,'Customer Info'!A4288:E4787,5,FALSE),"Not Found")</f>
        <v>Not Found</v>
      </c>
      <c r="J4296" s="2">
        <v>1774</v>
      </c>
      <c r="K4296" s="2">
        <v>1642</v>
      </c>
      <c r="L4296" s="2">
        <v>5</v>
      </c>
      <c r="M4296" s="7">
        <f t="shared" si="330"/>
        <v>8210</v>
      </c>
      <c r="N4296" s="7">
        <f t="shared" si="331"/>
        <v>8870</v>
      </c>
      <c r="O4296" s="2">
        <v>58</v>
      </c>
      <c r="P4296" s="8">
        <f t="shared" si="332"/>
        <v>8928</v>
      </c>
      <c r="Q4296" s="8">
        <f t="shared" si="333"/>
        <v>7228</v>
      </c>
      <c r="R4296" s="2" t="s">
        <v>28</v>
      </c>
      <c r="S4296" s="9">
        <f t="shared" si="334"/>
        <v>446.40000000000003</v>
      </c>
    </row>
    <row r="4297" spans="1:19" x14ac:dyDescent="0.3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str">
        <f>IFERROR(VLOOKUP('Customer Info'!A4289,'Customer Info'!A4289:C4788,2,FALSE),"Not Found")</f>
        <v>Not Found</v>
      </c>
      <c r="H4297" s="6" t="str">
        <f>IFERROR(VLOOKUP('Customer Info'!A4289,'Customer Info'!A4289:C4788,3,FALSE),"Not Found")</f>
        <v>Not Found</v>
      </c>
      <c r="I4297" s="6" t="str">
        <f>IFERROR(VLOOKUP('Customer Info'!A4289,'Customer Info'!A4289:E4788,5,FALSE),"Not Found")</f>
        <v>Not Found</v>
      </c>
      <c r="J4297" s="2">
        <v>2088</v>
      </c>
      <c r="K4297" s="2">
        <v>1970</v>
      </c>
      <c r="L4297" s="2">
        <v>5</v>
      </c>
      <c r="M4297" s="7">
        <f t="shared" si="330"/>
        <v>9850</v>
      </c>
      <c r="N4297" s="7">
        <f t="shared" si="331"/>
        <v>10440</v>
      </c>
      <c r="O4297" s="2">
        <v>56</v>
      </c>
      <c r="P4297" s="8">
        <f t="shared" si="332"/>
        <v>10496</v>
      </c>
      <c r="Q4297" s="8">
        <f t="shared" si="333"/>
        <v>8470</v>
      </c>
      <c r="R4297" s="2" t="s">
        <v>50</v>
      </c>
      <c r="S4297" s="9">
        <f t="shared" si="334"/>
        <v>524.80000000000007</v>
      </c>
    </row>
    <row r="4298" spans="1:19" x14ac:dyDescent="0.3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str">
        <f>IFERROR(VLOOKUP('Customer Info'!A4290,'Customer Info'!A4290:C4789,2,FALSE),"Not Found")</f>
        <v>Not Found</v>
      </c>
      <c r="H4298" s="6" t="str">
        <f>IFERROR(VLOOKUP('Customer Info'!A4290,'Customer Info'!A4290:C4789,3,FALSE),"Not Found")</f>
        <v>Not Found</v>
      </c>
      <c r="I4298" s="6" t="str">
        <f>IFERROR(VLOOKUP('Customer Info'!A4290,'Customer Info'!A4290:E4789,5,FALSE),"Not Found")</f>
        <v>Not Found</v>
      </c>
      <c r="J4298" s="2">
        <v>175</v>
      </c>
      <c r="K4298" s="2">
        <v>162</v>
      </c>
      <c r="L4298" s="2">
        <v>2</v>
      </c>
      <c r="M4298" s="7">
        <f t="shared" si="330"/>
        <v>324</v>
      </c>
      <c r="N4298" s="7">
        <f t="shared" si="331"/>
        <v>350</v>
      </c>
      <c r="O4298" s="2">
        <v>30</v>
      </c>
      <c r="P4298" s="8">
        <f t="shared" si="332"/>
        <v>380</v>
      </c>
      <c r="Q4298" s="8">
        <f t="shared" si="333"/>
        <v>188</v>
      </c>
      <c r="R4298" s="2" t="s">
        <v>26</v>
      </c>
      <c r="S4298" s="9">
        <f t="shared" si="334"/>
        <v>7.6000000000000005</v>
      </c>
    </row>
    <row r="4299" spans="1:19" x14ac:dyDescent="0.3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str">
        <f>IFERROR(VLOOKUP('Customer Info'!A4291,'Customer Info'!A4291:C4790,2,FALSE),"Not Found")</f>
        <v>Not Found</v>
      </c>
      <c r="H4299" s="6" t="str">
        <f>IFERROR(VLOOKUP('Customer Info'!A4291,'Customer Info'!A4291:C4790,3,FALSE),"Not Found")</f>
        <v>Not Found</v>
      </c>
      <c r="I4299" s="6" t="str">
        <f>IFERROR(VLOOKUP('Customer Info'!A4291,'Customer Info'!A4291:E4790,5,FALSE),"Not Found")</f>
        <v>Not Found</v>
      </c>
      <c r="J4299" s="2">
        <v>61</v>
      </c>
      <c r="K4299" s="2">
        <v>57</v>
      </c>
      <c r="L4299" s="2">
        <v>3</v>
      </c>
      <c r="M4299" s="7">
        <f t="shared" ref="M4299:M4362" si="335">$K4299*$L4299</f>
        <v>171</v>
      </c>
      <c r="N4299" s="7">
        <f t="shared" ref="N4299:N4362" si="336">$J4299*$L4299</f>
        <v>183</v>
      </c>
      <c r="O4299" s="2">
        <v>10</v>
      </c>
      <c r="P4299" s="8">
        <f t="shared" ref="P4299:P4362" si="337">$N4299+$O4299</f>
        <v>193</v>
      </c>
      <c r="Q4299" s="8">
        <f t="shared" ref="Q4299:Q4362" si="338">$N4299-$K4299</f>
        <v>126</v>
      </c>
      <c r="R4299" s="2" t="s">
        <v>26</v>
      </c>
      <c r="S4299" s="9">
        <f t="shared" ref="S4299:S4362" si="339" xml:space="preserve"> P4299 * VLOOKUP(P4299, $T$2:$U$6, 2, TRUE)</f>
        <v>3.86</v>
      </c>
    </row>
    <row r="4300" spans="1:19" x14ac:dyDescent="0.3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str">
        <f>IFERROR(VLOOKUP('Customer Info'!A4292,'Customer Info'!A4292:C4791,2,FALSE),"Not Found")</f>
        <v>Not Found</v>
      </c>
      <c r="H4300" s="6" t="str">
        <f>IFERROR(VLOOKUP('Customer Info'!A4292,'Customer Info'!A4292:C4791,3,FALSE),"Not Found")</f>
        <v>Not Found</v>
      </c>
      <c r="I4300" s="6" t="str">
        <f>IFERROR(VLOOKUP('Customer Info'!A4292,'Customer Info'!A4292:E4791,5,FALSE),"Not Found")</f>
        <v>Not Found</v>
      </c>
      <c r="J4300" s="2">
        <v>456</v>
      </c>
      <c r="K4300" s="2">
        <v>430</v>
      </c>
      <c r="L4300" s="2">
        <v>2</v>
      </c>
      <c r="M4300" s="7">
        <f t="shared" si="335"/>
        <v>860</v>
      </c>
      <c r="N4300" s="7">
        <f t="shared" si="336"/>
        <v>912</v>
      </c>
      <c r="O4300" s="2">
        <v>34</v>
      </c>
      <c r="P4300" s="8">
        <f t="shared" si="337"/>
        <v>946</v>
      </c>
      <c r="Q4300" s="8">
        <f t="shared" si="338"/>
        <v>482</v>
      </c>
      <c r="R4300" s="2" t="s">
        <v>50</v>
      </c>
      <c r="S4300" s="9">
        <f t="shared" si="339"/>
        <v>18.920000000000002</v>
      </c>
    </row>
    <row r="4301" spans="1:19" x14ac:dyDescent="0.3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str">
        <f>IFERROR(VLOOKUP('Customer Info'!A4293,'Customer Info'!A4293:C4792,2,FALSE),"Not Found")</f>
        <v>Not Found</v>
      </c>
      <c r="H4301" s="6" t="str">
        <f>IFERROR(VLOOKUP('Customer Info'!A4293,'Customer Info'!A4293:C4792,3,FALSE),"Not Found")</f>
        <v>Not Found</v>
      </c>
      <c r="I4301" s="6" t="str">
        <f>IFERROR(VLOOKUP('Customer Info'!A4293,'Customer Info'!A4293:E4792,5,FALSE),"Not Found")</f>
        <v>Not Found</v>
      </c>
      <c r="J4301" s="2">
        <v>4846</v>
      </c>
      <c r="K4301" s="2">
        <v>4492</v>
      </c>
      <c r="L4301" s="2">
        <v>3</v>
      </c>
      <c r="M4301" s="7">
        <f t="shared" si="335"/>
        <v>13476</v>
      </c>
      <c r="N4301" s="7">
        <f t="shared" si="336"/>
        <v>14538</v>
      </c>
      <c r="O4301" s="2">
        <v>31</v>
      </c>
      <c r="P4301" s="8">
        <f t="shared" si="337"/>
        <v>14569</v>
      </c>
      <c r="Q4301" s="8">
        <f t="shared" si="338"/>
        <v>10046</v>
      </c>
      <c r="R4301" s="2" t="s">
        <v>50</v>
      </c>
      <c r="S4301" s="9">
        <f t="shared" si="339"/>
        <v>728.45</v>
      </c>
    </row>
    <row r="4302" spans="1:19" x14ac:dyDescent="0.3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str">
        <f>IFERROR(VLOOKUP('Customer Info'!A4294,'Customer Info'!A4294:C4793,2,FALSE),"Not Found")</f>
        <v>Not Found</v>
      </c>
      <c r="H4302" s="6" t="str">
        <f>IFERROR(VLOOKUP('Customer Info'!A4294,'Customer Info'!A4294:C4793,3,FALSE),"Not Found")</f>
        <v>Not Found</v>
      </c>
      <c r="I4302" s="6" t="str">
        <f>IFERROR(VLOOKUP('Customer Info'!A4294,'Customer Info'!A4294:E4793,5,FALSE),"Not Found")</f>
        <v>Not Found</v>
      </c>
      <c r="J4302" s="2">
        <v>3408</v>
      </c>
      <c r="K4302" s="2">
        <v>3215</v>
      </c>
      <c r="L4302" s="2">
        <v>2</v>
      </c>
      <c r="M4302" s="7">
        <f t="shared" si="335"/>
        <v>6430</v>
      </c>
      <c r="N4302" s="7">
        <f t="shared" si="336"/>
        <v>6816</v>
      </c>
      <c r="O4302" s="2">
        <v>66</v>
      </c>
      <c r="P4302" s="8">
        <f t="shared" si="337"/>
        <v>6882</v>
      </c>
      <c r="Q4302" s="8">
        <f t="shared" si="338"/>
        <v>3601</v>
      </c>
      <c r="R4302" s="2" t="s">
        <v>28</v>
      </c>
      <c r="S4302" s="9">
        <f t="shared" si="339"/>
        <v>344.1</v>
      </c>
    </row>
    <row r="4303" spans="1:19" x14ac:dyDescent="0.3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str">
        <f>IFERROR(VLOOKUP('Customer Info'!A4295,'Customer Info'!A4295:C4794,2,FALSE),"Not Found")</f>
        <v>Not Found</v>
      </c>
      <c r="H4303" s="6" t="str">
        <f>IFERROR(VLOOKUP('Customer Info'!A4295,'Customer Info'!A4295:C4794,3,FALSE),"Not Found")</f>
        <v>Not Found</v>
      </c>
      <c r="I4303" s="6" t="str">
        <f>IFERROR(VLOOKUP('Customer Info'!A4295,'Customer Info'!A4295:E4794,5,FALSE),"Not Found")</f>
        <v>Not Found</v>
      </c>
      <c r="J4303" s="2">
        <v>1668</v>
      </c>
      <c r="K4303" s="2">
        <v>1636</v>
      </c>
      <c r="L4303" s="2">
        <v>1</v>
      </c>
      <c r="M4303" s="7">
        <f t="shared" si="335"/>
        <v>1636</v>
      </c>
      <c r="N4303" s="7">
        <f t="shared" si="336"/>
        <v>1668</v>
      </c>
      <c r="O4303" s="2">
        <v>79</v>
      </c>
      <c r="P4303" s="8">
        <f t="shared" si="337"/>
        <v>1747</v>
      </c>
      <c r="Q4303" s="8">
        <f t="shared" si="338"/>
        <v>32</v>
      </c>
      <c r="R4303" s="2" t="s">
        <v>28</v>
      </c>
      <c r="S4303" s="9">
        <f t="shared" si="339"/>
        <v>34.94</v>
      </c>
    </row>
    <row r="4304" spans="1:19" x14ac:dyDescent="0.3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str">
        <f>IFERROR(VLOOKUP('Customer Info'!A4296,'Customer Info'!A4296:C4795,2,FALSE),"Not Found")</f>
        <v>Not Found</v>
      </c>
      <c r="H4304" s="6" t="str">
        <f>IFERROR(VLOOKUP('Customer Info'!A4296,'Customer Info'!A4296:C4795,3,FALSE),"Not Found")</f>
        <v>Not Found</v>
      </c>
      <c r="I4304" s="6" t="str">
        <f>IFERROR(VLOOKUP('Customer Info'!A4296,'Customer Info'!A4296:E4795,5,FALSE),"Not Found")</f>
        <v>Not Found</v>
      </c>
      <c r="J4304" s="2">
        <v>1413</v>
      </c>
      <c r="K4304" s="2">
        <v>1334</v>
      </c>
      <c r="L4304" s="2">
        <v>3</v>
      </c>
      <c r="M4304" s="7">
        <f t="shared" si="335"/>
        <v>4002</v>
      </c>
      <c r="N4304" s="7">
        <f t="shared" si="336"/>
        <v>4239</v>
      </c>
      <c r="O4304" s="2">
        <v>84</v>
      </c>
      <c r="P4304" s="8">
        <f t="shared" si="337"/>
        <v>4323</v>
      </c>
      <c r="Q4304" s="8">
        <f t="shared" si="338"/>
        <v>2905</v>
      </c>
      <c r="R4304" s="2" t="s">
        <v>50</v>
      </c>
      <c r="S4304" s="9">
        <f t="shared" si="339"/>
        <v>86.460000000000008</v>
      </c>
    </row>
    <row r="4305" spans="1:19" x14ac:dyDescent="0.3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str">
        <f>IFERROR(VLOOKUP('Customer Info'!A4297,'Customer Info'!A4297:C4796,2,FALSE),"Not Found")</f>
        <v>Not Found</v>
      </c>
      <c r="H4305" s="6" t="str">
        <f>IFERROR(VLOOKUP('Customer Info'!A4297,'Customer Info'!A4297:C4796,3,FALSE),"Not Found")</f>
        <v>Not Found</v>
      </c>
      <c r="I4305" s="6" t="str">
        <f>IFERROR(VLOOKUP('Customer Info'!A4297,'Customer Info'!A4297:E4796,5,FALSE),"Not Found")</f>
        <v>Not Found</v>
      </c>
      <c r="J4305" s="2">
        <v>1911</v>
      </c>
      <c r="K4305" s="2">
        <v>1785</v>
      </c>
      <c r="L4305" s="2">
        <v>4</v>
      </c>
      <c r="M4305" s="7">
        <f t="shared" si="335"/>
        <v>7140</v>
      </c>
      <c r="N4305" s="7">
        <f t="shared" si="336"/>
        <v>7644</v>
      </c>
      <c r="O4305" s="2">
        <v>37</v>
      </c>
      <c r="P4305" s="8">
        <f t="shared" si="337"/>
        <v>7681</v>
      </c>
      <c r="Q4305" s="8">
        <f t="shared" si="338"/>
        <v>5859</v>
      </c>
      <c r="R4305" s="2" t="s">
        <v>26</v>
      </c>
      <c r="S4305" s="9">
        <f t="shared" si="339"/>
        <v>384.05</v>
      </c>
    </row>
    <row r="4306" spans="1:19" x14ac:dyDescent="0.3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str">
        <f>IFERROR(VLOOKUP('Customer Info'!A4298,'Customer Info'!A4298:C4797,2,FALSE),"Not Found")</f>
        <v>Not Found</v>
      </c>
      <c r="H4306" s="6" t="str">
        <f>IFERROR(VLOOKUP('Customer Info'!A4298,'Customer Info'!A4298:C4797,3,FALSE),"Not Found")</f>
        <v>Not Found</v>
      </c>
      <c r="I4306" s="6" t="str">
        <f>IFERROR(VLOOKUP('Customer Info'!A4298,'Customer Info'!A4298:E4797,5,FALSE),"Not Found")</f>
        <v>Not Found</v>
      </c>
      <c r="J4306" s="2">
        <v>143</v>
      </c>
      <c r="K4306" s="2">
        <v>137</v>
      </c>
      <c r="L4306" s="2">
        <v>8</v>
      </c>
      <c r="M4306" s="7">
        <f t="shared" si="335"/>
        <v>1096</v>
      </c>
      <c r="N4306" s="7">
        <f t="shared" si="336"/>
        <v>1144</v>
      </c>
      <c r="O4306" s="2">
        <v>30</v>
      </c>
      <c r="P4306" s="8">
        <f t="shared" si="337"/>
        <v>1174</v>
      </c>
      <c r="Q4306" s="8">
        <f t="shared" si="338"/>
        <v>1007</v>
      </c>
      <c r="R4306" s="2" t="s">
        <v>28</v>
      </c>
      <c r="S4306" s="9">
        <f t="shared" si="339"/>
        <v>23.48</v>
      </c>
    </row>
    <row r="4307" spans="1:19" x14ac:dyDescent="0.3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str">
        <f>IFERROR(VLOOKUP('Customer Info'!A4299,'Customer Info'!A4299:C4798,2,FALSE),"Not Found")</f>
        <v>Not Found</v>
      </c>
      <c r="H4307" s="6" t="str">
        <f>IFERROR(VLOOKUP('Customer Info'!A4299,'Customer Info'!A4299:C4798,3,FALSE),"Not Found")</f>
        <v>Not Found</v>
      </c>
      <c r="I4307" s="6" t="str">
        <f>IFERROR(VLOOKUP('Customer Info'!A4299,'Customer Info'!A4299:E4798,5,FALSE),"Not Found")</f>
        <v>Not Found</v>
      </c>
      <c r="J4307" s="2">
        <v>63</v>
      </c>
      <c r="K4307" s="2">
        <v>58</v>
      </c>
      <c r="L4307" s="2">
        <v>9</v>
      </c>
      <c r="M4307" s="7">
        <f t="shared" si="335"/>
        <v>522</v>
      </c>
      <c r="N4307" s="7">
        <f t="shared" si="336"/>
        <v>567</v>
      </c>
      <c r="O4307" s="2">
        <v>10</v>
      </c>
      <c r="P4307" s="8">
        <f t="shared" si="337"/>
        <v>577</v>
      </c>
      <c r="Q4307" s="8">
        <f t="shared" si="338"/>
        <v>509</v>
      </c>
      <c r="R4307" s="2" t="s">
        <v>28</v>
      </c>
      <c r="S4307" s="9">
        <f t="shared" si="339"/>
        <v>11.540000000000001</v>
      </c>
    </row>
    <row r="4308" spans="1:19" x14ac:dyDescent="0.3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str">
        <f>IFERROR(VLOOKUP('Customer Info'!A4300,'Customer Info'!A4300:C4799,2,FALSE),"Not Found")</f>
        <v>Not Found</v>
      </c>
      <c r="H4308" s="6" t="str">
        <f>IFERROR(VLOOKUP('Customer Info'!A4300,'Customer Info'!A4300:C4799,3,FALSE),"Not Found")</f>
        <v>Not Found</v>
      </c>
      <c r="I4308" s="6" t="str">
        <f>IFERROR(VLOOKUP('Customer Info'!A4300,'Customer Info'!A4300:E4799,5,FALSE),"Not Found")</f>
        <v>Not Found</v>
      </c>
      <c r="J4308" s="2">
        <v>6012</v>
      </c>
      <c r="K4308" s="2">
        <v>5677</v>
      </c>
      <c r="L4308" s="2">
        <v>2</v>
      </c>
      <c r="M4308" s="7">
        <f t="shared" si="335"/>
        <v>11354</v>
      </c>
      <c r="N4308" s="7">
        <f t="shared" si="336"/>
        <v>12024</v>
      </c>
      <c r="O4308" s="2">
        <v>89</v>
      </c>
      <c r="P4308" s="8">
        <f t="shared" si="337"/>
        <v>12113</v>
      </c>
      <c r="Q4308" s="8">
        <f t="shared" si="338"/>
        <v>6347</v>
      </c>
      <c r="R4308" s="2" t="s">
        <v>28</v>
      </c>
      <c r="S4308" s="9">
        <f t="shared" si="339"/>
        <v>605.65</v>
      </c>
    </row>
    <row r="4309" spans="1:19" x14ac:dyDescent="0.3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str">
        <f>IFERROR(VLOOKUP('Customer Info'!A4301,'Customer Info'!A4301:C4800,2,FALSE),"Not Found")</f>
        <v>Not Found</v>
      </c>
      <c r="H4309" s="6" t="str">
        <f>IFERROR(VLOOKUP('Customer Info'!A4301,'Customer Info'!A4301:C4800,3,FALSE),"Not Found")</f>
        <v>Not Found</v>
      </c>
      <c r="I4309" s="6" t="str">
        <f>IFERROR(VLOOKUP('Customer Info'!A4301,'Customer Info'!A4301:E4800,5,FALSE),"Not Found")</f>
        <v>Not Found</v>
      </c>
      <c r="J4309" s="2">
        <v>69</v>
      </c>
      <c r="K4309" s="2">
        <v>63</v>
      </c>
      <c r="L4309" s="2">
        <v>1</v>
      </c>
      <c r="M4309" s="7">
        <f t="shared" si="335"/>
        <v>63</v>
      </c>
      <c r="N4309" s="7">
        <f t="shared" si="336"/>
        <v>69</v>
      </c>
      <c r="O4309" s="2">
        <v>10</v>
      </c>
      <c r="P4309" s="8">
        <f t="shared" si="337"/>
        <v>79</v>
      </c>
      <c r="Q4309" s="8">
        <f t="shared" si="338"/>
        <v>6</v>
      </c>
      <c r="R4309" s="2" t="s">
        <v>50</v>
      </c>
      <c r="S4309" s="9">
        <f t="shared" si="339"/>
        <v>1.58</v>
      </c>
    </row>
    <row r="4310" spans="1:19" x14ac:dyDescent="0.3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str">
        <f>IFERROR(VLOOKUP('Customer Info'!A4302,'Customer Info'!A4302:C4801,2,FALSE),"Not Found")</f>
        <v>Not Found</v>
      </c>
      <c r="H4310" s="6" t="str">
        <f>IFERROR(VLOOKUP('Customer Info'!A4302,'Customer Info'!A4302:C4801,3,FALSE),"Not Found")</f>
        <v>Not Found</v>
      </c>
      <c r="I4310" s="6" t="str">
        <f>IFERROR(VLOOKUP('Customer Info'!A4302,'Customer Info'!A4302:E4801,5,FALSE),"Not Found")</f>
        <v>Not Found</v>
      </c>
      <c r="J4310" s="2">
        <v>1882</v>
      </c>
      <c r="K4310" s="2">
        <v>1792</v>
      </c>
      <c r="L4310" s="2">
        <v>1</v>
      </c>
      <c r="M4310" s="7">
        <f t="shared" si="335"/>
        <v>1792</v>
      </c>
      <c r="N4310" s="7">
        <f t="shared" si="336"/>
        <v>1882</v>
      </c>
      <c r="O4310" s="2">
        <v>36</v>
      </c>
      <c r="P4310" s="8">
        <f t="shared" si="337"/>
        <v>1918</v>
      </c>
      <c r="Q4310" s="8">
        <f t="shared" si="338"/>
        <v>90</v>
      </c>
      <c r="R4310" s="2" t="s">
        <v>28</v>
      </c>
      <c r="S4310" s="9">
        <f t="shared" si="339"/>
        <v>38.36</v>
      </c>
    </row>
    <row r="4311" spans="1:19" x14ac:dyDescent="0.3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str">
        <f>IFERROR(VLOOKUP('Customer Info'!A4303,'Customer Info'!A4303:C4802,2,FALSE),"Not Found")</f>
        <v>Not Found</v>
      </c>
      <c r="H4311" s="6" t="str">
        <f>IFERROR(VLOOKUP('Customer Info'!A4303,'Customer Info'!A4303:C4802,3,FALSE),"Not Found")</f>
        <v>Not Found</v>
      </c>
      <c r="I4311" s="6" t="str">
        <f>IFERROR(VLOOKUP('Customer Info'!A4303,'Customer Info'!A4303:E4802,5,FALSE),"Not Found")</f>
        <v>Not Found</v>
      </c>
      <c r="J4311" s="2">
        <v>5051</v>
      </c>
      <c r="K4311" s="2">
        <v>4634</v>
      </c>
      <c r="L4311" s="2">
        <v>4</v>
      </c>
      <c r="M4311" s="7">
        <f t="shared" si="335"/>
        <v>18536</v>
      </c>
      <c r="N4311" s="7">
        <f t="shared" si="336"/>
        <v>20204</v>
      </c>
      <c r="O4311" s="2">
        <v>41</v>
      </c>
      <c r="P4311" s="8">
        <f t="shared" si="337"/>
        <v>20245</v>
      </c>
      <c r="Q4311" s="8">
        <f t="shared" si="338"/>
        <v>15570</v>
      </c>
      <c r="R4311" s="2" t="s">
        <v>28</v>
      </c>
      <c r="S4311" s="9">
        <f t="shared" si="339"/>
        <v>1012.25</v>
      </c>
    </row>
    <row r="4312" spans="1:19" x14ac:dyDescent="0.3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str">
        <f>IFERROR(VLOOKUP('Customer Info'!A4304,'Customer Info'!A4304:C4803,2,FALSE),"Not Found")</f>
        <v>Not Found</v>
      </c>
      <c r="H4312" s="6" t="str">
        <f>IFERROR(VLOOKUP('Customer Info'!A4304,'Customer Info'!A4304:C4803,3,FALSE),"Not Found")</f>
        <v>Not Found</v>
      </c>
      <c r="I4312" s="6" t="str">
        <f>IFERROR(VLOOKUP('Customer Info'!A4304,'Customer Info'!A4304:E4803,5,FALSE),"Not Found")</f>
        <v>Not Found</v>
      </c>
      <c r="J4312" s="2">
        <v>7474</v>
      </c>
      <c r="K4312" s="2">
        <v>6858</v>
      </c>
      <c r="L4312" s="2">
        <v>1</v>
      </c>
      <c r="M4312" s="7">
        <f t="shared" si="335"/>
        <v>6858</v>
      </c>
      <c r="N4312" s="7">
        <f t="shared" si="336"/>
        <v>7474</v>
      </c>
      <c r="O4312" s="2">
        <v>39</v>
      </c>
      <c r="P4312" s="8">
        <f t="shared" si="337"/>
        <v>7513</v>
      </c>
      <c r="Q4312" s="8">
        <f t="shared" si="338"/>
        <v>616</v>
      </c>
      <c r="R4312" s="2" t="s">
        <v>28</v>
      </c>
      <c r="S4312" s="9">
        <f t="shared" si="339"/>
        <v>375.65000000000003</v>
      </c>
    </row>
    <row r="4313" spans="1:19" x14ac:dyDescent="0.3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str">
        <f>IFERROR(VLOOKUP('Customer Info'!A4305,'Customer Info'!A4305:C4804,2,FALSE),"Not Found")</f>
        <v>Not Found</v>
      </c>
      <c r="H4313" s="6" t="str">
        <f>IFERROR(VLOOKUP('Customer Info'!A4305,'Customer Info'!A4305:C4804,3,FALSE),"Not Found")</f>
        <v>Not Found</v>
      </c>
      <c r="I4313" s="6" t="str">
        <f>IFERROR(VLOOKUP('Customer Info'!A4305,'Customer Info'!A4305:E4804,5,FALSE),"Not Found")</f>
        <v>Not Found</v>
      </c>
      <c r="J4313" s="2">
        <v>2843</v>
      </c>
      <c r="K4313" s="2">
        <v>2735</v>
      </c>
      <c r="L4313" s="2">
        <v>2</v>
      </c>
      <c r="M4313" s="7">
        <f t="shared" si="335"/>
        <v>5470</v>
      </c>
      <c r="N4313" s="7">
        <f t="shared" si="336"/>
        <v>5686</v>
      </c>
      <c r="O4313" s="2">
        <v>74</v>
      </c>
      <c r="P4313" s="8">
        <f t="shared" si="337"/>
        <v>5760</v>
      </c>
      <c r="Q4313" s="8">
        <f t="shared" si="338"/>
        <v>2951</v>
      </c>
      <c r="R4313" s="2" t="s">
        <v>50</v>
      </c>
      <c r="S4313" s="9">
        <f t="shared" si="339"/>
        <v>288</v>
      </c>
    </row>
    <row r="4314" spans="1:19" x14ac:dyDescent="0.3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str">
        <f>IFERROR(VLOOKUP('Customer Info'!A4306,'Customer Info'!A4306:C4805,2,FALSE),"Not Found")</f>
        <v>Not Found</v>
      </c>
      <c r="H4314" s="6" t="str">
        <f>IFERROR(VLOOKUP('Customer Info'!A4306,'Customer Info'!A4306:C4805,3,FALSE),"Not Found")</f>
        <v>Not Found</v>
      </c>
      <c r="I4314" s="6" t="str">
        <f>IFERROR(VLOOKUP('Customer Info'!A4306,'Customer Info'!A4306:E4805,5,FALSE),"Not Found")</f>
        <v>Not Found</v>
      </c>
      <c r="J4314" s="2">
        <v>992</v>
      </c>
      <c r="K4314" s="2">
        <v>928</v>
      </c>
      <c r="L4314" s="2">
        <v>2</v>
      </c>
      <c r="M4314" s="7">
        <f t="shared" si="335"/>
        <v>1856</v>
      </c>
      <c r="N4314" s="7">
        <f t="shared" si="336"/>
        <v>1984</v>
      </c>
      <c r="O4314" s="2">
        <v>92</v>
      </c>
      <c r="P4314" s="8">
        <f t="shared" si="337"/>
        <v>2076</v>
      </c>
      <c r="Q4314" s="8">
        <f t="shared" si="338"/>
        <v>1056</v>
      </c>
      <c r="R4314" s="2" t="s">
        <v>28</v>
      </c>
      <c r="S4314" s="9">
        <f t="shared" si="339"/>
        <v>41.52</v>
      </c>
    </row>
    <row r="4315" spans="1:19" x14ac:dyDescent="0.3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str">
        <f>IFERROR(VLOOKUP('Customer Info'!A4307,'Customer Info'!A4307:C4806,2,FALSE),"Not Found")</f>
        <v>Not Found</v>
      </c>
      <c r="H4315" s="6" t="str">
        <f>IFERROR(VLOOKUP('Customer Info'!A4307,'Customer Info'!A4307:C4806,3,FALSE),"Not Found")</f>
        <v>Not Found</v>
      </c>
      <c r="I4315" s="6" t="str">
        <f>IFERROR(VLOOKUP('Customer Info'!A4307,'Customer Info'!A4307:E4806,5,FALSE),"Not Found")</f>
        <v>Not Found</v>
      </c>
      <c r="J4315" s="2">
        <v>169</v>
      </c>
      <c r="K4315" s="2">
        <v>154</v>
      </c>
      <c r="L4315" s="2">
        <v>3</v>
      </c>
      <c r="M4315" s="7">
        <f t="shared" si="335"/>
        <v>462</v>
      </c>
      <c r="N4315" s="7">
        <f t="shared" si="336"/>
        <v>507</v>
      </c>
      <c r="O4315" s="2">
        <v>30</v>
      </c>
      <c r="P4315" s="8">
        <f t="shared" si="337"/>
        <v>537</v>
      </c>
      <c r="Q4315" s="8">
        <f t="shared" si="338"/>
        <v>353</v>
      </c>
      <c r="R4315" s="2" t="s">
        <v>28</v>
      </c>
      <c r="S4315" s="9">
        <f t="shared" si="339"/>
        <v>10.74</v>
      </c>
    </row>
    <row r="4316" spans="1:19" x14ac:dyDescent="0.3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str">
        <f>IFERROR(VLOOKUP('Customer Info'!A4308,'Customer Info'!A4308:C4807,2,FALSE),"Not Found")</f>
        <v>Not Found</v>
      </c>
      <c r="H4316" s="6" t="str">
        <f>IFERROR(VLOOKUP('Customer Info'!A4308,'Customer Info'!A4308:C4807,3,FALSE),"Not Found")</f>
        <v>Not Found</v>
      </c>
      <c r="I4316" s="6" t="str">
        <f>IFERROR(VLOOKUP('Customer Info'!A4308,'Customer Info'!A4308:E4807,5,FALSE),"Not Found")</f>
        <v>Not Found</v>
      </c>
      <c r="J4316" s="2">
        <v>1882</v>
      </c>
      <c r="K4316" s="2">
        <v>1792</v>
      </c>
      <c r="L4316" s="2">
        <v>5</v>
      </c>
      <c r="M4316" s="7">
        <f t="shared" si="335"/>
        <v>8960</v>
      </c>
      <c r="N4316" s="7">
        <f t="shared" si="336"/>
        <v>9410</v>
      </c>
      <c r="O4316" s="2">
        <v>84</v>
      </c>
      <c r="P4316" s="8">
        <f t="shared" si="337"/>
        <v>9494</v>
      </c>
      <c r="Q4316" s="8">
        <f t="shared" si="338"/>
        <v>7618</v>
      </c>
      <c r="R4316" s="2" t="s">
        <v>28</v>
      </c>
      <c r="S4316" s="9">
        <f t="shared" si="339"/>
        <v>474.70000000000005</v>
      </c>
    </row>
    <row r="4317" spans="1:19" x14ac:dyDescent="0.3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str">
        <f>IFERROR(VLOOKUP('Customer Info'!A4309,'Customer Info'!A4309:C4808,2,FALSE),"Not Found")</f>
        <v>Not Found</v>
      </c>
      <c r="H4317" s="6" t="str">
        <f>IFERROR(VLOOKUP('Customer Info'!A4309,'Customer Info'!A4309:C4808,3,FALSE),"Not Found")</f>
        <v>Not Found</v>
      </c>
      <c r="I4317" s="6" t="str">
        <f>IFERROR(VLOOKUP('Customer Info'!A4309,'Customer Info'!A4309:E4808,5,FALSE),"Not Found")</f>
        <v>Not Found</v>
      </c>
      <c r="J4317" s="2">
        <v>658</v>
      </c>
      <c r="K4317" s="2">
        <v>615</v>
      </c>
      <c r="L4317" s="2">
        <v>2</v>
      </c>
      <c r="M4317" s="7">
        <f t="shared" si="335"/>
        <v>1230</v>
      </c>
      <c r="N4317" s="7">
        <f t="shared" si="336"/>
        <v>1316</v>
      </c>
      <c r="O4317" s="2">
        <v>68</v>
      </c>
      <c r="P4317" s="8">
        <f t="shared" si="337"/>
        <v>1384</v>
      </c>
      <c r="Q4317" s="8">
        <f t="shared" si="338"/>
        <v>701</v>
      </c>
      <c r="R4317" s="2" t="s">
        <v>50</v>
      </c>
      <c r="S4317" s="9">
        <f t="shared" si="339"/>
        <v>27.68</v>
      </c>
    </row>
    <row r="4318" spans="1:19" x14ac:dyDescent="0.3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str">
        <f>IFERROR(VLOOKUP('Customer Info'!A4310,'Customer Info'!A4310:C4809,2,FALSE),"Not Found")</f>
        <v>Not Found</v>
      </c>
      <c r="H4318" s="6" t="str">
        <f>IFERROR(VLOOKUP('Customer Info'!A4310,'Customer Info'!A4310:C4809,3,FALSE),"Not Found")</f>
        <v>Not Found</v>
      </c>
      <c r="I4318" s="6" t="str">
        <f>IFERROR(VLOOKUP('Customer Info'!A4310,'Customer Info'!A4310:E4809,5,FALSE),"Not Found")</f>
        <v>Not Found</v>
      </c>
      <c r="J4318" s="2">
        <v>7922</v>
      </c>
      <c r="K4318" s="2">
        <v>7328</v>
      </c>
      <c r="L4318" s="2">
        <v>1</v>
      </c>
      <c r="M4318" s="7">
        <f t="shared" si="335"/>
        <v>7328</v>
      </c>
      <c r="N4318" s="7">
        <f t="shared" si="336"/>
        <v>7922</v>
      </c>
      <c r="O4318" s="2">
        <v>100</v>
      </c>
      <c r="P4318" s="8">
        <f t="shared" si="337"/>
        <v>8022</v>
      </c>
      <c r="Q4318" s="8">
        <f t="shared" si="338"/>
        <v>594</v>
      </c>
      <c r="R4318" s="2" t="s">
        <v>28</v>
      </c>
      <c r="S4318" s="9">
        <f t="shared" si="339"/>
        <v>401.1</v>
      </c>
    </row>
    <row r="4319" spans="1:19" x14ac:dyDescent="0.3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str">
        <f>IFERROR(VLOOKUP('Customer Info'!A4311,'Customer Info'!A4311:C4810,2,FALSE),"Not Found")</f>
        <v>Not Found</v>
      </c>
      <c r="H4319" s="6" t="str">
        <f>IFERROR(VLOOKUP('Customer Info'!A4311,'Customer Info'!A4311:C4810,3,FALSE),"Not Found")</f>
        <v>Not Found</v>
      </c>
      <c r="I4319" s="6" t="str">
        <f>IFERROR(VLOOKUP('Customer Info'!A4311,'Customer Info'!A4311:E4810,5,FALSE),"Not Found")</f>
        <v>Not Found</v>
      </c>
      <c r="J4319" s="2">
        <v>456</v>
      </c>
      <c r="K4319" s="2">
        <v>430</v>
      </c>
      <c r="L4319" s="2">
        <v>3</v>
      </c>
      <c r="M4319" s="7">
        <f t="shared" si="335"/>
        <v>1290</v>
      </c>
      <c r="N4319" s="7">
        <f t="shared" si="336"/>
        <v>1368</v>
      </c>
      <c r="O4319" s="2">
        <v>82</v>
      </c>
      <c r="P4319" s="8">
        <f t="shared" si="337"/>
        <v>1450</v>
      </c>
      <c r="Q4319" s="8">
        <f t="shared" si="338"/>
        <v>938</v>
      </c>
      <c r="R4319" s="2" t="s">
        <v>28</v>
      </c>
      <c r="S4319" s="9">
        <f t="shared" si="339"/>
        <v>29</v>
      </c>
    </row>
    <row r="4320" spans="1:19" x14ac:dyDescent="0.3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str">
        <f>IFERROR(VLOOKUP('Customer Info'!A4312,'Customer Info'!A4312:C4811,2,FALSE),"Not Found")</f>
        <v>Not Found</v>
      </c>
      <c r="H4320" s="6" t="str">
        <f>IFERROR(VLOOKUP('Customer Info'!A4312,'Customer Info'!A4312:C4811,3,FALSE),"Not Found")</f>
        <v>Not Found</v>
      </c>
      <c r="I4320" s="6" t="str">
        <f>IFERROR(VLOOKUP('Customer Info'!A4312,'Customer Info'!A4312:E4811,5,FALSE),"Not Found")</f>
        <v>Not Found</v>
      </c>
      <c r="J4320" s="2">
        <v>141</v>
      </c>
      <c r="K4320" s="2">
        <v>131</v>
      </c>
      <c r="L4320" s="2">
        <v>4</v>
      </c>
      <c r="M4320" s="7">
        <f t="shared" si="335"/>
        <v>524</v>
      </c>
      <c r="N4320" s="7">
        <f t="shared" si="336"/>
        <v>564</v>
      </c>
      <c r="O4320" s="2">
        <v>30</v>
      </c>
      <c r="P4320" s="8">
        <f t="shared" si="337"/>
        <v>594</v>
      </c>
      <c r="Q4320" s="8">
        <f t="shared" si="338"/>
        <v>433</v>
      </c>
      <c r="R4320" s="2" t="s">
        <v>28</v>
      </c>
      <c r="S4320" s="9">
        <f t="shared" si="339"/>
        <v>11.88</v>
      </c>
    </row>
    <row r="4321" spans="1:19" x14ac:dyDescent="0.3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str">
        <f>IFERROR(VLOOKUP('Customer Info'!A4313,'Customer Info'!A4313:C4812,2,FALSE),"Not Found")</f>
        <v>Not Found</v>
      </c>
      <c r="H4321" s="6" t="str">
        <f>IFERROR(VLOOKUP('Customer Info'!A4313,'Customer Info'!A4313:C4812,3,FALSE),"Not Found")</f>
        <v>Not Found</v>
      </c>
      <c r="I4321" s="6" t="str">
        <f>IFERROR(VLOOKUP('Customer Info'!A4313,'Customer Info'!A4313:E4812,5,FALSE),"Not Found")</f>
        <v>Not Found</v>
      </c>
      <c r="J4321" s="2">
        <v>222</v>
      </c>
      <c r="K4321" s="2">
        <v>204</v>
      </c>
      <c r="L4321" s="2">
        <v>1</v>
      </c>
      <c r="M4321" s="7">
        <f t="shared" si="335"/>
        <v>204</v>
      </c>
      <c r="N4321" s="7">
        <f t="shared" si="336"/>
        <v>222</v>
      </c>
      <c r="O4321" s="2">
        <v>55</v>
      </c>
      <c r="P4321" s="8">
        <f t="shared" si="337"/>
        <v>277</v>
      </c>
      <c r="Q4321" s="8">
        <f t="shared" si="338"/>
        <v>18</v>
      </c>
      <c r="R4321" s="2" t="s">
        <v>28</v>
      </c>
      <c r="S4321" s="9">
        <f t="shared" si="339"/>
        <v>5.54</v>
      </c>
    </row>
    <row r="4322" spans="1:19" x14ac:dyDescent="0.3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str">
        <f>IFERROR(VLOOKUP('Customer Info'!A4314,'Customer Info'!A4314:C4813,2,FALSE),"Not Found")</f>
        <v>Not Found</v>
      </c>
      <c r="H4322" s="6" t="str">
        <f>IFERROR(VLOOKUP('Customer Info'!A4314,'Customer Info'!A4314:C4813,3,FALSE),"Not Found")</f>
        <v>Not Found</v>
      </c>
      <c r="I4322" s="6" t="str">
        <f>IFERROR(VLOOKUP('Customer Info'!A4314,'Customer Info'!A4314:E4813,5,FALSE),"Not Found")</f>
        <v>Not Found</v>
      </c>
      <c r="J4322" s="2">
        <v>1878</v>
      </c>
      <c r="K4322" s="2">
        <v>1790</v>
      </c>
      <c r="L4322" s="2">
        <v>4</v>
      </c>
      <c r="M4322" s="7">
        <f t="shared" si="335"/>
        <v>7160</v>
      </c>
      <c r="N4322" s="7">
        <f t="shared" si="336"/>
        <v>7512</v>
      </c>
      <c r="O4322" s="2">
        <v>72</v>
      </c>
      <c r="P4322" s="8">
        <f t="shared" si="337"/>
        <v>7584</v>
      </c>
      <c r="Q4322" s="8">
        <f t="shared" si="338"/>
        <v>5722</v>
      </c>
      <c r="R4322" s="2" t="s">
        <v>28</v>
      </c>
      <c r="S4322" s="9">
        <f t="shared" si="339"/>
        <v>379.20000000000005</v>
      </c>
    </row>
    <row r="4323" spans="1:19" x14ac:dyDescent="0.3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str">
        <f>IFERROR(VLOOKUP('Customer Info'!A4315,'Customer Info'!A4315:C4814,2,FALSE),"Not Found")</f>
        <v>Not Found</v>
      </c>
      <c r="H4323" s="6" t="str">
        <f>IFERROR(VLOOKUP('Customer Info'!A4315,'Customer Info'!A4315:C4814,3,FALSE),"Not Found")</f>
        <v>Not Found</v>
      </c>
      <c r="I4323" s="6" t="str">
        <f>IFERROR(VLOOKUP('Customer Info'!A4315,'Customer Info'!A4315:E4814,5,FALSE),"Not Found")</f>
        <v>Not Found</v>
      </c>
      <c r="J4323" s="2">
        <v>1039</v>
      </c>
      <c r="K4323" s="2">
        <v>954</v>
      </c>
      <c r="L4323" s="2">
        <v>6</v>
      </c>
      <c r="M4323" s="7">
        <f t="shared" si="335"/>
        <v>5724</v>
      </c>
      <c r="N4323" s="7">
        <f t="shared" si="336"/>
        <v>6234</v>
      </c>
      <c r="O4323" s="2">
        <v>52</v>
      </c>
      <c r="P4323" s="8">
        <f t="shared" si="337"/>
        <v>6286</v>
      </c>
      <c r="Q4323" s="8">
        <f t="shared" si="338"/>
        <v>5280</v>
      </c>
      <c r="R4323" s="2" t="s">
        <v>28</v>
      </c>
      <c r="S4323" s="9">
        <f t="shared" si="339"/>
        <v>314.3</v>
      </c>
    </row>
    <row r="4324" spans="1:19" x14ac:dyDescent="0.3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str">
        <f>IFERROR(VLOOKUP('Customer Info'!A4316,'Customer Info'!A4316:C4815,2,FALSE),"Not Found")</f>
        <v>Not Found</v>
      </c>
      <c r="H4324" s="6" t="str">
        <f>IFERROR(VLOOKUP('Customer Info'!A4316,'Customer Info'!A4316:C4815,3,FALSE),"Not Found")</f>
        <v>Not Found</v>
      </c>
      <c r="I4324" s="6" t="str">
        <f>IFERROR(VLOOKUP('Customer Info'!A4316,'Customer Info'!A4316:E4815,5,FALSE),"Not Found")</f>
        <v>Not Found</v>
      </c>
      <c r="J4324" s="2">
        <v>2222</v>
      </c>
      <c r="K4324" s="2">
        <v>2081</v>
      </c>
      <c r="L4324" s="2">
        <v>2</v>
      </c>
      <c r="M4324" s="7">
        <f t="shared" si="335"/>
        <v>4162</v>
      </c>
      <c r="N4324" s="7">
        <f t="shared" si="336"/>
        <v>4444</v>
      </c>
      <c r="O4324" s="2">
        <v>69</v>
      </c>
      <c r="P4324" s="8">
        <f t="shared" si="337"/>
        <v>4513</v>
      </c>
      <c r="Q4324" s="8">
        <f t="shared" si="338"/>
        <v>2363</v>
      </c>
      <c r="R4324" s="2" t="s">
        <v>28</v>
      </c>
      <c r="S4324" s="9">
        <f t="shared" si="339"/>
        <v>90.26</v>
      </c>
    </row>
    <row r="4325" spans="1:19" x14ac:dyDescent="0.3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str">
        <f>IFERROR(VLOOKUP('Customer Info'!A4317,'Customer Info'!A4317:C4816,2,FALSE),"Not Found")</f>
        <v>Not Found</v>
      </c>
      <c r="H4325" s="6" t="str">
        <f>IFERROR(VLOOKUP('Customer Info'!A4317,'Customer Info'!A4317:C4816,3,FALSE),"Not Found")</f>
        <v>Not Found</v>
      </c>
      <c r="I4325" s="6" t="str">
        <f>IFERROR(VLOOKUP('Customer Info'!A4317,'Customer Info'!A4317:E4816,5,FALSE),"Not Found")</f>
        <v>Not Found</v>
      </c>
      <c r="J4325" s="2">
        <v>4443</v>
      </c>
      <c r="K4325" s="2">
        <v>4079</v>
      </c>
      <c r="L4325" s="2">
        <v>2</v>
      </c>
      <c r="M4325" s="7">
        <f t="shared" si="335"/>
        <v>8158</v>
      </c>
      <c r="N4325" s="7">
        <f t="shared" si="336"/>
        <v>8886</v>
      </c>
      <c r="O4325" s="2">
        <v>76</v>
      </c>
      <c r="P4325" s="8">
        <f t="shared" si="337"/>
        <v>8962</v>
      </c>
      <c r="Q4325" s="8">
        <f t="shared" si="338"/>
        <v>4807</v>
      </c>
      <c r="R4325" s="2" t="s">
        <v>28</v>
      </c>
      <c r="S4325" s="9">
        <f t="shared" si="339"/>
        <v>448.1</v>
      </c>
    </row>
    <row r="4326" spans="1:19" x14ac:dyDescent="0.3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str">
        <f>IFERROR(VLOOKUP('Customer Info'!A4318,'Customer Info'!A4318:C4817,2,FALSE),"Not Found")</f>
        <v>Not Found</v>
      </c>
      <c r="H4326" s="6" t="str">
        <f>IFERROR(VLOOKUP('Customer Info'!A4318,'Customer Info'!A4318:C4817,3,FALSE),"Not Found")</f>
        <v>Not Found</v>
      </c>
      <c r="I4326" s="6" t="str">
        <f>IFERROR(VLOOKUP('Customer Info'!A4318,'Customer Info'!A4318:E4817,5,FALSE),"Not Found")</f>
        <v>Not Found</v>
      </c>
      <c r="J4326" s="2">
        <v>445</v>
      </c>
      <c r="K4326" s="2">
        <v>415</v>
      </c>
      <c r="L4326" s="2">
        <v>4</v>
      </c>
      <c r="M4326" s="7">
        <f t="shared" si="335"/>
        <v>1660</v>
      </c>
      <c r="N4326" s="7">
        <f t="shared" si="336"/>
        <v>1780</v>
      </c>
      <c r="O4326" s="2">
        <v>48</v>
      </c>
      <c r="P4326" s="8">
        <f t="shared" si="337"/>
        <v>1828</v>
      </c>
      <c r="Q4326" s="8">
        <f t="shared" si="338"/>
        <v>1365</v>
      </c>
      <c r="R4326" s="2" t="s">
        <v>26</v>
      </c>
      <c r="S4326" s="9">
        <f t="shared" si="339"/>
        <v>36.56</v>
      </c>
    </row>
    <row r="4327" spans="1:19" x14ac:dyDescent="0.3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str">
        <f>IFERROR(VLOOKUP('Customer Info'!A4319,'Customer Info'!A4319:C4818,2,FALSE),"Not Found")</f>
        <v>Not Found</v>
      </c>
      <c r="H4327" s="6" t="str">
        <f>IFERROR(VLOOKUP('Customer Info'!A4319,'Customer Info'!A4319:C4818,3,FALSE),"Not Found")</f>
        <v>Not Found</v>
      </c>
      <c r="I4327" s="6" t="str">
        <f>IFERROR(VLOOKUP('Customer Info'!A4319,'Customer Info'!A4319:E4818,5,FALSE),"Not Found")</f>
        <v>Not Found</v>
      </c>
      <c r="J4327" s="2">
        <v>4904</v>
      </c>
      <c r="K4327" s="2">
        <v>4499</v>
      </c>
      <c r="L4327" s="2">
        <v>2</v>
      </c>
      <c r="M4327" s="7">
        <f t="shared" si="335"/>
        <v>8998</v>
      </c>
      <c r="N4327" s="7">
        <f t="shared" si="336"/>
        <v>9808</v>
      </c>
      <c r="O4327" s="2">
        <v>74</v>
      </c>
      <c r="P4327" s="8">
        <f t="shared" si="337"/>
        <v>9882</v>
      </c>
      <c r="Q4327" s="8">
        <f t="shared" si="338"/>
        <v>5309</v>
      </c>
      <c r="R4327" s="2" t="s">
        <v>50</v>
      </c>
      <c r="S4327" s="9">
        <f t="shared" si="339"/>
        <v>494.1</v>
      </c>
    </row>
    <row r="4328" spans="1:19" x14ac:dyDescent="0.3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str">
        <f>IFERROR(VLOOKUP('Customer Info'!A4320,'Customer Info'!A4320:C4819,2,FALSE),"Not Found")</f>
        <v>Not Found</v>
      </c>
      <c r="H4328" s="6" t="str">
        <f>IFERROR(VLOOKUP('Customer Info'!A4320,'Customer Info'!A4320:C4819,3,FALSE),"Not Found")</f>
        <v>Not Found</v>
      </c>
      <c r="I4328" s="6" t="str">
        <f>IFERROR(VLOOKUP('Customer Info'!A4320,'Customer Info'!A4320:E4819,5,FALSE),"Not Found")</f>
        <v>Not Found</v>
      </c>
      <c r="J4328" s="2">
        <v>1721</v>
      </c>
      <c r="K4328" s="2">
        <v>1640</v>
      </c>
      <c r="L4328" s="2">
        <v>3</v>
      </c>
      <c r="M4328" s="7">
        <f t="shared" si="335"/>
        <v>4920</v>
      </c>
      <c r="N4328" s="7">
        <f t="shared" si="336"/>
        <v>5163</v>
      </c>
      <c r="O4328" s="2">
        <v>81</v>
      </c>
      <c r="P4328" s="8">
        <f t="shared" si="337"/>
        <v>5244</v>
      </c>
      <c r="Q4328" s="8">
        <f t="shared" si="338"/>
        <v>3523</v>
      </c>
      <c r="R4328" s="2" t="s">
        <v>28</v>
      </c>
      <c r="S4328" s="9">
        <f t="shared" si="339"/>
        <v>262.2</v>
      </c>
    </row>
    <row r="4329" spans="1:19" x14ac:dyDescent="0.3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str">
        <f>IFERROR(VLOOKUP('Customer Info'!A4321,'Customer Info'!A4321:C4820,2,FALSE),"Not Found")</f>
        <v>Not Found</v>
      </c>
      <c r="H4329" s="6" t="str">
        <f>IFERROR(VLOOKUP('Customer Info'!A4321,'Customer Info'!A4321:C4820,3,FALSE),"Not Found")</f>
        <v>Not Found</v>
      </c>
      <c r="I4329" s="6" t="str">
        <f>IFERROR(VLOOKUP('Customer Info'!A4321,'Customer Info'!A4321:E4820,5,FALSE),"Not Found")</f>
        <v>Not Found</v>
      </c>
      <c r="J4329" s="2">
        <v>825</v>
      </c>
      <c r="K4329" s="2">
        <v>793</v>
      </c>
      <c r="L4329" s="2">
        <v>4</v>
      </c>
      <c r="M4329" s="7">
        <f t="shared" si="335"/>
        <v>3172</v>
      </c>
      <c r="N4329" s="7">
        <f t="shared" si="336"/>
        <v>3300</v>
      </c>
      <c r="O4329" s="2">
        <v>45</v>
      </c>
      <c r="P4329" s="8">
        <f t="shared" si="337"/>
        <v>3345</v>
      </c>
      <c r="Q4329" s="8">
        <f t="shared" si="338"/>
        <v>2507</v>
      </c>
      <c r="R4329" s="2" t="s">
        <v>28</v>
      </c>
      <c r="S4329" s="9">
        <f t="shared" si="339"/>
        <v>66.900000000000006</v>
      </c>
    </row>
    <row r="4330" spans="1:19" x14ac:dyDescent="0.3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str">
        <f>IFERROR(VLOOKUP('Customer Info'!A4322,'Customer Info'!A4322:C4821,2,FALSE),"Not Found")</f>
        <v>Not Found</v>
      </c>
      <c r="H4330" s="6" t="str">
        <f>IFERROR(VLOOKUP('Customer Info'!A4322,'Customer Info'!A4322:C4821,3,FALSE),"Not Found")</f>
        <v>Not Found</v>
      </c>
      <c r="I4330" s="6" t="str">
        <f>IFERROR(VLOOKUP('Customer Info'!A4322,'Customer Info'!A4322:E4821,5,FALSE),"Not Found")</f>
        <v>Not Found</v>
      </c>
      <c r="J4330" s="2">
        <v>56</v>
      </c>
      <c r="K4330" s="2">
        <v>54</v>
      </c>
      <c r="L4330" s="2">
        <v>1</v>
      </c>
      <c r="M4330" s="7">
        <f t="shared" si="335"/>
        <v>54</v>
      </c>
      <c r="N4330" s="7">
        <f t="shared" si="336"/>
        <v>56</v>
      </c>
      <c r="O4330" s="2">
        <v>10</v>
      </c>
      <c r="P4330" s="8">
        <f t="shared" si="337"/>
        <v>66</v>
      </c>
      <c r="Q4330" s="8">
        <f t="shared" si="338"/>
        <v>2</v>
      </c>
      <c r="R4330" s="2" t="s">
        <v>26</v>
      </c>
      <c r="S4330" s="9">
        <f t="shared" si="339"/>
        <v>1.32</v>
      </c>
    </row>
    <row r="4331" spans="1:19" x14ac:dyDescent="0.3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str">
        <f>IFERROR(VLOOKUP('Customer Info'!A4323,'Customer Info'!A4323:C4822,2,FALSE),"Not Found")</f>
        <v>Not Found</v>
      </c>
      <c r="H4331" s="6" t="str">
        <f>IFERROR(VLOOKUP('Customer Info'!A4323,'Customer Info'!A4323:C4822,3,FALSE),"Not Found")</f>
        <v>Not Found</v>
      </c>
      <c r="I4331" s="6" t="str">
        <f>IFERROR(VLOOKUP('Customer Info'!A4323,'Customer Info'!A4323:E4822,5,FALSE),"Not Found")</f>
        <v>Not Found</v>
      </c>
      <c r="J4331" s="2">
        <v>173</v>
      </c>
      <c r="K4331" s="2">
        <v>155</v>
      </c>
      <c r="L4331" s="2">
        <v>2</v>
      </c>
      <c r="M4331" s="7">
        <f t="shared" si="335"/>
        <v>310</v>
      </c>
      <c r="N4331" s="7">
        <f t="shared" si="336"/>
        <v>346</v>
      </c>
      <c r="O4331" s="2">
        <v>30</v>
      </c>
      <c r="P4331" s="8">
        <f t="shared" si="337"/>
        <v>376</v>
      </c>
      <c r="Q4331" s="8">
        <f t="shared" si="338"/>
        <v>191</v>
      </c>
      <c r="R4331" s="2" t="s">
        <v>56</v>
      </c>
      <c r="S4331" s="9">
        <f t="shared" si="339"/>
        <v>7.5200000000000005</v>
      </c>
    </row>
    <row r="4332" spans="1:19" x14ac:dyDescent="0.3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str">
        <f>IFERROR(VLOOKUP('Customer Info'!A4324,'Customer Info'!A4324:C4823,2,FALSE),"Not Found")</f>
        <v>Not Found</v>
      </c>
      <c r="H4332" s="6" t="str">
        <f>IFERROR(VLOOKUP('Customer Info'!A4324,'Customer Info'!A4324:C4823,3,FALSE),"Not Found")</f>
        <v>Not Found</v>
      </c>
      <c r="I4332" s="6" t="str">
        <f>IFERROR(VLOOKUP('Customer Info'!A4324,'Customer Info'!A4324:E4823,5,FALSE),"Not Found")</f>
        <v>Not Found</v>
      </c>
      <c r="J4332" s="2">
        <v>8738</v>
      </c>
      <c r="K4332" s="2">
        <v>8162</v>
      </c>
      <c r="L4332" s="2">
        <v>1</v>
      </c>
      <c r="M4332" s="7">
        <f t="shared" si="335"/>
        <v>8162</v>
      </c>
      <c r="N4332" s="7">
        <f t="shared" si="336"/>
        <v>8738</v>
      </c>
      <c r="O4332" s="2">
        <v>41</v>
      </c>
      <c r="P4332" s="8">
        <f t="shared" si="337"/>
        <v>8779</v>
      </c>
      <c r="Q4332" s="8">
        <f t="shared" si="338"/>
        <v>576</v>
      </c>
      <c r="R4332" s="2" t="s">
        <v>26</v>
      </c>
      <c r="S4332" s="9">
        <f t="shared" si="339"/>
        <v>438.95000000000005</v>
      </c>
    </row>
    <row r="4333" spans="1:19" x14ac:dyDescent="0.3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str">
        <f>IFERROR(VLOOKUP('Customer Info'!A4325,'Customer Info'!A4325:C4824,2,FALSE),"Not Found")</f>
        <v>Not Found</v>
      </c>
      <c r="H4333" s="6" t="str">
        <f>IFERROR(VLOOKUP('Customer Info'!A4325,'Customer Info'!A4325:C4824,3,FALSE),"Not Found")</f>
        <v>Not Found</v>
      </c>
      <c r="I4333" s="6" t="str">
        <f>IFERROR(VLOOKUP('Customer Info'!A4325,'Customer Info'!A4325:E4824,5,FALSE),"Not Found")</f>
        <v>Not Found</v>
      </c>
      <c r="J4333" s="2">
        <v>671</v>
      </c>
      <c r="K4333" s="2">
        <v>627</v>
      </c>
      <c r="L4333" s="2">
        <v>2</v>
      </c>
      <c r="M4333" s="7">
        <f t="shared" si="335"/>
        <v>1254</v>
      </c>
      <c r="N4333" s="7">
        <f t="shared" si="336"/>
        <v>1342</v>
      </c>
      <c r="O4333" s="2">
        <v>28</v>
      </c>
      <c r="P4333" s="8">
        <f t="shared" si="337"/>
        <v>1370</v>
      </c>
      <c r="Q4333" s="8">
        <f t="shared" si="338"/>
        <v>715</v>
      </c>
      <c r="R4333" s="2" t="s">
        <v>28</v>
      </c>
      <c r="S4333" s="9">
        <f t="shared" si="339"/>
        <v>27.400000000000002</v>
      </c>
    </row>
    <row r="4334" spans="1:19" x14ac:dyDescent="0.3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str">
        <f>IFERROR(VLOOKUP('Customer Info'!A4326,'Customer Info'!A4326:C4825,2,FALSE),"Not Found")</f>
        <v>Not Found</v>
      </c>
      <c r="H4334" s="6" t="str">
        <f>IFERROR(VLOOKUP('Customer Info'!A4326,'Customer Info'!A4326:C4825,3,FALSE),"Not Found")</f>
        <v>Not Found</v>
      </c>
      <c r="I4334" s="6" t="str">
        <f>IFERROR(VLOOKUP('Customer Info'!A4326,'Customer Info'!A4326:E4825,5,FALSE),"Not Found")</f>
        <v>Not Found</v>
      </c>
      <c r="J4334" s="2">
        <v>1017</v>
      </c>
      <c r="K4334" s="2">
        <v>950</v>
      </c>
      <c r="L4334" s="2">
        <v>9</v>
      </c>
      <c r="M4334" s="7">
        <f t="shared" si="335"/>
        <v>8550</v>
      </c>
      <c r="N4334" s="7">
        <f t="shared" si="336"/>
        <v>9153</v>
      </c>
      <c r="O4334" s="2">
        <v>47</v>
      </c>
      <c r="P4334" s="8">
        <f t="shared" si="337"/>
        <v>9200</v>
      </c>
      <c r="Q4334" s="8">
        <f t="shared" si="338"/>
        <v>8203</v>
      </c>
      <c r="R4334" s="2" t="s">
        <v>28</v>
      </c>
      <c r="S4334" s="9">
        <f t="shared" si="339"/>
        <v>460</v>
      </c>
    </row>
    <row r="4335" spans="1:19" x14ac:dyDescent="0.3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str">
        <f>IFERROR(VLOOKUP('Customer Info'!A4327,'Customer Info'!A4327:C4826,2,FALSE),"Not Found")</f>
        <v>Not Found</v>
      </c>
      <c r="H4335" s="6" t="str">
        <f>IFERROR(VLOOKUP('Customer Info'!A4327,'Customer Info'!A4327:C4826,3,FALSE),"Not Found")</f>
        <v>Not Found</v>
      </c>
      <c r="I4335" s="6" t="str">
        <f>IFERROR(VLOOKUP('Customer Info'!A4327,'Customer Info'!A4327:E4826,5,FALSE),"Not Found")</f>
        <v>Not Found</v>
      </c>
      <c r="J4335" s="2">
        <v>2778</v>
      </c>
      <c r="K4335" s="2">
        <v>2573</v>
      </c>
      <c r="L4335" s="2">
        <v>5</v>
      </c>
      <c r="M4335" s="7">
        <f t="shared" si="335"/>
        <v>12865</v>
      </c>
      <c r="N4335" s="7">
        <f t="shared" si="336"/>
        <v>13890</v>
      </c>
      <c r="O4335" s="2">
        <v>59</v>
      </c>
      <c r="P4335" s="8">
        <f t="shared" si="337"/>
        <v>13949</v>
      </c>
      <c r="Q4335" s="8">
        <f t="shared" si="338"/>
        <v>11317</v>
      </c>
      <c r="R4335" s="2" t="s">
        <v>28</v>
      </c>
      <c r="S4335" s="9">
        <f t="shared" si="339"/>
        <v>697.45</v>
      </c>
    </row>
    <row r="4336" spans="1:19" x14ac:dyDescent="0.3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str">
        <f>IFERROR(VLOOKUP('Customer Info'!A4328,'Customer Info'!A4328:C4827,2,FALSE),"Not Found")</f>
        <v>Not Found</v>
      </c>
      <c r="H4336" s="6" t="str">
        <f>IFERROR(VLOOKUP('Customer Info'!A4328,'Customer Info'!A4328:C4827,3,FALSE),"Not Found")</f>
        <v>Not Found</v>
      </c>
      <c r="I4336" s="6" t="str">
        <f>IFERROR(VLOOKUP('Customer Info'!A4328,'Customer Info'!A4328:E4827,5,FALSE),"Not Found")</f>
        <v>Not Found</v>
      </c>
      <c r="J4336" s="2">
        <v>681</v>
      </c>
      <c r="K4336" s="2">
        <v>642</v>
      </c>
      <c r="L4336" s="2">
        <v>4</v>
      </c>
      <c r="M4336" s="7">
        <f t="shared" si="335"/>
        <v>2568</v>
      </c>
      <c r="N4336" s="7">
        <f t="shared" si="336"/>
        <v>2724</v>
      </c>
      <c r="O4336" s="2">
        <v>89</v>
      </c>
      <c r="P4336" s="8">
        <f t="shared" si="337"/>
        <v>2813</v>
      </c>
      <c r="Q4336" s="8">
        <f t="shared" si="338"/>
        <v>2082</v>
      </c>
      <c r="R4336" s="2" t="s">
        <v>28</v>
      </c>
      <c r="S4336" s="9">
        <f t="shared" si="339"/>
        <v>56.26</v>
      </c>
    </row>
    <row r="4337" spans="1:19" x14ac:dyDescent="0.3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str">
        <f>IFERROR(VLOOKUP('Customer Info'!A4329,'Customer Info'!A4329:C4828,2,FALSE),"Not Found")</f>
        <v>Not Found</v>
      </c>
      <c r="H4337" s="6" t="str">
        <f>IFERROR(VLOOKUP('Customer Info'!A4329,'Customer Info'!A4329:C4828,3,FALSE),"Not Found")</f>
        <v>Not Found</v>
      </c>
      <c r="I4337" s="6" t="str">
        <f>IFERROR(VLOOKUP('Customer Info'!A4329,'Customer Info'!A4329:E4828,5,FALSE),"Not Found")</f>
        <v>Not Found</v>
      </c>
      <c r="J4337" s="2">
        <v>729</v>
      </c>
      <c r="K4337" s="2">
        <v>689</v>
      </c>
      <c r="L4337" s="2">
        <v>3</v>
      </c>
      <c r="M4337" s="7">
        <f t="shared" si="335"/>
        <v>2067</v>
      </c>
      <c r="N4337" s="7">
        <f t="shared" si="336"/>
        <v>2187</v>
      </c>
      <c r="O4337" s="2">
        <v>37</v>
      </c>
      <c r="P4337" s="8">
        <f t="shared" si="337"/>
        <v>2224</v>
      </c>
      <c r="Q4337" s="8">
        <f t="shared" si="338"/>
        <v>1498</v>
      </c>
      <c r="R4337" s="2" t="s">
        <v>50</v>
      </c>
      <c r="S4337" s="9">
        <f t="shared" si="339"/>
        <v>44.480000000000004</v>
      </c>
    </row>
    <row r="4338" spans="1:19" x14ac:dyDescent="0.3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str">
        <f>IFERROR(VLOOKUP('Customer Info'!A4330,'Customer Info'!A4330:C4829,2,FALSE),"Not Found")</f>
        <v>Not Found</v>
      </c>
      <c r="H4338" s="6" t="str">
        <f>IFERROR(VLOOKUP('Customer Info'!A4330,'Customer Info'!A4330:C4829,3,FALSE),"Not Found")</f>
        <v>Not Found</v>
      </c>
      <c r="I4338" s="6" t="str">
        <f>IFERROR(VLOOKUP('Customer Info'!A4330,'Customer Info'!A4330:E4829,5,FALSE),"Not Found")</f>
        <v>Not Found</v>
      </c>
      <c r="J4338" s="2">
        <v>3341</v>
      </c>
      <c r="K4338" s="2">
        <v>3152</v>
      </c>
      <c r="L4338" s="2">
        <v>4</v>
      </c>
      <c r="M4338" s="7">
        <f t="shared" si="335"/>
        <v>12608</v>
      </c>
      <c r="N4338" s="7">
        <f t="shared" si="336"/>
        <v>13364</v>
      </c>
      <c r="O4338" s="2">
        <v>20</v>
      </c>
      <c r="P4338" s="8">
        <f t="shared" si="337"/>
        <v>13384</v>
      </c>
      <c r="Q4338" s="8">
        <f t="shared" si="338"/>
        <v>10212</v>
      </c>
      <c r="R4338" s="2" t="s">
        <v>28</v>
      </c>
      <c r="S4338" s="9">
        <f t="shared" si="339"/>
        <v>669.2</v>
      </c>
    </row>
    <row r="4339" spans="1:19" x14ac:dyDescent="0.3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str">
        <f>IFERROR(VLOOKUP('Customer Info'!A4331,'Customer Info'!A4331:C4830,2,FALSE),"Not Found")</f>
        <v>Not Found</v>
      </c>
      <c r="H4339" s="6" t="str">
        <f>IFERROR(VLOOKUP('Customer Info'!A4331,'Customer Info'!A4331:C4830,3,FALSE),"Not Found")</f>
        <v>Not Found</v>
      </c>
      <c r="I4339" s="6" t="str">
        <f>IFERROR(VLOOKUP('Customer Info'!A4331,'Customer Info'!A4331:E4830,5,FALSE),"Not Found")</f>
        <v>Not Found</v>
      </c>
      <c r="J4339" s="2">
        <v>4246</v>
      </c>
      <c r="K4339" s="2">
        <v>3857</v>
      </c>
      <c r="L4339" s="2">
        <v>3</v>
      </c>
      <c r="M4339" s="7">
        <f t="shared" si="335"/>
        <v>11571</v>
      </c>
      <c r="N4339" s="7">
        <f t="shared" si="336"/>
        <v>12738</v>
      </c>
      <c r="O4339" s="2">
        <v>48</v>
      </c>
      <c r="P4339" s="8">
        <f t="shared" si="337"/>
        <v>12786</v>
      </c>
      <c r="Q4339" s="8">
        <f t="shared" si="338"/>
        <v>8881</v>
      </c>
      <c r="R4339" s="2" t="s">
        <v>28</v>
      </c>
      <c r="S4339" s="9">
        <f t="shared" si="339"/>
        <v>639.30000000000007</v>
      </c>
    </row>
    <row r="4340" spans="1:19" x14ac:dyDescent="0.3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str">
        <f>IFERROR(VLOOKUP('Customer Info'!A4332,'Customer Info'!A4332:C4831,2,FALSE),"Not Found")</f>
        <v>Not Found</v>
      </c>
      <c r="H4340" s="6" t="str">
        <f>IFERROR(VLOOKUP('Customer Info'!A4332,'Customer Info'!A4332:C4831,3,FALSE),"Not Found")</f>
        <v>Not Found</v>
      </c>
      <c r="I4340" s="6" t="str">
        <f>IFERROR(VLOOKUP('Customer Info'!A4332,'Customer Info'!A4332:E4831,5,FALSE),"Not Found")</f>
        <v>Not Found</v>
      </c>
      <c r="J4340" s="2">
        <v>222</v>
      </c>
      <c r="K4340" s="2">
        <v>204</v>
      </c>
      <c r="L4340" s="2">
        <v>3</v>
      </c>
      <c r="M4340" s="7">
        <f t="shared" si="335"/>
        <v>612</v>
      </c>
      <c r="N4340" s="7">
        <f t="shared" si="336"/>
        <v>666</v>
      </c>
      <c r="O4340" s="2">
        <v>68</v>
      </c>
      <c r="P4340" s="8">
        <f t="shared" si="337"/>
        <v>734</v>
      </c>
      <c r="Q4340" s="8">
        <f t="shared" si="338"/>
        <v>462</v>
      </c>
      <c r="R4340" s="2" t="s">
        <v>26</v>
      </c>
      <c r="S4340" s="9">
        <f t="shared" si="339"/>
        <v>14.68</v>
      </c>
    </row>
    <row r="4341" spans="1:19" x14ac:dyDescent="0.3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str">
        <f>IFERROR(VLOOKUP('Customer Info'!A4333,'Customer Info'!A4333:C4832,2,FALSE),"Not Found")</f>
        <v>Not Found</v>
      </c>
      <c r="H4341" s="6" t="str">
        <f>IFERROR(VLOOKUP('Customer Info'!A4333,'Customer Info'!A4333:C4832,3,FALSE),"Not Found")</f>
        <v>Not Found</v>
      </c>
      <c r="I4341" s="6" t="str">
        <f>IFERROR(VLOOKUP('Customer Info'!A4333,'Customer Info'!A4333:E4832,5,FALSE),"Not Found")</f>
        <v>Not Found</v>
      </c>
      <c r="J4341" s="2">
        <v>185</v>
      </c>
      <c r="K4341" s="2">
        <v>171</v>
      </c>
      <c r="L4341" s="2">
        <v>2</v>
      </c>
      <c r="M4341" s="7">
        <f t="shared" si="335"/>
        <v>342</v>
      </c>
      <c r="N4341" s="7">
        <f t="shared" si="336"/>
        <v>370</v>
      </c>
      <c r="O4341" s="2">
        <v>30</v>
      </c>
      <c r="P4341" s="8">
        <f t="shared" si="337"/>
        <v>400</v>
      </c>
      <c r="Q4341" s="8">
        <f t="shared" si="338"/>
        <v>199</v>
      </c>
      <c r="R4341" s="2" t="s">
        <v>28</v>
      </c>
      <c r="S4341" s="9">
        <f t="shared" si="339"/>
        <v>8</v>
      </c>
    </row>
    <row r="4342" spans="1:19" x14ac:dyDescent="0.3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str">
        <f>IFERROR(VLOOKUP('Customer Info'!A4334,'Customer Info'!A4334:C4833,2,FALSE),"Not Found")</f>
        <v>Not Found</v>
      </c>
      <c r="H4342" s="6" t="str">
        <f>IFERROR(VLOOKUP('Customer Info'!A4334,'Customer Info'!A4334:C4833,3,FALSE),"Not Found")</f>
        <v>Not Found</v>
      </c>
      <c r="I4342" s="6" t="str">
        <f>IFERROR(VLOOKUP('Customer Info'!A4334,'Customer Info'!A4334:E4833,5,FALSE),"Not Found")</f>
        <v>Not Found</v>
      </c>
      <c r="J4342" s="2">
        <v>954</v>
      </c>
      <c r="K4342" s="2">
        <v>901</v>
      </c>
      <c r="L4342" s="2">
        <v>1</v>
      </c>
      <c r="M4342" s="7">
        <f t="shared" si="335"/>
        <v>901</v>
      </c>
      <c r="N4342" s="7">
        <f t="shared" si="336"/>
        <v>954</v>
      </c>
      <c r="O4342" s="2">
        <v>94</v>
      </c>
      <c r="P4342" s="8">
        <f t="shared" si="337"/>
        <v>1048</v>
      </c>
      <c r="Q4342" s="8">
        <f t="shared" si="338"/>
        <v>53</v>
      </c>
      <c r="R4342" s="2" t="s">
        <v>28</v>
      </c>
      <c r="S4342" s="9">
        <f t="shared" si="339"/>
        <v>20.96</v>
      </c>
    </row>
    <row r="4343" spans="1:19" x14ac:dyDescent="0.3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str">
        <f>IFERROR(VLOOKUP('Customer Info'!A4335,'Customer Info'!A4335:C4834,2,FALSE),"Not Found")</f>
        <v>Not Found</v>
      </c>
      <c r="H4343" s="6" t="str">
        <f>IFERROR(VLOOKUP('Customer Info'!A4335,'Customer Info'!A4335:C4834,3,FALSE),"Not Found")</f>
        <v>Not Found</v>
      </c>
      <c r="I4343" s="6" t="str">
        <f>IFERROR(VLOOKUP('Customer Info'!A4335,'Customer Info'!A4335:E4834,5,FALSE),"Not Found")</f>
        <v>Not Found</v>
      </c>
      <c r="J4343" s="2">
        <v>123</v>
      </c>
      <c r="K4343" s="2">
        <v>115</v>
      </c>
      <c r="L4343" s="2">
        <v>5</v>
      </c>
      <c r="M4343" s="7">
        <f t="shared" si="335"/>
        <v>575</v>
      </c>
      <c r="N4343" s="7">
        <f t="shared" si="336"/>
        <v>615</v>
      </c>
      <c r="O4343" s="2">
        <v>30</v>
      </c>
      <c r="P4343" s="8">
        <f t="shared" si="337"/>
        <v>645</v>
      </c>
      <c r="Q4343" s="8">
        <f t="shared" si="338"/>
        <v>500</v>
      </c>
      <c r="R4343" s="2" t="s">
        <v>28</v>
      </c>
      <c r="S4343" s="9">
        <f t="shared" si="339"/>
        <v>12.9</v>
      </c>
    </row>
    <row r="4344" spans="1:19" x14ac:dyDescent="0.3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str">
        <f>IFERROR(VLOOKUP('Customer Info'!A4336,'Customer Info'!A4336:C4835,2,FALSE),"Not Found")</f>
        <v>Not Found</v>
      </c>
      <c r="H4344" s="6" t="str">
        <f>IFERROR(VLOOKUP('Customer Info'!A4336,'Customer Info'!A4336:C4835,3,FALSE),"Not Found")</f>
        <v>Not Found</v>
      </c>
      <c r="I4344" s="6" t="str">
        <f>IFERROR(VLOOKUP('Customer Info'!A4336,'Customer Info'!A4336:E4835,5,FALSE),"Not Found")</f>
        <v>Not Found</v>
      </c>
      <c r="J4344" s="2">
        <v>458</v>
      </c>
      <c r="K4344" s="2">
        <v>419</v>
      </c>
      <c r="L4344" s="2">
        <v>2</v>
      </c>
      <c r="M4344" s="7">
        <f t="shared" si="335"/>
        <v>838</v>
      </c>
      <c r="N4344" s="7">
        <f t="shared" si="336"/>
        <v>916</v>
      </c>
      <c r="O4344" s="2">
        <v>27</v>
      </c>
      <c r="P4344" s="8">
        <f t="shared" si="337"/>
        <v>943</v>
      </c>
      <c r="Q4344" s="8">
        <f t="shared" si="338"/>
        <v>497</v>
      </c>
      <c r="R4344" s="2" t="s">
        <v>50</v>
      </c>
      <c r="S4344" s="9">
        <f t="shared" si="339"/>
        <v>18.86</v>
      </c>
    </row>
    <row r="4345" spans="1:19" x14ac:dyDescent="0.3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str">
        <f>IFERROR(VLOOKUP('Customer Info'!A4337,'Customer Info'!A4337:C4836,2,FALSE),"Not Found")</f>
        <v>Not Found</v>
      </c>
      <c r="H4345" s="6" t="str">
        <f>IFERROR(VLOOKUP('Customer Info'!A4337,'Customer Info'!A4337:C4836,3,FALSE),"Not Found")</f>
        <v>Not Found</v>
      </c>
      <c r="I4345" s="6" t="str">
        <f>IFERROR(VLOOKUP('Customer Info'!A4337,'Customer Info'!A4337:E4836,5,FALSE),"Not Found")</f>
        <v>Not Found</v>
      </c>
      <c r="J4345" s="2">
        <v>8878</v>
      </c>
      <c r="K4345" s="2">
        <v>7914</v>
      </c>
      <c r="L4345" s="2">
        <v>1</v>
      </c>
      <c r="M4345" s="7">
        <f t="shared" si="335"/>
        <v>7914</v>
      </c>
      <c r="N4345" s="7">
        <f t="shared" si="336"/>
        <v>8878</v>
      </c>
      <c r="O4345" s="2">
        <v>23</v>
      </c>
      <c r="P4345" s="8">
        <f t="shared" si="337"/>
        <v>8901</v>
      </c>
      <c r="Q4345" s="8">
        <f t="shared" si="338"/>
        <v>964</v>
      </c>
      <c r="R4345" s="2" t="s">
        <v>28</v>
      </c>
      <c r="S4345" s="9">
        <f t="shared" si="339"/>
        <v>445.05</v>
      </c>
    </row>
    <row r="4346" spans="1:19" x14ac:dyDescent="0.3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str">
        <f>IFERROR(VLOOKUP('Customer Info'!A4338,'Customer Info'!A4338:C4837,2,FALSE),"Not Found")</f>
        <v>Not Found</v>
      </c>
      <c r="H4346" s="6" t="str">
        <f>IFERROR(VLOOKUP('Customer Info'!A4338,'Customer Info'!A4338:C4837,3,FALSE),"Not Found")</f>
        <v>Not Found</v>
      </c>
      <c r="I4346" s="6" t="str">
        <f>IFERROR(VLOOKUP('Customer Info'!A4338,'Customer Info'!A4338:E4837,5,FALSE),"Not Found")</f>
        <v>Not Found</v>
      </c>
      <c r="J4346" s="2">
        <v>1925</v>
      </c>
      <c r="K4346" s="2">
        <v>1834</v>
      </c>
      <c r="L4346" s="2">
        <v>3</v>
      </c>
      <c r="M4346" s="7">
        <f t="shared" si="335"/>
        <v>5502</v>
      </c>
      <c r="N4346" s="7">
        <f t="shared" si="336"/>
        <v>5775</v>
      </c>
      <c r="O4346" s="2">
        <v>66</v>
      </c>
      <c r="P4346" s="8">
        <f t="shared" si="337"/>
        <v>5841</v>
      </c>
      <c r="Q4346" s="8">
        <f t="shared" si="338"/>
        <v>3941</v>
      </c>
      <c r="R4346" s="2" t="s">
        <v>50</v>
      </c>
      <c r="S4346" s="9">
        <f t="shared" si="339"/>
        <v>292.05</v>
      </c>
    </row>
    <row r="4347" spans="1:19" x14ac:dyDescent="0.3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str">
        <f>IFERROR(VLOOKUP('Customer Info'!A4339,'Customer Info'!A4339:C4838,2,FALSE),"Not Found")</f>
        <v>Not Found</v>
      </c>
      <c r="H4347" s="6" t="str">
        <f>IFERROR(VLOOKUP('Customer Info'!A4339,'Customer Info'!A4339:C4838,3,FALSE),"Not Found")</f>
        <v>Not Found</v>
      </c>
      <c r="I4347" s="6" t="str">
        <f>IFERROR(VLOOKUP('Customer Info'!A4339,'Customer Info'!A4339:E4838,5,FALSE),"Not Found")</f>
        <v>Not Found</v>
      </c>
      <c r="J4347" s="2">
        <v>60</v>
      </c>
      <c r="K4347" s="2">
        <v>56</v>
      </c>
      <c r="L4347" s="2">
        <v>1</v>
      </c>
      <c r="M4347" s="7">
        <f t="shared" si="335"/>
        <v>56</v>
      </c>
      <c r="N4347" s="7">
        <f t="shared" si="336"/>
        <v>60</v>
      </c>
      <c r="O4347" s="2">
        <v>10</v>
      </c>
      <c r="P4347" s="8">
        <f t="shared" si="337"/>
        <v>70</v>
      </c>
      <c r="Q4347" s="8">
        <f t="shared" si="338"/>
        <v>4</v>
      </c>
      <c r="R4347" s="2" t="s">
        <v>50</v>
      </c>
      <c r="S4347" s="9">
        <f t="shared" si="339"/>
        <v>1.4000000000000001</v>
      </c>
    </row>
    <row r="4348" spans="1:19" x14ac:dyDescent="0.3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str">
        <f>IFERROR(VLOOKUP('Customer Info'!A4340,'Customer Info'!A4340:C4839,2,FALSE),"Not Found")</f>
        <v>Not Found</v>
      </c>
      <c r="H4348" s="6" t="str">
        <f>IFERROR(VLOOKUP('Customer Info'!A4340,'Customer Info'!A4340:C4839,3,FALSE),"Not Found")</f>
        <v>Not Found</v>
      </c>
      <c r="I4348" s="6" t="str">
        <f>IFERROR(VLOOKUP('Customer Info'!A4340,'Customer Info'!A4340:E4839,5,FALSE),"Not Found")</f>
        <v>Not Found</v>
      </c>
      <c r="J4348" s="2">
        <v>2466</v>
      </c>
      <c r="K4348" s="2">
        <v>2327</v>
      </c>
      <c r="L4348" s="2">
        <v>3</v>
      </c>
      <c r="M4348" s="7">
        <f t="shared" si="335"/>
        <v>6981</v>
      </c>
      <c r="N4348" s="7">
        <f t="shared" si="336"/>
        <v>7398</v>
      </c>
      <c r="O4348" s="2">
        <v>28</v>
      </c>
      <c r="P4348" s="8">
        <f t="shared" si="337"/>
        <v>7426</v>
      </c>
      <c r="Q4348" s="8">
        <f t="shared" si="338"/>
        <v>5071</v>
      </c>
      <c r="R4348" s="2" t="s">
        <v>28</v>
      </c>
      <c r="S4348" s="9">
        <f t="shared" si="339"/>
        <v>371.3</v>
      </c>
    </row>
    <row r="4349" spans="1:19" x14ac:dyDescent="0.3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str">
        <f>IFERROR(VLOOKUP('Customer Info'!A4341,'Customer Info'!A4341:C4840,2,FALSE),"Not Found")</f>
        <v>Not Found</v>
      </c>
      <c r="H4349" s="6" t="str">
        <f>IFERROR(VLOOKUP('Customer Info'!A4341,'Customer Info'!A4341:C4840,3,FALSE),"Not Found")</f>
        <v>Not Found</v>
      </c>
      <c r="I4349" s="6" t="str">
        <f>IFERROR(VLOOKUP('Customer Info'!A4341,'Customer Info'!A4341:E4840,5,FALSE),"Not Found")</f>
        <v>Not Found</v>
      </c>
      <c r="J4349" s="2">
        <v>2177</v>
      </c>
      <c r="K4349" s="2">
        <v>2054</v>
      </c>
      <c r="L4349" s="2">
        <v>3</v>
      </c>
      <c r="M4349" s="7">
        <f t="shared" si="335"/>
        <v>6162</v>
      </c>
      <c r="N4349" s="7">
        <f t="shared" si="336"/>
        <v>6531</v>
      </c>
      <c r="O4349" s="2">
        <v>79</v>
      </c>
      <c r="P4349" s="8">
        <f t="shared" si="337"/>
        <v>6610</v>
      </c>
      <c r="Q4349" s="8">
        <f t="shared" si="338"/>
        <v>4477</v>
      </c>
      <c r="R4349" s="2" t="s">
        <v>28</v>
      </c>
      <c r="S4349" s="9">
        <f t="shared" si="339"/>
        <v>330.5</v>
      </c>
    </row>
    <row r="4350" spans="1:19" x14ac:dyDescent="0.3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str">
        <f>IFERROR(VLOOKUP('Customer Info'!A4342,'Customer Info'!A4342:C4841,2,FALSE),"Not Found")</f>
        <v>Not Found</v>
      </c>
      <c r="H4350" s="6" t="str">
        <f>IFERROR(VLOOKUP('Customer Info'!A4342,'Customer Info'!A4342:C4841,3,FALSE),"Not Found")</f>
        <v>Not Found</v>
      </c>
      <c r="I4350" s="6" t="str">
        <f>IFERROR(VLOOKUP('Customer Info'!A4342,'Customer Info'!A4342:E4841,5,FALSE),"Not Found")</f>
        <v>Not Found</v>
      </c>
      <c r="J4350" s="2">
        <v>171</v>
      </c>
      <c r="K4350" s="2">
        <v>153</v>
      </c>
      <c r="L4350" s="2">
        <v>6</v>
      </c>
      <c r="M4350" s="7">
        <f t="shared" si="335"/>
        <v>918</v>
      </c>
      <c r="N4350" s="7">
        <f t="shared" si="336"/>
        <v>1026</v>
      </c>
      <c r="O4350" s="2">
        <v>30</v>
      </c>
      <c r="P4350" s="8">
        <f t="shared" si="337"/>
        <v>1056</v>
      </c>
      <c r="Q4350" s="8">
        <f t="shared" si="338"/>
        <v>873</v>
      </c>
      <c r="R4350" s="2" t="s">
        <v>28</v>
      </c>
      <c r="S4350" s="9">
        <f t="shared" si="339"/>
        <v>21.12</v>
      </c>
    </row>
    <row r="4351" spans="1:19" x14ac:dyDescent="0.3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str">
        <f>IFERROR(VLOOKUP('Customer Info'!A4343,'Customer Info'!A4343:C4842,2,FALSE),"Not Found")</f>
        <v>Not Found</v>
      </c>
      <c r="H4351" s="6" t="str">
        <f>IFERROR(VLOOKUP('Customer Info'!A4343,'Customer Info'!A4343:C4842,3,FALSE),"Not Found")</f>
        <v>Not Found</v>
      </c>
      <c r="I4351" s="6" t="str">
        <f>IFERROR(VLOOKUP('Customer Info'!A4343,'Customer Info'!A4343:E4842,5,FALSE),"Not Found")</f>
        <v>Not Found</v>
      </c>
      <c r="J4351" s="2">
        <v>896</v>
      </c>
      <c r="K4351" s="2">
        <v>870</v>
      </c>
      <c r="L4351" s="2">
        <v>3</v>
      </c>
      <c r="M4351" s="7">
        <f t="shared" si="335"/>
        <v>2610</v>
      </c>
      <c r="N4351" s="7">
        <f t="shared" si="336"/>
        <v>2688</v>
      </c>
      <c r="O4351" s="2">
        <v>92</v>
      </c>
      <c r="P4351" s="8">
        <f t="shared" si="337"/>
        <v>2780</v>
      </c>
      <c r="Q4351" s="8">
        <f t="shared" si="338"/>
        <v>1818</v>
      </c>
      <c r="R4351" s="2" t="s">
        <v>50</v>
      </c>
      <c r="S4351" s="9">
        <f t="shared" si="339"/>
        <v>55.6</v>
      </c>
    </row>
    <row r="4352" spans="1:19" x14ac:dyDescent="0.3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str">
        <f>IFERROR(VLOOKUP('Customer Info'!A4344,'Customer Info'!A4344:C4843,2,FALSE),"Not Found")</f>
        <v>Not Found</v>
      </c>
      <c r="H4352" s="6" t="str">
        <f>IFERROR(VLOOKUP('Customer Info'!A4344,'Customer Info'!A4344:C4843,3,FALSE),"Not Found")</f>
        <v>Not Found</v>
      </c>
      <c r="I4352" s="6" t="str">
        <f>IFERROR(VLOOKUP('Customer Info'!A4344,'Customer Info'!A4344:E4843,5,FALSE),"Not Found")</f>
        <v>Not Found</v>
      </c>
      <c r="J4352" s="2">
        <v>6027</v>
      </c>
      <c r="K4352" s="2">
        <v>5694</v>
      </c>
      <c r="L4352" s="2">
        <v>1</v>
      </c>
      <c r="M4352" s="7">
        <f t="shared" si="335"/>
        <v>5694</v>
      </c>
      <c r="N4352" s="7">
        <f t="shared" si="336"/>
        <v>6027</v>
      </c>
      <c r="O4352" s="2">
        <v>41</v>
      </c>
      <c r="P4352" s="8">
        <f t="shared" si="337"/>
        <v>6068</v>
      </c>
      <c r="Q4352" s="8">
        <f t="shared" si="338"/>
        <v>333</v>
      </c>
      <c r="R4352" s="2" t="s">
        <v>28</v>
      </c>
      <c r="S4352" s="9">
        <f t="shared" si="339"/>
        <v>303.40000000000003</v>
      </c>
    </row>
    <row r="4353" spans="1:19" x14ac:dyDescent="0.3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str">
        <f>IFERROR(VLOOKUP('Customer Info'!A4345,'Customer Info'!A4345:C4844,2,FALSE),"Not Found")</f>
        <v>Not Found</v>
      </c>
      <c r="H4353" s="6" t="str">
        <f>IFERROR(VLOOKUP('Customer Info'!A4345,'Customer Info'!A4345:C4844,3,FALSE),"Not Found")</f>
        <v>Not Found</v>
      </c>
      <c r="I4353" s="6" t="str">
        <f>IFERROR(VLOOKUP('Customer Info'!A4345,'Customer Info'!A4345:E4844,5,FALSE),"Not Found")</f>
        <v>Not Found</v>
      </c>
      <c r="J4353" s="2">
        <v>1654</v>
      </c>
      <c r="K4353" s="2">
        <v>1577</v>
      </c>
      <c r="L4353" s="2">
        <v>3</v>
      </c>
      <c r="M4353" s="7">
        <f t="shared" si="335"/>
        <v>4731</v>
      </c>
      <c r="N4353" s="7">
        <f t="shared" si="336"/>
        <v>4962</v>
      </c>
      <c r="O4353" s="2">
        <v>37</v>
      </c>
      <c r="P4353" s="8">
        <f t="shared" si="337"/>
        <v>4999</v>
      </c>
      <c r="Q4353" s="8">
        <f t="shared" si="338"/>
        <v>3385</v>
      </c>
      <c r="R4353" s="2" t="s">
        <v>28</v>
      </c>
      <c r="S4353" s="9">
        <f t="shared" si="339"/>
        <v>99.98</v>
      </c>
    </row>
    <row r="4354" spans="1:19" x14ac:dyDescent="0.3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str">
        <f>IFERROR(VLOOKUP('Customer Info'!A4346,'Customer Info'!A4346:C4845,2,FALSE),"Not Found")</f>
        <v>Not Found</v>
      </c>
      <c r="H4354" s="6" t="str">
        <f>IFERROR(VLOOKUP('Customer Info'!A4346,'Customer Info'!A4346:C4845,3,FALSE),"Not Found")</f>
        <v>Not Found</v>
      </c>
      <c r="I4354" s="6" t="str">
        <f>IFERROR(VLOOKUP('Customer Info'!A4346,'Customer Info'!A4346:E4845,5,FALSE),"Not Found")</f>
        <v>Not Found</v>
      </c>
      <c r="J4354" s="2">
        <v>3275</v>
      </c>
      <c r="K4354" s="2">
        <v>3090</v>
      </c>
      <c r="L4354" s="2">
        <v>10</v>
      </c>
      <c r="M4354" s="7">
        <f t="shared" si="335"/>
        <v>30900</v>
      </c>
      <c r="N4354" s="7">
        <f t="shared" si="336"/>
        <v>32750</v>
      </c>
      <c r="O4354" s="2">
        <v>82</v>
      </c>
      <c r="P4354" s="8">
        <f t="shared" si="337"/>
        <v>32832</v>
      </c>
      <c r="Q4354" s="8">
        <f t="shared" si="338"/>
        <v>29660</v>
      </c>
      <c r="R4354" s="2" t="s">
        <v>28</v>
      </c>
      <c r="S4354" s="9">
        <f t="shared" si="339"/>
        <v>2298.2400000000002</v>
      </c>
    </row>
    <row r="4355" spans="1:19" x14ac:dyDescent="0.3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str">
        <f>IFERROR(VLOOKUP('Customer Info'!A4347,'Customer Info'!A4347:C4846,2,FALSE),"Not Found")</f>
        <v>Not Found</v>
      </c>
      <c r="H4355" s="6" t="str">
        <f>IFERROR(VLOOKUP('Customer Info'!A4347,'Customer Info'!A4347:C4846,3,FALSE),"Not Found")</f>
        <v>Not Found</v>
      </c>
      <c r="I4355" s="6" t="str">
        <f>IFERROR(VLOOKUP('Customer Info'!A4347,'Customer Info'!A4347:E4846,5,FALSE),"Not Found")</f>
        <v>Not Found</v>
      </c>
      <c r="J4355" s="2">
        <v>2644</v>
      </c>
      <c r="K4355" s="2">
        <v>2425</v>
      </c>
      <c r="L4355" s="2">
        <v>3</v>
      </c>
      <c r="M4355" s="7">
        <f t="shared" si="335"/>
        <v>7275</v>
      </c>
      <c r="N4355" s="7">
        <f t="shared" si="336"/>
        <v>7932</v>
      </c>
      <c r="O4355" s="2">
        <v>70</v>
      </c>
      <c r="P4355" s="8">
        <f t="shared" si="337"/>
        <v>8002</v>
      </c>
      <c r="Q4355" s="8">
        <f t="shared" si="338"/>
        <v>5507</v>
      </c>
      <c r="R4355" s="2" t="s">
        <v>28</v>
      </c>
      <c r="S4355" s="9">
        <f t="shared" si="339"/>
        <v>400.1</v>
      </c>
    </row>
    <row r="4356" spans="1:19" x14ac:dyDescent="0.3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str">
        <f>IFERROR(VLOOKUP('Customer Info'!A4348,'Customer Info'!A4348:C4847,2,FALSE),"Not Found")</f>
        <v>Not Found</v>
      </c>
      <c r="H4356" s="6" t="str">
        <f>IFERROR(VLOOKUP('Customer Info'!A4348,'Customer Info'!A4348:C4847,3,FALSE),"Not Found")</f>
        <v>Not Found</v>
      </c>
      <c r="I4356" s="6" t="str">
        <f>IFERROR(VLOOKUP('Customer Info'!A4348,'Customer Info'!A4348:E4847,5,FALSE),"Not Found")</f>
        <v>Not Found</v>
      </c>
      <c r="J4356" s="2">
        <v>7315</v>
      </c>
      <c r="K4356" s="2">
        <v>6967</v>
      </c>
      <c r="L4356" s="2">
        <v>2</v>
      </c>
      <c r="M4356" s="7">
        <f t="shared" si="335"/>
        <v>13934</v>
      </c>
      <c r="N4356" s="7">
        <f t="shared" si="336"/>
        <v>14630</v>
      </c>
      <c r="O4356" s="2">
        <v>100</v>
      </c>
      <c r="P4356" s="8">
        <f t="shared" si="337"/>
        <v>14730</v>
      </c>
      <c r="Q4356" s="8">
        <f t="shared" si="338"/>
        <v>7663</v>
      </c>
      <c r="R4356" s="2" t="s">
        <v>26</v>
      </c>
      <c r="S4356" s="9">
        <f t="shared" si="339"/>
        <v>736.5</v>
      </c>
    </row>
    <row r="4357" spans="1:19" x14ac:dyDescent="0.3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str">
        <f>IFERROR(VLOOKUP('Customer Info'!A4349,'Customer Info'!A4349:C4848,2,FALSE),"Not Found")</f>
        <v>Not Found</v>
      </c>
      <c r="H4357" s="6" t="str">
        <f>IFERROR(VLOOKUP('Customer Info'!A4349,'Customer Info'!A4349:C4848,3,FALSE),"Not Found")</f>
        <v>Not Found</v>
      </c>
      <c r="I4357" s="6" t="str">
        <f>IFERROR(VLOOKUP('Customer Info'!A4349,'Customer Info'!A4349:E4848,5,FALSE),"Not Found")</f>
        <v>Not Found</v>
      </c>
      <c r="J4357" s="2">
        <v>5906</v>
      </c>
      <c r="K4357" s="2">
        <v>5266</v>
      </c>
      <c r="L4357" s="2">
        <v>3</v>
      </c>
      <c r="M4357" s="7">
        <f t="shared" si="335"/>
        <v>15798</v>
      </c>
      <c r="N4357" s="7">
        <f t="shared" si="336"/>
        <v>17718</v>
      </c>
      <c r="O4357" s="2">
        <v>93</v>
      </c>
      <c r="P4357" s="8">
        <f t="shared" si="337"/>
        <v>17811</v>
      </c>
      <c r="Q4357" s="8">
        <f t="shared" si="338"/>
        <v>12452</v>
      </c>
      <c r="R4357" s="2" t="s">
        <v>50</v>
      </c>
      <c r="S4357" s="9">
        <f t="shared" si="339"/>
        <v>890.55000000000007</v>
      </c>
    </row>
    <row r="4358" spans="1:19" x14ac:dyDescent="0.3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str">
        <f>IFERROR(VLOOKUP('Customer Info'!A4350,'Customer Info'!A4350:C4849,2,FALSE),"Not Found")</f>
        <v>Not Found</v>
      </c>
      <c r="H4358" s="6" t="str">
        <f>IFERROR(VLOOKUP('Customer Info'!A4350,'Customer Info'!A4350:C4849,3,FALSE),"Not Found")</f>
        <v>Not Found</v>
      </c>
      <c r="I4358" s="6" t="str">
        <f>IFERROR(VLOOKUP('Customer Info'!A4350,'Customer Info'!A4350:E4849,5,FALSE),"Not Found")</f>
        <v>Not Found</v>
      </c>
      <c r="J4358" s="2">
        <v>8026</v>
      </c>
      <c r="K4358" s="2">
        <v>7572</v>
      </c>
      <c r="L4358" s="2">
        <v>2</v>
      </c>
      <c r="M4358" s="7">
        <f t="shared" si="335"/>
        <v>15144</v>
      </c>
      <c r="N4358" s="7">
        <f t="shared" si="336"/>
        <v>16052</v>
      </c>
      <c r="O4358" s="2">
        <v>61</v>
      </c>
      <c r="P4358" s="8">
        <f t="shared" si="337"/>
        <v>16113</v>
      </c>
      <c r="Q4358" s="8">
        <f t="shared" si="338"/>
        <v>8480</v>
      </c>
      <c r="R4358" s="2" t="s">
        <v>50</v>
      </c>
      <c r="S4358" s="9">
        <f t="shared" si="339"/>
        <v>805.65000000000009</v>
      </c>
    </row>
    <row r="4359" spans="1:19" x14ac:dyDescent="0.3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str">
        <f>IFERROR(VLOOKUP('Customer Info'!A4351,'Customer Info'!A4351:C4850,2,FALSE),"Not Found")</f>
        <v>Not Found</v>
      </c>
      <c r="H4359" s="6" t="str">
        <f>IFERROR(VLOOKUP('Customer Info'!A4351,'Customer Info'!A4351:C4850,3,FALSE),"Not Found")</f>
        <v>Not Found</v>
      </c>
      <c r="I4359" s="6" t="str">
        <f>IFERROR(VLOOKUP('Customer Info'!A4351,'Customer Info'!A4351:E4850,5,FALSE),"Not Found")</f>
        <v>Not Found</v>
      </c>
      <c r="J4359" s="2">
        <v>456</v>
      </c>
      <c r="K4359" s="2">
        <v>430</v>
      </c>
      <c r="L4359" s="2">
        <v>3</v>
      </c>
      <c r="M4359" s="7">
        <f t="shared" si="335"/>
        <v>1290</v>
      </c>
      <c r="N4359" s="7">
        <f t="shared" si="336"/>
        <v>1368</v>
      </c>
      <c r="O4359" s="2">
        <v>74</v>
      </c>
      <c r="P4359" s="8">
        <f t="shared" si="337"/>
        <v>1442</v>
      </c>
      <c r="Q4359" s="8">
        <f t="shared" si="338"/>
        <v>938</v>
      </c>
      <c r="R4359" s="2" t="s">
        <v>50</v>
      </c>
      <c r="S4359" s="9">
        <f t="shared" si="339"/>
        <v>28.84</v>
      </c>
    </row>
    <row r="4360" spans="1:19" x14ac:dyDescent="0.3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str">
        <f>IFERROR(VLOOKUP('Customer Info'!A4352,'Customer Info'!A4352:C4851,2,FALSE),"Not Found")</f>
        <v>Not Found</v>
      </c>
      <c r="H4360" s="6" t="str">
        <f>IFERROR(VLOOKUP('Customer Info'!A4352,'Customer Info'!A4352:C4851,3,FALSE),"Not Found")</f>
        <v>Not Found</v>
      </c>
      <c r="I4360" s="6" t="str">
        <f>IFERROR(VLOOKUP('Customer Info'!A4352,'Customer Info'!A4352:E4851,5,FALSE),"Not Found")</f>
        <v>Not Found</v>
      </c>
      <c r="J4360" s="2">
        <v>69</v>
      </c>
      <c r="K4360" s="2">
        <v>63</v>
      </c>
      <c r="L4360" s="2">
        <v>4</v>
      </c>
      <c r="M4360" s="7">
        <f t="shared" si="335"/>
        <v>252</v>
      </c>
      <c r="N4360" s="7">
        <f t="shared" si="336"/>
        <v>276</v>
      </c>
      <c r="O4360" s="2">
        <v>10</v>
      </c>
      <c r="P4360" s="8">
        <f t="shared" si="337"/>
        <v>286</v>
      </c>
      <c r="Q4360" s="8">
        <f t="shared" si="338"/>
        <v>213</v>
      </c>
      <c r="R4360" s="2" t="s">
        <v>28</v>
      </c>
      <c r="S4360" s="9">
        <f t="shared" si="339"/>
        <v>5.72</v>
      </c>
    </row>
    <row r="4361" spans="1:19" x14ac:dyDescent="0.3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str">
        <f>IFERROR(VLOOKUP('Customer Info'!A4353,'Customer Info'!A4353:C4852,2,FALSE),"Not Found")</f>
        <v>Not Found</v>
      </c>
      <c r="H4361" s="6" t="str">
        <f>IFERROR(VLOOKUP('Customer Info'!A4353,'Customer Info'!A4353:C4852,3,FALSE),"Not Found")</f>
        <v>Not Found</v>
      </c>
      <c r="I4361" s="6" t="str">
        <f>IFERROR(VLOOKUP('Customer Info'!A4353,'Customer Info'!A4353:E4852,5,FALSE),"Not Found")</f>
        <v>Not Found</v>
      </c>
      <c r="J4361" s="2">
        <v>3256</v>
      </c>
      <c r="K4361" s="2">
        <v>2959</v>
      </c>
      <c r="L4361" s="2">
        <v>5</v>
      </c>
      <c r="M4361" s="7">
        <f t="shared" si="335"/>
        <v>14795</v>
      </c>
      <c r="N4361" s="7">
        <f t="shared" si="336"/>
        <v>16280</v>
      </c>
      <c r="O4361" s="2">
        <v>82</v>
      </c>
      <c r="P4361" s="8">
        <f t="shared" si="337"/>
        <v>16362</v>
      </c>
      <c r="Q4361" s="8">
        <f t="shared" si="338"/>
        <v>13321</v>
      </c>
      <c r="R4361" s="2" t="s">
        <v>50</v>
      </c>
      <c r="S4361" s="9">
        <f t="shared" si="339"/>
        <v>818.1</v>
      </c>
    </row>
    <row r="4362" spans="1:19" x14ac:dyDescent="0.3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str">
        <f>IFERROR(VLOOKUP('Customer Info'!A4354,'Customer Info'!A4354:C4853,2,FALSE),"Not Found")</f>
        <v>Not Found</v>
      </c>
      <c r="H4362" s="6" t="str">
        <f>IFERROR(VLOOKUP('Customer Info'!A4354,'Customer Info'!A4354:C4853,3,FALSE),"Not Found")</f>
        <v>Not Found</v>
      </c>
      <c r="I4362" s="6" t="str">
        <f>IFERROR(VLOOKUP('Customer Info'!A4354,'Customer Info'!A4354:E4853,5,FALSE),"Not Found")</f>
        <v>Not Found</v>
      </c>
      <c r="J4362" s="2">
        <v>1358</v>
      </c>
      <c r="K4362" s="2">
        <v>1270</v>
      </c>
      <c r="L4362" s="2">
        <v>3</v>
      </c>
      <c r="M4362" s="7">
        <f t="shared" si="335"/>
        <v>3810</v>
      </c>
      <c r="N4362" s="7">
        <f t="shared" si="336"/>
        <v>4074</v>
      </c>
      <c r="O4362" s="2">
        <v>23</v>
      </c>
      <c r="P4362" s="8">
        <f t="shared" si="337"/>
        <v>4097</v>
      </c>
      <c r="Q4362" s="8">
        <f t="shared" si="338"/>
        <v>2804</v>
      </c>
      <c r="R4362" s="2" t="s">
        <v>28</v>
      </c>
      <c r="S4362" s="9">
        <f t="shared" si="339"/>
        <v>81.94</v>
      </c>
    </row>
    <row r="4363" spans="1:19" x14ac:dyDescent="0.3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str">
        <f>IFERROR(VLOOKUP('Customer Info'!A4355,'Customer Info'!A4355:C4854,2,FALSE),"Not Found")</f>
        <v>Not Found</v>
      </c>
      <c r="H4363" s="6" t="str">
        <f>IFERROR(VLOOKUP('Customer Info'!A4355,'Customer Info'!A4355:C4854,3,FALSE),"Not Found")</f>
        <v>Not Found</v>
      </c>
      <c r="I4363" s="6" t="str">
        <f>IFERROR(VLOOKUP('Customer Info'!A4355,'Customer Info'!A4355:E4854,5,FALSE),"Not Found")</f>
        <v>Not Found</v>
      </c>
      <c r="J4363" s="2">
        <v>8967</v>
      </c>
      <c r="K4363" s="2">
        <v>8151</v>
      </c>
      <c r="L4363" s="2">
        <v>2</v>
      </c>
      <c r="M4363" s="7">
        <f t="shared" ref="M4363:M4426" si="340">$K4363*$L4363</f>
        <v>16302</v>
      </c>
      <c r="N4363" s="7">
        <f t="shared" ref="N4363:N4426" si="341">$J4363*$L4363</f>
        <v>17934</v>
      </c>
      <c r="O4363" s="2">
        <v>88</v>
      </c>
      <c r="P4363" s="8">
        <f t="shared" ref="P4363:P4426" si="342">$N4363+$O4363</f>
        <v>18022</v>
      </c>
      <c r="Q4363" s="8">
        <f t="shared" ref="Q4363:Q4426" si="343">$N4363-$K4363</f>
        <v>9783</v>
      </c>
      <c r="R4363" s="2" t="s">
        <v>50</v>
      </c>
      <c r="S4363" s="9">
        <f t="shared" ref="S4363:S4426" si="344" xml:space="preserve"> P4363 * VLOOKUP(P4363, $T$2:$U$6, 2, TRUE)</f>
        <v>901.1</v>
      </c>
    </row>
    <row r="4364" spans="1:19" x14ac:dyDescent="0.3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str">
        <f>IFERROR(VLOOKUP('Customer Info'!A4356,'Customer Info'!A4356:C4855,2,FALSE),"Not Found")</f>
        <v>Not Found</v>
      </c>
      <c r="H4364" s="6" t="str">
        <f>IFERROR(VLOOKUP('Customer Info'!A4356,'Customer Info'!A4356:C4855,3,FALSE),"Not Found")</f>
        <v>Not Found</v>
      </c>
      <c r="I4364" s="6" t="str">
        <f>IFERROR(VLOOKUP('Customer Info'!A4356,'Customer Info'!A4356:E4855,5,FALSE),"Not Found")</f>
        <v>Not Found</v>
      </c>
      <c r="J4364" s="2">
        <v>1246</v>
      </c>
      <c r="K4364" s="2">
        <v>1164</v>
      </c>
      <c r="L4364" s="2">
        <v>1</v>
      </c>
      <c r="M4364" s="7">
        <f t="shared" si="340"/>
        <v>1164</v>
      </c>
      <c r="N4364" s="7">
        <f t="shared" si="341"/>
        <v>1246</v>
      </c>
      <c r="O4364" s="2">
        <v>83</v>
      </c>
      <c r="P4364" s="8">
        <f t="shared" si="342"/>
        <v>1329</v>
      </c>
      <c r="Q4364" s="8">
        <f t="shared" si="343"/>
        <v>82</v>
      </c>
      <c r="R4364" s="2" t="s">
        <v>28</v>
      </c>
      <c r="S4364" s="9">
        <f t="shared" si="344"/>
        <v>26.580000000000002</v>
      </c>
    </row>
    <row r="4365" spans="1:19" x14ac:dyDescent="0.3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str">
        <f>IFERROR(VLOOKUP('Customer Info'!A4357,'Customer Info'!A4357:C4856,2,FALSE),"Not Found")</f>
        <v>Not Found</v>
      </c>
      <c r="H4365" s="6" t="str">
        <f>IFERROR(VLOOKUP('Customer Info'!A4357,'Customer Info'!A4357:C4856,3,FALSE),"Not Found")</f>
        <v>Not Found</v>
      </c>
      <c r="I4365" s="6" t="str">
        <f>IFERROR(VLOOKUP('Customer Info'!A4357,'Customer Info'!A4357:E4856,5,FALSE),"Not Found")</f>
        <v>Not Found</v>
      </c>
      <c r="J4365" s="2">
        <v>896</v>
      </c>
      <c r="K4365" s="2">
        <v>870</v>
      </c>
      <c r="L4365" s="2">
        <v>7</v>
      </c>
      <c r="M4365" s="7">
        <f t="shared" si="340"/>
        <v>6090</v>
      </c>
      <c r="N4365" s="7">
        <f t="shared" si="341"/>
        <v>6272</v>
      </c>
      <c r="O4365" s="2">
        <v>67</v>
      </c>
      <c r="P4365" s="8">
        <f t="shared" si="342"/>
        <v>6339</v>
      </c>
      <c r="Q4365" s="8">
        <f t="shared" si="343"/>
        <v>5402</v>
      </c>
      <c r="R4365" s="2" t="s">
        <v>26</v>
      </c>
      <c r="S4365" s="9">
        <f t="shared" si="344"/>
        <v>316.95000000000005</v>
      </c>
    </row>
    <row r="4366" spans="1:19" x14ac:dyDescent="0.3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str">
        <f>IFERROR(VLOOKUP('Customer Info'!A4358,'Customer Info'!A4358:C4857,2,FALSE),"Not Found")</f>
        <v>Not Found</v>
      </c>
      <c r="H4366" s="6" t="str">
        <f>IFERROR(VLOOKUP('Customer Info'!A4358,'Customer Info'!A4358:C4857,3,FALSE),"Not Found")</f>
        <v>Not Found</v>
      </c>
      <c r="I4366" s="6" t="str">
        <f>IFERROR(VLOOKUP('Customer Info'!A4358,'Customer Info'!A4358:E4857,5,FALSE),"Not Found")</f>
        <v>Not Found</v>
      </c>
      <c r="J4366" s="2">
        <v>77</v>
      </c>
      <c r="K4366" s="2">
        <v>73</v>
      </c>
      <c r="L4366" s="2">
        <v>10</v>
      </c>
      <c r="M4366" s="7">
        <f t="shared" si="340"/>
        <v>730</v>
      </c>
      <c r="N4366" s="7">
        <f t="shared" si="341"/>
        <v>770</v>
      </c>
      <c r="O4366" s="2">
        <v>10</v>
      </c>
      <c r="P4366" s="8">
        <f t="shared" si="342"/>
        <v>780</v>
      </c>
      <c r="Q4366" s="8">
        <f t="shared" si="343"/>
        <v>697</v>
      </c>
      <c r="R4366" s="2" t="s">
        <v>50</v>
      </c>
      <c r="S4366" s="9">
        <f t="shared" si="344"/>
        <v>15.6</v>
      </c>
    </row>
    <row r="4367" spans="1:19" x14ac:dyDescent="0.3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str">
        <f>IFERROR(VLOOKUP('Customer Info'!A4359,'Customer Info'!A4359:C4858,2,FALSE),"Not Found")</f>
        <v>Not Found</v>
      </c>
      <c r="H4367" s="6" t="str">
        <f>IFERROR(VLOOKUP('Customer Info'!A4359,'Customer Info'!A4359:C4858,3,FALSE),"Not Found")</f>
        <v>Not Found</v>
      </c>
      <c r="I4367" s="6" t="str">
        <f>IFERROR(VLOOKUP('Customer Info'!A4359,'Customer Info'!A4359:E4858,5,FALSE),"Not Found")</f>
        <v>Not Found</v>
      </c>
      <c r="J4367" s="2">
        <v>765</v>
      </c>
      <c r="K4367" s="2">
        <v>701</v>
      </c>
      <c r="L4367" s="2">
        <v>1</v>
      </c>
      <c r="M4367" s="7">
        <f t="shared" si="340"/>
        <v>701</v>
      </c>
      <c r="N4367" s="7">
        <f t="shared" si="341"/>
        <v>765</v>
      </c>
      <c r="O4367" s="2">
        <v>44</v>
      </c>
      <c r="P4367" s="8">
        <f t="shared" si="342"/>
        <v>809</v>
      </c>
      <c r="Q4367" s="8">
        <f t="shared" si="343"/>
        <v>64</v>
      </c>
      <c r="R4367" s="2" t="s">
        <v>28</v>
      </c>
      <c r="S4367" s="9">
        <f t="shared" si="344"/>
        <v>16.18</v>
      </c>
    </row>
    <row r="4368" spans="1:19" x14ac:dyDescent="0.3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str">
        <f>IFERROR(VLOOKUP('Customer Info'!A4360,'Customer Info'!A4360:C4859,2,FALSE),"Not Found")</f>
        <v>Not Found</v>
      </c>
      <c r="H4368" s="6" t="str">
        <f>IFERROR(VLOOKUP('Customer Info'!A4360,'Customer Info'!A4360:C4859,3,FALSE),"Not Found")</f>
        <v>Not Found</v>
      </c>
      <c r="I4368" s="6" t="str">
        <f>IFERROR(VLOOKUP('Customer Info'!A4360,'Customer Info'!A4360:E4859,5,FALSE),"Not Found")</f>
        <v>Not Found</v>
      </c>
      <c r="J4368" s="2">
        <v>87</v>
      </c>
      <c r="K4368" s="2">
        <v>80</v>
      </c>
      <c r="L4368" s="2">
        <v>5</v>
      </c>
      <c r="M4368" s="7">
        <f t="shared" si="340"/>
        <v>400</v>
      </c>
      <c r="N4368" s="7">
        <f t="shared" si="341"/>
        <v>435</v>
      </c>
      <c r="O4368" s="2">
        <v>10</v>
      </c>
      <c r="P4368" s="8">
        <f t="shared" si="342"/>
        <v>445</v>
      </c>
      <c r="Q4368" s="8">
        <f t="shared" si="343"/>
        <v>355</v>
      </c>
      <c r="R4368" s="2" t="s">
        <v>28</v>
      </c>
      <c r="S4368" s="9">
        <f t="shared" si="344"/>
        <v>8.9</v>
      </c>
    </row>
    <row r="4369" spans="1:19" x14ac:dyDescent="0.3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str">
        <f>IFERROR(VLOOKUP('Customer Info'!A4361,'Customer Info'!A4361:C4860,2,FALSE),"Not Found")</f>
        <v>Not Found</v>
      </c>
      <c r="H4369" s="6" t="str">
        <f>IFERROR(VLOOKUP('Customer Info'!A4361,'Customer Info'!A4361:C4860,3,FALSE),"Not Found")</f>
        <v>Not Found</v>
      </c>
      <c r="I4369" s="6" t="str">
        <f>IFERROR(VLOOKUP('Customer Info'!A4361,'Customer Info'!A4361:E4860,5,FALSE),"Not Found")</f>
        <v>Not Found</v>
      </c>
      <c r="J4369" s="2">
        <v>645</v>
      </c>
      <c r="K4369" s="2">
        <v>565</v>
      </c>
      <c r="L4369" s="2">
        <v>4</v>
      </c>
      <c r="M4369" s="7">
        <f t="shared" si="340"/>
        <v>2260</v>
      </c>
      <c r="N4369" s="7">
        <f t="shared" si="341"/>
        <v>2580</v>
      </c>
      <c r="O4369" s="2">
        <v>20</v>
      </c>
      <c r="P4369" s="8">
        <f t="shared" si="342"/>
        <v>2600</v>
      </c>
      <c r="Q4369" s="8">
        <f t="shared" si="343"/>
        <v>2015</v>
      </c>
      <c r="R4369" s="2" t="s">
        <v>28</v>
      </c>
      <c r="S4369" s="9">
        <f t="shared" si="344"/>
        <v>52</v>
      </c>
    </row>
    <row r="4370" spans="1:19" x14ac:dyDescent="0.3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str">
        <f>IFERROR(VLOOKUP('Customer Info'!A4362,'Customer Info'!A4362:C4861,2,FALSE),"Not Found")</f>
        <v>Not Found</v>
      </c>
      <c r="H4370" s="6" t="str">
        <f>IFERROR(VLOOKUP('Customer Info'!A4362,'Customer Info'!A4362:C4861,3,FALSE),"Not Found")</f>
        <v>Not Found</v>
      </c>
      <c r="I4370" s="6" t="str">
        <f>IFERROR(VLOOKUP('Customer Info'!A4362,'Customer Info'!A4362:E4861,5,FALSE),"Not Found")</f>
        <v>Not Found</v>
      </c>
      <c r="J4370" s="2">
        <v>8379</v>
      </c>
      <c r="K4370" s="2">
        <v>8061</v>
      </c>
      <c r="L4370" s="2">
        <v>2</v>
      </c>
      <c r="M4370" s="7">
        <f t="shared" si="340"/>
        <v>16122</v>
      </c>
      <c r="N4370" s="7">
        <f t="shared" si="341"/>
        <v>16758</v>
      </c>
      <c r="O4370" s="2">
        <v>82</v>
      </c>
      <c r="P4370" s="8">
        <f t="shared" si="342"/>
        <v>16840</v>
      </c>
      <c r="Q4370" s="8">
        <f t="shared" si="343"/>
        <v>8697</v>
      </c>
      <c r="R4370" s="2" t="s">
        <v>50</v>
      </c>
      <c r="S4370" s="9">
        <f t="shared" si="344"/>
        <v>842</v>
      </c>
    </row>
    <row r="4371" spans="1:19" x14ac:dyDescent="0.3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str">
        <f>IFERROR(VLOOKUP('Customer Info'!A4363,'Customer Info'!A4363:C4862,2,FALSE),"Not Found")</f>
        <v>Not Found</v>
      </c>
      <c r="H4371" s="6" t="str">
        <f>IFERROR(VLOOKUP('Customer Info'!A4363,'Customer Info'!A4363:C4862,3,FALSE),"Not Found")</f>
        <v>Not Found</v>
      </c>
      <c r="I4371" s="6" t="str">
        <f>IFERROR(VLOOKUP('Customer Info'!A4363,'Customer Info'!A4363:E4862,5,FALSE),"Not Found")</f>
        <v>Not Found</v>
      </c>
      <c r="J4371" s="2">
        <v>2250</v>
      </c>
      <c r="K4371" s="2">
        <v>2207</v>
      </c>
      <c r="L4371" s="2">
        <v>6</v>
      </c>
      <c r="M4371" s="7">
        <f t="shared" si="340"/>
        <v>13242</v>
      </c>
      <c r="N4371" s="7">
        <f t="shared" si="341"/>
        <v>13500</v>
      </c>
      <c r="O4371" s="2">
        <v>44</v>
      </c>
      <c r="P4371" s="8">
        <f t="shared" si="342"/>
        <v>13544</v>
      </c>
      <c r="Q4371" s="8">
        <f t="shared" si="343"/>
        <v>11293</v>
      </c>
      <c r="R4371" s="2" t="s">
        <v>50</v>
      </c>
      <c r="S4371" s="9">
        <f t="shared" si="344"/>
        <v>677.2</v>
      </c>
    </row>
    <row r="4372" spans="1:19" x14ac:dyDescent="0.3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str">
        <f>IFERROR(VLOOKUP('Customer Info'!A4364,'Customer Info'!A4364:C4863,2,FALSE),"Not Found")</f>
        <v>Not Found</v>
      </c>
      <c r="H4372" s="6" t="str">
        <f>IFERROR(VLOOKUP('Customer Info'!A4364,'Customer Info'!A4364:C4863,3,FALSE),"Not Found")</f>
        <v>Not Found</v>
      </c>
      <c r="I4372" s="6" t="str">
        <f>IFERROR(VLOOKUP('Customer Info'!A4364,'Customer Info'!A4364:E4863,5,FALSE),"Not Found")</f>
        <v>Not Found</v>
      </c>
      <c r="J4372" s="2">
        <v>8686</v>
      </c>
      <c r="K4372" s="2">
        <v>8035</v>
      </c>
      <c r="L4372" s="2">
        <v>2</v>
      </c>
      <c r="M4372" s="7">
        <f t="shared" si="340"/>
        <v>16070</v>
      </c>
      <c r="N4372" s="7">
        <f t="shared" si="341"/>
        <v>17372</v>
      </c>
      <c r="O4372" s="2">
        <v>99</v>
      </c>
      <c r="P4372" s="8">
        <f t="shared" si="342"/>
        <v>17471</v>
      </c>
      <c r="Q4372" s="8">
        <f t="shared" si="343"/>
        <v>9337</v>
      </c>
      <c r="R4372" s="2" t="s">
        <v>50</v>
      </c>
      <c r="S4372" s="9">
        <f t="shared" si="344"/>
        <v>873.55000000000007</v>
      </c>
    </row>
    <row r="4373" spans="1:19" x14ac:dyDescent="0.3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str">
        <f>IFERROR(VLOOKUP('Customer Info'!A4365,'Customer Info'!A4365:C4864,2,FALSE),"Not Found")</f>
        <v>Not Found</v>
      </c>
      <c r="H4373" s="6" t="str">
        <f>IFERROR(VLOOKUP('Customer Info'!A4365,'Customer Info'!A4365:C4864,3,FALSE),"Not Found")</f>
        <v>Not Found</v>
      </c>
      <c r="I4373" s="6" t="str">
        <f>IFERROR(VLOOKUP('Customer Info'!A4365,'Customer Info'!A4365:E4864,5,FALSE),"Not Found")</f>
        <v>Not Found</v>
      </c>
      <c r="J4373" s="2">
        <v>2007</v>
      </c>
      <c r="K4373" s="2">
        <v>1839</v>
      </c>
      <c r="L4373" s="2">
        <v>9</v>
      </c>
      <c r="M4373" s="7">
        <f t="shared" si="340"/>
        <v>16551</v>
      </c>
      <c r="N4373" s="7">
        <f t="shared" si="341"/>
        <v>18063</v>
      </c>
      <c r="O4373" s="2">
        <v>63</v>
      </c>
      <c r="P4373" s="8">
        <f t="shared" si="342"/>
        <v>18126</v>
      </c>
      <c r="Q4373" s="8">
        <f t="shared" si="343"/>
        <v>16224</v>
      </c>
      <c r="R4373" s="2" t="s">
        <v>50</v>
      </c>
      <c r="S4373" s="9">
        <f t="shared" si="344"/>
        <v>906.30000000000007</v>
      </c>
    </row>
    <row r="4374" spans="1:19" x14ac:dyDescent="0.3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str">
        <f>IFERROR(VLOOKUP('Customer Info'!A4366,'Customer Info'!A4366:C4865,2,FALSE),"Not Found")</f>
        <v>Not Found</v>
      </c>
      <c r="H4374" s="6" t="str">
        <f>IFERROR(VLOOKUP('Customer Info'!A4366,'Customer Info'!A4366:C4865,3,FALSE),"Not Found")</f>
        <v>Not Found</v>
      </c>
      <c r="I4374" s="6" t="str">
        <f>IFERROR(VLOOKUP('Customer Info'!A4366,'Customer Info'!A4366:E4865,5,FALSE),"Not Found")</f>
        <v>Not Found</v>
      </c>
      <c r="J4374" s="2">
        <v>658</v>
      </c>
      <c r="K4374" s="2">
        <v>615</v>
      </c>
      <c r="L4374" s="2">
        <v>4</v>
      </c>
      <c r="M4374" s="7">
        <f t="shared" si="340"/>
        <v>2460</v>
      </c>
      <c r="N4374" s="7">
        <f t="shared" si="341"/>
        <v>2632</v>
      </c>
      <c r="O4374" s="2">
        <v>66</v>
      </c>
      <c r="P4374" s="8">
        <f t="shared" si="342"/>
        <v>2698</v>
      </c>
      <c r="Q4374" s="8">
        <f t="shared" si="343"/>
        <v>2017</v>
      </c>
      <c r="R4374" s="2" t="s">
        <v>28</v>
      </c>
      <c r="S4374" s="9">
        <f t="shared" si="344"/>
        <v>53.96</v>
      </c>
    </row>
    <row r="4375" spans="1:19" x14ac:dyDescent="0.3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str">
        <f>IFERROR(VLOOKUP('Customer Info'!A4367,'Customer Info'!A4367:C4866,2,FALSE),"Not Found")</f>
        <v>Not Found</v>
      </c>
      <c r="H4375" s="6" t="str">
        <f>IFERROR(VLOOKUP('Customer Info'!A4367,'Customer Info'!A4367:C4866,3,FALSE),"Not Found")</f>
        <v>Not Found</v>
      </c>
      <c r="I4375" s="6" t="str">
        <f>IFERROR(VLOOKUP('Customer Info'!A4367,'Customer Info'!A4367:E4866,5,FALSE),"Not Found")</f>
        <v>Not Found</v>
      </c>
      <c r="J4375" s="2">
        <v>87</v>
      </c>
      <c r="K4375" s="2">
        <v>80</v>
      </c>
      <c r="L4375" s="2">
        <v>2</v>
      </c>
      <c r="M4375" s="7">
        <f t="shared" si="340"/>
        <v>160</v>
      </c>
      <c r="N4375" s="7">
        <f t="shared" si="341"/>
        <v>174</v>
      </c>
      <c r="O4375" s="2">
        <v>10</v>
      </c>
      <c r="P4375" s="8">
        <f t="shared" si="342"/>
        <v>184</v>
      </c>
      <c r="Q4375" s="8">
        <f t="shared" si="343"/>
        <v>94</v>
      </c>
      <c r="R4375" s="2" t="s">
        <v>28</v>
      </c>
      <c r="S4375" s="9">
        <f t="shared" si="344"/>
        <v>3.68</v>
      </c>
    </row>
    <row r="4376" spans="1:19" x14ac:dyDescent="0.3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str">
        <f>IFERROR(VLOOKUP('Customer Info'!A4368,'Customer Info'!A4368:C4867,2,FALSE),"Not Found")</f>
        <v>Not Found</v>
      </c>
      <c r="H4376" s="6" t="str">
        <f>IFERROR(VLOOKUP('Customer Info'!A4368,'Customer Info'!A4368:C4867,3,FALSE),"Not Found")</f>
        <v>Not Found</v>
      </c>
      <c r="I4376" s="6" t="str">
        <f>IFERROR(VLOOKUP('Customer Info'!A4368,'Customer Info'!A4368:E4867,5,FALSE),"Not Found")</f>
        <v>Not Found</v>
      </c>
      <c r="J4376" s="2">
        <v>8199</v>
      </c>
      <c r="K4376" s="2">
        <v>7523</v>
      </c>
      <c r="L4376" s="2">
        <v>4</v>
      </c>
      <c r="M4376" s="7">
        <f t="shared" si="340"/>
        <v>30092</v>
      </c>
      <c r="N4376" s="7">
        <f t="shared" si="341"/>
        <v>32796</v>
      </c>
      <c r="O4376" s="2">
        <v>65</v>
      </c>
      <c r="P4376" s="8">
        <f t="shared" si="342"/>
        <v>32861</v>
      </c>
      <c r="Q4376" s="8">
        <f t="shared" si="343"/>
        <v>25273</v>
      </c>
      <c r="R4376" s="2" t="s">
        <v>28</v>
      </c>
      <c r="S4376" s="9">
        <f t="shared" si="344"/>
        <v>2300.2700000000004</v>
      </c>
    </row>
    <row r="4377" spans="1:19" x14ac:dyDescent="0.3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str">
        <f>IFERROR(VLOOKUP('Customer Info'!A4369,'Customer Info'!A4369:C4868,2,FALSE),"Not Found")</f>
        <v>Not Found</v>
      </c>
      <c r="H4377" s="6" t="str">
        <f>IFERROR(VLOOKUP('Customer Info'!A4369,'Customer Info'!A4369:C4868,3,FALSE),"Not Found")</f>
        <v>Not Found</v>
      </c>
      <c r="I4377" s="6" t="str">
        <f>IFERROR(VLOOKUP('Customer Info'!A4369,'Customer Info'!A4369:E4868,5,FALSE),"Not Found")</f>
        <v>Not Found</v>
      </c>
      <c r="J4377" s="2">
        <v>214</v>
      </c>
      <c r="K4377" s="2">
        <v>199</v>
      </c>
      <c r="L4377" s="2">
        <v>2</v>
      </c>
      <c r="M4377" s="7">
        <f t="shared" si="340"/>
        <v>398</v>
      </c>
      <c r="N4377" s="7">
        <f t="shared" si="341"/>
        <v>428</v>
      </c>
      <c r="O4377" s="2">
        <v>25</v>
      </c>
      <c r="P4377" s="8">
        <f t="shared" si="342"/>
        <v>453</v>
      </c>
      <c r="Q4377" s="8">
        <f t="shared" si="343"/>
        <v>229</v>
      </c>
      <c r="R4377" s="2" t="s">
        <v>26</v>
      </c>
      <c r="S4377" s="9">
        <f t="shared" si="344"/>
        <v>9.06</v>
      </c>
    </row>
    <row r="4378" spans="1:19" x14ac:dyDescent="0.3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str">
        <f>IFERROR(VLOOKUP('Customer Info'!A4370,'Customer Info'!A4370:C4869,2,FALSE),"Not Found")</f>
        <v>Not Found</v>
      </c>
      <c r="H4378" s="6" t="str">
        <f>IFERROR(VLOOKUP('Customer Info'!A4370,'Customer Info'!A4370:C4869,3,FALSE),"Not Found")</f>
        <v>Not Found</v>
      </c>
      <c r="I4378" s="6" t="str">
        <f>IFERROR(VLOOKUP('Customer Info'!A4370,'Customer Info'!A4370:E4869,5,FALSE),"Not Found")</f>
        <v>Not Found</v>
      </c>
      <c r="J4378" s="2">
        <v>404</v>
      </c>
      <c r="K4378" s="2">
        <v>371</v>
      </c>
      <c r="L4378" s="2">
        <v>1</v>
      </c>
      <c r="M4378" s="7">
        <f t="shared" si="340"/>
        <v>371</v>
      </c>
      <c r="N4378" s="7">
        <f t="shared" si="341"/>
        <v>404</v>
      </c>
      <c r="O4378" s="2">
        <v>34</v>
      </c>
      <c r="P4378" s="8">
        <f t="shared" si="342"/>
        <v>438</v>
      </c>
      <c r="Q4378" s="8">
        <f t="shared" si="343"/>
        <v>33</v>
      </c>
      <c r="R4378" s="2" t="s">
        <v>28</v>
      </c>
      <c r="S4378" s="9">
        <f t="shared" si="344"/>
        <v>8.76</v>
      </c>
    </row>
    <row r="4379" spans="1:19" x14ac:dyDescent="0.3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str">
        <f>IFERROR(VLOOKUP('Customer Info'!A4371,'Customer Info'!A4371:C4870,2,FALSE),"Not Found")</f>
        <v>Not Found</v>
      </c>
      <c r="H4379" s="6" t="str">
        <f>IFERROR(VLOOKUP('Customer Info'!A4371,'Customer Info'!A4371:C4870,3,FALSE),"Not Found")</f>
        <v>Not Found</v>
      </c>
      <c r="I4379" s="6" t="str">
        <f>IFERROR(VLOOKUP('Customer Info'!A4371,'Customer Info'!A4371:E4870,5,FALSE),"Not Found")</f>
        <v>Not Found</v>
      </c>
      <c r="J4379" s="2">
        <v>5909</v>
      </c>
      <c r="K4379" s="2">
        <v>5528</v>
      </c>
      <c r="L4379" s="2">
        <v>5</v>
      </c>
      <c r="M4379" s="7">
        <f t="shared" si="340"/>
        <v>27640</v>
      </c>
      <c r="N4379" s="7">
        <f t="shared" si="341"/>
        <v>29545</v>
      </c>
      <c r="O4379" s="2">
        <v>99</v>
      </c>
      <c r="P4379" s="8">
        <f t="shared" si="342"/>
        <v>29644</v>
      </c>
      <c r="Q4379" s="8">
        <f t="shared" si="343"/>
        <v>24017</v>
      </c>
      <c r="R4379" s="2" t="s">
        <v>28</v>
      </c>
      <c r="S4379" s="9">
        <f t="shared" si="344"/>
        <v>2075.0800000000004</v>
      </c>
    </row>
    <row r="4380" spans="1:19" x14ac:dyDescent="0.3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str">
        <f>IFERROR(VLOOKUP('Customer Info'!A4372,'Customer Info'!A4372:C4871,2,FALSE),"Not Found")</f>
        <v>Not Found</v>
      </c>
      <c r="H4380" s="6" t="str">
        <f>IFERROR(VLOOKUP('Customer Info'!A4372,'Customer Info'!A4372:C4871,3,FALSE),"Not Found")</f>
        <v>Not Found</v>
      </c>
      <c r="I4380" s="6" t="str">
        <f>IFERROR(VLOOKUP('Customer Info'!A4372,'Customer Info'!A4372:E4871,5,FALSE),"Not Found")</f>
        <v>Not Found</v>
      </c>
      <c r="J4380" s="2">
        <v>1413</v>
      </c>
      <c r="K4380" s="2">
        <v>1334</v>
      </c>
      <c r="L4380" s="2">
        <v>3</v>
      </c>
      <c r="M4380" s="7">
        <f t="shared" si="340"/>
        <v>4002</v>
      </c>
      <c r="N4380" s="7">
        <f t="shared" si="341"/>
        <v>4239</v>
      </c>
      <c r="O4380" s="2">
        <v>35</v>
      </c>
      <c r="P4380" s="8">
        <f t="shared" si="342"/>
        <v>4274</v>
      </c>
      <c r="Q4380" s="8">
        <f t="shared" si="343"/>
        <v>2905</v>
      </c>
      <c r="R4380" s="2" t="s">
        <v>50</v>
      </c>
      <c r="S4380" s="9">
        <f t="shared" si="344"/>
        <v>85.48</v>
      </c>
    </row>
    <row r="4381" spans="1:19" x14ac:dyDescent="0.3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str">
        <f>IFERROR(VLOOKUP('Customer Info'!A4373,'Customer Info'!A4373:C4872,2,FALSE),"Not Found")</f>
        <v>Not Found</v>
      </c>
      <c r="H4381" s="6" t="str">
        <f>IFERROR(VLOOKUP('Customer Info'!A4373,'Customer Info'!A4373:C4872,3,FALSE),"Not Found")</f>
        <v>Not Found</v>
      </c>
      <c r="I4381" s="6" t="str">
        <f>IFERROR(VLOOKUP('Customer Info'!A4373,'Customer Info'!A4373:E4872,5,FALSE),"Not Found")</f>
        <v>Not Found</v>
      </c>
      <c r="J4381" s="2">
        <v>1113</v>
      </c>
      <c r="K4381" s="2">
        <v>1040</v>
      </c>
      <c r="L4381" s="2">
        <v>2</v>
      </c>
      <c r="M4381" s="7">
        <f t="shared" si="340"/>
        <v>2080</v>
      </c>
      <c r="N4381" s="7">
        <f t="shared" si="341"/>
        <v>2226</v>
      </c>
      <c r="O4381" s="2">
        <v>35</v>
      </c>
      <c r="P4381" s="8">
        <f t="shared" si="342"/>
        <v>2261</v>
      </c>
      <c r="Q4381" s="8">
        <f t="shared" si="343"/>
        <v>1186</v>
      </c>
      <c r="R4381" s="2" t="s">
        <v>50</v>
      </c>
      <c r="S4381" s="9">
        <f t="shared" si="344"/>
        <v>45.22</v>
      </c>
    </row>
    <row r="4382" spans="1:19" x14ac:dyDescent="0.3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str">
        <f>IFERROR(VLOOKUP('Customer Info'!A4374,'Customer Info'!A4374:C4873,2,FALSE),"Not Found")</f>
        <v>Not Found</v>
      </c>
      <c r="H4382" s="6" t="str">
        <f>IFERROR(VLOOKUP('Customer Info'!A4374,'Customer Info'!A4374:C4873,3,FALSE),"Not Found")</f>
        <v>Not Found</v>
      </c>
      <c r="I4382" s="6" t="str">
        <f>IFERROR(VLOOKUP('Customer Info'!A4374,'Customer Info'!A4374:E4873,5,FALSE),"Not Found")</f>
        <v>Not Found</v>
      </c>
      <c r="J4382" s="2">
        <v>8199</v>
      </c>
      <c r="K4382" s="2">
        <v>7523</v>
      </c>
      <c r="L4382" s="2">
        <v>3</v>
      </c>
      <c r="M4382" s="7">
        <f t="shared" si="340"/>
        <v>22569</v>
      </c>
      <c r="N4382" s="7">
        <f t="shared" si="341"/>
        <v>24597</v>
      </c>
      <c r="O4382" s="2">
        <v>99</v>
      </c>
      <c r="P4382" s="8">
        <f t="shared" si="342"/>
        <v>24696</v>
      </c>
      <c r="Q4382" s="8">
        <f t="shared" si="343"/>
        <v>17074</v>
      </c>
      <c r="R4382" s="2" t="s">
        <v>28</v>
      </c>
      <c r="S4382" s="9">
        <f t="shared" si="344"/>
        <v>1234.8000000000002</v>
      </c>
    </row>
    <row r="4383" spans="1:19" x14ac:dyDescent="0.3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str">
        <f>IFERROR(VLOOKUP('Customer Info'!A4375,'Customer Info'!A4375:C4874,2,FALSE),"Not Found")</f>
        <v>Not Found</v>
      </c>
      <c r="H4383" s="6" t="str">
        <f>IFERROR(VLOOKUP('Customer Info'!A4375,'Customer Info'!A4375:C4874,3,FALSE),"Not Found")</f>
        <v>Not Found</v>
      </c>
      <c r="I4383" s="6" t="str">
        <f>IFERROR(VLOOKUP('Customer Info'!A4375,'Customer Info'!A4375:E4874,5,FALSE),"Not Found")</f>
        <v>Not Found</v>
      </c>
      <c r="J4383" s="2">
        <v>1441</v>
      </c>
      <c r="K4383" s="2">
        <v>1360</v>
      </c>
      <c r="L4383" s="2">
        <v>4</v>
      </c>
      <c r="M4383" s="7">
        <f t="shared" si="340"/>
        <v>5440</v>
      </c>
      <c r="N4383" s="7">
        <f t="shared" si="341"/>
        <v>5764</v>
      </c>
      <c r="O4383" s="2">
        <v>21</v>
      </c>
      <c r="P4383" s="8">
        <f t="shared" si="342"/>
        <v>5785</v>
      </c>
      <c r="Q4383" s="8">
        <f t="shared" si="343"/>
        <v>4404</v>
      </c>
      <c r="R4383" s="2" t="s">
        <v>50</v>
      </c>
      <c r="S4383" s="9">
        <f t="shared" si="344"/>
        <v>289.25</v>
      </c>
    </row>
    <row r="4384" spans="1:19" x14ac:dyDescent="0.3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str">
        <f>IFERROR(VLOOKUP('Customer Info'!A4376,'Customer Info'!A4376:C4875,2,FALSE),"Not Found")</f>
        <v>Not Found</v>
      </c>
      <c r="H4384" s="6" t="str">
        <f>IFERROR(VLOOKUP('Customer Info'!A4376,'Customer Info'!A4376:C4875,3,FALSE),"Not Found")</f>
        <v>Not Found</v>
      </c>
      <c r="I4384" s="6" t="str">
        <f>IFERROR(VLOOKUP('Customer Info'!A4376,'Customer Info'!A4376:E4875,5,FALSE),"Not Found")</f>
        <v>Not Found</v>
      </c>
      <c r="J4384" s="2">
        <v>7141</v>
      </c>
      <c r="K4384" s="2">
        <v>6541</v>
      </c>
      <c r="L4384" s="2">
        <v>1</v>
      </c>
      <c r="M4384" s="7">
        <f t="shared" si="340"/>
        <v>6541</v>
      </c>
      <c r="N4384" s="7">
        <f t="shared" si="341"/>
        <v>7141</v>
      </c>
      <c r="O4384" s="2">
        <v>38</v>
      </c>
      <c r="P4384" s="8">
        <f t="shared" si="342"/>
        <v>7179</v>
      </c>
      <c r="Q4384" s="8">
        <f t="shared" si="343"/>
        <v>600</v>
      </c>
      <c r="R4384" s="2" t="s">
        <v>56</v>
      </c>
      <c r="S4384" s="9">
        <f t="shared" si="344"/>
        <v>358.95000000000005</v>
      </c>
    </row>
    <row r="4385" spans="1:19" x14ac:dyDescent="0.3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str">
        <f>IFERROR(VLOOKUP('Customer Info'!A4377,'Customer Info'!A4377:C4876,2,FALSE),"Not Found")</f>
        <v>Not Found</v>
      </c>
      <c r="H4385" s="6" t="str">
        <f>IFERROR(VLOOKUP('Customer Info'!A4377,'Customer Info'!A4377:C4876,3,FALSE),"Not Found")</f>
        <v>Not Found</v>
      </c>
      <c r="I4385" s="6" t="str">
        <f>IFERROR(VLOOKUP('Customer Info'!A4377,'Customer Info'!A4377:E4876,5,FALSE),"Not Found")</f>
        <v>Not Found</v>
      </c>
      <c r="J4385" s="2">
        <v>877</v>
      </c>
      <c r="K4385" s="2">
        <v>788</v>
      </c>
      <c r="L4385" s="2">
        <v>6</v>
      </c>
      <c r="M4385" s="7">
        <f t="shared" si="340"/>
        <v>4728</v>
      </c>
      <c r="N4385" s="7">
        <f t="shared" si="341"/>
        <v>5262</v>
      </c>
      <c r="O4385" s="2">
        <v>79</v>
      </c>
      <c r="P4385" s="8">
        <f t="shared" si="342"/>
        <v>5341</v>
      </c>
      <c r="Q4385" s="8">
        <f t="shared" si="343"/>
        <v>4474</v>
      </c>
      <c r="R4385" s="2" t="s">
        <v>50</v>
      </c>
      <c r="S4385" s="9">
        <f t="shared" si="344"/>
        <v>267.05</v>
      </c>
    </row>
    <row r="4386" spans="1:19" x14ac:dyDescent="0.3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str">
        <f>IFERROR(VLOOKUP('Customer Info'!A4378,'Customer Info'!A4378:C4877,2,FALSE),"Not Found")</f>
        <v>Not Found</v>
      </c>
      <c r="H4386" s="6" t="str">
        <f>IFERROR(VLOOKUP('Customer Info'!A4378,'Customer Info'!A4378:C4877,3,FALSE),"Not Found")</f>
        <v>Not Found</v>
      </c>
      <c r="I4386" s="6" t="str">
        <f>IFERROR(VLOOKUP('Customer Info'!A4378,'Customer Info'!A4378:E4877,5,FALSE),"Not Found")</f>
        <v>Not Found</v>
      </c>
      <c r="J4386" s="2">
        <v>992</v>
      </c>
      <c r="K4386" s="2">
        <v>928</v>
      </c>
      <c r="L4386" s="2">
        <v>1</v>
      </c>
      <c r="M4386" s="7">
        <f t="shared" si="340"/>
        <v>928</v>
      </c>
      <c r="N4386" s="7">
        <f t="shared" si="341"/>
        <v>992</v>
      </c>
      <c r="O4386" s="2">
        <v>94</v>
      </c>
      <c r="P4386" s="8">
        <f t="shared" si="342"/>
        <v>1086</v>
      </c>
      <c r="Q4386" s="8">
        <f t="shared" si="343"/>
        <v>64</v>
      </c>
      <c r="R4386" s="2" t="s">
        <v>50</v>
      </c>
      <c r="S4386" s="9">
        <f t="shared" si="344"/>
        <v>21.72</v>
      </c>
    </row>
    <row r="4387" spans="1:19" x14ac:dyDescent="0.3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str">
        <f>IFERROR(VLOOKUP('Customer Info'!A4379,'Customer Info'!A4379:C4878,2,FALSE),"Not Found")</f>
        <v>Not Found</v>
      </c>
      <c r="H4387" s="6" t="str">
        <f>IFERROR(VLOOKUP('Customer Info'!A4379,'Customer Info'!A4379:C4878,3,FALSE),"Not Found")</f>
        <v>Not Found</v>
      </c>
      <c r="I4387" s="6" t="str">
        <f>IFERROR(VLOOKUP('Customer Info'!A4379,'Customer Info'!A4379:E4878,5,FALSE),"Not Found")</f>
        <v>Not Found</v>
      </c>
      <c r="J4387" s="2">
        <v>3275</v>
      </c>
      <c r="K4387" s="2">
        <v>3090</v>
      </c>
      <c r="L4387" s="2">
        <v>2</v>
      </c>
      <c r="M4387" s="7">
        <f t="shared" si="340"/>
        <v>6180</v>
      </c>
      <c r="N4387" s="7">
        <f t="shared" si="341"/>
        <v>6550</v>
      </c>
      <c r="O4387" s="2">
        <v>61</v>
      </c>
      <c r="P4387" s="8">
        <f t="shared" si="342"/>
        <v>6611</v>
      </c>
      <c r="Q4387" s="8">
        <f t="shared" si="343"/>
        <v>3460</v>
      </c>
      <c r="R4387" s="2" t="s">
        <v>28</v>
      </c>
      <c r="S4387" s="9">
        <f t="shared" si="344"/>
        <v>330.55</v>
      </c>
    </row>
    <row r="4388" spans="1:19" x14ac:dyDescent="0.3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str">
        <f>IFERROR(VLOOKUP('Customer Info'!A4380,'Customer Info'!A4380:C4879,2,FALSE),"Not Found")</f>
        <v>Not Found</v>
      </c>
      <c r="H4388" s="6" t="str">
        <f>IFERROR(VLOOKUP('Customer Info'!A4380,'Customer Info'!A4380:C4879,3,FALSE),"Not Found")</f>
        <v>Not Found</v>
      </c>
      <c r="I4388" s="6" t="str">
        <f>IFERROR(VLOOKUP('Customer Info'!A4380,'Customer Info'!A4380:E4879,5,FALSE),"Not Found")</f>
        <v>Not Found</v>
      </c>
      <c r="J4388" s="2">
        <v>2808</v>
      </c>
      <c r="K4388" s="2">
        <v>2674</v>
      </c>
      <c r="L4388" s="2">
        <v>12</v>
      </c>
      <c r="M4388" s="7">
        <f t="shared" si="340"/>
        <v>32088</v>
      </c>
      <c r="N4388" s="7">
        <f t="shared" si="341"/>
        <v>33696</v>
      </c>
      <c r="O4388" s="2">
        <v>32</v>
      </c>
      <c r="P4388" s="8">
        <f t="shared" si="342"/>
        <v>33728</v>
      </c>
      <c r="Q4388" s="8">
        <f t="shared" si="343"/>
        <v>31022</v>
      </c>
      <c r="R4388" s="2" t="s">
        <v>50</v>
      </c>
      <c r="S4388" s="9">
        <f t="shared" si="344"/>
        <v>2360.96</v>
      </c>
    </row>
    <row r="4389" spans="1:19" x14ac:dyDescent="0.3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str">
        <f>IFERROR(VLOOKUP('Customer Info'!A4381,'Customer Info'!A4381:C4880,2,FALSE),"Not Found")</f>
        <v>Not Found</v>
      </c>
      <c r="H4389" s="6" t="str">
        <f>IFERROR(VLOOKUP('Customer Info'!A4381,'Customer Info'!A4381:C4880,3,FALSE),"Not Found")</f>
        <v>Not Found</v>
      </c>
      <c r="I4389" s="6" t="str">
        <f>IFERROR(VLOOKUP('Customer Info'!A4381,'Customer Info'!A4381:E4880,5,FALSE),"Not Found")</f>
        <v>Not Found</v>
      </c>
      <c r="J4389" s="2">
        <v>392</v>
      </c>
      <c r="K4389" s="2">
        <v>356</v>
      </c>
      <c r="L4389" s="2">
        <v>1</v>
      </c>
      <c r="M4389" s="7">
        <f t="shared" si="340"/>
        <v>356</v>
      </c>
      <c r="N4389" s="7">
        <f t="shared" si="341"/>
        <v>392</v>
      </c>
      <c r="O4389" s="2">
        <v>27</v>
      </c>
      <c r="P4389" s="8">
        <f t="shared" si="342"/>
        <v>419</v>
      </c>
      <c r="Q4389" s="8">
        <f t="shared" si="343"/>
        <v>36</v>
      </c>
      <c r="R4389" s="2" t="s">
        <v>50</v>
      </c>
      <c r="S4389" s="9">
        <f t="shared" si="344"/>
        <v>8.3800000000000008</v>
      </c>
    </row>
    <row r="4390" spans="1:19" x14ac:dyDescent="0.3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str">
        <f>IFERROR(VLOOKUP('Customer Info'!A4382,'Customer Info'!A4382:C4881,2,FALSE),"Not Found")</f>
        <v>Not Found</v>
      </c>
      <c r="H4390" s="6" t="str">
        <f>IFERROR(VLOOKUP('Customer Info'!A4382,'Customer Info'!A4382:C4881,3,FALSE),"Not Found")</f>
        <v>Not Found</v>
      </c>
      <c r="I4390" s="6" t="str">
        <f>IFERROR(VLOOKUP('Customer Info'!A4382,'Customer Info'!A4382:E4881,5,FALSE),"Not Found")</f>
        <v>Not Found</v>
      </c>
      <c r="J4390" s="2">
        <v>7136</v>
      </c>
      <c r="K4390" s="2">
        <v>6676</v>
      </c>
      <c r="L4390" s="2">
        <v>4</v>
      </c>
      <c r="M4390" s="7">
        <f t="shared" si="340"/>
        <v>26704</v>
      </c>
      <c r="N4390" s="7">
        <f t="shared" si="341"/>
        <v>28544</v>
      </c>
      <c r="O4390" s="2">
        <v>92</v>
      </c>
      <c r="P4390" s="8">
        <f t="shared" si="342"/>
        <v>28636</v>
      </c>
      <c r="Q4390" s="8">
        <f t="shared" si="343"/>
        <v>21868</v>
      </c>
      <c r="R4390" s="2" t="s">
        <v>28</v>
      </c>
      <c r="S4390" s="9">
        <f t="shared" si="344"/>
        <v>2004.5200000000002</v>
      </c>
    </row>
    <row r="4391" spans="1:19" x14ac:dyDescent="0.3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str">
        <f>IFERROR(VLOOKUP('Customer Info'!A4383,'Customer Info'!A4383:C4882,2,FALSE),"Not Found")</f>
        <v>Not Found</v>
      </c>
      <c r="H4391" s="6" t="str">
        <f>IFERROR(VLOOKUP('Customer Info'!A4383,'Customer Info'!A4383:C4882,3,FALSE),"Not Found")</f>
        <v>Not Found</v>
      </c>
      <c r="I4391" s="6" t="str">
        <f>IFERROR(VLOOKUP('Customer Info'!A4383,'Customer Info'!A4383:E4882,5,FALSE),"Not Found")</f>
        <v>Not Found</v>
      </c>
      <c r="J4391" s="2">
        <v>1364</v>
      </c>
      <c r="K4391" s="2">
        <v>1274</v>
      </c>
      <c r="L4391" s="2">
        <v>4</v>
      </c>
      <c r="M4391" s="7">
        <f t="shared" si="340"/>
        <v>5096</v>
      </c>
      <c r="N4391" s="7">
        <f t="shared" si="341"/>
        <v>5456</v>
      </c>
      <c r="O4391" s="2">
        <v>96</v>
      </c>
      <c r="P4391" s="8">
        <f t="shared" si="342"/>
        <v>5552</v>
      </c>
      <c r="Q4391" s="8">
        <f t="shared" si="343"/>
        <v>4182</v>
      </c>
      <c r="R4391" s="2" t="s">
        <v>50</v>
      </c>
      <c r="S4391" s="9">
        <f t="shared" si="344"/>
        <v>277.60000000000002</v>
      </c>
    </row>
    <row r="4392" spans="1:19" x14ac:dyDescent="0.3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str">
        <f>IFERROR(VLOOKUP('Customer Info'!A4384,'Customer Info'!A4384:C4883,2,FALSE),"Not Found")</f>
        <v>Not Found</v>
      </c>
      <c r="H4392" s="6" t="str">
        <f>IFERROR(VLOOKUP('Customer Info'!A4384,'Customer Info'!A4384:C4883,3,FALSE),"Not Found")</f>
        <v>Not Found</v>
      </c>
      <c r="I4392" s="6" t="str">
        <f>IFERROR(VLOOKUP('Customer Info'!A4384,'Customer Info'!A4384:E4883,5,FALSE),"Not Found")</f>
        <v>Not Found</v>
      </c>
      <c r="J4392" s="2">
        <v>183</v>
      </c>
      <c r="K4392" s="2">
        <v>168</v>
      </c>
      <c r="L4392" s="2">
        <v>6</v>
      </c>
      <c r="M4392" s="7">
        <f t="shared" si="340"/>
        <v>1008</v>
      </c>
      <c r="N4392" s="7">
        <f t="shared" si="341"/>
        <v>1098</v>
      </c>
      <c r="O4392" s="2">
        <v>30</v>
      </c>
      <c r="P4392" s="8">
        <f t="shared" si="342"/>
        <v>1128</v>
      </c>
      <c r="Q4392" s="8">
        <f t="shared" si="343"/>
        <v>930</v>
      </c>
      <c r="R4392" s="2" t="s">
        <v>50</v>
      </c>
      <c r="S4392" s="9">
        <f t="shared" si="344"/>
        <v>22.56</v>
      </c>
    </row>
    <row r="4393" spans="1:19" x14ac:dyDescent="0.3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str">
        <f>IFERROR(VLOOKUP('Customer Info'!A4385,'Customer Info'!A4385:C4884,2,FALSE),"Not Found")</f>
        <v>Not Found</v>
      </c>
      <c r="H4393" s="6" t="str">
        <f>IFERROR(VLOOKUP('Customer Info'!A4385,'Customer Info'!A4385:C4884,3,FALSE),"Not Found")</f>
        <v>Not Found</v>
      </c>
      <c r="I4393" s="6" t="str">
        <f>IFERROR(VLOOKUP('Customer Info'!A4385,'Customer Info'!A4385:E4884,5,FALSE),"Not Found")</f>
        <v>Not Found</v>
      </c>
      <c r="J4393" s="2">
        <v>2874</v>
      </c>
      <c r="K4393" s="2">
        <v>2583</v>
      </c>
      <c r="L4393" s="2">
        <v>3</v>
      </c>
      <c r="M4393" s="7">
        <f t="shared" si="340"/>
        <v>7749</v>
      </c>
      <c r="N4393" s="7">
        <f t="shared" si="341"/>
        <v>8622</v>
      </c>
      <c r="O4393" s="2">
        <v>38</v>
      </c>
      <c r="P4393" s="8">
        <f t="shared" si="342"/>
        <v>8660</v>
      </c>
      <c r="Q4393" s="8">
        <f t="shared" si="343"/>
        <v>6039</v>
      </c>
      <c r="R4393" s="2" t="s">
        <v>56</v>
      </c>
      <c r="S4393" s="9">
        <f t="shared" si="344"/>
        <v>433</v>
      </c>
    </row>
    <row r="4394" spans="1:19" x14ac:dyDescent="0.3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str">
        <f>IFERROR(VLOOKUP('Customer Info'!A4386,'Customer Info'!A4386:C4885,2,FALSE),"Not Found")</f>
        <v>Not Found</v>
      </c>
      <c r="H4394" s="6" t="str">
        <f>IFERROR(VLOOKUP('Customer Info'!A4386,'Customer Info'!A4386:C4885,3,FALSE),"Not Found")</f>
        <v>Not Found</v>
      </c>
      <c r="I4394" s="6" t="str">
        <f>IFERROR(VLOOKUP('Customer Info'!A4386,'Customer Info'!A4386:E4885,5,FALSE),"Not Found")</f>
        <v>Not Found</v>
      </c>
      <c r="J4394" s="2">
        <v>1983</v>
      </c>
      <c r="K4394" s="2">
        <v>1908</v>
      </c>
      <c r="L4394" s="2">
        <v>3</v>
      </c>
      <c r="M4394" s="7">
        <f t="shared" si="340"/>
        <v>5724</v>
      </c>
      <c r="N4394" s="7">
        <f t="shared" si="341"/>
        <v>5949</v>
      </c>
      <c r="O4394" s="2">
        <v>74</v>
      </c>
      <c r="P4394" s="8">
        <f t="shared" si="342"/>
        <v>6023</v>
      </c>
      <c r="Q4394" s="8">
        <f t="shared" si="343"/>
        <v>4041</v>
      </c>
      <c r="R4394" s="2" t="s">
        <v>28</v>
      </c>
      <c r="S4394" s="9">
        <f t="shared" si="344"/>
        <v>301.15000000000003</v>
      </c>
    </row>
    <row r="4395" spans="1:19" x14ac:dyDescent="0.3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str">
        <f>IFERROR(VLOOKUP('Customer Info'!A4387,'Customer Info'!A4387:C4886,2,FALSE),"Not Found")</f>
        <v>Not Found</v>
      </c>
      <c r="H4395" s="6" t="str">
        <f>IFERROR(VLOOKUP('Customer Info'!A4387,'Customer Info'!A4387:C4886,3,FALSE),"Not Found")</f>
        <v>Not Found</v>
      </c>
      <c r="I4395" s="6" t="str">
        <f>IFERROR(VLOOKUP('Customer Info'!A4387,'Customer Info'!A4387:E4886,5,FALSE),"Not Found")</f>
        <v>Not Found</v>
      </c>
      <c r="J4395" s="2">
        <v>92</v>
      </c>
      <c r="K4395" s="2">
        <v>82</v>
      </c>
      <c r="L4395" s="2">
        <v>2</v>
      </c>
      <c r="M4395" s="7">
        <f t="shared" si="340"/>
        <v>164</v>
      </c>
      <c r="N4395" s="7">
        <f t="shared" si="341"/>
        <v>184</v>
      </c>
      <c r="O4395" s="2">
        <v>10</v>
      </c>
      <c r="P4395" s="8">
        <f t="shared" si="342"/>
        <v>194</v>
      </c>
      <c r="Q4395" s="8">
        <f t="shared" si="343"/>
        <v>102</v>
      </c>
      <c r="R4395" s="2" t="s">
        <v>50</v>
      </c>
      <c r="S4395" s="9">
        <f t="shared" si="344"/>
        <v>3.88</v>
      </c>
    </row>
    <row r="4396" spans="1:19" x14ac:dyDescent="0.3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str">
        <f>IFERROR(VLOOKUP('Customer Info'!A4388,'Customer Info'!A4388:C4887,2,FALSE),"Not Found")</f>
        <v>Not Found</v>
      </c>
      <c r="H4396" s="6" t="str">
        <f>IFERROR(VLOOKUP('Customer Info'!A4388,'Customer Info'!A4388:C4887,3,FALSE),"Not Found")</f>
        <v>Not Found</v>
      </c>
      <c r="I4396" s="6" t="str">
        <f>IFERROR(VLOOKUP('Customer Info'!A4388,'Customer Info'!A4388:E4887,5,FALSE),"Not Found")</f>
        <v>Not Found</v>
      </c>
      <c r="J4396" s="2">
        <v>193</v>
      </c>
      <c r="K4396" s="2">
        <v>173</v>
      </c>
      <c r="L4396" s="2">
        <v>1</v>
      </c>
      <c r="M4396" s="7">
        <f t="shared" si="340"/>
        <v>173</v>
      </c>
      <c r="N4396" s="7">
        <f t="shared" si="341"/>
        <v>193</v>
      </c>
      <c r="O4396" s="2">
        <v>30</v>
      </c>
      <c r="P4396" s="8">
        <f t="shared" si="342"/>
        <v>223</v>
      </c>
      <c r="Q4396" s="8">
        <f t="shared" si="343"/>
        <v>20</v>
      </c>
      <c r="R4396" s="2" t="s">
        <v>28</v>
      </c>
      <c r="S4396" s="9">
        <f t="shared" si="344"/>
        <v>4.46</v>
      </c>
    </row>
    <row r="4397" spans="1:19" x14ac:dyDescent="0.3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str">
        <f>IFERROR(VLOOKUP('Customer Info'!A4389,'Customer Info'!A4389:C4888,2,FALSE),"Not Found")</f>
        <v>Not Found</v>
      </c>
      <c r="H4397" s="6" t="str">
        <f>IFERROR(VLOOKUP('Customer Info'!A4389,'Customer Info'!A4389:C4888,3,FALSE),"Not Found")</f>
        <v>Not Found</v>
      </c>
      <c r="I4397" s="6" t="str">
        <f>IFERROR(VLOOKUP('Customer Info'!A4389,'Customer Info'!A4389:E4888,5,FALSE),"Not Found")</f>
        <v>Not Found</v>
      </c>
      <c r="J4397" s="2">
        <v>143</v>
      </c>
      <c r="K4397" s="2">
        <v>137</v>
      </c>
      <c r="L4397" s="2">
        <v>2</v>
      </c>
      <c r="M4397" s="7">
        <f t="shared" si="340"/>
        <v>274</v>
      </c>
      <c r="N4397" s="7">
        <f t="shared" si="341"/>
        <v>286</v>
      </c>
      <c r="O4397" s="2">
        <v>30</v>
      </c>
      <c r="P4397" s="8">
        <f t="shared" si="342"/>
        <v>316</v>
      </c>
      <c r="Q4397" s="8">
        <f t="shared" si="343"/>
        <v>149</v>
      </c>
      <c r="R4397" s="2" t="s">
        <v>50</v>
      </c>
      <c r="S4397" s="9">
        <f t="shared" si="344"/>
        <v>6.32</v>
      </c>
    </row>
    <row r="4398" spans="1:19" x14ac:dyDescent="0.3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str">
        <f>IFERROR(VLOOKUP('Customer Info'!A4390,'Customer Info'!A4390:C4889,2,FALSE),"Not Found")</f>
        <v>Not Found</v>
      </c>
      <c r="H4398" s="6" t="str">
        <f>IFERROR(VLOOKUP('Customer Info'!A4390,'Customer Info'!A4390:C4889,3,FALSE),"Not Found")</f>
        <v>Not Found</v>
      </c>
      <c r="I4398" s="6" t="str">
        <f>IFERROR(VLOOKUP('Customer Info'!A4390,'Customer Info'!A4390:E4889,5,FALSE),"Not Found")</f>
        <v>Not Found</v>
      </c>
      <c r="J4398" s="2">
        <v>1763</v>
      </c>
      <c r="K4398" s="2">
        <v>1602</v>
      </c>
      <c r="L4398" s="2">
        <v>1</v>
      </c>
      <c r="M4398" s="7">
        <f t="shared" si="340"/>
        <v>1602</v>
      </c>
      <c r="N4398" s="7">
        <f t="shared" si="341"/>
        <v>1763</v>
      </c>
      <c r="O4398" s="2">
        <v>75</v>
      </c>
      <c r="P4398" s="8">
        <f t="shared" si="342"/>
        <v>1838</v>
      </c>
      <c r="Q4398" s="8">
        <f t="shared" si="343"/>
        <v>161</v>
      </c>
      <c r="R4398" s="2" t="s">
        <v>28</v>
      </c>
      <c r="S4398" s="9">
        <f t="shared" si="344"/>
        <v>36.76</v>
      </c>
    </row>
    <row r="4399" spans="1:19" x14ac:dyDescent="0.3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str">
        <f>IFERROR(VLOOKUP('Customer Info'!A4391,'Customer Info'!A4391:C4890,2,FALSE),"Not Found")</f>
        <v>Not Found</v>
      </c>
      <c r="H4399" s="6" t="str">
        <f>IFERROR(VLOOKUP('Customer Info'!A4391,'Customer Info'!A4391:C4890,3,FALSE),"Not Found")</f>
        <v>Not Found</v>
      </c>
      <c r="I4399" s="6" t="str">
        <f>IFERROR(VLOOKUP('Customer Info'!A4391,'Customer Info'!A4391:E4890,5,FALSE),"Not Found")</f>
        <v>Not Found</v>
      </c>
      <c r="J4399" s="2">
        <v>5051</v>
      </c>
      <c r="K4399" s="2">
        <v>4634</v>
      </c>
      <c r="L4399" s="2">
        <v>11</v>
      </c>
      <c r="M4399" s="7">
        <f t="shared" si="340"/>
        <v>50974</v>
      </c>
      <c r="N4399" s="7">
        <f t="shared" si="341"/>
        <v>55561</v>
      </c>
      <c r="O4399" s="2">
        <v>44</v>
      </c>
      <c r="P4399" s="8">
        <f t="shared" si="342"/>
        <v>55605</v>
      </c>
      <c r="Q4399" s="8">
        <f t="shared" si="343"/>
        <v>50927</v>
      </c>
      <c r="R4399" s="2" t="s">
        <v>26</v>
      </c>
      <c r="S4399" s="9">
        <f t="shared" si="344"/>
        <v>5004.45</v>
      </c>
    </row>
    <row r="4400" spans="1:19" x14ac:dyDescent="0.3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str">
        <f>IFERROR(VLOOKUP('Customer Info'!A4392,'Customer Info'!A4392:C4891,2,FALSE),"Not Found")</f>
        <v>Not Found</v>
      </c>
      <c r="H4400" s="6" t="str">
        <f>IFERROR(VLOOKUP('Customer Info'!A4392,'Customer Info'!A4392:C4891,3,FALSE),"Not Found")</f>
        <v>Not Found</v>
      </c>
      <c r="I4400" s="6" t="str">
        <f>IFERROR(VLOOKUP('Customer Info'!A4392,'Customer Info'!A4392:E4891,5,FALSE),"Not Found")</f>
        <v>Not Found</v>
      </c>
      <c r="J4400" s="2">
        <v>6635</v>
      </c>
      <c r="K4400" s="2">
        <v>6321</v>
      </c>
      <c r="L4400" s="2">
        <v>2</v>
      </c>
      <c r="M4400" s="7">
        <f t="shared" si="340"/>
        <v>12642</v>
      </c>
      <c r="N4400" s="7">
        <f t="shared" si="341"/>
        <v>13270</v>
      </c>
      <c r="O4400" s="2">
        <v>60</v>
      </c>
      <c r="P4400" s="8">
        <f t="shared" si="342"/>
        <v>13330</v>
      </c>
      <c r="Q4400" s="8">
        <f t="shared" si="343"/>
        <v>6949</v>
      </c>
      <c r="R4400" s="2" t="s">
        <v>28</v>
      </c>
      <c r="S4400" s="9">
        <f t="shared" si="344"/>
        <v>666.5</v>
      </c>
    </row>
    <row r="4401" spans="1:19" x14ac:dyDescent="0.3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str">
        <f>IFERROR(VLOOKUP('Customer Info'!A4393,'Customer Info'!A4393:C4892,2,FALSE),"Not Found")</f>
        <v>Not Found</v>
      </c>
      <c r="H4401" s="6" t="str">
        <f>IFERROR(VLOOKUP('Customer Info'!A4393,'Customer Info'!A4393:C4892,3,FALSE),"Not Found")</f>
        <v>Not Found</v>
      </c>
      <c r="I4401" s="6" t="str">
        <f>IFERROR(VLOOKUP('Customer Info'!A4393,'Customer Info'!A4393:E4892,5,FALSE),"Not Found")</f>
        <v>Not Found</v>
      </c>
      <c r="J4401" s="2">
        <v>1734</v>
      </c>
      <c r="K4401" s="2">
        <v>1702</v>
      </c>
      <c r="L4401" s="2">
        <v>3</v>
      </c>
      <c r="M4401" s="7">
        <f t="shared" si="340"/>
        <v>5106</v>
      </c>
      <c r="N4401" s="7">
        <f t="shared" si="341"/>
        <v>5202</v>
      </c>
      <c r="O4401" s="2">
        <v>32</v>
      </c>
      <c r="P4401" s="8">
        <f t="shared" si="342"/>
        <v>5234</v>
      </c>
      <c r="Q4401" s="8">
        <f t="shared" si="343"/>
        <v>3500</v>
      </c>
      <c r="R4401" s="2" t="s">
        <v>50</v>
      </c>
      <c r="S4401" s="9">
        <f t="shared" si="344"/>
        <v>261.7</v>
      </c>
    </row>
    <row r="4402" spans="1:19" x14ac:dyDescent="0.3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str">
        <f>IFERROR(VLOOKUP('Customer Info'!A4394,'Customer Info'!A4394:C4893,2,FALSE),"Not Found")</f>
        <v>Not Found</v>
      </c>
      <c r="H4402" s="6" t="str">
        <f>IFERROR(VLOOKUP('Customer Info'!A4394,'Customer Info'!A4394:C4893,3,FALSE),"Not Found")</f>
        <v>Not Found</v>
      </c>
      <c r="I4402" s="6" t="str">
        <f>IFERROR(VLOOKUP('Customer Info'!A4394,'Customer Info'!A4394:E4893,5,FALSE),"Not Found")</f>
        <v>Not Found</v>
      </c>
      <c r="J4402" s="2">
        <v>183</v>
      </c>
      <c r="K4402" s="2">
        <v>168</v>
      </c>
      <c r="L4402" s="2">
        <v>3</v>
      </c>
      <c r="M4402" s="7">
        <f t="shared" si="340"/>
        <v>504</v>
      </c>
      <c r="N4402" s="7">
        <f t="shared" si="341"/>
        <v>549</v>
      </c>
      <c r="O4402" s="2">
        <v>30</v>
      </c>
      <c r="P4402" s="8">
        <f t="shared" si="342"/>
        <v>579</v>
      </c>
      <c r="Q4402" s="8">
        <f t="shared" si="343"/>
        <v>381</v>
      </c>
      <c r="R4402" s="2" t="s">
        <v>28</v>
      </c>
      <c r="S4402" s="9">
        <f t="shared" si="344"/>
        <v>11.58</v>
      </c>
    </row>
    <row r="4403" spans="1:19" x14ac:dyDescent="0.3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str">
        <f>IFERROR(VLOOKUP('Customer Info'!A4395,'Customer Info'!A4395:C4894,2,FALSE),"Not Found")</f>
        <v>Not Found</v>
      </c>
      <c r="H4403" s="6" t="str">
        <f>IFERROR(VLOOKUP('Customer Info'!A4395,'Customer Info'!A4395:C4894,3,FALSE),"Not Found")</f>
        <v>Not Found</v>
      </c>
      <c r="I4403" s="6" t="str">
        <f>IFERROR(VLOOKUP('Customer Info'!A4395,'Customer Info'!A4395:E4894,5,FALSE),"Not Found")</f>
        <v>Not Found</v>
      </c>
      <c r="J4403" s="2">
        <v>1798</v>
      </c>
      <c r="K4403" s="2">
        <v>1650</v>
      </c>
      <c r="L4403" s="2">
        <v>2</v>
      </c>
      <c r="M4403" s="7">
        <f t="shared" si="340"/>
        <v>3300</v>
      </c>
      <c r="N4403" s="7">
        <f t="shared" si="341"/>
        <v>3596</v>
      </c>
      <c r="O4403" s="2">
        <v>71</v>
      </c>
      <c r="P4403" s="8">
        <f t="shared" si="342"/>
        <v>3667</v>
      </c>
      <c r="Q4403" s="8">
        <f t="shared" si="343"/>
        <v>1946</v>
      </c>
      <c r="R4403" s="2" t="s">
        <v>28</v>
      </c>
      <c r="S4403" s="9">
        <f t="shared" si="344"/>
        <v>73.34</v>
      </c>
    </row>
    <row r="4404" spans="1:19" x14ac:dyDescent="0.3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str">
        <f>IFERROR(VLOOKUP('Customer Info'!A4396,'Customer Info'!A4396:C4895,2,FALSE),"Not Found")</f>
        <v>Not Found</v>
      </c>
      <c r="H4404" s="6" t="str">
        <f>IFERROR(VLOOKUP('Customer Info'!A4396,'Customer Info'!A4396:C4895,3,FALSE),"Not Found")</f>
        <v>Not Found</v>
      </c>
      <c r="I4404" s="6" t="str">
        <f>IFERROR(VLOOKUP('Customer Info'!A4396,'Customer Info'!A4396:E4895,5,FALSE),"Not Found")</f>
        <v>Not Found</v>
      </c>
      <c r="J4404" s="2">
        <v>1654</v>
      </c>
      <c r="K4404" s="2">
        <v>1577</v>
      </c>
      <c r="L4404" s="2">
        <v>6</v>
      </c>
      <c r="M4404" s="7">
        <f t="shared" si="340"/>
        <v>9462</v>
      </c>
      <c r="N4404" s="7">
        <f t="shared" si="341"/>
        <v>9924</v>
      </c>
      <c r="O4404" s="2">
        <v>90</v>
      </c>
      <c r="P4404" s="8">
        <f t="shared" si="342"/>
        <v>10014</v>
      </c>
      <c r="Q4404" s="8">
        <f t="shared" si="343"/>
        <v>8347</v>
      </c>
      <c r="R4404" s="2" t="s">
        <v>28</v>
      </c>
      <c r="S4404" s="9">
        <f t="shared" si="344"/>
        <v>500.70000000000005</v>
      </c>
    </row>
    <row r="4405" spans="1:19" x14ac:dyDescent="0.3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str">
        <f>IFERROR(VLOOKUP('Customer Info'!A4397,'Customer Info'!A4397:C4896,2,FALSE),"Not Found")</f>
        <v>Not Found</v>
      </c>
      <c r="H4405" s="6" t="str">
        <f>IFERROR(VLOOKUP('Customer Info'!A4397,'Customer Info'!A4397:C4896,3,FALSE),"Not Found")</f>
        <v>Not Found</v>
      </c>
      <c r="I4405" s="6" t="str">
        <f>IFERROR(VLOOKUP('Customer Info'!A4397,'Customer Info'!A4397:E4896,5,FALSE),"Not Found")</f>
        <v>Not Found</v>
      </c>
      <c r="J4405" s="2">
        <v>3017</v>
      </c>
      <c r="K4405" s="2">
        <v>2825</v>
      </c>
      <c r="L4405" s="2">
        <v>1</v>
      </c>
      <c r="M4405" s="7">
        <f t="shared" si="340"/>
        <v>2825</v>
      </c>
      <c r="N4405" s="7">
        <f t="shared" si="341"/>
        <v>3017</v>
      </c>
      <c r="O4405" s="2">
        <v>45</v>
      </c>
      <c r="P4405" s="8">
        <f t="shared" si="342"/>
        <v>3062</v>
      </c>
      <c r="Q4405" s="8">
        <f t="shared" si="343"/>
        <v>192</v>
      </c>
      <c r="R4405" s="2" t="s">
        <v>28</v>
      </c>
      <c r="S4405" s="9">
        <f t="shared" si="344"/>
        <v>61.24</v>
      </c>
    </row>
    <row r="4406" spans="1:19" x14ac:dyDescent="0.3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str">
        <f>IFERROR(VLOOKUP('Customer Info'!A4398,'Customer Info'!A4398:C4897,2,FALSE),"Not Found")</f>
        <v>Not Found</v>
      </c>
      <c r="H4406" s="6" t="str">
        <f>IFERROR(VLOOKUP('Customer Info'!A4398,'Customer Info'!A4398:C4897,3,FALSE),"Not Found")</f>
        <v>Not Found</v>
      </c>
      <c r="I4406" s="6" t="str">
        <f>IFERROR(VLOOKUP('Customer Info'!A4398,'Customer Info'!A4398:E4897,5,FALSE),"Not Found")</f>
        <v>Not Found</v>
      </c>
      <c r="J4406" s="2">
        <v>127</v>
      </c>
      <c r="K4406" s="2">
        <v>116</v>
      </c>
      <c r="L4406" s="2">
        <v>5</v>
      </c>
      <c r="M4406" s="7">
        <f t="shared" si="340"/>
        <v>580</v>
      </c>
      <c r="N4406" s="7">
        <f t="shared" si="341"/>
        <v>635</v>
      </c>
      <c r="O4406" s="2">
        <v>30</v>
      </c>
      <c r="P4406" s="8">
        <f t="shared" si="342"/>
        <v>665</v>
      </c>
      <c r="Q4406" s="8">
        <f t="shared" si="343"/>
        <v>519</v>
      </c>
      <c r="R4406" s="2" t="s">
        <v>50</v>
      </c>
      <c r="S4406" s="9">
        <f t="shared" si="344"/>
        <v>13.3</v>
      </c>
    </row>
    <row r="4407" spans="1:19" x14ac:dyDescent="0.3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str">
        <f>IFERROR(VLOOKUP('Customer Info'!A4399,'Customer Info'!A4399:C4898,2,FALSE),"Not Found")</f>
        <v>Not Found</v>
      </c>
      <c r="H4407" s="6" t="str">
        <f>IFERROR(VLOOKUP('Customer Info'!A4399,'Customer Info'!A4399:C4898,3,FALSE),"Not Found")</f>
        <v>Not Found</v>
      </c>
      <c r="I4407" s="6" t="str">
        <f>IFERROR(VLOOKUP('Customer Info'!A4399,'Customer Info'!A4399:E4898,5,FALSE),"Not Found")</f>
        <v>Not Found</v>
      </c>
      <c r="J4407" s="2">
        <v>2787</v>
      </c>
      <c r="K4407" s="2">
        <v>2681</v>
      </c>
      <c r="L4407" s="2">
        <v>1</v>
      </c>
      <c r="M4407" s="7">
        <f t="shared" si="340"/>
        <v>2681</v>
      </c>
      <c r="N4407" s="7">
        <f t="shared" si="341"/>
        <v>2787</v>
      </c>
      <c r="O4407" s="2">
        <v>76</v>
      </c>
      <c r="P4407" s="8">
        <f t="shared" si="342"/>
        <v>2863</v>
      </c>
      <c r="Q4407" s="8">
        <f t="shared" si="343"/>
        <v>106</v>
      </c>
      <c r="R4407" s="2" t="s">
        <v>50</v>
      </c>
      <c r="S4407" s="9">
        <f t="shared" si="344"/>
        <v>57.26</v>
      </c>
    </row>
    <row r="4408" spans="1:19" x14ac:dyDescent="0.3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str">
        <f>IFERROR(VLOOKUP('Customer Info'!A4400,'Customer Info'!A4400:C4899,2,FALSE),"Not Found")</f>
        <v>Not Found</v>
      </c>
      <c r="H4408" s="6" t="str">
        <f>IFERROR(VLOOKUP('Customer Info'!A4400,'Customer Info'!A4400:C4899,3,FALSE),"Not Found")</f>
        <v>Not Found</v>
      </c>
      <c r="I4408" s="6" t="str">
        <f>IFERROR(VLOOKUP('Customer Info'!A4400,'Customer Info'!A4400:E4899,5,FALSE),"Not Found")</f>
        <v>Not Found</v>
      </c>
      <c r="J4408" s="2">
        <v>1482</v>
      </c>
      <c r="K4408" s="2">
        <v>1453</v>
      </c>
      <c r="L4408" s="2">
        <v>2</v>
      </c>
      <c r="M4408" s="7">
        <f t="shared" si="340"/>
        <v>2906</v>
      </c>
      <c r="N4408" s="7">
        <f t="shared" si="341"/>
        <v>2964</v>
      </c>
      <c r="O4408" s="2">
        <v>34</v>
      </c>
      <c r="P4408" s="8">
        <f t="shared" si="342"/>
        <v>2998</v>
      </c>
      <c r="Q4408" s="8">
        <f t="shared" si="343"/>
        <v>1511</v>
      </c>
      <c r="R4408" s="2" t="s">
        <v>28</v>
      </c>
      <c r="S4408" s="9">
        <f t="shared" si="344"/>
        <v>59.96</v>
      </c>
    </row>
    <row r="4409" spans="1:19" x14ac:dyDescent="0.3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str">
        <f>IFERROR(VLOOKUP('Customer Info'!A4401,'Customer Info'!A4401:C4900,2,FALSE),"Not Found")</f>
        <v>Not Found</v>
      </c>
      <c r="H4409" s="6" t="str">
        <f>IFERROR(VLOOKUP('Customer Info'!A4401,'Customer Info'!A4401:C4900,3,FALSE),"Not Found")</f>
        <v>Not Found</v>
      </c>
      <c r="I4409" s="6" t="str">
        <f>IFERROR(VLOOKUP('Customer Info'!A4401,'Customer Info'!A4401:E4900,5,FALSE),"Not Found")</f>
        <v>Not Found</v>
      </c>
      <c r="J4409" s="2">
        <v>2958</v>
      </c>
      <c r="K4409" s="2">
        <v>2743</v>
      </c>
      <c r="L4409" s="2">
        <v>1</v>
      </c>
      <c r="M4409" s="7">
        <f t="shared" si="340"/>
        <v>2743</v>
      </c>
      <c r="N4409" s="7">
        <f t="shared" si="341"/>
        <v>2958</v>
      </c>
      <c r="O4409" s="2">
        <v>56</v>
      </c>
      <c r="P4409" s="8">
        <f t="shared" si="342"/>
        <v>3014</v>
      </c>
      <c r="Q4409" s="8">
        <f t="shared" si="343"/>
        <v>215</v>
      </c>
      <c r="R4409" s="2" t="s">
        <v>28</v>
      </c>
      <c r="S4409" s="9">
        <f t="shared" si="344"/>
        <v>60.28</v>
      </c>
    </row>
    <row r="4410" spans="1:19" x14ac:dyDescent="0.3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str">
        <f>IFERROR(VLOOKUP('Customer Info'!A4402,'Customer Info'!A4402:C4901,2,FALSE),"Not Found")</f>
        <v>Not Found</v>
      </c>
      <c r="H4410" s="6" t="str">
        <f>IFERROR(VLOOKUP('Customer Info'!A4402,'Customer Info'!A4402:C4901,3,FALSE),"Not Found")</f>
        <v>Not Found</v>
      </c>
      <c r="I4410" s="6" t="str">
        <f>IFERROR(VLOOKUP('Customer Info'!A4402,'Customer Info'!A4402:E4901,5,FALSE),"Not Found")</f>
        <v>Not Found</v>
      </c>
      <c r="J4410" s="2">
        <v>7001</v>
      </c>
      <c r="K4410" s="2">
        <v>6476</v>
      </c>
      <c r="L4410" s="2">
        <v>3</v>
      </c>
      <c r="M4410" s="7">
        <f t="shared" si="340"/>
        <v>19428</v>
      </c>
      <c r="N4410" s="7">
        <f t="shared" si="341"/>
        <v>21003</v>
      </c>
      <c r="O4410" s="2">
        <v>89</v>
      </c>
      <c r="P4410" s="8">
        <f t="shared" si="342"/>
        <v>21092</v>
      </c>
      <c r="Q4410" s="8">
        <f t="shared" si="343"/>
        <v>14527</v>
      </c>
      <c r="R4410" s="2" t="s">
        <v>50</v>
      </c>
      <c r="S4410" s="9">
        <f t="shared" si="344"/>
        <v>1054.6000000000001</v>
      </c>
    </row>
    <row r="4411" spans="1:19" x14ac:dyDescent="0.3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str">
        <f>IFERROR(VLOOKUP('Customer Info'!A4403,'Customer Info'!A4403:C4902,2,FALSE),"Not Found")</f>
        <v>Not Found</v>
      </c>
      <c r="H4411" s="6" t="str">
        <f>IFERROR(VLOOKUP('Customer Info'!A4403,'Customer Info'!A4403:C4902,3,FALSE),"Not Found")</f>
        <v>Not Found</v>
      </c>
      <c r="I4411" s="6" t="str">
        <f>IFERROR(VLOOKUP('Customer Info'!A4403,'Customer Info'!A4403:E4902,5,FALSE),"Not Found")</f>
        <v>Not Found</v>
      </c>
      <c r="J4411" s="2">
        <v>2965</v>
      </c>
      <c r="K4411" s="2">
        <v>2694</v>
      </c>
      <c r="L4411" s="2">
        <v>1</v>
      </c>
      <c r="M4411" s="7">
        <f t="shared" si="340"/>
        <v>2694</v>
      </c>
      <c r="N4411" s="7">
        <f t="shared" si="341"/>
        <v>2965</v>
      </c>
      <c r="O4411" s="2">
        <v>43</v>
      </c>
      <c r="P4411" s="8">
        <f t="shared" si="342"/>
        <v>3008</v>
      </c>
      <c r="Q4411" s="8">
        <f t="shared" si="343"/>
        <v>271</v>
      </c>
      <c r="R4411" s="2" t="s">
        <v>50</v>
      </c>
      <c r="S4411" s="9">
        <f t="shared" si="344"/>
        <v>60.160000000000004</v>
      </c>
    </row>
    <row r="4412" spans="1:19" x14ac:dyDescent="0.3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str">
        <f>IFERROR(VLOOKUP('Customer Info'!A4404,'Customer Info'!A4404:C4903,2,FALSE),"Not Found")</f>
        <v>Not Found</v>
      </c>
      <c r="H4412" s="6" t="str">
        <f>IFERROR(VLOOKUP('Customer Info'!A4404,'Customer Info'!A4404:C4903,3,FALSE),"Not Found")</f>
        <v>Not Found</v>
      </c>
      <c r="I4412" s="6" t="str">
        <f>IFERROR(VLOOKUP('Customer Info'!A4404,'Customer Info'!A4404:E4903,5,FALSE),"Not Found")</f>
        <v>Not Found</v>
      </c>
      <c r="J4412" s="2">
        <v>193</v>
      </c>
      <c r="K4412" s="2">
        <v>173</v>
      </c>
      <c r="L4412" s="2">
        <v>8</v>
      </c>
      <c r="M4412" s="7">
        <f t="shared" si="340"/>
        <v>1384</v>
      </c>
      <c r="N4412" s="7">
        <f t="shared" si="341"/>
        <v>1544</v>
      </c>
      <c r="O4412" s="2">
        <v>30</v>
      </c>
      <c r="P4412" s="8">
        <f t="shared" si="342"/>
        <v>1574</v>
      </c>
      <c r="Q4412" s="8">
        <f t="shared" si="343"/>
        <v>1371</v>
      </c>
      <c r="R4412" s="2" t="s">
        <v>28</v>
      </c>
      <c r="S4412" s="9">
        <f t="shared" si="344"/>
        <v>31.48</v>
      </c>
    </row>
    <row r="4413" spans="1:19" x14ac:dyDescent="0.3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str">
        <f>IFERROR(VLOOKUP('Customer Info'!A4405,'Customer Info'!A4405:C4904,2,FALSE),"Not Found")</f>
        <v>Not Found</v>
      </c>
      <c r="H4413" s="6" t="str">
        <f>IFERROR(VLOOKUP('Customer Info'!A4405,'Customer Info'!A4405:C4904,3,FALSE),"Not Found")</f>
        <v>Not Found</v>
      </c>
      <c r="I4413" s="6" t="str">
        <f>IFERROR(VLOOKUP('Customer Info'!A4405,'Customer Info'!A4405:E4904,5,FALSE),"Not Found")</f>
        <v>Not Found</v>
      </c>
      <c r="J4413" s="2">
        <v>2442</v>
      </c>
      <c r="K4413" s="2">
        <v>2304</v>
      </c>
      <c r="L4413" s="2">
        <v>1</v>
      </c>
      <c r="M4413" s="7">
        <f t="shared" si="340"/>
        <v>2304</v>
      </c>
      <c r="N4413" s="7">
        <f t="shared" si="341"/>
        <v>2442</v>
      </c>
      <c r="O4413" s="2">
        <v>88</v>
      </c>
      <c r="P4413" s="8">
        <f t="shared" si="342"/>
        <v>2530</v>
      </c>
      <c r="Q4413" s="8">
        <f t="shared" si="343"/>
        <v>138</v>
      </c>
      <c r="R4413" s="2" t="s">
        <v>28</v>
      </c>
      <c r="S4413" s="9">
        <f t="shared" si="344"/>
        <v>50.6</v>
      </c>
    </row>
    <row r="4414" spans="1:19" x14ac:dyDescent="0.3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str">
        <f>IFERROR(VLOOKUP('Customer Info'!A4406,'Customer Info'!A4406:C4905,2,FALSE),"Not Found")</f>
        <v>Not Found</v>
      </c>
      <c r="H4414" s="6" t="str">
        <f>IFERROR(VLOOKUP('Customer Info'!A4406,'Customer Info'!A4406:C4905,3,FALSE),"Not Found")</f>
        <v>Not Found</v>
      </c>
      <c r="I4414" s="6" t="str">
        <f>IFERROR(VLOOKUP('Customer Info'!A4406,'Customer Info'!A4406:E4905,5,FALSE),"Not Found")</f>
        <v>Not Found</v>
      </c>
      <c r="J4414" s="2">
        <v>954</v>
      </c>
      <c r="K4414" s="2">
        <v>901</v>
      </c>
      <c r="L4414" s="2">
        <v>3</v>
      </c>
      <c r="M4414" s="7">
        <f t="shared" si="340"/>
        <v>2703</v>
      </c>
      <c r="N4414" s="7">
        <f t="shared" si="341"/>
        <v>2862</v>
      </c>
      <c r="O4414" s="2">
        <v>77</v>
      </c>
      <c r="P4414" s="8">
        <f t="shared" si="342"/>
        <v>2939</v>
      </c>
      <c r="Q4414" s="8">
        <f t="shared" si="343"/>
        <v>1961</v>
      </c>
      <c r="R4414" s="2" t="s">
        <v>50</v>
      </c>
      <c r="S4414" s="9">
        <f t="shared" si="344"/>
        <v>58.78</v>
      </c>
    </row>
    <row r="4415" spans="1:19" x14ac:dyDescent="0.3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str">
        <f>IFERROR(VLOOKUP('Customer Info'!A4407,'Customer Info'!A4407:C4906,2,FALSE),"Not Found")</f>
        <v>Not Found</v>
      </c>
      <c r="H4415" s="6" t="str">
        <f>IFERROR(VLOOKUP('Customer Info'!A4407,'Customer Info'!A4407:C4906,3,FALSE),"Not Found")</f>
        <v>Not Found</v>
      </c>
      <c r="I4415" s="6" t="str">
        <f>IFERROR(VLOOKUP('Customer Info'!A4407,'Customer Info'!A4407:E4906,5,FALSE),"Not Found")</f>
        <v>Not Found</v>
      </c>
      <c r="J4415" s="2">
        <v>131</v>
      </c>
      <c r="K4415" s="2">
        <v>124</v>
      </c>
      <c r="L4415" s="2">
        <v>4</v>
      </c>
      <c r="M4415" s="7">
        <f t="shared" si="340"/>
        <v>496</v>
      </c>
      <c r="N4415" s="7">
        <f t="shared" si="341"/>
        <v>524</v>
      </c>
      <c r="O4415" s="2">
        <v>30</v>
      </c>
      <c r="P4415" s="8">
        <f t="shared" si="342"/>
        <v>554</v>
      </c>
      <c r="Q4415" s="8">
        <f t="shared" si="343"/>
        <v>400</v>
      </c>
      <c r="R4415" s="2" t="s">
        <v>28</v>
      </c>
      <c r="S4415" s="9">
        <f t="shared" si="344"/>
        <v>11.08</v>
      </c>
    </row>
    <row r="4416" spans="1:19" x14ac:dyDescent="0.3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str">
        <f>IFERROR(VLOOKUP('Customer Info'!A4408,'Customer Info'!A4408:C4907,2,FALSE),"Not Found")</f>
        <v>Not Found</v>
      </c>
      <c r="H4416" s="6" t="str">
        <f>IFERROR(VLOOKUP('Customer Info'!A4408,'Customer Info'!A4408:C4907,3,FALSE),"Not Found")</f>
        <v>Not Found</v>
      </c>
      <c r="I4416" s="6" t="str">
        <f>IFERROR(VLOOKUP('Customer Info'!A4408,'Customer Info'!A4408:E4907,5,FALSE),"Not Found")</f>
        <v>Not Found</v>
      </c>
      <c r="J4416" s="2">
        <v>6354</v>
      </c>
      <c r="K4416" s="2">
        <v>5769</v>
      </c>
      <c r="L4416" s="2">
        <v>4</v>
      </c>
      <c r="M4416" s="7">
        <f t="shared" si="340"/>
        <v>23076</v>
      </c>
      <c r="N4416" s="7">
        <f t="shared" si="341"/>
        <v>25416</v>
      </c>
      <c r="O4416" s="2">
        <v>66</v>
      </c>
      <c r="P4416" s="8">
        <f t="shared" si="342"/>
        <v>25482</v>
      </c>
      <c r="Q4416" s="8">
        <f t="shared" si="343"/>
        <v>19647</v>
      </c>
      <c r="R4416" s="2" t="s">
        <v>28</v>
      </c>
      <c r="S4416" s="9">
        <f t="shared" si="344"/>
        <v>1783.7400000000002</v>
      </c>
    </row>
    <row r="4417" spans="1:19" x14ac:dyDescent="0.3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str">
        <f>IFERROR(VLOOKUP('Customer Info'!A4409,'Customer Info'!A4409:C4908,2,FALSE),"Not Found")</f>
        <v>Not Found</v>
      </c>
      <c r="H4417" s="6" t="str">
        <f>IFERROR(VLOOKUP('Customer Info'!A4409,'Customer Info'!A4409:C4908,3,FALSE),"Not Found")</f>
        <v>Not Found</v>
      </c>
      <c r="I4417" s="6" t="str">
        <f>IFERROR(VLOOKUP('Customer Info'!A4409,'Customer Info'!A4409:E4908,5,FALSE),"Not Found")</f>
        <v>Not Found</v>
      </c>
      <c r="J4417" s="2">
        <v>1103</v>
      </c>
      <c r="K4417" s="2">
        <v>1030</v>
      </c>
      <c r="L4417" s="2">
        <v>2</v>
      </c>
      <c r="M4417" s="7">
        <f t="shared" si="340"/>
        <v>2060</v>
      </c>
      <c r="N4417" s="7">
        <f t="shared" si="341"/>
        <v>2206</v>
      </c>
      <c r="O4417" s="2">
        <v>24</v>
      </c>
      <c r="P4417" s="8">
        <f t="shared" si="342"/>
        <v>2230</v>
      </c>
      <c r="Q4417" s="8">
        <f t="shared" si="343"/>
        <v>1176</v>
      </c>
      <c r="R4417" s="2" t="s">
        <v>56</v>
      </c>
      <c r="S4417" s="9">
        <f t="shared" si="344"/>
        <v>44.6</v>
      </c>
    </row>
    <row r="4418" spans="1:19" x14ac:dyDescent="0.3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str">
        <f>IFERROR(VLOOKUP('Customer Info'!A4410,'Customer Info'!A4410:C4909,2,FALSE),"Not Found")</f>
        <v>Not Found</v>
      </c>
      <c r="H4418" s="6" t="str">
        <f>IFERROR(VLOOKUP('Customer Info'!A4410,'Customer Info'!A4410:C4909,3,FALSE),"Not Found")</f>
        <v>Not Found</v>
      </c>
      <c r="I4418" s="6" t="str">
        <f>IFERROR(VLOOKUP('Customer Info'!A4410,'Customer Info'!A4410:E4909,5,FALSE),"Not Found")</f>
        <v>Not Found</v>
      </c>
      <c r="J4418" s="2">
        <v>1798</v>
      </c>
      <c r="K4418" s="2">
        <v>1650</v>
      </c>
      <c r="L4418" s="2">
        <v>1</v>
      </c>
      <c r="M4418" s="7">
        <f t="shared" si="340"/>
        <v>1650</v>
      </c>
      <c r="N4418" s="7">
        <f t="shared" si="341"/>
        <v>1798</v>
      </c>
      <c r="O4418" s="2">
        <v>46</v>
      </c>
      <c r="P4418" s="8">
        <f t="shared" si="342"/>
        <v>1844</v>
      </c>
      <c r="Q4418" s="8">
        <f t="shared" si="343"/>
        <v>148</v>
      </c>
      <c r="R4418" s="2" t="s">
        <v>50</v>
      </c>
      <c r="S4418" s="9">
        <f t="shared" si="344"/>
        <v>36.880000000000003</v>
      </c>
    </row>
    <row r="4419" spans="1:19" x14ac:dyDescent="0.3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str">
        <f>IFERROR(VLOOKUP('Customer Info'!A4411,'Customer Info'!A4411:C4910,2,FALSE),"Not Found")</f>
        <v>Not Found</v>
      </c>
      <c r="H4419" s="6" t="str">
        <f>IFERROR(VLOOKUP('Customer Info'!A4411,'Customer Info'!A4411:C4910,3,FALSE),"Not Found")</f>
        <v>Not Found</v>
      </c>
      <c r="I4419" s="6" t="str">
        <f>IFERROR(VLOOKUP('Customer Info'!A4411,'Customer Info'!A4411:E4910,5,FALSE),"Not Found")</f>
        <v>Not Found</v>
      </c>
      <c r="J4419" s="2">
        <v>2602</v>
      </c>
      <c r="K4419" s="2">
        <v>2363</v>
      </c>
      <c r="L4419" s="2">
        <v>2</v>
      </c>
      <c r="M4419" s="7">
        <f t="shared" si="340"/>
        <v>4726</v>
      </c>
      <c r="N4419" s="7">
        <f t="shared" si="341"/>
        <v>5204</v>
      </c>
      <c r="O4419" s="2">
        <v>31</v>
      </c>
      <c r="P4419" s="8">
        <f t="shared" si="342"/>
        <v>5235</v>
      </c>
      <c r="Q4419" s="8">
        <f t="shared" si="343"/>
        <v>2841</v>
      </c>
      <c r="R4419" s="2" t="s">
        <v>50</v>
      </c>
      <c r="S4419" s="9">
        <f t="shared" si="344"/>
        <v>261.75</v>
      </c>
    </row>
    <row r="4420" spans="1:19" x14ac:dyDescent="0.3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str">
        <f>IFERROR(VLOOKUP('Customer Info'!A4412,'Customer Info'!A4412:C4911,2,FALSE),"Not Found")</f>
        <v>Not Found</v>
      </c>
      <c r="H4420" s="6" t="str">
        <f>IFERROR(VLOOKUP('Customer Info'!A4412,'Customer Info'!A4412:C4911,3,FALSE),"Not Found")</f>
        <v>Not Found</v>
      </c>
      <c r="I4420" s="6" t="str">
        <f>IFERROR(VLOOKUP('Customer Info'!A4412,'Customer Info'!A4412:E4911,5,FALSE),"Not Found")</f>
        <v>Not Found</v>
      </c>
      <c r="J4420" s="2">
        <v>393</v>
      </c>
      <c r="K4420" s="2">
        <v>374</v>
      </c>
      <c r="L4420" s="2">
        <v>4</v>
      </c>
      <c r="M4420" s="7">
        <f t="shared" si="340"/>
        <v>1496</v>
      </c>
      <c r="N4420" s="7">
        <f t="shared" si="341"/>
        <v>1572</v>
      </c>
      <c r="O4420" s="2">
        <v>66</v>
      </c>
      <c r="P4420" s="8">
        <f t="shared" si="342"/>
        <v>1638</v>
      </c>
      <c r="Q4420" s="8">
        <f t="shared" si="343"/>
        <v>1198</v>
      </c>
      <c r="R4420" s="2" t="s">
        <v>56</v>
      </c>
      <c r="S4420" s="9">
        <f t="shared" si="344"/>
        <v>32.76</v>
      </c>
    </row>
    <row r="4421" spans="1:19" x14ac:dyDescent="0.3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str">
        <f>IFERROR(VLOOKUP('Customer Info'!A4413,'Customer Info'!A4413:C4912,2,FALSE),"Not Found")</f>
        <v>Not Found</v>
      </c>
      <c r="H4421" s="6" t="str">
        <f>IFERROR(VLOOKUP('Customer Info'!A4413,'Customer Info'!A4413:C4912,3,FALSE),"Not Found")</f>
        <v>Not Found</v>
      </c>
      <c r="I4421" s="6" t="str">
        <f>IFERROR(VLOOKUP('Customer Info'!A4413,'Customer Info'!A4413:E4912,5,FALSE),"Not Found")</f>
        <v>Not Found</v>
      </c>
      <c r="J4421" s="2">
        <v>187</v>
      </c>
      <c r="K4421" s="2">
        <v>176</v>
      </c>
      <c r="L4421" s="2">
        <v>2</v>
      </c>
      <c r="M4421" s="7">
        <f t="shared" si="340"/>
        <v>352</v>
      </c>
      <c r="N4421" s="7">
        <f t="shared" si="341"/>
        <v>374</v>
      </c>
      <c r="O4421" s="2">
        <v>30</v>
      </c>
      <c r="P4421" s="8">
        <f t="shared" si="342"/>
        <v>404</v>
      </c>
      <c r="Q4421" s="8">
        <f t="shared" si="343"/>
        <v>198</v>
      </c>
      <c r="R4421" s="2" t="s">
        <v>28</v>
      </c>
      <c r="S4421" s="9">
        <f t="shared" si="344"/>
        <v>8.08</v>
      </c>
    </row>
    <row r="4422" spans="1:19" x14ac:dyDescent="0.3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str">
        <f>IFERROR(VLOOKUP('Customer Info'!A4414,'Customer Info'!A4414:C4913,2,FALSE),"Not Found")</f>
        <v>Not Found</v>
      </c>
      <c r="H4422" s="6" t="str">
        <f>IFERROR(VLOOKUP('Customer Info'!A4414,'Customer Info'!A4414:C4913,3,FALSE),"Not Found")</f>
        <v>Not Found</v>
      </c>
      <c r="I4422" s="6" t="str">
        <f>IFERROR(VLOOKUP('Customer Info'!A4414,'Customer Info'!A4414:E4913,5,FALSE),"Not Found")</f>
        <v>Not Found</v>
      </c>
      <c r="J4422" s="2">
        <v>2242</v>
      </c>
      <c r="K4422" s="2">
        <v>2075</v>
      </c>
      <c r="L4422" s="2">
        <v>3</v>
      </c>
      <c r="M4422" s="7">
        <f t="shared" si="340"/>
        <v>6225</v>
      </c>
      <c r="N4422" s="7">
        <f t="shared" si="341"/>
        <v>6726</v>
      </c>
      <c r="O4422" s="2">
        <v>82</v>
      </c>
      <c r="P4422" s="8">
        <f t="shared" si="342"/>
        <v>6808</v>
      </c>
      <c r="Q4422" s="8">
        <f t="shared" si="343"/>
        <v>4651</v>
      </c>
      <c r="R4422" s="2" t="s">
        <v>28</v>
      </c>
      <c r="S4422" s="9">
        <f t="shared" si="344"/>
        <v>340.40000000000003</v>
      </c>
    </row>
    <row r="4423" spans="1:19" x14ac:dyDescent="0.3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str">
        <f>IFERROR(VLOOKUP('Customer Info'!A4415,'Customer Info'!A4415:C4914,2,FALSE),"Not Found")</f>
        <v>Not Found</v>
      </c>
      <c r="H4423" s="6" t="str">
        <f>IFERROR(VLOOKUP('Customer Info'!A4415,'Customer Info'!A4415:C4914,3,FALSE),"Not Found")</f>
        <v>Not Found</v>
      </c>
      <c r="I4423" s="6" t="str">
        <f>IFERROR(VLOOKUP('Customer Info'!A4415,'Customer Info'!A4415:E4914,5,FALSE),"Not Found")</f>
        <v>Not Found</v>
      </c>
      <c r="J4423" s="2">
        <v>691</v>
      </c>
      <c r="K4423" s="2">
        <v>646</v>
      </c>
      <c r="L4423" s="2">
        <v>1</v>
      </c>
      <c r="M4423" s="7">
        <f t="shared" si="340"/>
        <v>646</v>
      </c>
      <c r="N4423" s="7">
        <f t="shared" si="341"/>
        <v>691</v>
      </c>
      <c r="O4423" s="2">
        <v>63</v>
      </c>
      <c r="P4423" s="8">
        <f t="shared" si="342"/>
        <v>754</v>
      </c>
      <c r="Q4423" s="8">
        <f t="shared" si="343"/>
        <v>45</v>
      </c>
      <c r="R4423" s="2" t="s">
        <v>28</v>
      </c>
      <c r="S4423" s="9">
        <f t="shared" si="344"/>
        <v>15.08</v>
      </c>
    </row>
    <row r="4424" spans="1:19" x14ac:dyDescent="0.3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str">
        <f>IFERROR(VLOOKUP('Customer Info'!A4416,'Customer Info'!A4416:C4915,2,FALSE),"Not Found")</f>
        <v>Not Found</v>
      </c>
      <c r="H4424" s="6" t="str">
        <f>IFERROR(VLOOKUP('Customer Info'!A4416,'Customer Info'!A4416:C4915,3,FALSE),"Not Found")</f>
        <v>Not Found</v>
      </c>
      <c r="I4424" s="6" t="str">
        <f>IFERROR(VLOOKUP('Customer Info'!A4416,'Customer Info'!A4416:E4915,5,FALSE),"Not Found")</f>
        <v>Not Found</v>
      </c>
      <c r="J4424" s="2">
        <v>164</v>
      </c>
      <c r="K4424" s="2">
        <v>152</v>
      </c>
      <c r="L4424" s="2">
        <v>6</v>
      </c>
      <c r="M4424" s="7">
        <f t="shared" si="340"/>
        <v>912</v>
      </c>
      <c r="N4424" s="7">
        <f t="shared" si="341"/>
        <v>984</v>
      </c>
      <c r="O4424" s="2">
        <v>30</v>
      </c>
      <c r="P4424" s="8">
        <f t="shared" si="342"/>
        <v>1014</v>
      </c>
      <c r="Q4424" s="8">
        <f t="shared" si="343"/>
        <v>832</v>
      </c>
      <c r="R4424" s="2" t="s">
        <v>26</v>
      </c>
      <c r="S4424" s="9">
        <f t="shared" si="344"/>
        <v>20.28</v>
      </c>
    </row>
    <row r="4425" spans="1:19" x14ac:dyDescent="0.3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str">
        <f>IFERROR(VLOOKUP('Customer Info'!A4417,'Customer Info'!A4417:C4916,2,FALSE),"Not Found")</f>
        <v>Not Found</v>
      </c>
      <c r="H4425" s="6" t="str">
        <f>IFERROR(VLOOKUP('Customer Info'!A4417,'Customer Info'!A4417:C4916,3,FALSE),"Not Found")</f>
        <v>Not Found</v>
      </c>
      <c r="I4425" s="6" t="str">
        <f>IFERROR(VLOOKUP('Customer Info'!A4417,'Customer Info'!A4417:E4916,5,FALSE),"Not Found")</f>
        <v>Not Found</v>
      </c>
      <c r="J4425" s="2">
        <v>166</v>
      </c>
      <c r="K4425" s="2">
        <v>149</v>
      </c>
      <c r="L4425" s="2">
        <v>3</v>
      </c>
      <c r="M4425" s="7">
        <f t="shared" si="340"/>
        <v>447</v>
      </c>
      <c r="N4425" s="7">
        <f t="shared" si="341"/>
        <v>498</v>
      </c>
      <c r="O4425" s="2">
        <v>30</v>
      </c>
      <c r="P4425" s="8">
        <f t="shared" si="342"/>
        <v>528</v>
      </c>
      <c r="Q4425" s="8">
        <f t="shared" si="343"/>
        <v>349</v>
      </c>
      <c r="R4425" s="2" t="s">
        <v>28</v>
      </c>
      <c r="S4425" s="9">
        <f t="shared" si="344"/>
        <v>10.56</v>
      </c>
    </row>
    <row r="4426" spans="1:19" x14ac:dyDescent="0.3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str">
        <f>IFERROR(VLOOKUP('Customer Info'!A4418,'Customer Info'!A4418:C4917,2,FALSE),"Not Found")</f>
        <v>Not Found</v>
      </c>
      <c r="H4426" s="6" t="str">
        <f>IFERROR(VLOOKUP('Customer Info'!A4418,'Customer Info'!A4418:C4917,3,FALSE),"Not Found")</f>
        <v>Not Found</v>
      </c>
      <c r="I4426" s="6" t="str">
        <f>IFERROR(VLOOKUP('Customer Info'!A4418,'Customer Info'!A4418:E4917,5,FALSE),"Not Found")</f>
        <v>Not Found</v>
      </c>
      <c r="J4426" s="2">
        <v>1816</v>
      </c>
      <c r="K4426" s="2">
        <v>1700</v>
      </c>
      <c r="L4426" s="2">
        <v>2</v>
      </c>
      <c r="M4426" s="7">
        <f t="shared" si="340"/>
        <v>3400</v>
      </c>
      <c r="N4426" s="7">
        <f t="shared" si="341"/>
        <v>3632</v>
      </c>
      <c r="O4426" s="2">
        <v>58</v>
      </c>
      <c r="P4426" s="8">
        <f t="shared" si="342"/>
        <v>3690</v>
      </c>
      <c r="Q4426" s="8">
        <f t="shared" si="343"/>
        <v>1932</v>
      </c>
      <c r="R4426" s="2" t="s">
        <v>50</v>
      </c>
      <c r="S4426" s="9">
        <f t="shared" si="344"/>
        <v>73.8</v>
      </c>
    </row>
    <row r="4427" spans="1:19" x14ac:dyDescent="0.3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str">
        <f>IFERROR(VLOOKUP('Customer Info'!A4419,'Customer Info'!A4419:C4918,2,FALSE),"Not Found")</f>
        <v>Not Found</v>
      </c>
      <c r="H4427" s="6" t="str">
        <f>IFERROR(VLOOKUP('Customer Info'!A4419,'Customer Info'!A4419:C4918,3,FALSE),"Not Found")</f>
        <v>Not Found</v>
      </c>
      <c r="I4427" s="6" t="str">
        <f>IFERROR(VLOOKUP('Customer Info'!A4419,'Customer Info'!A4419:E4918,5,FALSE),"Not Found")</f>
        <v>Not Found</v>
      </c>
      <c r="J4427" s="2">
        <v>1332</v>
      </c>
      <c r="K4427" s="2">
        <v>1209</v>
      </c>
      <c r="L4427" s="2">
        <v>5</v>
      </c>
      <c r="M4427" s="7">
        <f t="shared" ref="M4427:M4490" si="345">$K4427*$L4427</f>
        <v>6045</v>
      </c>
      <c r="N4427" s="7">
        <f t="shared" ref="N4427:N4490" si="346">$J4427*$L4427</f>
        <v>6660</v>
      </c>
      <c r="O4427" s="2">
        <v>43</v>
      </c>
      <c r="P4427" s="8">
        <f t="shared" ref="P4427:P4490" si="347">$N4427+$O4427</f>
        <v>6703</v>
      </c>
      <c r="Q4427" s="8">
        <f t="shared" ref="Q4427:Q4490" si="348">$N4427-$K4427</f>
        <v>5451</v>
      </c>
      <c r="R4427" s="2" t="s">
        <v>28</v>
      </c>
      <c r="S4427" s="9">
        <f t="shared" ref="S4427:S4490" si="349" xml:space="preserve"> P4427 * VLOOKUP(P4427, $T$2:$U$6, 2, TRUE)</f>
        <v>335.15000000000003</v>
      </c>
    </row>
    <row r="4428" spans="1:19" x14ac:dyDescent="0.3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str">
        <f>IFERROR(VLOOKUP('Customer Info'!A4420,'Customer Info'!A4420:C4919,2,FALSE),"Not Found")</f>
        <v>Not Found</v>
      </c>
      <c r="H4428" s="6" t="str">
        <f>IFERROR(VLOOKUP('Customer Info'!A4420,'Customer Info'!A4420:C4919,3,FALSE),"Not Found")</f>
        <v>Not Found</v>
      </c>
      <c r="I4428" s="6" t="str">
        <f>IFERROR(VLOOKUP('Customer Info'!A4420,'Customer Info'!A4420:E4919,5,FALSE),"Not Found")</f>
        <v>Not Found</v>
      </c>
      <c r="J4428" s="2">
        <v>92</v>
      </c>
      <c r="K4428" s="2">
        <v>82</v>
      </c>
      <c r="L4428" s="2">
        <v>5</v>
      </c>
      <c r="M4428" s="7">
        <f t="shared" si="345"/>
        <v>410</v>
      </c>
      <c r="N4428" s="7">
        <f t="shared" si="346"/>
        <v>460</v>
      </c>
      <c r="O4428" s="2">
        <v>10</v>
      </c>
      <c r="P4428" s="8">
        <f t="shared" si="347"/>
        <v>470</v>
      </c>
      <c r="Q4428" s="8">
        <f t="shared" si="348"/>
        <v>378</v>
      </c>
      <c r="R4428" s="2" t="s">
        <v>28</v>
      </c>
      <c r="S4428" s="9">
        <f t="shared" si="349"/>
        <v>9.4</v>
      </c>
    </row>
    <row r="4429" spans="1:19" x14ac:dyDescent="0.3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str">
        <f>IFERROR(VLOOKUP('Customer Info'!A4421,'Customer Info'!A4421:C4920,2,FALSE),"Not Found")</f>
        <v>Not Found</v>
      </c>
      <c r="H4429" s="6" t="str">
        <f>IFERROR(VLOOKUP('Customer Info'!A4421,'Customer Info'!A4421:C4920,3,FALSE),"Not Found")</f>
        <v>Not Found</v>
      </c>
      <c r="I4429" s="6" t="str">
        <f>IFERROR(VLOOKUP('Customer Info'!A4421,'Customer Info'!A4421:E4920,5,FALSE),"Not Found")</f>
        <v>Not Found</v>
      </c>
      <c r="J4429" s="2">
        <v>765</v>
      </c>
      <c r="K4429" s="2">
        <v>701</v>
      </c>
      <c r="L4429" s="2">
        <v>4</v>
      </c>
      <c r="M4429" s="7">
        <f t="shared" si="345"/>
        <v>2804</v>
      </c>
      <c r="N4429" s="7">
        <f t="shared" si="346"/>
        <v>3060</v>
      </c>
      <c r="O4429" s="2">
        <v>86</v>
      </c>
      <c r="P4429" s="8">
        <f t="shared" si="347"/>
        <v>3146</v>
      </c>
      <c r="Q4429" s="8">
        <f t="shared" si="348"/>
        <v>2359</v>
      </c>
      <c r="R4429" s="2" t="s">
        <v>26</v>
      </c>
      <c r="S4429" s="9">
        <f t="shared" si="349"/>
        <v>62.92</v>
      </c>
    </row>
    <row r="4430" spans="1:19" x14ac:dyDescent="0.3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str">
        <f>IFERROR(VLOOKUP('Customer Info'!A4422,'Customer Info'!A4422:C4921,2,FALSE),"Not Found")</f>
        <v>Not Found</v>
      </c>
      <c r="H4430" s="6" t="str">
        <f>IFERROR(VLOOKUP('Customer Info'!A4422,'Customer Info'!A4422:C4921,3,FALSE),"Not Found")</f>
        <v>Not Found</v>
      </c>
      <c r="I4430" s="6" t="str">
        <f>IFERROR(VLOOKUP('Customer Info'!A4422,'Customer Info'!A4422:E4921,5,FALSE),"Not Found")</f>
        <v>Not Found</v>
      </c>
      <c r="J4430" s="2">
        <v>2843</v>
      </c>
      <c r="K4430" s="2">
        <v>2735</v>
      </c>
      <c r="L4430" s="2">
        <v>2</v>
      </c>
      <c r="M4430" s="7">
        <f t="shared" si="345"/>
        <v>5470</v>
      </c>
      <c r="N4430" s="7">
        <f t="shared" si="346"/>
        <v>5686</v>
      </c>
      <c r="O4430" s="2">
        <v>34</v>
      </c>
      <c r="P4430" s="8">
        <f t="shared" si="347"/>
        <v>5720</v>
      </c>
      <c r="Q4430" s="8">
        <f t="shared" si="348"/>
        <v>2951</v>
      </c>
      <c r="R4430" s="2" t="s">
        <v>28</v>
      </c>
      <c r="S4430" s="9">
        <f t="shared" si="349"/>
        <v>286</v>
      </c>
    </row>
    <row r="4431" spans="1:19" x14ac:dyDescent="0.3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str">
        <f>IFERROR(VLOOKUP('Customer Info'!A4423,'Customer Info'!A4423:C4922,2,FALSE),"Not Found")</f>
        <v>Not Found</v>
      </c>
      <c r="H4431" s="6" t="str">
        <f>IFERROR(VLOOKUP('Customer Info'!A4423,'Customer Info'!A4423:C4922,3,FALSE),"Not Found")</f>
        <v>Not Found</v>
      </c>
      <c r="I4431" s="6" t="str">
        <f>IFERROR(VLOOKUP('Customer Info'!A4423,'Customer Info'!A4423:E4922,5,FALSE),"Not Found")</f>
        <v>Not Found</v>
      </c>
      <c r="J4431" s="2">
        <v>1653</v>
      </c>
      <c r="K4431" s="2">
        <v>1560</v>
      </c>
      <c r="L4431" s="2">
        <v>2</v>
      </c>
      <c r="M4431" s="7">
        <f t="shared" si="345"/>
        <v>3120</v>
      </c>
      <c r="N4431" s="7">
        <f t="shared" si="346"/>
        <v>3306</v>
      </c>
      <c r="O4431" s="2">
        <v>96</v>
      </c>
      <c r="P4431" s="8">
        <f t="shared" si="347"/>
        <v>3402</v>
      </c>
      <c r="Q4431" s="8">
        <f t="shared" si="348"/>
        <v>1746</v>
      </c>
      <c r="R4431" s="2" t="s">
        <v>28</v>
      </c>
      <c r="S4431" s="9">
        <f t="shared" si="349"/>
        <v>68.040000000000006</v>
      </c>
    </row>
    <row r="4432" spans="1:19" x14ac:dyDescent="0.3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str">
        <f>IFERROR(VLOOKUP('Customer Info'!A4424,'Customer Info'!A4424:C4923,2,FALSE),"Not Found")</f>
        <v>Not Found</v>
      </c>
      <c r="H4432" s="6" t="str">
        <f>IFERROR(VLOOKUP('Customer Info'!A4424,'Customer Info'!A4424:C4923,3,FALSE),"Not Found")</f>
        <v>Not Found</v>
      </c>
      <c r="I4432" s="6" t="str">
        <f>IFERROR(VLOOKUP('Customer Info'!A4424,'Customer Info'!A4424:E4923,5,FALSE),"Not Found")</f>
        <v>Not Found</v>
      </c>
      <c r="J4432" s="2">
        <v>139</v>
      </c>
      <c r="K4432" s="2">
        <v>133</v>
      </c>
      <c r="L4432" s="2">
        <v>3</v>
      </c>
      <c r="M4432" s="7">
        <f t="shared" si="345"/>
        <v>399</v>
      </c>
      <c r="N4432" s="7">
        <f t="shared" si="346"/>
        <v>417</v>
      </c>
      <c r="O4432" s="2">
        <v>30</v>
      </c>
      <c r="P4432" s="8">
        <f t="shared" si="347"/>
        <v>447</v>
      </c>
      <c r="Q4432" s="8">
        <f t="shared" si="348"/>
        <v>284</v>
      </c>
      <c r="R4432" s="2" t="s">
        <v>28</v>
      </c>
      <c r="S4432" s="9">
        <f t="shared" si="349"/>
        <v>8.94</v>
      </c>
    </row>
    <row r="4433" spans="1:19" x14ac:dyDescent="0.3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str">
        <f>IFERROR(VLOOKUP('Customer Info'!A4425,'Customer Info'!A4425:C4924,2,FALSE),"Not Found")</f>
        <v>Not Found</v>
      </c>
      <c r="H4433" s="6" t="str">
        <f>IFERROR(VLOOKUP('Customer Info'!A4425,'Customer Info'!A4425:C4924,3,FALSE),"Not Found")</f>
        <v>Not Found</v>
      </c>
      <c r="I4433" s="6" t="str">
        <f>IFERROR(VLOOKUP('Customer Info'!A4425,'Customer Info'!A4425:E4924,5,FALSE),"Not Found")</f>
        <v>Not Found</v>
      </c>
      <c r="J4433" s="2">
        <v>7534</v>
      </c>
      <c r="K4433" s="2">
        <v>7106</v>
      </c>
      <c r="L4433" s="2">
        <v>2</v>
      </c>
      <c r="M4433" s="7">
        <f t="shared" si="345"/>
        <v>14212</v>
      </c>
      <c r="N4433" s="7">
        <f t="shared" si="346"/>
        <v>15068</v>
      </c>
      <c r="O4433" s="2">
        <v>78</v>
      </c>
      <c r="P4433" s="8">
        <f t="shared" si="347"/>
        <v>15146</v>
      </c>
      <c r="Q4433" s="8">
        <f t="shared" si="348"/>
        <v>7962</v>
      </c>
      <c r="R4433" s="2" t="s">
        <v>50</v>
      </c>
      <c r="S4433" s="9">
        <f t="shared" si="349"/>
        <v>757.30000000000007</v>
      </c>
    </row>
    <row r="4434" spans="1:19" x14ac:dyDescent="0.3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str">
        <f>IFERROR(VLOOKUP('Customer Info'!A4426,'Customer Info'!A4426:C4925,2,FALSE),"Not Found")</f>
        <v>Not Found</v>
      </c>
      <c r="H4434" s="6" t="str">
        <f>IFERROR(VLOOKUP('Customer Info'!A4426,'Customer Info'!A4426:C4925,3,FALSE),"Not Found")</f>
        <v>Not Found</v>
      </c>
      <c r="I4434" s="6" t="str">
        <f>IFERROR(VLOOKUP('Customer Info'!A4426,'Customer Info'!A4426:E4925,5,FALSE),"Not Found")</f>
        <v>Not Found</v>
      </c>
      <c r="J4434" s="2">
        <v>9214</v>
      </c>
      <c r="K4434" s="2">
        <v>8295</v>
      </c>
      <c r="L4434" s="2">
        <v>4</v>
      </c>
      <c r="M4434" s="7">
        <f t="shared" si="345"/>
        <v>33180</v>
      </c>
      <c r="N4434" s="7">
        <f t="shared" si="346"/>
        <v>36856</v>
      </c>
      <c r="O4434" s="2">
        <v>20</v>
      </c>
      <c r="P4434" s="8">
        <f t="shared" si="347"/>
        <v>36876</v>
      </c>
      <c r="Q4434" s="8">
        <f t="shared" si="348"/>
        <v>28561</v>
      </c>
      <c r="R4434" s="2" t="s">
        <v>28</v>
      </c>
      <c r="S4434" s="9">
        <f t="shared" si="349"/>
        <v>2581.3200000000002</v>
      </c>
    </row>
    <row r="4435" spans="1:19" x14ac:dyDescent="0.3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str">
        <f>IFERROR(VLOOKUP('Customer Info'!A4427,'Customer Info'!A4427:C4926,2,FALSE),"Not Found")</f>
        <v>Not Found</v>
      </c>
      <c r="H4435" s="6" t="str">
        <f>IFERROR(VLOOKUP('Customer Info'!A4427,'Customer Info'!A4427:C4926,3,FALSE),"Not Found")</f>
        <v>Not Found</v>
      </c>
      <c r="I4435" s="6" t="str">
        <f>IFERROR(VLOOKUP('Customer Info'!A4427,'Customer Info'!A4427:E4926,5,FALSE),"Not Found")</f>
        <v>Not Found</v>
      </c>
      <c r="J4435" s="2">
        <v>1482</v>
      </c>
      <c r="K4435" s="2">
        <v>1453</v>
      </c>
      <c r="L4435" s="2">
        <v>5</v>
      </c>
      <c r="M4435" s="7">
        <f t="shared" si="345"/>
        <v>7265</v>
      </c>
      <c r="N4435" s="7">
        <f t="shared" si="346"/>
        <v>7410</v>
      </c>
      <c r="O4435" s="2">
        <v>70</v>
      </c>
      <c r="P4435" s="8">
        <f t="shared" si="347"/>
        <v>7480</v>
      </c>
      <c r="Q4435" s="8">
        <f t="shared" si="348"/>
        <v>5957</v>
      </c>
      <c r="R4435" s="2" t="s">
        <v>50</v>
      </c>
      <c r="S4435" s="9">
        <f t="shared" si="349"/>
        <v>374</v>
      </c>
    </row>
    <row r="4436" spans="1:19" x14ac:dyDescent="0.3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str">
        <f>IFERROR(VLOOKUP('Customer Info'!A4428,'Customer Info'!A4428:C4927,2,FALSE),"Not Found")</f>
        <v>Not Found</v>
      </c>
      <c r="H4436" s="6" t="str">
        <f>IFERROR(VLOOKUP('Customer Info'!A4428,'Customer Info'!A4428:C4927,3,FALSE),"Not Found")</f>
        <v>Not Found</v>
      </c>
      <c r="I4436" s="6" t="str">
        <f>IFERROR(VLOOKUP('Customer Info'!A4428,'Customer Info'!A4428:E4927,5,FALSE),"Not Found")</f>
        <v>Not Found</v>
      </c>
      <c r="J4436" s="2">
        <v>505</v>
      </c>
      <c r="K4436" s="2">
        <v>463</v>
      </c>
      <c r="L4436" s="2">
        <v>1</v>
      </c>
      <c r="M4436" s="7">
        <f t="shared" si="345"/>
        <v>463</v>
      </c>
      <c r="N4436" s="7">
        <f t="shared" si="346"/>
        <v>505</v>
      </c>
      <c r="O4436" s="2">
        <v>46</v>
      </c>
      <c r="P4436" s="8">
        <f t="shared" si="347"/>
        <v>551</v>
      </c>
      <c r="Q4436" s="8">
        <f t="shared" si="348"/>
        <v>42</v>
      </c>
      <c r="R4436" s="2" t="s">
        <v>28</v>
      </c>
      <c r="S4436" s="9">
        <f t="shared" si="349"/>
        <v>11.02</v>
      </c>
    </row>
    <row r="4437" spans="1:19" x14ac:dyDescent="0.3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str">
        <f>IFERROR(VLOOKUP('Customer Info'!A4429,'Customer Info'!A4429:C4928,2,FALSE),"Not Found")</f>
        <v>Not Found</v>
      </c>
      <c r="H4437" s="6" t="str">
        <f>IFERROR(VLOOKUP('Customer Info'!A4429,'Customer Info'!A4429:C4928,3,FALSE),"Not Found")</f>
        <v>Not Found</v>
      </c>
      <c r="I4437" s="6" t="str">
        <f>IFERROR(VLOOKUP('Customer Info'!A4429,'Customer Info'!A4429:E4928,5,FALSE),"Not Found")</f>
        <v>Not Found</v>
      </c>
      <c r="J4437" s="2">
        <v>2644</v>
      </c>
      <c r="K4437" s="2">
        <v>2425</v>
      </c>
      <c r="L4437" s="2">
        <v>2</v>
      </c>
      <c r="M4437" s="7">
        <f t="shared" si="345"/>
        <v>4850</v>
      </c>
      <c r="N4437" s="7">
        <f t="shared" si="346"/>
        <v>5288</v>
      </c>
      <c r="O4437" s="2">
        <v>66</v>
      </c>
      <c r="P4437" s="8">
        <f t="shared" si="347"/>
        <v>5354</v>
      </c>
      <c r="Q4437" s="8">
        <f t="shared" si="348"/>
        <v>2863</v>
      </c>
      <c r="R4437" s="2" t="s">
        <v>26</v>
      </c>
      <c r="S4437" s="9">
        <f t="shared" si="349"/>
        <v>267.7</v>
      </c>
    </row>
    <row r="4438" spans="1:19" x14ac:dyDescent="0.3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str">
        <f>IFERROR(VLOOKUP('Customer Info'!A4430,'Customer Info'!A4430:C4929,2,FALSE),"Not Found")</f>
        <v>Not Found</v>
      </c>
      <c r="H4438" s="6" t="str">
        <f>IFERROR(VLOOKUP('Customer Info'!A4430,'Customer Info'!A4430:C4929,3,FALSE),"Not Found")</f>
        <v>Not Found</v>
      </c>
      <c r="I4438" s="6" t="str">
        <f>IFERROR(VLOOKUP('Customer Info'!A4430,'Customer Info'!A4430:E4929,5,FALSE),"Not Found")</f>
        <v>Not Found</v>
      </c>
      <c r="J4438" s="2">
        <v>8160</v>
      </c>
      <c r="K4438" s="2">
        <v>7475</v>
      </c>
      <c r="L4438" s="2">
        <v>2</v>
      </c>
      <c r="M4438" s="7">
        <f t="shared" si="345"/>
        <v>14950</v>
      </c>
      <c r="N4438" s="7">
        <f t="shared" si="346"/>
        <v>16320</v>
      </c>
      <c r="O4438" s="2">
        <v>37</v>
      </c>
      <c r="P4438" s="8">
        <f t="shared" si="347"/>
        <v>16357</v>
      </c>
      <c r="Q4438" s="8">
        <f t="shared" si="348"/>
        <v>8845</v>
      </c>
      <c r="R4438" s="2" t="s">
        <v>28</v>
      </c>
      <c r="S4438" s="9">
        <f t="shared" si="349"/>
        <v>817.85</v>
      </c>
    </row>
    <row r="4439" spans="1:19" x14ac:dyDescent="0.3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str">
        <f>IFERROR(VLOOKUP('Customer Info'!A4431,'Customer Info'!A4431:C4930,2,FALSE),"Not Found")</f>
        <v>Not Found</v>
      </c>
      <c r="H4439" s="6" t="str">
        <f>IFERROR(VLOOKUP('Customer Info'!A4431,'Customer Info'!A4431:C4930,3,FALSE),"Not Found")</f>
        <v>Not Found</v>
      </c>
      <c r="I4439" s="6" t="str">
        <f>IFERROR(VLOOKUP('Customer Info'!A4431,'Customer Info'!A4431:E4930,5,FALSE),"Not Found")</f>
        <v>Not Found</v>
      </c>
      <c r="J4439" s="2">
        <v>179</v>
      </c>
      <c r="K4439" s="2">
        <v>171</v>
      </c>
      <c r="L4439" s="2">
        <v>3</v>
      </c>
      <c r="M4439" s="7">
        <f t="shared" si="345"/>
        <v>513</v>
      </c>
      <c r="N4439" s="7">
        <f t="shared" si="346"/>
        <v>537</v>
      </c>
      <c r="O4439" s="2">
        <v>30</v>
      </c>
      <c r="P4439" s="8">
        <f t="shared" si="347"/>
        <v>567</v>
      </c>
      <c r="Q4439" s="8">
        <f t="shared" si="348"/>
        <v>366</v>
      </c>
      <c r="R4439" s="2" t="s">
        <v>50</v>
      </c>
      <c r="S4439" s="9">
        <f t="shared" si="349"/>
        <v>11.34</v>
      </c>
    </row>
    <row r="4440" spans="1:19" x14ac:dyDescent="0.3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str">
        <f>IFERROR(VLOOKUP('Customer Info'!A4432,'Customer Info'!A4432:C4931,2,FALSE),"Not Found")</f>
        <v>Not Found</v>
      </c>
      <c r="H4440" s="6" t="str">
        <f>IFERROR(VLOOKUP('Customer Info'!A4432,'Customer Info'!A4432:C4931,3,FALSE),"Not Found")</f>
        <v>Not Found</v>
      </c>
      <c r="I4440" s="6" t="str">
        <f>IFERROR(VLOOKUP('Customer Info'!A4432,'Customer Info'!A4432:E4931,5,FALSE),"Not Found")</f>
        <v>Not Found</v>
      </c>
      <c r="J4440" s="2">
        <v>165</v>
      </c>
      <c r="K4440" s="2">
        <v>149</v>
      </c>
      <c r="L4440" s="2">
        <v>1</v>
      </c>
      <c r="M4440" s="7">
        <f t="shared" si="345"/>
        <v>149</v>
      </c>
      <c r="N4440" s="7">
        <f t="shared" si="346"/>
        <v>165</v>
      </c>
      <c r="O4440" s="2">
        <v>30</v>
      </c>
      <c r="P4440" s="8">
        <f t="shared" si="347"/>
        <v>195</v>
      </c>
      <c r="Q4440" s="8">
        <f t="shared" si="348"/>
        <v>16</v>
      </c>
      <c r="R4440" s="2" t="s">
        <v>50</v>
      </c>
      <c r="S4440" s="9">
        <f t="shared" si="349"/>
        <v>3.9</v>
      </c>
    </row>
    <row r="4441" spans="1:19" x14ac:dyDescent="0.3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str">
        <f>IFERROR(VLOOKUP('Customer Info'!A4433,'Customer Info'!A4433:C4932,2,FALSE),"Not Found")</f>
        <v>Not Found</v>
      </c>
      <c r="H4441" s="6" t="str">
        <f>IFERROR(VLOOKUP('Customer Info'!A4433,'Customer Info'!A4433:C4932,3,FALSE),"Not Found")</f>
        <v>Not Found</v>
      </c>
      <c r="I4441" s="6" t="str">
        <f>IFERROR(VLOOKUP('Customer Info'!A4433,'Customer Info'!A4433:E4932,5,FALSE),"Not Found")</f>
        <v>Not Found</v>
      </c>
      <c r="J4441" s="2">
        <v>1925</v>
      </c>
      <c r="K4441" s="2">
        <v>1834</v>
      </c>
      <c r="L4441" s="2">
        <v>3</v>
      </c>
      <c r="M4441" s="7">
        <f t="shared" si="345"/>
        <v>5502</v>
      </c>
      <c r="N4441" s="7">
        <f t="shared" si="346"/>
        <v>5775</v>
      </c>
      <c r="O4441" s="2">
        <v>80</v>
      </c>
      <c r="P4441" s="8">
        <f t="shared" si="347"/>
        <v>5855</v>
      </c>
      <c r="Q4441" s="8">
        <f t="shared" si="348"/>
        <v>3941</v>
      </c>
      <c r="R4441" s="2" t="s">
        <v>28</v>
      </c>
      <c r="S4441" s="9">
        <f t="shared" si="349"/>
        <v>292.75</v>
      </c>
    </row>
    <row r="4442" spans="1:19" x14ac:dyDescent="0.3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str">
        <f>IFERROR(VLOOKUP('Customer Info'!A4434,'Customer Info'!A4434:C4933,2,FALSE),"Not Found")</f>
        <v>Not Found</v>
      </c>
      <c r="H4442" s="6" t="str">
        <f>IFERROR(VLOOKUP('Customer Info'!A4434,'Customer Info'!A4434:C4933,3,FALSE),"Not Found")</f>
        <v>Not Found</v>
      </c>
      <c r="I4442" s="6" t="str">
        <f>IFERROR(VLOOKUP('Customer Info'!A4434,'Customer Info'!A4434:E4933,5,FALSE),"Not Found")</f>
        <v>Not Found</v>
      </c>
      <c r="J4442" s="2">
        <v>2759</v>
      </c>
      <c r="K4442" s="2">
        <v>2628</v>
      </c>
      <c r="L4442" s="2">
        <v>2</v>
      </c>
      <c r="M4442" s="7">
        <f t="shared" si="345"/>
        <v>5256</v>
      </c>
      <c r="N4442" s="7">
        <f t="shared" si="346"/>
        <v>5518</v>
      </c>
      <c r="O4442" s="2">
        <v>82</v>
      </c>
      <c r="P4442" s="8">
        <f t="shared" si="347"/>
        <v>5600</v>
      </c>
      <c r="Q4442" s="8">
        <f t="shared" si="348"/>
        <v>2890</v>
      </c>
      <c r="R4442" s="2" t="s">
        <v>28</v>
      </c>
      <c r="S4442" s="9">
        <f t="shared" si="349"/>
        <v>280</v>
      </c>
    </row>
    <row r="4443" spans="1:19" x14ac:dyDescent="0.3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str">
        <f>IFERROR(VLOOKUP('Customer Info'!A4435,'Customer Info'!A4435:C4934,2,FALSE),"Not Found")</f>
        <v>Not Found</v>
      </c>
      <c r="H4443" s="6" t="str">
        <f>IFERROR(VLOOKUP('Customer Info'!A4435,'Customer Info'!A4435:C4934,3,FALSE),"Not Found")</f>
        <v>Not Found</v>
      </c>
      <c r="I4443" s="6" t="str">
        <f>IFERROR(VLOOKUP('Customer Info'!A4435,'Customer Info'!A4435:E4934,5,FALSE),"Not Found")</f>
        <v>Not Found</v>
      </c>
      <c r="J4443" s="2">
        <v>693</v>
      </c>
      <c r="K4443" s="2">
        <v>667</v>
      </c>
      <c r="L4443" s="2">
        <v>11</v>
      </c>
      <c r="M4443" s="7">
        <f t="shared" si="345"/>
        <v>7337</v>
      </c>
      <c r="N4443" s="7">
        <f t="shared" si="346"/>
        <v>7623</v>
      </c>
      <c r="O4443" s="2">
        <v>98</v>
      </c>
      <c r="P4443" s="8">
        <f t="shared" si="347"/>
        <v>7721</v>
      </c>
      <c r="Q4443" s="8">
        <f t="shared" si="348"/>
        <v>6956</v>
      </c>
      <c r="R4443" s="2" t="s">
        <v>28</v>
      </c>
      <c r="S4443" s="9">
        <f t="shared" si="349"/>
        <v>386.05</v>
      </c>
    </row>
    <row r="4444" spans="1:19" x14ac:dyDescent="0.3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str">
        <f>IFERROR(VLOOKUP('Customer Info'!A4436,'Customer Info'!A4436:C4935,2,FALSE),"Not Found")</f>
        <v>Not Found</v>
      </c>
      <c r="H4444" s="6" t="str">
        <f>IFERROR(VLOOKUP('Customer Info'!A4436,'Customer Info'!A4436:C4935,3,FALSE),"Not Found")</f>
        <v>Not Found</v>
      </c>
      <c r="I4444" s="6" t="str">
        <f>IFERROR(VLOOKUP('Customer Info'!A4436,'Customer Info'!A4436:E4935,5,FALSE),"Not Found")</f>
        <v>Not Found</v>
      </c>
      <c r="J4444" s="2">
        <v>5906</v>
      </c>
      <c r="K4444" s="2">
        <v>5266</v>
      </c>
      <c r="L4444" s="2">
        <v>3</v>
      </c>
      <c r="M4444" s="7">
        <f t="shared" si="345"/>
        <v>15798</v>
      </c>
      <c r="N4444" s="7">
        <f t="shared" si="346"/>
        <v>17718</v>
      </c>
      <c r="O4444" s="2">
        <v>30</v>
      </c>
      <c r="P4444" s="8">
        <f t="shared" si="347"/>
        <v>17748</v>
      </c>
      <c r="Q4444" s="8">
        <f t="shared" si="348"/>
        <v>12452</v>
      </c>
      <c r="R4444" s="2" t="s">
        <v>50</v>
      </c>
      <c r="S4444" s="9">
        <f t="shared" si="349"/>
        <v>887.40000000000009</v>
      </c>
    </row>
    <row r="4445" spans="1:19" x14ac:dyDescent="0.3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str">
        <f>IFERROR(VLOOKUP('Customer Info'!A4437,'Customer Info'!A4437:C4936,2,FALSE),"Not Found")</f>
        <v>Not Found</v>
      </c>
      <c r="H4445" s="6" t="str">
        <f>IFERROR(VLOOKUP('Customer Info'!A4437,'Customer Info'!A4437:C4936,3,FALSE),"Not Found")</f>
        <v>Not Found</v>
      </c>
      <c r="I4445" s="6" t="str">
        <f>IFERROR(VLOOKUP('Customer Info'!A4437,'Customer Info'!A4437:E4936,5,FALSE),"Not Found")</f>
        <v>Not Found</v>
      </c>
      <c r="J4445" s="2">
        <v>1498</v>
      </c>
      <c r="K4445" s="2">
        <v>1335</v>
      </c>
      <c r="L4445" s="2">
        <v>1</v>
      </c>
      <c r="M4445" s="7">
        <f t="shared" si="345"/>
        <v>1335</v>
      </c>
      <c r="N4445" s="7">
        <f t="shared" si="346"/>
        <v>1498</v>
      </c>
      <c r="O4445" s="2">
        <v>86</v>
      </c>
      <c r="P4445" s="8">
        <f t="shared" si="347"/>
        <v>1584</v>
      </c>
      <c r="Q4445" s="8">
        <f t="shared" si="348"/>
        <v>163</v>
      </c>
      <c r="R4445" s="2" t="s">
        <v>28</v>
      </c>
      <c r="S4445" s="9">
        <f t="shared" si="349"/>
        <v>31.68</v>
      </c>
    </row>
    <row r="4446" spans="1:19" x14ac:dyDescent="0.3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str">
        <f>IFERROR(VLOOKUP('Customer Info'!A4438,'Customer Info'!A4438:C4937,2,FALSE),"Not Found")</f>
        <v>Not Found</v>
      </c>
      <c r="H4446" s="6" t="str">
        <f>IFERROR(VLOOKUP('Customer Info'!A4438,'Customer Info'!A4438:C4937,3,FALSE),"Not Found")</f>
        <v>Not Found</v>
      </c>
      <c r="I4446" s="6" t="str">
        <f>IFERROR(VLOOKUP('Customer Info'!A4438,'Customer Info'!A4438:E4937,5,FALSE),"Not Found")</f>
        <v>Not Found</v>
      </c>
      <c r="J4446" s="2">
        <v>1845</v>
      </c>
      <c r="K4446" s="2">
        <v>1742</v>
      </c>
      <c r="L4446" s="2">
        <v>6</v>
      </c>
      <c r="M4446" s="7">
        <f t="shared" si="345"/>
        <v>10452</v>
      </c>
      <c r="N4446" s="7">
        <f t="shared" si="346"/>
        <v>11070</v>
      </c>
      <c r="O4446" s="2">
        <v>77</v>
      </c>
      <c r="P4446" s="8">
        <f t="shared" si="347"/>
        <v>11147</v>
      </c>
      <c r="Q4446" s="8">
        <f t="shared" si="348"/>
        <v>9328</v>
      </c>
      <c r="R4446" s="2" t="s">
        <v>50</v>
      </c>
      <c r="S4446" s="9">
        <f t="shared" si="349"/>
        <v>557.35</v>
      </c>
    </row>
    <row r="4447" spans="1:19" x14ac:dyDescent="0.3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str">
        <f>IFERROR(VLOOKUP('Customer Info'!A4439,'Customer Info'!A4439:C4938,2,FALSE),"Not Found")</f>
        <v>Not Found</v>
      </c>
      <c r="H4447" s="6" t="str">
        <f>IFERROR(VLOOKUP('Customer Info'!A4439,'Customer Info'!A4439:C4938,3,FALSE),"Not Found")</f>
        <v>Not Found</v>
      </c>
      <c r="I4447" s="6" t="str">
        <f>IFERROR(VLOOKUP('Customer Info'!A4439,'Customer Info'!A4439:E4938,5,FALSE),"Not Found")</f>
        <v>Not Found</v>
      </c>
      <c r="J4447" s="2">
        <v>35350</v>
      </c>
      <c r="K4447" s="2">
        <v>33037</v>
      </c>
      <c r="L4447" s="2">
        <v>2</v>
      </c>
      <c r="M4447" s="7">
        <f t="shared" si="345"/>
        <v>66074</v>
      </c>
      <c r="N4447" s="7">
        <f t="shared" si="346"/>
        <v>70700</v>
      </c>
      <c r="O4447" s="2">
        <v>51</v>
      </c>
      <c r="P4447" s="8">
        <f t="shared" si="347"/>
        <v>70751</v>
      </c>
      <c r="Q4447" s="8">
        <f t="shared" si="348"/>
        <v>37663</v>
      </c>
      <c r="R4447" s="2" t="s">
        <v>28</v>
      </c>
      <c r="S4447" s="9">
        <f t="shared" si="349"/>
        <v>6367.59</v>
      </c>
    </row>
    <row r="4448" spans="1:19" x14ac:dyDescent="0.3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str">
        <f>IFERROR(VLOOKUP('Customer Info'!A4440,'Customer Info'!A4440:C4939,2,FALSE),"Not Found")</f>
        <v>Not Found</v>
      </c>
      <c r="H4448" s="6" t="str">
        <f>IFERROR(VLOOKUP('Customer Info'!A4440,'Customer Info'!A4440:C4939,3,FALSE),"Not Found")</f>
        <v>Not Found</v>
      </c>
      <c r="I4448" s="6" t="str">
        <f>IFERROR(VLOOKUP('Customer Info'!A4440,'Customer Info'!A4440:E4939,5,FALSE),"Not Found")</f>
        <v>Not Found</v>
      </c>
      <c r="J4448" s="2">
        <v>1441</v>
      </c>
      <c r="K4448" s="2">
        <v>1360</v>
      </c>
      <c r="L4448" s="2">
        <v>2</v>
      </c>
      <c r="M4448" s="7">
        <f t="shared" si="345"/>
        <v>2720</v>
      </c>
      <c r="N4448" s="7">
        <f t="shared" si="346"/>
        <v>2882</v>
      </c>
      <c r="O4448" s="2">
        <v>42</v>
      </c>
      <c r="P4448" s="8">
        <f t="shared" si="347"/>
        <v>2924</v>
      </c>
      <c r="Q4448" s="8">
        <f t="shared" si="348"/>
        <v>1522</v>
      </c>
      <c r="R4448" s="2" t="s">
        <v>28</v>
      </c>
      <c r="S4448" s="9">
        <f t="shared" si="349"/>
        <v>58.480000000000004</v>
      </c>
    </row>
    <row r="4449" spans="1:19" x14ac:dyDescent="0.3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str">
        <f>IFERROR(VLOOKUP('Customer Info'!A4441,'Customer Info'!A4441:C4940,2,FALSE),"Not Found")</f>
        <v>Not Found</v>
      </c>
      <c r="H4449" s="6" t="str">
        <f>IFERROR(VLOOKUP('Customer Info'!A4441,'Customer Info'!A4441:C4940,3,FALSE),"Not Found")</f>
        <v>Not Found</v>
      </c>
      <c r="I4449" s="6" t="str">
        <f>IFERROR(VLOOKUP('Customer Info'!A4441,'Customer Info'!A4441:E4940,5,FALSE),"Not Found")</f>
        <v>Not Found</v>
      </c>
      <c r="J4449" s="2">
        <v>1703</v>
      </c>
      <c r="K4449" s="2">
        <v>1639</v>
      </c>
      <c r="L4449" s="2">
        <v>2</v>
      </c>
      <c r="M4449" s="7">
        <f t="shared" si="345"/>
        <v>3278</v>
      </c>
      <c r="N4449" s="7">
        <f t="shared" si="346"/>
        <v>3406</v>
      </c>
      <c r="O4449" s="2">
        <v>72</v>
      </c>
      <c r="P4449" s="8">
        <f t="shared" si="347"/>
        <v>3478</v>
      </c>
      <c r="Q4449" s="8">
        <f t="shared" si="348"/>
        <v>1767</v>
      </c>
      <c r="R4449" s="2" t="s">
        <v>28</v>
      </c>
      <c r="S4449" s="9">
        <f t="shared" si="349"/>
        <v>69.56</v>
      </c>
    </row>
    <row r="4450" spans="1:19" x14ac:dyDescent="0.3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str">
        <f>IFERROR(VLOOKUP('Customer Info'!A4442,'Customer Info'!A4442:C4941,2,FALSE),"Not Found")</f>
        <v>Not Found</v>
      </c>
      <c r="H4450" s="6" t="str">
        <f>IFERROR(VLOOKUP('Customer Info'!A4442,'Customer Info'!A4442:C4941,3,FALSE),"Not Found")</f>
        <v>Not Found</v>
      </c>
      <c r="I4450" s="6" t="str">
        <f>IFERROR(VLOOKUP('Customer Info'!A4442,'Customer Info'!A4442:E4941,5,FALSE),"Not Found")</f>
        <v>Not Found</v>
      </c>
      <c r="J4450" s="2">
        <v>3145</v>
      </c>
      <c r="K4450" s="2">
        <v>3025</v>
      </c>
      <c r="L4450" s="2">
        <v>4</v>
      </c>
      <c r="M4450" s="7">
        <f t="shared" si="345"/>
        <v>12100</v>
      </c>
      <c r="N4450" s="7">
        <f t="shared" si="346"/>
        <v>12580</v>
      </c>
      <c r="O4450" s="2">
        <v>81</v>
      </c>
      <c r="P4450" s="8">
        <f t="shared" si="347"/>
        <v>12661</v>
      </c>
      <c r="Q4450" s="8">
        <f t="shared" si="348"/>
        <v>9555</v>
      </c>
      <c r="R4450" s="2" t="s">
        <v>28</v>
      </c>
      <c r="S4450" s="9">
        <f t="shared" si="349"/>
        <v>633.05000000000007</v>
      </c>
    </row>
    <row r="4451" spans="1:19" x14ac:dyDescent="0.3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str">
        <f>IFERROR(VLOOKUP('Customer Info'!A4443,'Customer Info'!A4443:C4942,2,FALSE),"Not Found")</f>
        <v>Not Found</v>
      </c>
      <c r="H4451" s="6" t="str">
        <f>IFERROR(VLOOKUP('Customer Info'!A4443,'Customer Info'!A4443:C4942,3,FALSE),"Not Found")</f>
        <v>Not Found</v>
      </c>
      <c r="I4451" s="6" t="str">
        <f>IFERROR(VLOOKUP('Customer Info'!A4443,'Customer Info'!A4443:E4942,5,FALSE),"Not Found")</f>
        <v>Not Found</v>
      </c>
      <c r="J4451" s="2">
        <v>8351</v>
      </c>
      <c r="K4451" s="2">
        <v>8033</v>
      </c>
      <c r="L4451" s="2">
        <v>2</v>
      </c>
      <c r="M4451" s="7">
        <f t="shared" si="345"/>
        <v>16066</v>
      </c>
      <c r="N4451" s="7">
        <f t="shared" si="346"/>
        <v>16702</v>
      </c>
      <c r="O4451" s="2">
        <v>46</v>
      </c>
      <c r="P4451" s="8">
        <f t="shared" si="347"/>
        <v>16748</v>
      </c>
      <c r="Q4451" s="8">
        <f t="shared" si="348"/>
        <v>8669</v>
      </c>
      <c r="R4451" s="2" t="s">
        <v>28</v>
      </c>
      <c r="S4451" s="9">
        <f t="shared" si="349"/>
        <v>837.40000000000009</v>
      </c>
    </row>
    <row r="4452" spans="1:19" x14ac:dyDescent="0.3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str">
        <f>IFERROR(VLOOKUP('Customer Info'!A4444,'Customer Info'!A4444:C4943,2,FALSE),"Not Found")</f>
        <v>Not Found</v>
      </c>
      <c r="H4452" s="6" t="str">
        <f>IFERROR(VLOOKUP('Customer Info'!A4444,'Customer Info'!A4444:C4943,3,FALSE),"Not Found")</f>
        <v>Not Found</v>
      </c>
      <c r="I4452" s="6" t="str">
        <f>IFERROR(VLOOKUP('Customer Info'!A4444,'Customer Info'!A4444:E4943,5,FALSE),"Not Found")</f>
        <v>Not Found</v>
      </c>
      <c r="J4452" s="2">
        <v>3053</v>
      </c>
      <c r="K4452" s="2">
        <v>2937</v>
      </c>
      <c r="L4452" s="2">
        <v>7</v>
      </c>
      <c r="M4452" s="7">
        <f t="shared" si="345"/>
        <v>20559</v>
      </c>
      <c r="N4452" s="7">
        <f t="shared" si="346"/>
        <v>21371</v>
      </c>
      <c r="O4452" s="2">
        <v>24</v>
      </c>
      <c r="P4452" s="8">
        <f t="shared" si="347"/>
        <v>21395</v>
      </c>
      <c r="Q4452" s="8">
        <f t="shared" si="348"/>
        <v>18434</v>
      </c>
      <c r="R4452" s="2" t="s">
        <v>28</v>
      </c>
      <c r="S4452" s="9">
        <f t="shared" si="349"/>
        <v>1069.75</v>
      </c>
    </row>
    <row r="4453" spans="1:19" x14ac:dyDescent="0.3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str">
        <f>IFERROR(VLOOKUP('Customer Info'!A4445,'Customer Info'!A4445:C4944,2,FALSE),"Not Found")</f>
        <v>Not Found</v>
      </c>
      <c r="H4453" s="6" t="str">
        <f>IFERROR(VLOOKUP('Customer Info'!A4445,'Customer Info'!A4445:C4944,3,FALSE),"Not Found")</f>
        <v>Not Found</v>
      </c>
      <c r="I4453" s="6" t="str">
        <f>IFERROR(VLOOKUP('Customer Info'!A4445,'Customer Info'!A4445:E4944,5,FALSE),"Not Found")</f>
        <v>Not Found</v>
      </c>
      <c r="J4453" s="2">
        <v>185</v>
      </c>
      <c r="K4453" s="2">
        <v>171</v>
      </c>
      <c r="L4453" s="2">
        <v>4</v>
      </c>
      <c r="M4453" s="7">
        <f t="shared" si="345"/>
        <v>684</v>
      </c>
      <c r="N4453" s="7">
        <f t="shared" si="346"/>
        <v>740</v>
      </c>
      <c r="O4453" s="2">
        <v>30</v>
      </c>
      <c r="P4453" s="8">
        <f t="shared" si="347"/>
        <v>770</v>
      </c>
      <c r="Q4453" s="8">
        <f t="shared" si="348"/>
        <v>569</v>
      </c>
      <c r="R4453" s="2" t="s">
        <v>28</v>
      </c>
      <c r="S4453" s="9">
        <f t="shared" si="349"/>
        <v>15.4</v>
      </c>
    </row>
    <row r="4454" spans="1:19" x14ac:dyDescent="0.3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str">
        <f>IFERROR(VLOOKUP('Customer Info'!A4446,'Customer Info'!A4446:C4945,2,FALSE),"Not Found")</f>
        <v>Not Found</v>
      </c>
      <c r="H4454" s="6" t="str">
        <f>IFERROR(VLOOKUP('Customer Info'!A4446,'Customer Info'!A4446:C4945,3,FALSE),"Not Found")</f>
        <v>Not Found</v>
      </c>
      <c r="I4454" s="6" t="str">
        <f>IFERROR(VLOOKUP('Customer Info'!A4446,'Customer Info'!A4446:E4945,5,FALSE),"Not Found")</f>
        <v>Not Found</v>
      </c>
      <c r="J4454" s="2">
        <v>3354</v>
      </c>
      <c r="K4454" s="2">
        <v>3102</v>
      </c>
      <c r="L4454" s="2">
        <v>8</v>
      </c>
      <c r="M4454" s="7">
        <f t="shared" si="345"/>
        <v>24816</v>
      </c>
      <c r="N4454" s="7">
        <f t="shared" si="346"/>
        <v>26832</v>
      </c>
      <c r="O4454" s="2">
        <v>73</v>
      </c>
      <c r="P4454" s="8">
        <f t="shared" si="347"/>
        <v>26905</v>
      </c>
      <c r="Q4454" s="8">
        <f t="shared" si="348"/>
        <v>23730</v>
      </c>
      <c r="R4454" s="2" t="s">
        <v>56</v>
      </c>
      <c r="S4454" s="9">
        <f t="shared" si="349"/>
        <v>1883.3500000000001</v>
      </c>
    </row>
    <row r="4455" spans="1:19" x14ac:dyDescent="0.3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str">
        <f>IFERROR(VLOOKUP('Customer Info'!A4447,'Customer Info'!A4447:C4946,2,FALSE),"Not Found")</f>
        <v>Not Found</v>
      </c>
      <c r="H4455" s="6" t="str">
        <f>IFERROR(VLOOKUP('Customer Info'!A4447,'Customer Info'!A4447:C4946,3,FALSE),"Not Found")</f>
        <v>Not Found</v>
      </c>
      <c r="I4455" s="6" t="str">
        <f>IFERROR(VLOOKUP('Customer Info'!A4447,'Customer Info'!A4447:E4946,5,FALSE),"Not Found")</f>
        <v>Not Found</v>
      </c>
      <c r="J4455" s="2">
        <v>1169</v>
      </c>
      <c r="K4455" s="2">
        <v>1072</v>
      </c>
      <c r="L4455" s="2">
        <v>4</v>
      </c>
      <c r="M4455" s="7">
        <f t="shared" si="345"/>
        <v>4288</v>
      </c>
      <c r="N4455" s="7">
        <f t="shared" si="346"/>
        <v>4676</v>
      </c>
      <c r="O4455" s="2">
        <v>75</v>
      </c>
      <c r="P4455" s="8">
        <f t="shared" si="347"/>
        <v>4751</v>
      </c>
      <c r="Q4455" s="8">
        <f t="shared" si="348"/>
        <v>3604</v>
      </c>
      <c r="R4455" s="2" t="s">
        <v>26</v>
      </c>
      <c r="S4455" s="9">
        <f t="shared" si="349"/>
        <v>95.02</v>
      </c>
    </row>
    <row r="4456" spans="1:19" x14ac:dyDescent="0.3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str">
        <f>IFERROR(VLOOKUP('Customer Info'!A4448,'Customer Info'!A4448:C4947,2,FALSE),"Not Found")</f>
        <v>Not Found</v>
      </c>
      <c r="H4456" s="6" t="str">
        <f>IFERROR(VLOOKUP('Customer Info'!A4448,'Customer Info'!A4448:C4947,3,FALSE),"Not Found")</f>
        <v>Not Found</v>
      </c>
      <c r="I4456" s="6" t="str">
        <f>IFERROR(VLOOKUP('Customer Info'!A4448,'Customer Info'!A4448:E4947,5,FALSE),"Not Found")</f>
        <v>Not Found</v>
      </c>
      <c r="J4456" s="2">
        <v>829</v>
      </c>
      <c r="K4456" s="2">
        <v>761</v>
      </c>
      <c r="L4456" s="2">
        <v>4</v>
      </c>
      <c r="M4456" s="7">
        <f t="shared" si="345"/>
        <v>3044</v>
      </c>
      <c r="N4456" s="7">
        <f t="shared" si="346"/>
        <v>3316</v>
      </c>
      <c r="O4456" s="2">
        <v>79</v>
      </c>
      <c r="P4456" s="8">
        <f t="shared" si="347"/>
        <v>3395</v>
      </c>
      <c r="Q4456" s="8">
        <f t="shared" si="348"/>
        <v>2555</v>
      </c>
      <c r="R4456" s="2" t="s">
        <v>28</v>
      </c>
      <c r="S4456" s="9">
        <f t="shared" si="349"/>
        <v>67.900000000000006</v>
      </c>
    </row>
    <row r="4457" spans="1:19" x14ac:dyDescent="0.3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str">
        <f>IFERROR(VLOOKUP('Customer Info'!A4449,'Customer Info'!A4449:C4948,2,FALSE),"Not Found")</f>
        <v>Not Found</v>
      </c>
      <c r="H4457" s="6" t="str">
        <f>IFERROR(VLOOKUP('Customer Info'!A4449,'Customer Info'!A4449:C4948,3,FALSE),"Not Found")</f>
        <v>Not Found</v>
      </c>
      <c r="I4457" s="6" t="str">
        <f>IFERROR(VLOOKUP('Customer Info'!A4449,'Customer Info'!A4449:E4948,5,FALSE),"Not Found")</f>
        <v>Not Found</v>
      </c>
      <c r="J4457" s="2">
        <v>1770</v>
      </c>
      <c r="K4457" s="2">
        <v>1592</v>
      </c>
      <c r="L4457" s="2">
        <v>1</v>
      </c>
      <c r="M4457" s="7">
        <f t="shared" si="345"/>
        <v>1592</v>
      </c>
      <c r="N4457" s="7">
        <f t="shared" si="346"/>
        <v>1770</v>
      </c>
      <c r="O4457" s="2">
        <v>53</v>
      </c>
      <c r="P4457" s="8">
        <f t="shared" si="347"/>
        <v>1823</v>
      </c>
      <c r="Q4457" s="8">
        <f t="shared" si="348"/>
        <v>178</v>
      </c>
      <c r="R4457" s="2" t="s">
        <v>28</v>
      </c>
      <c r="S4457" s="9">
        <f t="shared" si="349"/>
        <v>36.46</v>
      </c>
    </row>
    <row r="4458" spans="1:19" x14ac:dyDescent="0.3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str">
        <f>IFERROR(VLOOKUP('Customer Info'!A4450,'Customer Info'!A4450:C4949,2,FALSE),"Not Found")</f>
        <v>Not Found</v>
      </c>
      <c r="H4458" s="6" t="str">
        <f>IFERROR(VLOOKUP('Customer Info'!A4450,'Customer Info'!A4450:C4949,3,FALSE),"Not Found")</f>
        <v>Not Found</v>
      </c>
      <c r="I4458" s="6" t="str">
        <f>IFERROR(VLOOKUP('Customer Info'!A4450,'Customer Info'!A4450:E4949,5,FALSE),"Not Found")</f>
        <v>Not Found</v>
      </c>
      <c r="J4458" s="2">
        <v>7623</v>
      </c>
      <c r="K4458" s="2">
        <v>7064</v>
      </c>
      <c r="L4458" s="2">
        <v>3</v>
      </c>
      <c r="M4458" s="7">
        <f t="shared" si="345"/>
        <v>21192</v>
      </c>
      <c r="N4458" s="7">
        <f t="shared" si="346"/>
        <v>22869</v>
      </c>
      <c r="O4458" s="2">
        <v>63</v>
      </c>
      <c r="P4458" s="8">
        <f t="shared" si="347"/>
        <v>22932</v>
      </c>
      <c r="Q4458" s="8">
        <f t="shared" si="348"/>
        <v>15805</v>
      </c>
      <c r="R4458" s="2" t="s">
        <v>28</v>
      </c>
      <c r="S4458" s="9">
        <f t="shared" si="349"/>
        <v>1146.6000000000001</v>
      </c>
    </row>
    <row r="4459" spans="1:19" x14ac:dyDescent="0.3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str">
        <f>IFERROR(VLOOKUP('Customer Info'!A4451,'Customer Info'!A4451:C4950,2,FALSE),"Not Found")</f>
        <v>Not Found</v>
      </c>
      <c r="H4459" s="6" t="str">
        <f>IFERROR(VLOOKUP('Customer Info'!A4451,'Customer Info'!A4451:C4950,3,FALSE),"Not Found")</f>
        <v>Not Found</v>
      </c>
      <c r="I4459" s="6" t="str">
        <f>IFERROR(VLOOKUP('Customer Info'!A4451,'Customer Info'!A4451:E4950,5,FALSE),"Not Found")</f>
        <v>Not Found</v>
      </c>
      <c r="J4459" s="2">
        <v>6768</v>
      </c>
      <c r="K4459" s="2">
        <v>6512</v>
      </c>
      <c r="L4459" s="2">
        <v>4</v>
      </c>
      <c r="M4459" s="7">
        <f t="shared" si="345"/>
        <v>26048</v>
      </c>
      <c r="N4459" s="7">
        <f t="shared" si="346"/>
        <v>27072</v>
      </c>
      <c r="O4459" s="2">
        <v>63</v>
      </c>
      <c r="P4459" s="8">
        <f t="shared" si="347"/>
        <v>27135</v>
      </c>
      <c r="Q4459" s="8">
        <f t="shared" si="348"/>
        <v>20560</v>
      </c>
      <c r="R4459" s="2" t="s">
        <v>28</v>
      </c>
      <c r="S4459" s="9">
        <f t="shared" si="349"/>
        <v>1899.4500000000003</v>
      </c>
    </row>
    <row r="4460" spans="1:19" x14ac:dyDescent="0.3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str">
        <f>IFERROR(VLOOKUP('Customer Info'!A4452,'Customer Info'!A4452:C4951,2,FALSE),"Not Found")</f>
        <v>Not Found</v>
      </c>
      <c r="H4460" s="6" t="str">
        <f>IFERROR(VLOOKUP('Customer Info'!A4452,'Customer Info'!A4452:C4951,3,FALSE),"Not Found")</f>
        <v>Not Found</v>
      </c>
      <c r="I4460" s="6" t="str">
        <f>IFERROR(VLOOKUP('Customer Info'!A4452,'Customer Info'!A4452:E4951,5,FALSE),"Not Found")</f>
        <v>Not Found</v>
      </c>
      <c r="J4460" s="2">
        <v>751</v>
      </c>
      <c r="K4460" s="2">
        <v>696</v>
      </c>
      <c r="L4460" s="2">
        <v>2</v>
      </c>
      <c r="M4460" s="7">
        <f t="shared" si="345"/>
        <v>1392</v>
      </c>
      <c r="N4460" s="7">
        <f t="shared" si="346"/>
        <v>1502</v>
      </c>
      <c r="O4460" s="2">
        <v>26</v>
      </c>
      <c r="P4460" s="8">
        <f t="shared" si="347"/>
        <v>1528</v>
      </c>
      <c r="Q4460" s="8">
        <f t="shared" si="348"/>
        <v>806</v>
      </c>
      <c r="R4460" s="2" t="s">
        <v>28</v>
      </c>
      <c r="S4460" s="9">
        <f t="shared" si="349"/>
        <v>30.560000000000002</v>
      </c>
    </row>
    <row r="4461" spans="1:19" x14ac:dyDescent="0.3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str">
        <f>IFERROR(VLOOKUP('Customer Info'!A4453,'Customer Info'!A4453:C4952,2,FALSE),"Not Found")</f>
        <v>Not Found</v>
      </c>
      <c r="H4461" s="6" t="str">
        <f>IFERROR(VLOOKUP('Customer Info'!A4453,'Customer Info'!A4453:C4952,3,FALSE),"Not Found")</f>
        <v>Not Found</v>
      </c>
      <c r="I4461" s="6" t="str">
        <f>IFERROR(VLOOKUP('Customer Info'!A4453,'Customer Info'!A4453:E4952,5,FALSE),"Not Found")</f>
        <v>Not Found</v>
      </c>
      <c r="J4461" s="2">
        <v>7658</v>
      </c>
      <c r="K4461" s="2">
        <v>7026</v>
      </c>
      <c r="L4461" s="2">
        <v>1</v>
      </c>
      <c r="M4461" s="7">
        <f t="shared" si="345"/>
        <v>7026</v>
      </c>
      <c r="N4461" s="7">
        <f t="shared" si="346"/>
        <v>7658</v>
      </c>
      <c r="O4461" s="2">
        <v>44</v>
      </c>
      <c r="P4461" s="8">
        <f t="shared" si="347"/>
        <v>7702</v>
      </c>
      <c r="Q4461" s="8">
        <f t="shared" si="348"/>
        <v>632</v>
      </c>
      <c r="R4461" s="2" t="s">
        <v>28</v>
      </c>
      <c r="S4461" s="9">
        <f t="shared" si="349"/>
        <v>385.1</v>
      </c>
    </row>
    <row r="4462" spans="1:19" x14ac:dyDescent="0.3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str">
        <f>IFERROR(VLOOKUP('Customer Info'!A4454,'Customer Info'!A4454:C4953,2,FALSE),"Not Found")</f>
        <v>Not Found</v>
      </c>
      <c r="H4462" s="6" t="str">
        <f>IFERROR(VLOOKUP('Customer Info'!A4454,'Customer Info'!A4454:C4953,3,FALSE),"Not Found")</f>
        <v>Not Found</v>
      </c>
      <c r="I4462" s="6" t="str">
        <f>IFERROR(VLOOKUP('Customer Info'!A4454,'Customer Info'!A4454:E4953,5,FALSE),"Not Found")</f>
        <v>Not Found</v>
      </c>
      <c r="J4462" s="2">
        <v>8752</v>
      </c>
      <c r="K4462" s="2">
        <v>7877</v>
      </c>
      <c r="L4462" s="2">
        <v>2</v>
      </c>
      <c r="M4462" s="7">
        <f t="shared" si="345"/>
        <v>15754</v>
      </c>
      <c r="N4462" s="7">
        <f t="shared" si="346"/>
        <v>17504</v>
      </c>
      <c r="O4462" s="2">
        <v>100</v>
      </c>
      <c r="P4462" s="8">
        <f t="shared" si="347"/>
        <v>17604</v>
      </c>
      <c r="Q4462" s="8">
        <f t="shared" si="348"/>
        <v>9627</v>
      </c>
      <c r="R4462" s="2" t="s">
        <v>26</v>
      </c>
      <c r="S4462" s="9">
        <f t="shared" si="349"/>
        <v>880.2</v>
      </c>
    </row>
    <row r="4463" spans="1:19" x14ac:dyDescent="0.3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str">
        <f>IFERROR(VLOOKUP('Customer Info'!A4455,'Customer Info'!A4455:C4954,2,FALSE),"Not Found")</f>
        <v>Not Found</v>
      </c>
      <c r="H4463" s="6" t="str">
        <f>IFERROR(VLOOKUP('Customer Info'!A4455,'Customer Info'!A4455:C4954,3,FALSE),"Not Found")</f>
        <v>Not Found</v>
      </c>
      <c r="I4463" s="6" t="str">
        <f>IFERROR(VLOOKUP('Customer Info'!A4455,'Customer Info'!A4455:E4954,5,FALSE),"Not Found")</f>
        <v>Not Found</v>
      </c>
      <c r="J4463" s="2">
        <v>8630</v>
      </c>
      <c r="K4463" s="2">
        <v>8303</v>
      </c>
      <c r="L4463" s="2">
        <v>3</v>
      </c>
      <c r="M4463" s="7">
        <f t="shared" si="345"/>
        <v>24909</v>
      </c>
      <c r="N4463" s="7">
        <f t="shared" si="346"/>
        <v>25890</v>
      </c>
      <c r="O4463" s="2">
        <v>70</v>
      </c>
      <c r="P4463" s="8">
        <f t="shared" si="347"/>
        <v>25960</v>
      </c>
      <c r="Q4463" s="8">
        <f t="shared" si="348"/>
        <v>17587</v>
      </c>
      <c r="R4463" s="2" t="s">
        <v>50</v>
      </c>
      <c r="S4463" s="9">
        <f t="shared" si="349"/>
        <v>1817.2000000000003</v>
      </c>
    </row>
    <row r="4464" spans="1:19" x14ac:dyDescent="0.3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str">
        <f>IFERROR(VLOOKUP('Customer Info'!A4456,'Customer Info'!A4456:C4955,2,FALSE),"Not Found")</f>
        <v>Not Found</v>
      </c>
      <c r="H4464" s="6" t="str">
        <f>IFERROR(VLOOKUP('Customer Info'!A4456,'Customer Info'!A4456:C4955,3,FALSE),"Not Found")</f>
        <v>Not Found</v>
      </c>
      <c r="I4464" s="6" t="str">
        <f>IFERROR(VLOOKUP('Customer Info'!A4456,'Customer Info'!A4456:E4955,5,FALSE),"Not Found")</f>
        <v>Not Found</v>
      </c>
      <c r="J4464" s="2">
        <v>458</v>
      </c>
      <c r="K4464" s="2">
        <v>419</v>
      </c>
      <c r="L4464" s="2">
        <v>7</v>
      </c>
      <c r="M4464" s="7">
        <f t="shared" si="345"/>
        <v>2933</v>
      </c>
      <c r="N4464" s="7">
        <f t="shared" si="346"/>
        <v>3206</v>
      </c>
      <c r="O4464" s="2">
        <v>70</v>
      </c>
      <c r="P4464" s="8">
        <f t="shared" si="347"/>
        <v>3276</v>
      </c>
      <c r="Q4464" s="8">
        <f t="shared" si="348"/>
        <v>2787</v>
      </c>
      <c r="R4464" s="2" t="s">
        <v>56</v>
      </c>
      <c r="S4464" s="9">
        <f t="shared" si="349"/>
        <v>65.52</v>
      </c>
    </row>
    <row r="4465" spans="1:19" x14ac:dyDescent="0.3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str">
        <f>IFERROR(VLOOKUP('Customer Info'!A4457,'Customer Info'!A4457:C4956,2,FALSE),"Not Found")</f>
        <v>Not Found</v>
      </c>
      <c r="H4465" s="6" t="str">
        <f>IFERROR(VLOOKUP('Customer Info'!A4457,'Customer Info'!A4457:C4956,3,FALSE),"Not Found")</f>
        <v>Not Found</v>
      </c>
      <c r="I4465" s="6" t="str">
        <f>IFERROR(VLOOKUP('Customer Info'!A4457,'Customer Info'!A4457:E4956,5,FALSE),"Not Found")</f>
        <v>Not Found</v>
      </c>
      <c r="J4465" s="2">
        <v>97</v>
      </c>
      <c r="K4465" s="2">
        <v>92</v>
      </c>
      <c r="L4465" s="2">
        <v>2</v>
      </c>
      <c r="M4465" s="7">
        <f t="shared" si="345"/>
        <v>184</v>
      </c>
      <c r="N4465" s="7">
        <f t="shared" si="346"/>
        <v>194</v>
      </c>
      <c r="O4465" s="2">
        <v>10</v>
      </c>
      <c r="P4465" s="8">
        <f t="shared" si="347"/>
        <v>204</v>
      </c>
      <c r="Q4465" s="8">
        <f t="shared" si="348"/>
        <v>102</v>
      </c>
      <c r="R4465" s="2" t="s">
        <v>28</v>
      </c>
      <c r="S4465" s="9">
        <f t="shared" si="349"/>
        <v>4.08</v>
      </c>
    </row>
    <row r="4466" spans="1:19" x14ac:dyDescent="0.3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str">
        <f>IFERROR(VLOOKUP('Customer Info'!A4458,'Customer Info'!A4458:C4957,2,FALSE),"Not Found")</f>
        <v>Not Found</v>
      </c>
      <c r="H4466" s="6" t="str">
        <f>IFERROR(VLOOKUP('Customer Info'!A4458,'Customer Info'!A4458:C4957,3,FALSE),"Not Found")</f>
        <v>Not Found</v>
      </c>
      <c r="I4466" s="6" t="str">
        <f>IFERROR(VLOOKUP('Customer Info'!A4458,'Customer Info'!A4458:E4957,5,FALSE),"Not Found")</f>
        <v>Not Found</v>
      </c>
      <c r="J4466" s="2">
        <v>1585</v>
      </c>
      <c r="K4466" s="2">
        <v>1495</v>
      </c>
      <c r="L4466" s="2">
        <v>6</v>
      </c>
      <c r="M4466" s="7">
        <f t="shared" si="345"/>
        <v>8970</v>
      </c>
      <c r="N4466" s="7">
        <f t="shared" si="346"/>
        <v>9510</v>
      </c>
      <c r="O4466" s="2">
        <v>48</v>
      </c>
      <c r="P4466" s="8">
        <f t="shared" si="347"/>
        <v>9558</v>
      </c>
      <c r="Q4466" s="8">
        <f t="shared" si="348"/>
        <v>8015</v>
      </c>
      <c r="R4466" s="2" t="s">
        <v>28</v>
      </c>
      <c r="S4466" s="9">
        <f t="shared" si="349"/>
        <v>477.90000000000003</v>
      </c>
    </row>
    <row r="4467" spans="1:19" x14ac:dyDescent="0.3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str">
        <f>IFERROR(VLOOKUP('Customer Info'!A4459,'Customer Info'!A4459:C4958,2,FALSE),"Not Found")</f>
        <v>Not Found</v>
      </c>
      <c r="H4467" s="6" t="str">
        <f>IFERROR(VLOOKUP('Customer Info'!A4459,'Customer Info'!A4459:C4958,3,FALSE),"Not Found")</f>
        <v>Not Found</v>
      </c>
      <c r="I4467" s="6" t="str">
        <f>IFERROR(VLOOKUP('Customer Info'!A4459,'Customer Info'!A4459:E4958,5,FALSE),"Not Found")</f>
        <v>Not Found</v>
      </c>
      <c r="J4467" s="2">
        <v>6274</v>
      </c>
      <c r="K4467" s="2">
        <v>6093</v>
      </c>
      <c r="L4467" s="2">
        <v>4</v>
      </c>
      <c r="M4467" s="7">
        <f t="shared" si="345"/>
        <v>24372</v>
      </c>
      <c r="N4467" s="7">
        <f t="shared" si="346"/>
        <v>25096</v>
      </c>
      <c r="O4467" s="2">
        <v>78</v>
      </c>
      <c r="P4467" s="8">
        <f t="shared" si="347"/>
        <v>25174</v>
      </c>
      <c r="Q4467" s="8">
        <f t="shared" si="348"/>
        <v>19003</v>
      </c>
      <c r="R4467" s="2" t="s">
        <v>56</v>
      </c>
      <c r="S4467" s="9">
        <f t="shared" si="349"/>
        <v>1762.18</v>
      </c>
    </row>
    <row r="4468" spans="1:19" x14ac:dyDescent="0.3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str">
        <f>IFERROR(VLOOKUP('Customer Info'!A4460,'Customer Info'!A4460:C4959,2,FALSE),"Not Found")</f>
        <v>Not Found</v>
      </c>
      <c r="H4468" s="6" t="str">
        <f>IFERROR(VLOOKUP('Customer Info'!A4460,'Customer Info'!A4460:C4959,3,FALSE),"Not Found")</f>
        <v>Not Found</v>
      </c>
      <c r="I4468" s="6" t="str">
        <f>IFERROR(VLOOKUP('Customer Info'!A4460,'Customer Info'!A4460:E4959,5,FALSE),"Not Found")</f>
        <v>Not Found</v>
      </c>
      <c r="J4468" s="2">
        <v>1878</v>
      </c>
      <c r="K4468" s="2">
        <v>1790</v>
      </c>
      <c r="L4468" s="2">
        <v>1</v>
      </c>
      <c r="M4468" s="7">
        <f t="shared" si="345"/>
        <v>1790</v>
      </c>
      <c r="N4468" s="7">
        <f t="shared" si="346"/>
        <v>1878</v>
      </c>
      <c r="O4468" s="2">
        <v>48</v>
      </c>
      <c r="P4468" s="8">
        <f t="shared" si="347"/>
        <v>1926</v>
      </c>
      <c r="Q4468" s="8">
        <f t="shared" si="348"/>
        <v>88</v>
      </c>
      <c r="R4468" s="2" t="s">
        <v>50</v>
      </c>
      <c r="S4468" s="9">
        <f t="shared" si="349"/>
        <v>38.520000000000003</v>
      </c>
    </row>
    <row r="4469" spans="1:19" x14ac:dyDescent="0.3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str">
        <f>IFERROR(VLOOKUP('Customer Info'!A4461,'Customer Info'!A4461:C4960,2,FALSE),"Not Found")</f>
        <v>Not Found</v>
      </c>
      <c r="H4469" s="6" t="str">
        <f>IFERROR(VLOOKUP('Customer Info'!A4461,'Customer Info'!A4461:C4960,3,FALSE),"Not Found")</f>
        <v>Not Found</v>
      </c>
      <c r="I4469" s="6" t="str">
        <f>IFERROR(VLOOKUP('Customer Info'!A4461,'Customer Info'!A4461:E4960,5,FALSE),"Not Found")</f>
        <v>Not Found</v>
      </c>
      <c r="J4469" s="2">
        <v>8399</v>
      </c>
      <c r="K4469" s="2">
        <v>8001</v>
      </c>
      <c r="L4469" s="2">
        <v>4</v>
      </c>
      <c r="M4469" s="7">
        <f t="shared" si="345"/>
        <v>32004</v>
      </c>
      <c r="N4469" s="7">
        <f t="shared" si="346"/>
        <v>33596</v>
      </c>
      <c r="O4469" s="2">
        <v>72</v>
      </c>
      <c r="P4469" s="8">
        <f t="shared" si="347"/>
        <v>33668</v>
      </c>
      <c r="Q4469" s="8">
        <f t="shared" si="348"/>
        <v>25595</v>
      </c>
      <c r="R4469" s="2" t="s">
        <v>28</v>
      </c>
      <c r="S4469" s="9">
        <f t="shared" si="349"/>
        <v>2356.7600000000002</v>
      </c>
    </row>
    <row r="4470" spans="1:19" x14ac:dyDescent="0.3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str">
        <f>IFERROR(VLOOKUP('Customer Info'!A4462,'Customer Info'!A4462:C4961,2,FALSE),"Not Found")</f>
        <v>Not Found</v>
      </c>
      <c r="H4470" s="6" t="str">
        <f>IFERROR(VLOOKUP('Customer Info'!A4462,'Customer Info'!A4462:C4961,3,FALSE),"Not Found")</f>
        <v>Not Found</v>
      </c>
      <c r="I4470" s="6" t="str">
        <f>IFERROR(VLOOKUP('Customer Info'!A4462,'Customer Info'!A4462:E4961,5,FALSE),"Not Found")</f>
        <v>Not Found</v>
      </c>
      <c r="J4470" s="2">
        <v>1441</v>
      </c>
      <c r="K4470" s="2">
        <v>1360</v>
      </c>
      <c r="L4470" s="2">
        <v>3</v>
      </c>
      <c r="M4470" s="7">
        <f t="shared" si="345"/>
        <v>4080</v>
      </c>
      <c r="N4470" s="7">
        <f t="shared" si="346"/>
        <v>4323</v>
      </c>
      <c r="O4470" s="2">
        <v>28</v>
      </c>
      <c r="P4470" s="8">
        <f t="shared" si="347"/>
        <v>4351</v>
      </c>
      <c r="Q4470" s="8">
        <f t="shared" si="348"/>
        <v>2963</v>
      </c>
      <c r="R4470" s="2" t="s">
        <v>28</v>
      </c>
      <c r="S4470" s="9">
        <f t="shared" si="349"/>
        <v>87.02</v>
      </c>
    </row>
    <row r="4471" spans="1:19" x14ac:dyDescent="0.3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str">
        <f>IFERROR(VLOOKUP('Customer Info'!A4463,'Customer Info'!A4463:C4962,2,FALSE),"Not Found")</f>
        <v>Not Found</v>
      </c>
      <c r="H4471" s="6" t="str">
        <f>IFERROR(VLOOKUP('Customer Info'!A4463,'Customer Info'!A4463:C4962,3,FALSE),"Not Found")</f>
        <v>Not Found</v>
      </c>
      <c r="I4471" s="6" t="str">
        <f>IFERROR(VLOOKUP('Customer Info'!A4463,'Customer Info'!A4463:E4962,5,FALSE),"Not Found")</f>
        <v>Not Found</v>
      </c>
      <c r="J4471" s="2">
        <v>7141</v>
      </c>
      <c r="K4471" s="2">
        <v>6541</v>
      </c>
      <c r="L4471" s="2">
        <v>4</v>
      </c>
      <c r="M4471" s="7">
        <f t="shared" si="345"/>
        <v>26164</v>
      </c>
      <c r="N4471" s="7">
        <f t="shared" si="346"/>
        <v>28564</v>
      </c>
      <c r="O4471" s="2">
        <v>88</v>
      </c>
      <c r="P4471" s="8">
        <f t="shared" si="347"/>
        <v>28652</v>
      </c>
      <c r="Q4471" s="8">
        <f t="shared" si="348"/>
        <v>22023</v>
      </c>
      <c r="R4471" s="2" t="s">
        <v>28</v>
      </c>
      <c r="S4471" s="9">
        <f t="shared" si="349"/>
        <v>2005.64</v>
      </c>
    </row>
    <row r="4472" spans="1:19" x14ac:dyDescent="0.3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str">
        <f>IFERROR(VLOOKUP('Customer Info'!A4464,'Customer Info'!A4464:C4963,2,FALSE),"Not Found")</f>
        <v>Not Found</v>
      </c>
      <c r="H4472" s="6" t="str">
        <f>IFERROR(VLOOKUP('Customer Info'!A4464,'Customer Info'!A4464:C4963,3,FALSE),"Not Found")</f>
        <v>Not Found</v>
      </c>
      <c r="I4472" s="6" t="str">
        <f>IFERROR(VLOOKUP('Customer Info'!A4464,'Customer Info'!A4464:E4963,5,FALSE),"Not Found")</f>
        <v>Not Found</v>
      </c>
      <c r="J4472" s="2">
        <v>2027</v>
      </c>
      <c r="K4472" s="2">
        <v>1913</v>
      </c>
      <c r="L4472" s="2">
        <v>5</v>
      </c>
      <c r="M4472" s="7">
        <f t="shared" si="345"/>
        <v>9565</v>
      </c>
      <c r="N4472" s="7">
        <f t="shared" si="346"/>
        <v>10135</v>
      </c>
      <c r="O4472" s="2">
        <v>55</v>
      </c>
      <c r="P4472" s="8">
        <f t="shared" si="347"/>
        <v>10190</v>
      </c>
      <c r="Q4472" s="8">
        <f t="shared" si="348"/>
        <v>8222</v>
      </c>
      <c r="R4472" s="2" t="s">
        <v>28</v>
      </c>
      <c r="S4472" s="9">
        <f t="shared" si="349"/>
        <v>509.5</v>
      </c>
    </row>
    <row r="4473" spans="1:19" x14ac:dyDescent="0.3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str">
        <f>IFERROR(VLOOKUP('Customer Info'!A4465,'Customer Info'!A4465:C4964,2,FALSE),"Not Found")</f>
        <v>Not Found</v>
      </c>
      <c r="H4473" s="6" t="str">
        <f>IFERROR(VLOOKUP('Customer Info'!A4465,'Customer Info'!A4465:C4964,3,FALSE),"Not Found")</f>
        <v>Not Found</v>
      </c>
      <c r="I4473" s="6" t="str">
        <f>IFERROR(VLOOKUP('Customer Info'!A4465,'Customer Info'!A4465:E4964,5,FALSE),"Not Found")</f>
        <v>Not Found</v>
      </c>
      <c r="J4473" s="2">
        <v>531</v>
      </c>
      <c r="K4473" s="2">
        <v>487</v>
      </c>
      <c r="L4473" s="2">
        <v>2</v>
      </c>
      <c r="M4473" s="7">
        <f t="shared" si="345"/>
        <v>974</v>
      </c>
      <c r="N4473" s="7">
        <f t="shared" si="346"/>
        <v>1062</v>
      </c>
      <c r="O4473" s="2">
        <v>35</v>
      </c>
      <c r="P4473" s="8">
        <f t="shared" si="347"/>
        <v>1097</v>
      </c>
      <c r="Q4473" s="8">
        <f t="shared" si="348"/>
        <v>575</v>
      </c>
      <c r="R4473" s="2" t="s">
        <v>28</v>
      </c>
      <c r="S4473" s="9">
        <f t="shared" si="349"/>
        <v>21.94</v>
      </c>
    </row>
    <row r="4474" spans="1:19" x14ac:dyDescent="0.3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str">
        <f>IFERROR(VLOOKUP('Customer Info'!A4466,'Customer Info'!A4466:C4965,2,FALSE),"Not Found")</f>
        <v>Not Found</v>
      </c>
      <c r="H4474" s="6" t="str">
        <f>IFERROR(VLOOKUP('Customer Info'!A4466,'Customer Info'!A4466:C4965,3,FALSE),"Not Found")</f>
        <v>Not Found</v>
      </c>
      <c r="I4474" s="6" t="str">
        <f>IFERROR(VLOOKUP('Customer Info'!A4466,'Customer Info'!A4466:E4965,5,FALSE),"Not Found")</f>
        <v>Not Found</v>
      </c>
      <c r="J4474" s="2">
        <v>285</v>
      </c>
      <c r="K4474" s="2">
        <v>259</v>
      </c>
      <c r="L4474" s="2">
        <v>8</v>
      </c>
      <c r="M4474" s="7">
        <f t="shared" si="345"/>
        <v>2072</v>
      </c>
      <c r="N4474" s="7">
        <f t="shared" si="346"/>
        <v>2280</v>
      </c>
      <c r="O4474" s="2">
        <v>53</v>
      </c>
      <c r="P4474" s="8">
        <f t="shared" si="347"/>
        <v>2333</v>
      </c>
      <c r="Q4474" s="8">
        <f t="shared" si="348"/>
        <v>2021</v>
      </c>
      <c r="R4474" s="2" t="s">
        <v>28</v>
      </c>
      <c r="S4474" s="9">
        <f t="shared" si="349"/>
        <v>46.660000000000004</v>
      </c>
    </row>
    <row r="4475" spans="1:19" x14ac:dyDescent="0.3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str">
        <f>IFERROR(VLOOKUP('Customer Info'!A4467,'Customer Info'!A4467:C4966,2,FALSE),"Not Found")</f>
        <v>Not Found</v>
      </c>
      <c r="H4475" s="6" t="str">
        <f>IFERROR(VLOOKUP('Customer Info'!A4467,'Customer Info'!A4467:C4966,3,FALSE),"Not Found")</f>
        <v>Not Found</v>
      </c>
      <c r="I4475" s="6" t="str">
        <f>IFERROR(VLOOKUP('Customer Info'!A4467,'Customer Info'!A4467:E4966,5,FALSE),"Not Found")</f>
        <v>Not Found</v>
      </c>
      <c r="J4475" s="2">
        <v>1518</v>
      </c>
      <c r="K4475" s="2">
        <v>1392</v>
      </c>
      <c r="L4475" s="2">
        <v>2</v>
      </c>
      <c r="M4475" s="7">
        <f t="shared" si="345"/>
        <v>2784</v>
      </c>
      <c r="N4475" s="7">
        <f t="shared" si="346"/>
        <v>3036</v>
      </c>
      <c r="O4475" s="2">
        <v>23</v>
      </c>
      <c r="P4475" s="8">
        <f t="shared" si="347"/>
        <v>3059</v>
      </c>
      <c r="Q4475" s="8">
        <f t="shared" si="348"/>
        <v>1644</v>
      </c>
      <c r="R4475" s="2" t="s">
        <v>28</v>
      </c>
      <c r="S4475" s="9">
        <f t="shared" si="349"/>
        <v>61.18</v>
      </c>
    </row>
    <row r="4476" spans="1:19" x14ac:dyDescent="0.3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str">
        <f>IFERROR(VLOOKUP('Customer Info'!A4468,'Customer Info'!A4468:C4967,2,FALSE),"Not Found")</f>
        <v>Not Found</v>
      </c>
      <c r="H4476" s="6" t="str">
        <f>IFERROR(VLOOKUP('Customer Info'!A4468,'Customer Info'!A4468:C4967,3,FALSE),"Not Found")</f>
        <v>Not Found</v>
      </c>
      <c r="I4476" s="6" t="str">
        <f>IFERROR(VLOOKUP('Customer Info'!A4468,'Customer Info'!A4468:E4967,5,FALSE),"Not Found")</f>
        <v>Not Found</v>
      </c>
      <c r="J4476" s="2">
        <v>69</v>
      </c>
      <c r="K4476" s="2">
        <v>64</v>
      </c>
      <c r="L4476" s="2">
        <v>7</v>
      </c>
      <c r="M4476" s="7">
        <f t="shared" si="345"/>
        <v>448</v>
      </c>
      <c r="N4476" s="7">
        <f t="shared" si="346"/>
        <v>483</v>
      </c>
      <c r="O4476" s="2">
        <v>10</v>
      </c>
      <c r="P4476" s="8">
        <f t="shared" si="347"/>
        <v>493</v>
      </c>
      <c r="Q4476" s="8">
        <f t="shared" si="348"/>
        <v>419</v>
      </c>
      <c r="R4476" s="2" t="s">
        <v>28</v>
      </c>
      <c r="S4476" s="9">
        <f t="shared" si="349"/>
        <v>9.86</v>
      </c>
    </row>
    <row r="4477" spans="1:19" x14ac:dyDescent="0.3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str">
        <f>IFERROR(VLOOKUP('Customer Info'!A4469,'Customer Info'!A4469:C4968,2,FALSE),"Not Found")</f>
        <v>Not Found</v>
      </c>
      <c r="H4477" s="6" t="str">
        <f>IFERROR(VLOOKUP('Customer Info'!A4469,'Customer Info'!A4469:C4968,3,FALSE),"Not Found")</f>
        <v>Not Found</v>
      </c>
      <c r="I4477" s="6" t="str">
        <f>IFERROR(VLOOKUP('Customer Info'!A4469,'Customer Info'!A4469:E4968,5,FALSE),"Not Found")</f>
        <v>Not Found</v>
      </c>
      <c r="J4477" s="2">
        <v>162</v>
      </c>
      <c r="K4477" s="2">
        <v>148</v>
      </c>
      <c r="L4477" s="2">
        <v>1</v>
      </c>
      <c r="M4477" s="7">
        <f t="shared" si="345"/>
        <v>148</v>
      </c>
      <c r="N4477" s="7">
        <f t="shared" si="346"/>
        <v>162</v>
      </c>
      <c r="O4477" s="2">
        <v>30</v>
      </c>
      <c r="P4477" s="8">
        <f t="shared" si="347"/>
        <v>192</v>
      </c>
      <c r="Q4477" s="8">
        <f t="shared" si="348"/>
        <v>14</v>
      </c>
      <c r="R4477" s="2" t="s">
        <v>28</v>
      </c>
      <c r="S4477" s="9">
        <f t="shared" si="349"/>
        <v>3.84</v>
      </c>
    </row>
    <row r="4478" spans="1:19" x14ac:dyDescent="0.3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str">
        <f>IFERROR(VLOOKUP('Customer Info'!A4470,'Customer Info'!A4470:C4969,2,FALSE),"Not Found")</f>
        <v>Not Found</v>
      </c>
      <c r="H4478" s="6" t="str">
        <f>IFERROR(VLOOKUP('Customer Info'!A4470,'Customer Info'!A4470:C4969,3,FALSE),"Not Found")</f>
        <v>Not Found</v>
      </c>
      <c r="I4478" s="6" t="str">
        <f>IFERROR(VLOOKUP('Customer Info'!A4470,'Customer Info'!A4470:E4969,5,FALSE),"Not Found")</f>
        <v>Not Found</v>
      </c>
      <c r="J4478" s="2">
        <v>5848</v>
      </c>
      <c r="K4478" s="2">
        <v>5214</v>
      </c>
      <c r="L4478" s="2">
        <v>6</v>
      </c>
      <c r="M4478" s="7">
        <f t="shared" si="345"/>
        <v>31284</v>
      </c>
      <c r="N4478" s="7">
        <f t="shared" si="346"/>
        <v>35088</v>
      </c>
      <c r="O4478" s="2">
        <v>36</v>
      </c>
      <c r="P4478" s="8">
        <f t="shared" si="347"/>
        <v>35124</v>
      </c>
      <c r="Q4478" s="8">
        <f t="shared" si="348"/>
        <v>29874</v>
      </c>
      <c r="R4478" s="2" t="s">
        <v>28</v>
      </c>
      <c r="S4478" s="9">
        <f t="shared" si="349"/>
        <v>2458.6800000000003</v>
      </c>
    </row>
    <row r="4479" spans="1:19" x14ac:dyDescent="0.3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str">
        <f>IFERROR(VLOOKUP('Customer Info'!A4471,'Customer Info'!A4471:C4970,2,FALSE),"Not Found")</f>
        <v>Not Found</v>
      </c>
      <c r="H4479" s="6" t="str">
        <f>IFERROR(VLOOKUP('Customer Info'!A4471,'Customer Info'!A4471:C4970,3,FALSE),"Not Found")</f>
        <v>Not Found</v>
      </c>
      <c r="I4479" s="6" t="str">
        <f>IFERROR(VLOOKUP('Customer Info'!A4471,'Customer Info'!A4471:E4970,5,FALSE),"Not Found")</f>
        <v>Not Found</v>
      </c>
      <c r="J4479" s="2">
        <v>6274</v>
      </c>
      <c r="K4479" s="2">
        <v>6093</v>
      </c>
      <c r="L4479" s="2">
        <v>3</v>
      </c>
      <c r="M4479" s="7">
        <f t="shared" si="345"/>
        <v>18279</v>
      </c>
      <c r="N4479" s="7">
        <f t="shared" si="346"/>
        <v>18822</v>
      </c>
      <c r="O4479" s="2">
        <v>48</v>
      </c>
      <c r="P4479" s="8">
        <f t="shared" si="347"/>
        <v>18870</v>
      </c>
      <c r="Q4479" s="8">
        <f t="shared" si="348"/>
        <v>12729</v>
      </c>
      <c r="R4479" s="2" t="s">
        <v>28</v>
      </c>
      <c r="S4479" s="9">
        <f t="shared" si="349"/>
        <v>943.5</v>
      </c>
    </row>
    <row r="4480" spans="1:19" x14ac:dyDescent="0.3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str">
        <f>IFERROR(VLOOKUP('Customer Info'!A4472,'Customer Info'!A4472:C4971,2,FALSE),"Not Found")</f>
        <v>Not Found</v>
      </c>
      <c r="H4480" s="6" t="str">
        <f>IFERROR(VLOOKUP('Customer Info'!A4472,'Customer Info'!A4472:C4971,3,FALSE),"Not Found")</f>
        <v>Not Found</v>
      </c>
      <c r="I4480" s="6" t="str">
        <f>IFERROR(VLOOKUP('Customer Info'!A4472,'Customer Info'!A4472:E4971,5,FALSE),"Not Found")</f>
        <v>Not Found</v>
      </c>
      <c r="J4480" s="2">
        <v>1637</v>
      </c>
      <c r="K4480" s="2">
        <v>1532</v>
      </c>
      <c r="L4480" s="2">
        <v>3</v>
      </c>
      <c r="M4480" s="7">
        <f t="shared" si="345"/>
        <v>4596</v>
      </c>
      <c r="N4480" s="7">
        <f t="shared" si="346"/>
        <v>4911</v>
      </c>
      <c r="O4480" s="2">
        <v>76</v>
      </c>
      <c r="P4480" s="8">
        <f t="shared" si="347"/>
        <v>4987</v>
      </c>
      <c r="Q4480" s="8">
        <f t="shared" si="348"/>
        <v>3379</v>
      </c>
      <c r="R4480" s="2" t="s">
        <v>50</v>
      </c>
      <c r="S4480" s="9">
        <f t="shared" si="349"/>
        <v>99.740000000000009</v>
      </c>
    </row>
    <row r="4481" spans="1:19" x14ac:dyDescent="0.3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str">
        <f>IFERROR(VLOOKUP('Customer Info'!A4473,'Customer Info'!A4473:C4972,2,FALSE),"Not Found")</f>
        <v>Not Found</v>
      </c>
      <c r="H4481" s="6" t="str">
        <f>IFERROR(VLOOKUP('Customer Info'!A4473,'Customer Info'!A4473:C4972,3,FALSE),"Not Found")</f>
        <v>Not Found</v>
      </c>
      <c r="I4481" s="6" t="str">
        <f>IFERROR(VLOOKUP('Customer Info'!A4473,'Customer Info'!A4473:E4972,5,FALSE),"Not Found")</f>
        <v>Not Found</v>
      </c>
      <c r="J4481" s="2">
        <v>3288</v>
      </c>
      <c r="K4481" s="2">
        <v>3041</v>
      </c>
      <c r="L4481" s="2">
        <v>2</v>
      </c>
      <c r="M4481" s="7">
        <f t="shared" si="345"/>
        <v>6082</v>
      </c>
      <c r="N4481" s="7">
        <f t="shared" si="346"/>
        <v>6576</v>
      </c>
      <c r="O4481" s="2">
        <v>47</v>
      </c>
      <c r="P4481" s="8">
        <f t="shared" si="347"/>
        <v>6623</v>
      </c>
      <c r="Q4481" s="8">
        <f t="shared" si="348"/>
        <v>3535</v>
      </c>
      <c r="R4481" s="2" t="s">
        <v>28</v>
      </c>
      <c r="S4481" s="9">
        <f t="shared" si="349"/>
        <v>331.15000000000003</v>
      </c>
    </row>
    <row r="4482" spans="1:19" x14ac:dyDescent="0.3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str">
        <f>IFERROR(VLOOKUP('Customer Info'!A4474,'Customer Info'!A4474:C4973,2,FALSE),"Not Found")</f>
        <v>Not Found</v>
      </c>
      <c r="H4482" s="6" t="str">
        <f>IFERROR(VLOOKUP('Customer Info'!A4474,'Customer Info'!A4474:C4973,3,FALSE),"Not Found")</f>
        <v>Not Found</v>
      </c>
      <c r="I4482" s="6" t="str">
        <f>IFERROR(VLOOKUP('Customer Info'!A4474,'Customer Info'!A4474:E4973,5,FALSE),"Not Found")</f>
        <v>Not Found</v>
      </c>
      <c r="J4482" s="2">
        <v>7141</v>
      </c>
      <c r="K4482" s="2">
        <v>6541</v>
      </c>
      <c r="L4482" s="2">
        <v>2</v>
      </c>
      <c r="M4482" s="7">
        <f t="shared" si="345"/>
        <v>13082</v>
      </c>
      <c r="N4482" s="7">
        <f t="shared" si="346"/>
        <v>14282</v>
      </c>
      <c r="O4482" s="2">
        <v>21</v>
      </c>
      <c r="P4482" s="8">
        <f t="shared" si="347"/>
        <v>14303</v>
      </c>
      <c r="Q4482" s="8">
        <f t="shared" si="348"/>
        <v>7741</v>
      </c>
      <c r="R4482" s="2" t="s">
        <v>50</v>
      </c>
      <c r="S4482" s="9">
        <f t="shared" si="349"/>
        <v>715.15000000000009</v>
      </c>
    </row>
    <row r="4483" spans="1:19" x14ac:dyDescent="0.3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str">
        <f>IFERROR(VLOOKUP('Customer Info'!A4475,'Customer Info'!A4475:C4974,2,FALSE),"Not Found")</f>
        <v>Not Found</v>
      </c>
      <c r="H4483" s="6" t="str">
        <f>IFERROR(VLOOKUP('Customer Info'!A4475,'Customer Info'!A4475:C4974,3,FALSE),"Not Found")</f>
        <v>Not Found</v>
      </c>
      <c r="I4483" s="6" t="str">
        <f>IFERROR(VLOOKUP('Customer Info'!A4475,'Customer Info'!A4475:E4974,5,FALSE),"Not Found")</f>
        <v>Not Found</v>
      </c>
      <c r="J4483" s="2">
        <v>2540</v>
      </c>
      <c r="K4483" s="2">
        <v>2397</v>
      </c>
      <c r="L4483" s="2">
        <v>3</v>
      </c>
      <c r="M4483" s="7">
        <f t="shared" si="345"/>
        <v>7191</v>
      </c>
      <c r="N4483" s="7">
        <f t="shared" si="346"/>
        <v>7620</v>
      </c>
      <c r="O4483" s="2">
        <v>57</v>
      </c>
      <c r="P4483" s="8">
        <f t="shared" si="347"/>
        <v>7677</v>
      </c>
      <c r="Q4483" s="8">
        <f t="shared" si="348"/>
        <v>5223</v>
      </c>
      <c r="R4483" s="2" t="s">
        <v>26</v>
      </c>
      <c r="S4483" s="9">
        <f t="shared" si="349"/>
        <v>383.85</v>
      </c>
    </row>
    <row r="4484" spans="1:19" x14ac:dyDescent="0.3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str">
        <f>IFERROR(VLOOKUP('Customer Info'!A4476,'Customer Info'!A4476:C4975,2,FALSE),"Not Found")</f>
        <v>Not Found</v>
      </c>
      <c r="H4484" s="6" t="str">
        <f>IFERROR(VLOOKUP('Customer Info'!A4476,'Customer Info'!A4476:C4975,3,FALSE),"Not Found")</f>
        <v>Not Found</v>
      </c>
      <c r="I4484" s="6" t="str">
        <f>IFERROR(VLOOKUP('Customer Info'!A4476,'Customer Info'!A4476:E4975,5,FALSE),"Not Found")</f>
        <v>Not Found</v>
      </c>
      <c r="J4484" s="2">
        <v>626</v>
      </c>
      <c r="K4484" s="2">
        <v>559</v>
      </c>
      <c r="L4484" s="2">
        <v>4</v>
      </c>
      <c r="M4484" s="7">
        <f t="shared" si="345"/>
        <v>2236</v>
      </c>
      <c r="N4484" s="7">
        <f t="shared" si="346"/>
        <v>2504</v>
      </c>
      <c r="O4484" s="2">
        <v>89</v>
      </c>
      <c r="P4484" s="8">
        <f t="shared" si="347"/>
        <v>2593</v>
      </c>
      <c r="Q4484" s="8">
        <f t="shared" si="348"/>
        <v>1945</v>
      </c>
      <c r="R4484" s="2" t="s">
        <v>50</v>
      </c>
      <c r="S4484" s="9">
        <f t="shared" si="349"/>
        <v>51.86</v>
      </c>
    </row>
    <row r="4485" spans="1:19" x14ac:dyDescent="0.3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str">
        <f>IFERROR(VLOOKUP('Customer Info'!A4477,'Customer Info'!A4477:C4976,2,FALSE),"Not Found")</f>
        <v>Not Found</v>
      </c>
      <c r="H4485" s="6" t="str">
        <f>IFERROR(VLOOKUP('Customer Info'!A4477,'Customer Info'!A4477:C4976,3,FALSE),"Not Found")</f>
        <v>Not Found</v>
      </c>
      <c r="I4485" s="6" t="str">
        <f>IFERROR(VLOOKUP('Customer Info'!A4477,'Customer Info'!A4477:E4976,5,FALSE),"Not Found")</f>
        <v>Not Found</v>
      </c>
      <c r="J4485" s="2">
        <v>1653</v>
      </c>
      <c r="K4485" s="2">
        <v>1560</v>
      </c>
      <c r="L4485" s="2">
        <v>7</v>
      </c>
      <c r="M4485" s="7">
        <f t="shared" si="345"/>
        <v>10920</v>
      </c>
      <c r="N4485" s="7">
        <f t="shared" si="346"/>
        <v>11571</v>
      </c>
      <c r="O4485" s="2">
        <v>35</v>
      </c>
      <c r="P4485" s="8">
        <f t="shared" si="347"/>
        <v>11606</v>
      </c>
      <c r="Q4485" s="8">
        <f t="shared" si="348"/>
        <v>10011</v>
      </c>
      <c r="R4485" s="2" t="s">
        <v>28</v>
      </c>
      <c r="S4485" s="9">
        <f t="shared" si="349"/>
        <v>580.30000000000007</v>
      </c>
    </row>
    <row r="4486" spans="1:19" x14ac:dyDescent="0.3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str">
        <f>IFERROR(VLOOKUP('Customer Info'!A4478,'Customer Info'!A4478:C4977,2,FALSE),"Not Found")</f>
        <v>Not Found</v>
      </c>
      <c r="H4486" s="6" t="str">
        <f>IFERROR(VLOOKUP('Customer Info'!A4478,'Customer Info'!A4478:C4977,3,FALSE),"Not Found")</f>
        <v>Not Found</v>
      </c>
      <c r="I4486" s="6" t="str">
        <f>IFERROR(VLOOKUP('Customer Info'!A4478,'Customer Info'!A4478:E4977,5,FALSE),"Not Found")</f>
        <v>Not Found</v>
      </c>
      <c r="J4486" s="2">
        <v>666</v>
      </c>
      <c r="K4486" s="2">
        <v>641</v>
      </c>
      <c r="L4486" s="2">
        <v>2</v>
      </c>
      <c r="M4486" s="7">
        <f t="shared" si="345"/>
        <v>1282</v>
      </c>
      <c r="N4486" s="7">
        <f t="shared" si="346"/>
        <v>1332</v>
      </c>
      <c r="O4486" s="2">
        <v>22</v>
      </c>
      <c r="P4486" s="8">
        <f t="shared" si="347"/>
        <v>1354</v>
      </c>
      <c r="Q4486" s="8">
        <f t="shared" si="348"/>
        <v>691</v>
      </c>
      <c r="R4486" s="2" t="s">
        <v>28</v>
      </c>
      <c r="S4486" s="9">
        <f t="shared" si="349"/>
        <v>27.080000000000002</v>
      </c>
    </row>
    <row r="4487" spans="1:19" x14ac:dyDescent="0.3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str">
        <f>IFERROR(VLOOKUP('Customer Info'!A4479,'Customer Info'!A4479:C4978,2,FALSE),"Not Found")</f>
        <v>Not Found</v>
      </c>
      <c r="H4487" s="6" t="str">
        <f>IFERROR(VLOOKUP('Customer Info'!A4479,'Customer Info'!A4479:C4978,3,FALSE),"Not Found")</f>
        <v>Not Found</v>
      </c>
      <c r="I4487" s="6" t="str">
        <f>IFERROR(VLOOKUP('Customer Info'!A4479,'Customer Info'!A4479:E4978,5,FALSE),"Not Found")</f>
        <v>Not Found</v>
      </c>
      <c r="J4487" s="2">
        <v>135</v>
      </c>
      <c r="K4487" s="2">
        <v>126</v>
      </c>
      <c r="L4487" s="2">
        <v>5</v>
      </c>
      <c r="M4487" s="7">
        <f t="shared" si="345"/>
        <v>630</v>
      </c>
      <c r="N4487" s="7">
        <f t="shared" si="346"/>
        <v>675</v>
      </c>
      <c r="O4487" s="2">
        <v>30</v>
      </c>
      <c r="P4487" s="8">
        <f t="shared" si="347"/>
        <v>705</v>
      </c>
      <c r="Q4487" s="8">
        <f t="shared" si="348"/>
        <v>549</v>
      </c>
      <c r="R4487" s="2" t="s">
        <v>50</v>
      </c>
      <c r="S4487" s="9">
        <f t="shared" si="349"/>
        <v>14.1</v>
      </c>
    </row>
    <row r="4488" spans="1:19" x14ac:dyDescent="0.3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str">
        <f>IFERROR(VLOOKUP('Customer Info'!A4480,'Customer Info'!A4480:C4979,2,FALSE),"Not Found")</f>
        <v>Not Found</v>
      </c>
      <c r="H4488" s="6" t="str">
        <f>IFERROR(VLOOKUP('Customer Info'!A4480,'Customer Info'!A4480:C4979,3,FALSE),"Not Found")</f>
        <v>Not Found</v>
      </c>
      <c r="I4488" s="6" t="str">
        <f>IFERROR(VLOOKUP('Customer Info'!A4480,'Customer Info'!A4480:E4979,5,FALSE),"Not Found")</f>
        <v>Not Found</v>
      </c>
      <c r="J4488" s="2">
        <v>4761</v>
      </c>
      <c r="K4488" s="2">
        <v>4368</v>
      </c>
      <c r="L4488" s="2">
        <v>4</v>
      </c>
      <c r="M4488" s="7">
        <f t="shared" si="345"/>
        <v>17472</v>
      </c>
      <c r="N4488" s="7">
        <f t="shared" si="346"/>
        <v>19044</v>
      </c>
      <c r="O4488" s="2">
        <v>97</v>
      </c>
      <c r="P4488" s="8">
        <f t="shared" si="347"/>
        <v>19141</v>
      </c>
      <c r="Q4488" s="8">
        <f t="shared" si="348"/>
        <v>14676</v>
      </c>
      <c r="R4488" s="2" t="s">
        <v>50</v>
      </c>
      <c r="S4488" s="9">
        <f t="shared" si="349"/>
        <v>957.05000000000007</v>
      </c>
    </row>
    <row r="4489" spans="1:19" x14ac:dyDescent="0.3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str">
        <f>IFERROR(VLOOKUP('Customer Info'!A4481,'Customer Info'!A4481:C4980,2,FALSE),"Not Found")</f>
        <v>Not Found</v>
      </c>
      <c r="H4489" s="6" t="str">
        <f>IFERROR(VLOOKUP('Customer Info'!A4481,'Customer Info'!A4481:C4980,3,FALSE),"Not Found")</f>
        <v>Not Found</v>
      </c>
      <c r="I4489" s="6" t="str">
        <f>IFERROR(VLOOKUP('Customer Info'!A4481,'Customer Info'!A4481:E4980,5,FALSE),"Not Found")</f>
        <v>Not Found</v>
      </c>
      <c r="J4489" s="2">
        <v>6717</v>
      </c>
      <c r="K4489" s="2">
        <v>6288</v>
      </c>
      <c r="L4489" s="2">
        <v>5</v>
      </c>
      <c r="M4489" s="7">
        <f t="shared" si="345"/>
        <v>31440</v>
      </c>
      <c r="N4489" s="7">
        <f t="shared" si="346"/>
        <v>33585</v>
      </c>
      <c r="O4489" s="2">
        <v>62</v>
      </c>
      <c r="P4489" s="8">
        <f t="shared" si="347"/>
        <v>33647</v>
      </c>
      <c r="Q4489" s="8">
        <f t="shared" si="348"/>
        <v>27297</v>
      </c>
      <c r="R4489" s="2" t="s">
        <v>28</v>
      </c>
      <c r="S4489" s="9">
        <f t="shared" si="349"/>
        <v>2355.2900000000004</v>
      </c>
    </row>
    <row r="4490" spans="1:19" x14ac:dyDescent="0.3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str">
        <f>IFERROR(VLOOKUP('Customer Info'!A4482,'Customer Info'!A4482:C4981,2,FALSE),"Not Found")</f>
        <v>Not Found</v>
      </c>
      <c r="H4490" s="6" t="str">
        <f>IFERROR(VLOOKUP('Customer Info'!A4482,'Customer Info'!A4482:C4981,3,FALSE),"Not Found")</f>
        <v>Not Found</v>
      </c>
      <c r="I4490" s="6" t="str">
        <f>IFERROR(VLOOKUP('Customer Info'!A4482,'Customer Info'!A4482:E4981,5,FALSE),"Not Found")</f>
        <v>Not Found</v>
      </c>
      <c r="J4490" s="2">
        <v>80</v>
      </c>
      <c r="K4490" s="2">
        <v>75</v>
      </c>
      <c r="L4490" s="2">
        <v>4</v>
      </c>
      <c r="M4490" s="7">
        <f t="shared" si="345"/>
        <v>300</v>
      </c>
      <c r="N4490" s="7">
        <f t="shared" si="346"/>
        <v>320</v>
      </c>
      <c r="O4490" s="2">
        <v>10</v>
      </c>
      <c r="P4490" s="8">
        <f t="shared" si="347"/>
        <v>330</v>
      </c>
      <c r="Q4490" s="8">
        <f t="shared" si="348"/>
        <v>245</v>
      </c>
      <c r="R4490" s="2" t="s">
        <v>50</v>
      </c>
      <c r="S4490" s="9">
        <f t="shared" si="349"/>
        <v>6.6000000000000005</v>
      </c>
    </row>
    <row r="4491" spans="1:19" x14ac:dyDescent="0.3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str">
        <f>IFERROR(VLOOKUP('Customer Info'!A4483,'Customer Info'!A4483:C4982,2,FALSE),"Not Found")</f>
        <v>Not Found</v>
      </c>
      <c r="H4491" s="6" t="str">
        <f>IFERROR(VLOOKUP('Customer Info'!A4483,'Customer Info'!A4483:C4982,3,FALSE),"Not Found")</f>
        <v>Not Found</v>
      </c>
      <c r="I4491" s="6" t="str">
        <f>IFERROR(VLOOKUP('Customer Info'!A4483,'Customer Info'!A4483:E4982,5,FALSE),"Not Found")</f>
        <v>Not Found</v>
      </c>
      <c r="J4491" s="2">
        <v>1039</v>
      </c>
      <c r="K4491" s="2">
        <v>954</v>
      </c>
      <c r="L4491" s="2">
        <v>5</v>
      </c>
      <c r="M4491" s="7">
        <f t="shared" ref="M4491:M4554" si="350">$K4491*$L4491</f>
        <v>4770</v>
      </c>
      <c r="N4491" s="7">
        <f t="shared" ref="N4491:N4554" si="351">$J4491*$L4491</f>
        <v>5195</v>
      </c>
      <c r="O4491" s="2">
        <v>90</v>
      </c>
      <c r="P4491" s="8">
        <f t="shared" ref="P4491:P4554" si="352">$N4491+$O4491</f>
        <v>5285</v>
      </c>
      <c r="Q4491" s="8">
        <f t="shared" ref="Q4491:Q4554" si="353">$N4491-$K4491</f>
        <v>4241</v>
      </c>
      <c r="R4491" s="2" t="s">
        <v>28</v>
      </c>
      <c r="S4491" s="9">
        <f t="shared" ref="S4491:S4554" si="354" xml:space="preserve"> P4491 * VLOOKUP(P4491, $T$2:$U$6, 2, TRUE)</f>
        <v>264.25</v>
      </c>
    </row>
    <row r="4492" spans="1:19" x14ac:dyDescent="0.3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str">
        <f>IFERROR(VLOOKUP('Customer Info'!A4484,'Customer Info'!A4484:C4983,2,FALSE),"Not Found")</f>
        <v>Not Found</v>
      </c>
      <c r="H4492" s="6" t="str">
        <f>IFERROR(VLOOKUP('Customer Info'!A4484,'Customer Info'!A4484:C4983,3,FALSE),"Not Found")</f>
        <v>Not Found</v>
      </c>
      <c r="I4492" s="6" t="str">
        <f>IFERROR(VLOOKUP('Customer Info'!A4484,'Customer Info'!A4484:E4983,5,FALSE),"Not Found")</f>
        <v>Not Found</v>
      </c>
      <c r="J4492" s="2">
        <v>69</v>
      </c>
      <c r="K4492" s="2">
        <v>63</v>
      </c>
      <c r="L4492" s="2">
        <v>2</v>
      </c>
      <c r="M4492" s="7">
        <f t="shared" si="350"/>
        <v>126</v>
      </c>
      <c r="N4492" s="7">
        <f t="shared" si="351"/>
        <v>138</v>
      </c>
      <c r="O4492" s="2">
        <v>10</v>
      </c>
      <c r="P4492" s="8">
        <f t="shared" si="352"/>
        <v>148</v>
      </c>
      <c r="Q4492" s="8">
        <f t="shared" si="353"/>
        <v>75</v>
      </c>
      <c r="R4492" s="2" t="s">
        <v>26</v>
      </c>
      <c r="S4492" s="9">
        <f t="shared" si="354"/>
        <v>2.96</v>
      </c>
    </row>
    <row r="4493" spans="1:19" x14ac:dyDescent="0.3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str">
        <f>IFERROR(VLOOKUP('Customer Info'!A4485,'Customer Info'!A4485:C4984,2,FALSE),"Not Found")</f>
        <v>Not Found</v>
      </c>
      <c r="H4493" s="6" t="str">
        <f>IFERROR(VLOOKUP('Customer Info'!A4485,'Customer Info'!A4485:C4984,3,FALSE),"Not Found")</f>
        <v>Not Found</v>
      </c>
      <c r="I4493" s="6" t="str">
        <f>IFERROR(VLOOKUP('Customer Info'!A4485,'Customer Info'!A4485:E4984,5,FALSE),"Not Found")</f>
        <v>Not Found</v>
      </c>
      <c r="J4493" s="2">
        <v>6951</v>
      </c>
      <c r="K4493" s="2">
        <v>6620</v>
      </c>
      <c r="L4493" s="2">
        <v>2</v>
      </c>
      <c r="M4493" s="7">
        <f t="shared" si="350"/>
        <v>13240</v>
      </c>
      <c r="N4493" s="7">
        <f t="shared" si="351"/>
        <v>13902</v>
      </c>
      <c r="O4493" s="2">
        <v>46</v>
      </c>
      <c r="P4493" s="8">
        <f t="shared" si="352"/>
        <v>13948</v>
      </c>
      <c r="Q4493" s="8">
        <f t="shared" si="353"/>
        <v>7282</v>
      </c>
      <c r="R4493" s="2" t="s">
        <v>28</v>
      </c>
      <c r="S4493" s="9">
        <f t="shared" si="354"/>
        <v>697.40000000000009</v>
      </c>
    </row>
    <row r="4494" spans="1:19" x14ac:dyDescent="0.3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str">
        <f>IFERROR(VLOOKUP('Customer Info'!A4486,'Customer Info'!A4486:C4985,2,FALSE),"Not Found")</f>
        <v>Not Found</v>
      </c>
      <c r="H4494" s="6" t="str">
        <f>IFERROR(VLOOKUP('Customer Info'!A4486,'Customer Info'!A4486:C4985,3,FALSE),"Not Found")</f>
        <v>Not Found</v>
      </c>
      <c r="I4494" s="6" t="str">
        <f>IFERROR(VLOOKUP('Customer Info'!A4486,'Customer Info'!A4486:E4985,5,FALSE),"Not Found")</f>
        <v>Not Found</v>
      </c>
      <c r="J4494" s="2">
        <v>188</v>
      </c>
      <c r="K4494" s="2">
        <v>173</v>
      </c>
      <c r="L4494" s="2">
        <v>6</v>
      </c>
      <c r="M4494" s="7">
        <f t="shared" si="350"/>
        <v>1038</v>
      </c>
      <c r="N4494" s="7">
        <f t="shared" si="351"/>
        <v>1128</v>
      </c>
      <c r="O4494" s="2">
        <v>30</v>
      </c>
      <c r="P4494" s="8">
        <f t="shared" si="352"/>
        <v>1158</v>
      </c>
      <c r="Q4494" s="8">
        <f t="shared" si="353"/>
        <v>955</v>
      </c>
      <c r="R4494" s="2" t="s">
        <v>28</v>
      </c>
      <c r="S4494" s="9">
        <f t="shared" si="354"/>
        <v>23.16</v>
      </c>
    </row>
    <row r="4495" spans="1:19" x14ac:dyDescent="0.3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str">
        <f>IFERROR(VLOOKUP('Customer Info'!A4487,'Customer Info'!A4487:C4986,2,FALSE),"Not Found")</f>
        <v>Not Found</v>
      </c>
      <c r="H4495" s="6" t="str">
        <f>IFERROR(VLOOKUP('Customer Info'!A4487,'Customer Info'!A4487:C4986,3,FALSE),"Not Found")</f>
        <v>Not Found</v>
      </c>
      <c r="I4495" s="6" t="str">
        <f>IFERROR(VLOOKUP('Customer Info'!A4487,'Customer Info'!A4487:E4986,5,FALSE),"Not Found")</f>
        <v>Not Found</v>
      </c>
      <c r="J4495" s="2">
        <v>35350</v>
      </c>
      <c r="K4495" s="2">
        <v>33037</v>
      </c>
      <c r="L4495" s="2">
        <v>3</v>
      </c>
      <c r="M4495" s="7">
        <f t="shared" si="350"/>
        <v>99111</v>
      </c>
      <c r="N4495" s="7">
        <f t="shared" si="351"/>
        <v>106050</v>
      </c>
      <c r="O4495" s="2">
        <v>98</v>
      </c>
      <c r="P4495" s="8">
        <f t="shared" si="352"/>
        <v>106148</v>
      </c>
      <c r="Q4495" s="8">
        <f t="shared" si="353"/>
        <v>73013</v>
      </c>
      <c r="R4495" s="2" t="s">
        <v>28</v>
      </c>
      <c r="S4495" s="9">
        <f t="shared" si="354"/>
        <v>12737.76</v>
      </c>
    </row>
    <row r="4496" spans="1:19" x14ac:dyDescent="0.3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str">
        <f>IFERROR(VLOOKUP('Customer Info'!A4488,'Customer Info'!A4488:C4987,2,FALSE),"Not Found")</f>
        <v>Not Found</v>
      </c>
      <c r="H4496" s="6" t="str">
        <f>IFERROR(VLOOKUP('Customer Info'!A4488,'Customer Info'!A4488:C4987,3,FALSE),"Not Found")</f>
        <v>Not Found</v>
      </c>
      <c r="I4496" s="6" t="str">
        <f>IFERROR(VLOOKUP('Customer Info'!A4488,'Customer Info'!A4488:E4987,5,FALSE),"Not Found")</f>
        <v>Not Found</v>
      </c>
      <c r="J4496" s="2">
        <v>2442</v>
      </c>
      <c r="K4496" s="2">
        <v>2304</v>
      </c>
      <c r="L4496" s="2">
        <v>2</v>
      </c>
      <c r="M4496" s="7">
        <f t="shared" si="350"/>
        <v>4608</v>
      </c>
      <c r="N4496" s="7">
        <f t="shared" si="351"/>
        <v>4884</v>
      </c>
      <c r="O4496" s="2">
        <v>48</v>
      </c>
      <c r="P4496" s="8">
        <f t="shared" si="352"/>
        <v>4932</v>
      </c>
      <c r="Q4496" s="8">
        <f t="shared" si="353"/>
        <v>2580</v>
      </c>
      <c r="R4496" s="2" t="s">
        <v>50</v>
      </c>
      <c r="S4496" s="9">
        <f t="shared" si="354"/>
        <v>98.64</v>
      </c>
    </row>
    <row r="4497" spans="1:19" x14ac:dyDescent="0.3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str">
        <f>IFERROR(VLOOKUP('Customer Info'!A4489,'Customer Info'!A4489:C4988,2,FALSE),"Not Found")</f>
        <v>Not Found</v>
      </c>
      <c r="H4497" s="6" t="str">
        <f>IFERROR(VLOOKUP('Customer Info'!A4489,'Customer Info'!A4489:C4988,3,FALSE),"Not Found")</f>
        <v>Not Found</v>
      </c>
      <c r="I4497" s="6" t="str">
        <f>IFERROR(VLOOKUP('Customer Info'!A4489,'Customer Info'!A4489:E4988,5,FALSE),"Not Found")</f>
        <v>Not Found</v>
      </c>
      <c r="J4497" s="2">
        <v>38328</v>
      </c>
      <c r="K4497" s="2">
        <v>35164</v>
      </c>
      <c r="L4497" s="2">
        <v>1</v>
      </c>
      <c r="M4497" s="7">
        <f t="shared" si="350"/>
        <v>35164</v>
      </c>
      <c r="N4497" s="7">
        <f t="shared" si="351"/>
        <v>38328</v>
      </c>
      <c r="O4497" s="2">
        <v>86</v>
      </c>
      <c r="P4497" s="8">
        <f t="shared" si="352"/>
        <v>38414</v>
      </c>
      <c r="Q4497" s="8">
        <f t="shared" si="353"/>
        <v>3164</v>
      </c>
      <c r="R4497" s="2" t="s">
        <v>28</v>
      </c>
      <c r="S4497" s="9">
        <f t="shared" si="354"/>
        <v>2688.9800000000005</v>
      </c>
    </row>
    <row r="4498" spans="1:19" x14ac:dyDescent="0.3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str">
        <f>IFERROR(VLOOKUP('Customer Info'!A4490,'Customer Info'!A4490:C4989,2,FALSE),"Not Found")</f>
        <v>Not Found</v>
      </c>
      <c r="H4498" s="6" t="str">
        <f>IFERROR(VLOOKUP('Customer Info'!A4490,'Customer Info'!A4490:C4989,3,FALSE),"Not Found")</f>
        <v>Not Found</v>
      </c>
      <c r="I4498" s="6" t="str">
        <f>IFERROR(VLOOKUP('Customer Info'!A4490,'Customer Info'!A4490:E4989,5,FALSE),"Not Found")</f>
        <v>Not Found</v>
      </c>
      <c r="J4498" s="2">
        <v>142</v>
      </c>
      <c r="K4498" s="2">
        <v>134</v>
      </c>
      <c r="L4498" s="2">
        <v>2</v>
      </c>
      <c r="M4498" s="7">
        <f t="shared" si="350"/>
        <v>268</v>
      </c>
      <c r="N4498" s="7">
        <f t="shared" si="351"/>
        <v>284</v>
      </c>
      <c r="O4498" s="2">
        <v>30</v>
      </c>
      <c r="P4498" s="8">
        <f t="shared" si="352"/>
        <v>314</v>
      </c>
      <c r="Q4498" s="8">
        <f t="shared" si="353"/>
        <v>150</v>
      </c>
      <c r="R4498" s="2" t="s">
        <v>28</v>
      </c>
      <c r="S4498" s="9">
        <f t="shared" si="354"/>
        <v>6.28</v>
      </c>
    </row>
    <row r="4499" spans="1:19" x14ac:dyDescent="0.3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str">
        <f>IFERROR(VLOOKUP('Customer Info'!A4491,'Customer Info'!A4491:C4990,2,FALSE),"Not Found")</f>
        <v>Not Found</v>
      </c>
      <c r="H4499" s="6" t="str">
        <f>IFERROR(VLOOKUP('Customer Info'!A4491,'Customer Info'!A4491:C4990,3,FALSE),"Not Found")</f>
        <v>Not Found</v>
      </c>
      <c r="I4499" s="6" t="str">
        <f>IFERROR(VLOOKUP('Customer Info'!A4491,'Customer Info'!A4491:E4990,5,FALSE),"Not Found")</f>
        <v>Not Found</v>
      </c>
      <c r="J4499" s="2">
        <v>474</v>
      </c>
      <c r="K4499" s="2">
        <v>443</v>
      </c>
      <c r="L4499" s="2">
        <v>2</v>
      </c>
      <c r="M4499" s="7">
        <f t="shared" si="350"/>
        <v>886</v>
      </c>
      <c r="N4499" s="7">
        <f t="shared" si="351"/>
        <v>948</v>
      </c>
      <c r="O4499" s="2">
        <v>21</v>
      </c>
      <c r="P4499" s="8">
        <f t="shared" si="352"/>
        <v>969</v>
      </c>
      <c r="Q4499" s="8">
        <f t="shared" si="353"/>
        <v>505</v>
      </c>
      <c r="R4499" s="2" t="s">
        <v>28</v>
      </c>
      <c r="S4499" s="9">
        <f t="shared" si="354"/>
        <v>19.38</v>
      </c>
    </row>
    <row r="4500" spans="1:19" x14ac:dyDescent="0.3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str">
        <f>IFERROR(VLOOKUP('Customer Info'!A4492,'Customer Info'!A4492:C4991,2,FALSE),"Not Found")</f>
        <v>Not Found</v>
      </c>
      <c r="H4500" s="6" t="str">
        <f>IFERROR(VLOOKUP('Customer Info'!A4492,'Customer Info'!A4492:C4991,3,FALSE),"Not Found")</f>
        <v>Not Found</v>
      </c>
      <c r="I4500" s="6" t="str">
        <f>IFERROR(VLOOKUP('Customer Info'!A4492,'Customer Info'!A4492:E4991,5,FALSE),"Not Found")</f>
        <v>Not Found</v>
      </c>
      <c r="J4500" s="2">
        <v>29378</v>
      </c>
      <c r="K4500" s="2">
        <v>26912</v>
      </c>
      <c r="L4500" s="2">
        <v>6</v>
      </c>
      <c r="M4500" s="7">
        <f t="shared" si="350"/>
        <v>161472</v>
      </c>
      <c r="N4500" s="7">
        <f t="shared" si="351"/>
        <v>176268</v>
      </c>
      <c r="O4500" s="2">
        <v>33</v>
      </c>
      <c r="P4500" s="8">
        <f t="shared" si="352"/>
        <v>176301</v>
      </c>
      <c r="Q4500" s="8">
        <f t="shared" si="353"/>
        <v>149356</v>
      </c>
      <c r="R4500" s="2" t="s">
        <v>50</v>
      </c>
      <c r="S4500" s="9">
        <f t="shared" si="354"/>
        <v>21156.12</v>
      </c>
    </row>
    <row r="4501" spans="1:19" x14ac:dyDescent="0.3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str">
        <f>IFERROR(VLOOKUP('Customer Info'!A4493,'Customer Info'!A4493:C4992,2,FALSE),"Not Found")</f>
        <v>Not Found</v>
      </c>
      <c r="H4501" s="6" t="str">
        <f>IFERROR(VLOOKUP('Customer Info'!A4493,'Customer Info'!A4493:C4992,3,FALSE),"Not Found")</f>
        <v>Not Found</v>
      </c>
      <c r="I4501" s="6" t="str">
        <f>IFERROR(VLOOKUP('Customer Info'!A4493,'Customer Info'!A4493:E4992,5,FALSE),"Not Found")</f>
        <v>Not Found</v>
      </c>
      <c r="J4501" s="2">
        <v>8495</v>
      </c>
      <c r="K4501" s="2">
        <v>7647</v>
      </c>
      <c r="L4501" s="2">
        <v>5</v>
      </c>
      <c r="M4501" s="7">
        <f t="shared" si="350"/>
        <v>38235</v>
      </c>
      <c r="N4501" s="7">
        <f t="shared" si="351"/>
        <v>42475</v>
      </c>
      <c r="O4501" s="2">
        <v>69</v>
      </c>
      <c r="P4501" s="8">
        <f t="shared" si="352"/>
        <v>42544</v>
      </c>
      <c r="Q4501" s="8">
        <f t="shared" si="353"/>
        <v>34828</v>
      </c>
      <c r="R4501" s="2" t="s">
        <v>50</v>
      </c>
      <c r="S4501" s="9">
        <f t="shared" si="354"/>
        <v>2978.0800000000004</v>
      </c>
    </row>
    <row r="4502" spans="1:19" x14ac:dyDescent="0.3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str">
        <f>IFERROR(VLOOKUP('Customer Info'!A4494,'Customer Info'!A4494:C4993,2,FALSE),"Not Found")</f>
        <v>Not Found</v>
      </c>
      <c r="H4502" s="6" t="str">
        <f>IFERROR(VLOOKUP('Customer Info'!A4494,'Customer Info'!A4494:C4993,3,FALSE),"Not Found")</f>
        <v>Not Found</v>
      </c>
      <c r="I4502" s="6" t="str">
        <f>IFERROR(VLOOKUP('Customer Info'!A4494,'Customer Info'!A4494:E4993,5,FALSE),"Not Found")</f>
        <v>Not Found</v>
      </c>
      <c r="J4502" s="2">
        <v>882</v>
      </c>
      <c r="K4502" s="2">
        <v>818</v>
      </c>
      <c r="L4502" s="2">
        <v>3</v>
      </c>
      <c r="M4502" s="7">
        <f t="shared" si="350"/>
        <v>2454</v>
      </c>
      <c r="N4502" s="7">
        <f t="shared" si="351"/>
        <v>2646</v>
      </c>
      <c r="O4502" s="2">
        <v>58</v>
      </c>
      <c r="P4502" s="8">
        <f t="shared" si="352"/>
        <v>2704</v>
      </c>
      <c r="Q4502" s="8">
        <f t="shared" si="353"/>
        <v>1828</v>
      </c>
      <c r="R4502" s="2" t="s">
        <v>56</v>
      </c>
      <c r="S4502" s="9">
        <f t="shared" si="354"/>
        <v>54.08</v>
      </c>
    </row>
    <row r="4503" spans="1:19" x14ac:dyDescent="0.3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str">
        <f>IFERROR(VLOOKUP('Customer Info'!A4495,'Customer Info'!A4495:C4994,2,FALSE),"Not Found")</f>
        <v>Not Found</v>
      </c>
      <c r="H4503" s="6" t="str">
        <f>IFERROR(VLOOKUP('Customer Info'!A4495,'Customer Info'!A4495:C4994,3,FALSE),"Not Found")</f>
        <v>Not Found</v>
      </c>
      <c r="I4503" s="6" t="str">
        <f>IFERROR(VLOOKUP('Customer Info'!A4495,'Customer Info'!A4495:E4994,5,FALSE),"Not Found")</f>
        <v>Not Found</v>
      </c>
      <c r="J4503" s="2">
        <v>3248</v>
      </c>
      <c r="K4503" s="2">
        <v>3035</v>
      </c>
      <c r="L4503" s="2">
        <v>2</v>
      </c>
      <c r="M4503" s="7">
        <f t="shared" si="350"/>
        <v>6070</v>
      </c>
      <c r="N4503" s="7">
        <f t="shared" si="351"/>
        <v>6496</v>
      </c>
      <c r="O4503" s="2">
        <v>100</v>
      </c>
      <c r="P4503" s="8">
        <f t="shared" si="352"/>
        <v>6596</v>
      </c>
      <c r="Q4503" s="8">
        <f t="shared" si="353"/>
        <v>3461</v>
      </c>
      <c r="R4503" s="2" t="s">
        <v>50</v>
      </c>
      <c r="S4503" s="9">
        <f t="shared" si="354"/>
        <v>329.8</v>
      </c>
    </row>
    <row r="4504" spans="1:19" x14ac:dyDescent="0.3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str">
        <f>IFERROR(VLOOKUP('Customer Info'!A4496,'Customer Info'!A4496:C4995,2,FALSE),"Not Found")</f>
        <v>Not Found</v>
      </c>
      <c r="H4504" s="6" t="str">
        <f>IFERROR(VLOOKUP('Customer Info'!A4496,'Customer Info'!A4496:C4995,3,FALSE),"Not Found")</f>
        <v>Not Found</v>
      </c>
      <c r="I4504" s="6" t="str">
        <f>IFERROR(VLOOKUP('Customer Info'!A4496,'Customer Info'!A4496:E4995,5,FALSE),"Not Found")</f>
        <v>Not Found</v>
      </c>
      <c r="J4504" s="2">
        <v>5941</v>
      </c>
      <c r="K4504" s="2">
        <v>5827</v>
      </c>
      <c r="L4504" s="2">
        <v>9</v>
      </c>
      <c r="M4504" s="7">
        <f t="shared" si="350"/>
        <v>52443</v>
      </c>
      <c r="N4504" s="7">
        <f t="shared" si="351"/>
        <v>53469</v>
      </c>
      <c r="O4504" s="2">
        <v>62</v>
      </c>
      <c r="P4504" s="8">
        <f t="shared" si="352"/>
        <v>53531</v>
      </c>
      <c r="Q4504" s="8">
        <f t="shared" si="353"/>
        <v>47642</v>
      </c>
      <c r="R4504" s="2" t="s">
        <v>50</v>
      </c>
      <c r="S4504" s="9">
        <f t="shared" si="354"/>
        <v>4817.79</v>
      </c>
    </row>
    <row r="4505" spans="1:19" x14ac:dyDescent="0.3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str">
        <f>IFERROR(VLOOKUP('Customer Info'!A4497,'Customer Info'!A4497:C4996,2,FALSE),"Not Found")</f>
        <v>Not Found</v>
      </c>
      <c r="H4505" s="6" t="str">
        <f>IFERROR(VLOOKUP('Customer Info'!A4497,'Customer Info'!A4497:C4996,3,FALSE),"Not Found")</f>
        <v>Not Found</v>
      </c>
      <c r="I4505" s="6" t="str">
        <f>IFERROR(VLOOKUP('Customer Info'!A4497,'Customer Info'!A4497:E4996,5,FALSE),"Not Found")</f>
        <v>Not Found</v>
      </c>
      <c r="J4505" s="2">
        <v>1364</v>
      </c>
      <c r="K4505" s="2">
        <v>1274</v>
      </c>
      <c r="L4505" s="2">
        <v>6</v>
      </c>
      <c r="M4505" s="7">
        <f t="shared" si="350"/>
        <v>7644</v>
      </c>
      <c r="N4505" s="7">
        <f t="shared" si="351"/>
        <v>8184</v>
      </c>
      <c r="O4505" s="2">
        <v>66</v>
      </c>
      <c r="P4505" s="8">
        <f t="shared" si="352"/>
        <v>8250</v>
      </c>
      <c r="Q4505" s="8">
        <f t="shared" si="353"/>
        <v>6910</v>
      </c>
      <c r="R4505" s="2" t="s">
        <v>28</v>
      </c>
      <c r="S4505" s="9">
        <f t="shared" si="354"/>
        <v>412.5</v>
      </c>
    </row>
    <row r="4506" spans="1:19" x14ac:dyDescent="0.3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str">
        <f>IFERROR(VLOOKUP('Customer Info'!A4498,'Customer Info'!A4498:C4997,2,FALSE),"Not Found")</f>
        <v>Not Found</v>
      </c>
      <c r="H4506" s="6" t="str">
        <f>IFERROR(VLOOKUP('Customer Info'!A4498,'Customer Info'!A4498:C4997,3,FALSE),"Not Found")</f>
        <v>Not Found</v>
      </c>
      <c r="I4506" s="6" t="str">
        <f>IFERROR(VLOOKUP('Customer Info'!A4498,'Customer Info'!A4498:E4997,5,FALSE),"Not Found")</f>
        <v>Not Found</v>
      </c>
      <c r="J4506" s="2">
        <v>1763</v>
      </c>
      <c r="K4506" s="2">
        <v>1602</v>
      </c>
      <c r="L4506" s="2">
        <v>2</v>
      </c>
      <c r="M4506" s="7">
        <f t="shared" si="350"/>
        <v>3204</v>
      </c>
      <c r="N4506" s="7">
        <f t="shared" si="351"/>
        <v>3526</v>
      </c>
      <c r="O4506" s="2">
        <v>91</v>
      </c>
      <c r="P4506" s="8">
        <f t="shared" si="352"/>
        <v>3617</v>
      </c>
      <c r="Q4506" s="8">
        <f t="shared" si="353"/>
        <v>1924</v>
      </c>
      <c r="R4506" s="2" t="s">
        <v>50</v>
      </c>
      <c r="S4506" s="9">
        <f t="shared" si="354"/>
        <v>72.34</v>
      </c>
    </row>
    <row r="4507" spans="1:19" x14ac:dyDescent="0.3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str">
        <f>IFERROR(VLOOKUP('Customer Info'!A4499,'Customer Info'!A4499:C4998,2,FALSE),"Not Found")</f>
        <v>Not Found</v>
      </c>
      <c r="H4507" s="6" t="str">
        <f>IFERROR(VLOOKUP('Customer Info'!A4499,'Customer Info'!A4499:C4998,3,FALSE),"Not Found")</f>
        <v>Not Found</v>
      </c>
      <c r="I4507" s="6" t="str">
        <f>IFERROR(VLOOKUP('Customer Info'!A4499,'Customer Info'!A4499:E4998,5,FALSE),"Not Found")</f>
        <v>Not Found</v>
      </c>
      <c r="J4507" s="2">
        <v>2602</v>
      </c>
      <c r="K4507" s="2">
        <v>2363</v>
      </c>
      <c r="L4507" s="2">
        <v>2</v>
      </c>
      <c r="M4507" s="7">
        <f t="shared" si="350"/>
        <v>4726</v>
      </c>
      <c r="N4507" s="7">
        <f t="shared" si="351"/>
        <v>5204</v>
      </c>
      <c r="O4507" s="2">
        <v>97</v>
      </c>
      <c r="P4507" s="8">
        <f t="shared" si="352"/>
        <v>5301</v>
      </c>
      <c r="Q4507" s="8">
        <f t="shared" si="353"/>
        <v>2841</v>
      </c>
      <c r="R4507" s="2" t="s">
        <v>28</v>
      </c>
      <c r="S4507" s="9">
        <f t="shared" si="354"/>
        <v>265.05</v>
      </c>
    </row>
    <row r="4508" spans="1:19" x14ac:dyDescent="0.3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str">
        <f>IFERROR(VLOOKUP('Customer Info'!A4500,'Customer Info'!A4500:C4999,2,FALSE),"Not Found")</f>
        <v>Not Found</v>
      </c>
      <c r="H4508" s="6" t="str">
        <f>IFERROR(VLOOKUP('Customer Info'!A4500,'Customer Info'!A4500:C4999,3,FALSE),"Not Found")</f>
        <v>Not Found</v>
      </c>
      <c r="I4508" s="6" t="str">
        <f>IFERROR(VLOOKUP('Customer Info'!A4500,'Customer Info'!A4500:E4999,5,FALSE),"Not Found")</f>
        <v>Not Found</v>
      </c>
      <c r="J4508" s="2">
        <v>175</v>
      </c>
      <c r="K4508" s="2">
        <v>162</v>
      </c>
      <c r="L4508" s="2">
        <v>3</v>
      </c>
      <c r="M4508" s="7">
        <f t="shared" si="350"/>
        <v>486</v>
      </c>
      <c r="N4508" s="7">
        <f t="shared" si="351"/>
        <v>525</v>
      </c>
      <c r="O4508" s="2">
        <v>30</v>
      </c>
      <c r="P4508" s="8">
        <f t="shared" si="352"/>
        <v>555</v>
      </c>
      <c r="Q4508" s="8">
        <f t="shared" si="353"/>
        <v>363</v>
      </c>
      <c r="R4508" s="2" t="s">
        <v>28</v>
      </c>
      <c r="S4508" s="9">
        <f t="shared" si="354"/>
        <v>11.1</v>
      </c>
    </row>
    <row r="4509" spans="1:19" x14ac:dyDescent="0.3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str">
        <f>IFERROR(VLOOKUP('Customer Info'!A4501,'Customer Info'!A4501:C5000,2,FALSE),"Not Found")</f>
        <v>Not Found</v>
      </c>
      <c r="H4509" s="6" t="str">
        <f>IFERROR(VLOOKUP('Customer Info'!A4501,'Customer Info'!A4501:C5000,3,FALSE),"Not Found")</f>
        <v>Not Found</v>
      </c>
      <c r="I4509" s="6" t="str">
        <f>IFERROR(VLOOKUP('Customer Info'!A4501,'Customer Info'!A4501:E5000,5,FALSE),"Not Found")</f>
        <v>Not Found</v>
      </c>
      <c r="J4509" s="2">
        <v>183</v>
      </c>
      <c r="K4509" s="2">
        <v>168</v>
      </c>
      <c r="L4509" s="2">
        <v>2</v>
      </c>
      <c r="M4509" s="7">
        <f t="shared" si="350"/>
        <v>336</v>
      </c>
      <c r="N4509" s="7">
        <f t="shared" si="351"/>
        <v>366</v>
      </c>
      <c r="O4509" s="2">
        <v>30</v>
      </c>
      <c r="P4509" s="8">
        <f t="shared" si="352"/>
        <v>396</v>
      </c>
      <c r="Q4509" s="8">
        <f t="shared" si="353"/>
        <v>198</v>
      </c>
      <c r="R4509" s="2" t="s">
        <v>28</v>
      </c>
      <c r="S4509" s="9">
        <f t="shared" si="354"/>
        <v>7.92</v>
      </c>
    </row>
    <row r="4510" spans="1:19" x14ac:dyDescent="0.3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str">
        <f>IFERROR(VLOOKUP('Customer Info'!A4502,'Customer Info'!A4502:C5001,2,FALSE),"Not Found")</f>
        <v>Not Found</v>
      </c>
      <c r="H4510" s="6" t="str">
        <f>IFERROR(VLOOKUP('Customer Info'!A4502,'Customer Info'!A4502:C5001,3,FALSE),"Not Found")</f>
        <v>Not Found</v>
      </c>
      <c r="I4510" s="6" t="str">
        <f>IFERROR(VLOOKUP('Customer Info'!A4502,'Customer Info'!A4502:E5001,5,FALSE),"Not Found")</f>
        <v>Not Found</v>
      </c>
      <c r="J4510" s="2">
        <v>1321</v>
      </c>
      <c r="K4510" s="2">
        <v>1211</v>
      </c>
      <c r="L4510" s="2">
        <v>5</v>
      </c>
      <c r="M4510" s="7">
        <f t="shared" si="350"/>
        <v>6055</v>
      </c>
      <c r="N4510" s="7">
        <f t="shared" si="351"/>
        <v>6605</v>
      </c>
      <c r="O4510" s="2">
        <v>77</v>
      </c>
      <c r="P4510" s="8">
        <f t="shared" si="352"/>
        <v>6682</v>
      </c>
      <c r="Q4510" s="8">
        <f t="shared" si="353"/>
        <v>5394</v>
      </c>
      <c r="R4510" s="2" t="s">
        <v>50</v>
      </c>
      <c r="S4510" s="9">
        <f t="shared" si="354"/>
        <v>334.1</v>
      </c>
    </row>
    <row r="4511" spans="1:19" x14ac:dyDescent="0.3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str">
        <f>IFERROR(VLOOKUP('Customer Info'!A4503,'Customer Info'!A4503:C5002,2,FALSE),"Not Found")</f>
        <v>Not Found</v>
      </c>
      <c r="H4511" s="6" t="str">
        <f>IFERROR(VLOOKUP('Customer Info'!A4503,'Customer Info'!A4503:C5002,3,FALSE),"Not Found")</f>
        <v>Not Found</v>
      </c>
      <c r="I4511" s="6" t="str">
        <f>IFERROR(VLOOKUP('Customer Info'!A4503,'Customer Info'!A4503:E5002,5,FALSE),"Not Found")</f>
        <v>Not Found</v>
      </c>
      <c r="J4511" s="2">
        <v>144</v>
      </c>
      <c r="K4511" s="2">
        <v>133</v>
      </c>
      <c r="L4511" s="2">
        <v>3</v>
      </c>
      <c r="M4511" s="7">
        <f t="shared" si="350"/>
        <v>399</v>
      </c>
      <c r="N4511" s="7">
        <f t="shared" si="351"/>
        <v>432</v>
      </c>
      <c r="O4511" s="2">
        <v>30</v>
      </c>
      <c r="P4511" s="8">
        <f t="shared" si="352"/>
        <v>462</v>
      </c>
      <c r="Q4511" s="8">
        <f t="shared" si="353"/>
        <v>299</v>
      </c>
      <c r="R4511" s="2" t="s">
        <v>28</v>
      </c>
      <c r="S4511" s="9">
        <f t="shared" si="354"/>
        <v>9.24</v>
      </c>
    </row>
    <row r="4512" spans="1:19" x14ac:dyDescent="0.3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str">
        <f>IFERROR(VLOOKUP('Customer Info'!A4504,'Customer Info'!A4504:C5003,2,FALSE),"Not Found")</f>
        <v>Not Found</v>
      </c>
      <c r="H4512" s="6" t="str">
        <f>IFERROR(VLOOKUP('Customer Info'!A4504,'Customer Info'!A4504:C5003,3,FALSE),"Not Found")</f>
        <v>Not Found</v>
      </c>
      <c r="I4512" s="6" t="str">
        <f>IFERROR(VLOOKUP('Customer Info'!A4504,'Customer Info'!A4504:E5003,5,FALSE),"Not Found")</f>
        <v>Not Found</v>
      </c>
      <c r="J4512" s="2">
        <v>1568</v>
      </c>
      <c r="K4512" s="2">
        <v>1495</v>
      </c>
      <c r="L4512" s="2">
        <v>5</v>
      </c>
      <c r="M4512" s="7">
        <f t="shared" si="350"/>
        <v>7475</v>
      </c>
      <c r="N4512" s="7">
        <f t="shared" si="351"/>
        <v>7840</v>
      </c>
      <c r="O4512" s="2">
        <v>67</v>
      </c>
      <c r="P4512" s="8">
        <f t="shared" si="352"/>
        <v>7907</v>
      </c>
      <c r="Q4512" s="8">
        <f t="shared" si="353"/>
        <v>6345</v>
      </c>
      <c r="R4512" s="2" t="s">
        <v>28</v>
      </c>
      <c r="S4512" s="9">
        <f t="shared" si="354"/>
        <v>395.35</v>
      </c>
    </row>
    <row r="4513" spans="1:19" x14ac:dyDescent="0.3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str">
        <f>IFERROR(VLOOKUP('Customer Info'!A4505,'Customer Info'!A4505:C5004,2,FALSE),"Not Found")</f>
        <v>Not Found</v>
      </c>
      <c r="H4513" s="6" t="str">
        <f>IFERROR(VLOOKUP('Customer Info'!A4505,'Customer Info'!A4505:C5004,3,FALSE),"Not Found")</f>
        <v>Not Found</v>
      </c>
      <c r="I4513" s="6" t="str">
        <f>IFERROR(VLOOKUP('Customer Info'!A4505,'Customer Info'!A4505:E5004,5,FALSE),"Not Found")</f>
        <v>Not Found</v>
      </c>
      <c r="J4513" s="2">
        <v>6951</v>
      </c>
      <c r="K4513" s="2">
        <v>6620</v>
      </c>
      <c r="L4513" s="2">
        <v>6</v>
      </c>
      <c r="M4513" s="7">
        <f t="shared" si="350"/>
        <v>39720</v>
      </c>
      <c r="N4513" s="7">
        <f t="shared" si="351"/>
        <v>41706</v>
      </c>
      <c r="O4513" s="2">
        <v>29</v>
      </c>
      <c r="P4513" s="8">
        <f t="shared" si="352"/>
        <v>41735</v>
      </c>
      <c r="Q4513" s="8">
        <f t="shared" si="353"/>
        <v>35086</v>
      </c>
      <c r="R4513" s="2" t="s">
        <v>28</v>
      </c>
      <c r="S4513" s="9">
        <f t="shared" si="354"/>
        <v>2921.4500000000003</v>
      </c>
    </row>
    <row r="4514" spans="1:19" x14ac:dyDescent="0.3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str">
        <f>IFERROR(VLOOKUP('Customer Info'!A4506,'Customer Info'!A4506:C5005,2,FALSE),"Not Found")</f>
        <v>Not Found</v>
      </c>
      <c r="H4514" s="6" t="str">
        <f>IFERROR(VLOOKUP('Customer Info'!A4506,'Customer Info'!A4506:C5005,3,FALSE),"Not Found")</f>
        <v>Not Found</v>
      </c>
      <c r="I4514" s="6" t="str">
        <f>IFERROR(VLOOKUP('Customer Info'!A4506,'Customer Info'!A4506:E5005,5,FALSE),"Not Found")</f>
        <v>Not Found</v>
      </c>
      <c r="J4514" s="2">
        <v>2907</v>
      </c>
      <c r="K4514" s="2">
        <v>2667</v>
      </c>
      <c r="L4514" s="2">
        <v>4</v>
      </c>
      <c r="M4514" s="7">
        <f t="shared" si="350"/>
        <v>10668</v>
      </c>
      <c r="N4514" s="7">
        <f t="shared" si="351"/>
        <v>11628</v>
      </c>
      <c r="O4514" s="2">
        <v>54</v>
      </c>
      <c r="P4514" s="8">
        <f t="shared" si="352"/>
        <v>11682</v>
      </c>
      <c r="Q4514" s="8">
        <f t="shared" si="353"/>
        <v>8961</v>
      </c>
      <c r="R4514" s="2" t="s">
        <v>28</v>
      </c>
      <c r="S4514" s="9">
        <f t="shared" si="354"/>
        <v>584.1</v>
      </c>
    </row>
    <row r="4515" spans="1:19" x14ac:dyDescent="0.3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str">
        <f>IFERROR(VLOOKUP('Customer Info'!A4507,'Customer Info'!A4507:C5006,2,FALSE),"Not Found")</f>
        <v>Not Found</v>
      </c>
      <c r="H4515" s="6" t="str">
        <f>IFERROR(VLOOKUP('Customer Info'!A4507,'Customer Info'!A4507:C5006,3,FALSE),"Not Found")</f>
        <v>Not Found</v>
      </c>
      <c r="I4515" s="6" t="str">
        <f>IFERROR(VLOOKUP('Customer Info'!A4507,'Customer Info'!A4507:E5006,5,FALSE),"Not Found")</f>
        <v>Not Found</v>
      </c>
      <c r="J4515" s="2">
        <v>5051</v>
      </c>
      <c r="K4515" s="2">
        <v>4634</v>
      </c>
      <c r="L4515" s="2">
        <v>3</v>
      </c>
      <c r="M4515" s="7">
        <f t="shared" si="350"/>
        <v>13902</v>
      </c>
      <c r="N4515" s="7">
        <f t="shared" si="351"/>
        <v>15153</v>
      </c>
      <c r="O4515" s="2">
        <v>41</v>
      </c>
      <c r="P4515" s="8">
        <f t="shared" si="352"/>
        <v>15194</v>
      </c>
      <c r="Q4515" s="8">
        <f t="shared" si="353"/>
        <v>10519</v>
      </c>
      <c r="R4515" s="2" t="s">
        <v>50</v>
      </c>
      <c r="S4515" s="9">
        <f t="shared" si="354"/>
        <v>759.7</v>
      </c>
    </row>
    <row r="4516" spans="1:19" x14ac:dyDescent="0.3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str">
        <f>IFERROR(VLOOKUP('Customer Info'!A4508,'Customer Info'!A4508:C5007,2,FALSE),"Not Found")</f>
        <v>Not Found</v>
      </c>
      <c r="H4516" s="6" t="str">
        <f>IFERROR(VLOOKUP('Customer Info'!A4508,'Customer Info'!A4508:C5007,3,FALSE),"Not Found")</f>
        <v>Not Found</v>
      </c>
      <c r="I4516" s="6" t="str">
        <f>IFERROR(VLOOKUP('Customer Info'!A4508,'Customer Info'!A4508:E5007,5,FALSE),"Not Found")</f>
        <v>Not Found</v>
      </c>
      <c r="J4516" s="2">
        <v>1552</v>
      </c>
      <c r="K4516" s="2">
        <v>1466</v>
      </c>
      <c r="L4516" s="2">
        <v>5</v>
      </c>
      <c r="M4516" s="7">
        <f t="shared" si="350"/>
        <v>7330</v>
      </c>
      <c r="N4516" s="7">
        <f t="shared" si="351"/>
        <v>7760</v>
      </c>
      <c r="O4516" s="2">
        <v>34</v>
      </c>
      <c r="P4516" s="8">
        <f t="shared" si="352"/>
        <v>7794</v>
      </c>
      <c r="Q4516" s="8">
        <f t="shared" si="353"/>
        <v>6294</v>
      </c>
      <c r="R4516" s="2" t="s">
        <v>50</v>
      </c>
      <c r="S4516" s="9">
        <f t="shared" si="354"/>
        <v>389.70000000000005</v>
      </c>
    </row>
    <row r="4517" spans="1:19" x14ac:dyDescent="0.3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str">
        <f>IFERROR(VLOOKUP('Customer Info'!A4509,'Customer Info'!A4509:C5008,2,FALSE),"Not Found")</f>
        <v>Not Found</v>
      </c>
      <c r="H4517" s="6" t="str">
        <f>IFERROR(VLOOKUP('Customer Info'!A4509,'Customer Info'!A4509:C5008,3,FALSE),"Not Found")</f>
        <v>Not Found</v>
      </c>
      <c r="I4517" s="6" t="str">
        <f>IFERROR(VLOOKUP('Customer Info'!A4509,'Customer Info'!A4509:E5008,5,FALSE),"Not Found")</f>
        <v>Not Found</v>
      </c>
      <c r="J4517" s="2">
        <v>2644</v>
      </c>
      <c r="K4517" s="2">
        <v>2425</v>
      </c>
      <c r="L4517" s="2">
        <v>2</v>
      </c>
      <c r="M4517" s="7">
        <f t="shared" si="350"/>
        <v>4850</v>
      </c>
      <c r="N4517" s="7">
        <f t="shared" si="351"/>
        <v>5288</v>
      </c>
      <c r="O4517" s="2">
        <v>76</v>
      </c>
      <c r="P4517" s="8">
        <f t="shared" si="352"/>
        <v>5364</v>
      </c>
      <c r="Q4517" s="8">
        <f t="shared" si="353"/>
        <v>2863</v>
      </c>
      <c r="R4517" s="2" t="s">
        <v>50</v>
      </c>
      <c r="S4517" s="9">
        <f t="shared" si="354"/>
        <v>268.2</v>
      </c>
    </row>
    <row r="4518" spans="1:19" x14ac:dyDescent="0.3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str">
        <f>IFERROR(VLOOKUP('Customer Info'!A4510,'Customer Info'!A4510:C5009,2,FALSE),"Not Found")</f>
        <v>Not Found</v>
      </c>
      <c r="H4518" s="6" t="str">
        <f>IFERROR(VLOOKUP('Customer Info'!A4510,'Customer Info'!A4510:C5009,3,FALSE),"Not Found")</f>
        <v>Not Found</v>
      </c>
      <c r="I4518" s="6" t="str">
        <f>IFERROR(VLOOKUP('Customer Info'!A4510,'Customer Info'!A4510:E5009,5,FALSE),"Not Found")</f>
        <v>Not Found</v>
      </c>
      <c r="J4518" s="2">
        <v>63</v>
      </c>
      <c r="K4518" s="2">
        <v>58</v>
      </c>
      <c r="L4518" s="2">
        <v>6</v>
      </c>
      <c r="M4518" s="7">
        <f t="shared" si="350"/>
        <v>348</v>
      </c>
      <c r="N4518" s="7">
        <f t="shared" si="351"/>
        <v>378</v>
      </c>
      <c r="O4518" s="2">
        <v>10</v>
      </c>
      <c r="P4518" s="8">
        <f t="shared" si="352"/>
        <v>388</v>
      </c>
      <c r="Q4518" s="8">
        <f t="shared" si="353"/>
        <v>320</v>
      </c>
      <c r="R4518" s="2" t="s">
        <v>28</v>
      </c>
      <c r="S4518" s="9">
        <f t="shared" si="354"/>
        <v>7.76</v>
      </c>
    </row>
    <row r="4519" spans="1:19" x14ac:dyDescent="0.3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str">
        <f>IFERROR(VLOOKUP('Customer Info'!A4511,'Customer Info'!A4511:C5010,2,FALSE),"Not Found")</f>
        <v>Not Found</v>
      </c>
      <c r="H4519" s="6" t="str">
        <f>IFERROR(VLOOKUP('Customer Info'!A4511,'Customer Info'!A4511:C5010,3,FALSE),"Not Found")</f>
        <v>Not Found</v>
      </c>
      <c r="I4519" s="6" t="str">
        <f>IFERROR(VLOOKUP('Customer Info'!A4511,'Customer Info'!A4511:E5010,5,FALSE),"Not Found")</f>
        <v>Not Found</v>
      </c>
      <c r="J4519" s="2">
        <v>1859</v>
      </c>
      <c r="K4519" s="2">
        <v>1755</v>
      </c>
      <c r="L4519" s="2">
        <v>4</v>
      </c>
      <c r="M4519" s="7">
        <f t="shared" si="350"/>
        <v>7020</v>
      </c>
      <c r="N4519" s="7">
        <f t="shared" si="351"/>
        <v>7436</v>
      </c>
      <c r="O4519" s="2">
        <v>84</v>
      </c>
      <c r="P4519" s="8">
        <f t="shared" si="352"/>
        <v>7520</v>
      </c>
      <c r="Q4519" s="8">
        <f t="shared" si="353"/>
        <v>5681</v>
      </c>
      <c r="R4519" s="2" t="s">
        <v>28</v>
      </c>
      <c r="S4519" s="9">
        <f t="shared" si="354"/>
        <v>376</v>
      </c>
    </row>
    <row r="4520" spans="1:19" x14ac:dyDescent="0.3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str">
        <f>IFERROR(VLOOKUP('Customer Info'!A4512,'Customer Info'!A4512:C5011,2,FALSE),"Not Found")</f>
        <v>Not Found</v>
      </c>
      <c r="H4520" s="6" t="str">
        <f>IFERROR(VLOOKUP('Customer Info'!A4512,'Customer Info'!A4512:C5011,3,FALSE),"Not Found")</f>
        <v>Not Found</v>
      </c>
      <c r="I4520" s="6" t="str">
        <f>IFERROR(VLOOKUP('Customer Info'!A4512,'Customer Info'!A4512:E5011,5,FALSE),"Not Found")</f>
        <v>Not Found</v>
      </c>
      <c r="J4520" s="2">
        <v>1637</v>
      </c>
      <c r="K4520" s="2">
        <v>1591</v>
      </c>
      <c r="L4520" s="2">
        <v>6</v>
      </c>
      <c r="M4520" s="7">
        <f t="shared" si="350"/>
        <v>9546</v>
      </c>
      <c r="N4520" s="7">
        <f t="shared" si="351"/>
        <v>9822</v>
      </c>
      <c r="O4520" s="2">
        <v>72</v>
      </c>
      <c r="P4520" s="8">
        <f t="shared" si="352"/>
        <v>9894</v>
      </c>
      <c r="Q4520" s="8">
        <f t="shared" si="353"/>
        <v>8231</v>
      </c>
      <c r="R4520" s="2" t="s">
        <v>56</v>
      </c>
      <c r="S4520" s="9">
        <f t="shared" si="354"/>
        <v>494.70000000000005</v>
      </c>
    </row>
    <row r="4521" spans="1:19" x14ac:dyDescent="0.3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str">
        <f>IFERROR(VLOOKUP('Customer Info'!A4513,'Customer Info'!A4513:C5012,2,FALSE),"Not Found")</f>
        <v>Not Found</v>
      </c>
      <c r="H4521" s="6" t="str">
        <f>IFERROR(VLOOKUP('Customer Info'!A4513,'Customer Info'!A4513:C5012,3,FALSE),"Not Found")</f>
        <v>Not Found</v>
      </c>
      <c r="I4521" s="6" t="str">
        <f>IFERROR(VLOOKUP('Customer Info'!A4513,'Customer Info'!A4513:E5012,5,FALSE),"Not Found")</f>
        <v>Not Found</v>
      </c>
      <c r="J4521" s="2">
        <v>7350</v>
      </c>
      <c r="K4521" s="2">
        <v>6743</v>
      </c>
      <c r="L4521" s="2">
        <v>3</v>
      </c>
      <c r="M4521" s="7">
        <f t="shared" si="350"/>
        <v>20229</v>
      </c>
      <c r="N4521" s="7">
        <f t="shared" si="351"/>
        <v>22050</v>
      </c>
      <c r="O4521" s="2">
        <v>62</v>
      </c>
      <c r="P4521" s="8">
        <f t="shared" si="352"/>
        <v>22112</v>
      </c>
      <c r="Q4521" s="8">
        <f t="shared" si="353"/>
        <v>15307</v>
      </c>
      <c r="R4521" s="2" t="s">
        <v>50</v>
      </c>
      <c r="S4521" s="9">
        <f t="shared" si="354"/>
        <v>1105.6000000000001</v>
      </c>
    </row>
    <row r="4522" spans="1:19" x14ac:dyDescent="0.3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str">
        <f>IFERROR(VLOOKUP('Customer Info'!A4514,'Customer Info'!A4514:C5013,2,FALSE),"Not Found")</f>
        <v>Not Found</v>
      </c>
      <c r="H4522" s="6" t="str">
        <f>IFERROR(VLOOKUP('Customer Info'!A4514,'Customer Info'!A4514:C5013,3,FALSE),"Not Found")</f>
        <v>Not Found</v>
      </c>
      <c r="I4522" s="6" t="str">
        <f>IFERROR(VLOOKUP('Customer Info'!A4514,'Customer Info'!A4514:E5013,5,FALSE),"Not Found")</f>
        <v>Not Found</v>
      </c>
      <c r="J4522" s="2">
        <v>3408</v>
      </c>
      <c r="K4522" s="2">
        <v>3215</v>
      </c>
      <c r="L4522" s="2">
        <v>1</v>
      </c>
      <c r="M4522" s="7">
        <f t="shared" si="350"/>
        <v>3215</v>
      </c>
      <c r="N4522" s="7">
        <f t="shared" si="351"/>
        <v>3408</v>
      </c>
      <c r="O4522" s="2">
        <v>64</v>
      </c>
      <c r="P4522" s="8">
        <f t="shared" si="352"/>
        <v>3472</v>
      </c>
      <c r="Q4522" s="8">
        <f t="shared" si="353"/>
        <v>193</v>
      </c>
      <c r="R4522" s="2" t="s">
        <v>28</v>
      </c>
      <c r="S4522" s="9">
        <f t="shared" si="354"/>
        <v>69.44</v>
      </c>
    </row>
    <row r="4523" spans="1:19" x14ac:dyDescent="0.3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str">
        <f>IFERROR(VLOOKUP('Customer Info'!A4515,'Customer Info'!A4515:C5014,2,FALSE),"Not Found")</f>
        <v>Not Found</v>
      </c>
      <c r="H4523" s="6" t="str">
        <f>IFERROR(VLOOKUP('Customer Info'!A4515,'Customer Info'!A4515:C5014,3,FALSE),"Not Found")</f>
        <v>Not Found</v>
      </c>
      <c r="I4523" s="6" t="str">
        <f>IFERROR(VLOOKUP('Customer Info'!A4515,'Customer Info'!A4515:E5014,5,FALSE),"Not Found")</f>
        <v>Not Found</v>
      </c>
      <c r="J4523" s="2">
        <v>81</v>
      </c>
      <c r="K4523" s="2">
        <v>77</v>
      </c>
      <c r="L4523" s="2">
        <v>4</v>
      </c>
      <c r="M4523" s="7">
        <f t="shared" si="350"/>
        <v>308</v>
      </c>
      <c r="N4523" s="7">
        <f t="shared" si="351"/>
        <v>324</v>
      </c>
      <c r="O4523" s="2">
        <v>10</v>
      </c>
      <c r="P4523" s="8">
        <f t="shared" si="352"/>
        <v>334</v>
      </c>
      <c r="Q4523" s="8">
        <f t="shared" si="353"/>
        <v>247</v>
      </c>
      <c r="R4523" s="2" t="s">
        <v>28</v>
      </c>
      <c r="S4523" s="9">
        <f t="shared" si="354"/>
        <v>6.68</v>
      </c>
    </row>
    <row r="4524" spans="1:19" x14ac:dyDescent="0.3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str">
        <f>IFERROR(VLOOKUP('Customer Info'!A4516,'Customer Info'!A4516:C5015,2,FALSE),"Not Found")</f>
        <v>Not Found</v>
      </c>
      <c r="H4524" s="6" t="str">
        <f>IFERROR(VLOOKUP('Customer Info'!A4516,'Customer Info'!A4516:C5015,3,FALSE),"Not Found")</f>
        <v>Not Found</v>
      </c>
      <c r="I4524" s="6" t="str">
        <f>IFERROR(VLOOKUP('Customer Info'!A4516,'Customer Info'!A4516:E5015,5,FALSE),"Not Found")</f>
        <v>Not Found</v>
      </c>
      <c r="J4524" s="2">
        <v>4798</v>
      </c>
      <c r="K4524" s="2">
        <v>4448</v>
      </c>
      <c r="L4524" s="2">
        <v>2</v>
      </c>
      <c r="M4524" s="7">
        <f t="shared" si="350"/>
        <v>8896</v>
      </c>
      <c r="N4524" s="7">
        <f t="shared" si="351"/>
        <v>9596</v>
      </c>
      <c r="O4524" s="2">
        <v>35</v>
      </c>
      <c r="P4524" s="8">
        <f t="shared" si="352"/>
        <v>9631</v>
      </c>
      <c r="Q4524" s="8">
        <f t="shared" si="353"/>
        <v>5148</v>
      </c>
      <c r="R4524" s="2" t="s">
        <v>28</v>
      </c>
      <c r="S4524" s="9">
        <f t="shared" si="354"/>
        <v>481.55</v>
      </c>
    </row>
    <row r="4525" spans="1:19" x14ac:dyDescent="0.3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str">
        <f>IFERROR(VLOOKUP('Customer Info'!A4517,'Customer Info'!A4517:C5016,2,FALSE),"Not Found")</f>
        <v>Not Found</v>
      </c>
      <c r="H4525" s="6" t="str">
        <f>IFERROR(VLOOKUP('Customer Info'!A4517,'Customer Info'!A4517:C5016,3,FALSE),"Not Found")</f>
        <v>Not Found</v>
      </c>
      <c r="I4525" s="6" t="str">
        <f>IFERROR(VLOOKUP('Customer Info'!A4517,'Customer Info'!A4517:E5016,5,FALSE),"Not Found")</f>
        <v>Not Found</v>
      </c>
      <c r="J4525" s="2">
        <v>877</v>
      </c>
      <c r="K4525" s="2">
        <v>788</v>
      </c>
      <c r="L4525" s="2">
        <v>7</v>
      </c>
      <c r="M4525" s="7">
        <f t="shared" si="350"/>
        <v>5516</v>
      </c>
      <c r="N4525" s="7">
        <f t="shared" si="351"/>
        <v>6139</v>
      </c>
      <c r="O4525" s="2">
        <v>96</v>
      </c>
      <c r="P4525" s="8">
        <f t="shared" si="352"/>
        <v>6235</v>
      </c>
      <c r="Q4525" s="8">
        <f t="shared" si="353"/>
        <v>5351</v>
      </c>
      <c r="R4525" s="2" t="s">
        <v>28</v>
      </c>
      <c r="S4525" s="9">
        <f t="shared" si="354"/>
        <v>311.75</v>
      </c>
    </row>
    <row r="4526" spans="1:19" x14ac:dyDescent="0.3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str">
        <f>IFERROR(VLOOKUP('Customer Info'!A4518,'Customer Info'!A4518:C5017,2,FALSE),"Not Found")</f>
        <v>Not Found</v>
      </c>
      <c r="H4526" s="6" t="str">
        <f>IFERROR(VLOOKUP('Customer Info'!A4518,'Customer Info'!A4518:C5017,3,FALSE),"Not Found")</f>
        <v>Not Found</v>
      </c>
      <c r="I4526" s="6" t="str">
        <f>IFERROR(VLOOKUP('Customer Info'!A4518,'Customer Info'!A4518:E5017,5,FALSE),"Not Found")</f>
        <v>Not Found</v>
      </c>
      <c r="J4526" s="2">
        <v>2155</v>
      </c>
      <c r="K4526" s="2">
        <v>2014</v>
      </c>
      <c r="L4526" s="2">
        <v>3</v>
      </c>
      <c r="M4526" s="7">
        <f t="shared" si="350"/>
        <v>6042</v>
      </c>
      <c r="N4526" s="7">
        <f t="shared" si="351"/>
        <v>6465</v>
      </c>
      <c r="O4526" s="2">
        <v>42</v>
      </c>
      <c r="P4526" s="8">
        <f t="shared" si="352"/>
        <v>6507</v>
      </c>
      <c r="Q4526" s="8">
        <f t="shared" si="353"/>
        <v>4451</v>
      </c>
      <c r="R4526" s="2" t="s">
        <v>28</v>
      </c>
      <c r="S4526" s="9">
        <f t="shared" si="354"/>
        <v>325.35000000000002</v>
      </c>
    </row>
    <row r="4527" spans="1:19" x14ac:dyDescent="0.3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str">
        <f>IFERROR(VLOOKUP('Customer Info'!A4519,'Customer Info'!A4519:C5018,2,FALSE),"Not Found")</f>
        <v>Not Found</v>
      </c>
      <c r="H4527" s="6" t="str">
        <f>IFERROR(VLOOKUP('Customer Info'!A4519,'Customer Info'!A4519:C5018,3,FALSE),"Not Found")</f>
        <v>Not Found</v>
      </c>
      <c r="I4527" s="6" t="str">
        <f>IFERROR(VLOOKUP('Customer Info'!A4519,'Customer Info'!A4519:E5018,5,FALSE),"Not Found")</f>
        <v>Not Found</v>
      </c>
      <c r="J4527" s="2">
        <v>7864</v>
      </c>
      <c r="K4527" s="2">
        <v>7563</v>
      </c>
      <c r="L4527" s="2">
        <v>2</v>
      </c>
      <c r="M4527" s="7">
        <f t="shared" si="350"/>
        <v>15126</v>
      </c>
      <c r="N4527" s="7">
        <f t="shared" si="351"/>
        <v>15728</v>
      </c>
      <c r="O4527" s="2">
        <v>56</v>
      </c>
      <c r="P4527" s="8">
        <f t="shared" si="352"/>
        <v>15784</v>
      </c>
      <c r="Q4527" s="8">
        <f t="shared" si="353"/>
        <v>8165</v>
      </c>
      <c r="R4527" s="2" t="s">
        <v>28</v>
      </c>
      <c r="S4527" s="9">
        <f t="shared" si="354"/>
        <v>789.2</v>
      </c>
    </row>
    <row r="4528" spans="1:19" x14ac:dyDescent="0.3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str">
        <f>IFERROR(VLOOKUP('Customer Info'!A4520,'Customer Info'!A4520:C5019,2,FALSE),"Not Found")</f>
        <v>Not Found</v>
      </c>
      <c r="H4528" s="6" t="str">
        <f>IFERROR(VLOOKUP('Customer Info'!A4520,'Customer Info'!A4520:C5019,3,FALSE),"Not Found")</f>
        <v>Not Found</v>
      </c>
      <c r="I4528" s="6" t="str">
        <f>IFERROR(VLOOKUP('Customer Info'!A4520,'Customer Info'!A4520:E5019,5,FALSE),"Not Found")</f>
        <v>Not Found</v>
      </c>
      <c r="J4528" s="2">
        <v>35350</v>
      </c>
      <c r="K4528" s="2">
        <v>33037</v>
      </c>
      <c r="L4528" s="2">
        <v>4</v>
      </c>
      <c r="M4528" s="7">
        <f t="shared" si="350"/>
        <v>132148</v>
      </c>
      <c r="N4528" s="7">
        <f t="shared" si="351"/>
        <v>141400</v>
      </c>
      <c r="O4528" s="2">
        <v>33</v>
      </c>
      <c r="P4528" s="8">
        <f t="shared" si="352"/>
        <v>141433</v>
      </c>
      <c r="Q4528" s="8">
        <f t="shared" si="353"/>
        <v>108363</v>
      </c>
      <c r="R4528" s="2" t="s">
        <v>26</v>
      </c>
      <c r="S4528" s="9">
        <f t="shared" si="354"/>
        <v>16971.96</v>
      </c>
    </row>
    <row r="4529" spans="1:19" x14ac:dyDescent="0.3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str">
        <f>IFERROR(VLOOKUP('Customer Info'!A4521,'Customer Info'!A4521:C5020,2,FALSE),"Not Found")</f>
        <v>Not Found</v>
      </c>
      <c r="H4529" s="6" t="str">
        <f>IFERROR(VLOOKUP('Customer Info'!A4521,'Customer Info'!A4521:C5020,3,FALSE),"Not Found")</f>
        <v>Not Found</v>
      </c>
      <c r="I4529" s="6" t="str">
        <f>IFERROR(VLOOKUP('Customer Info'!A4521,'Customer Info'!A4521:E5020,5,FALSE),"Not Found")</f>
        <v>Not Found</v>
      </c>
      <c r="J4529" s="2">
        <v>1772</v>
      </c>
      <c r="K4529" s="2">
        <v>1656</v>
      </c>
      <c r="L4529" s="2">
        <v>6</v>
      </c>
      <c r="M4529" s="7">
        <f t="shared" si="350"/>
        <v>9936</v>
      </c>
      <c r="N4529" s="7">
        <f t="shared" si="351"/>
        <v>10632</v>
      </c>
      <c r="O4529" s="2">
        <v>48</v>
      </c>
      <c r="P4529" s="8">
        <f t="shared" si="352"/>
        <v>10680</v>
      </c>
      <c r="Q4529" s="8">
        <f t="shared" si="353"/>
        <v>8976</v>
      </c>
      <c r="R4529" s="2" t="s">
        <v>28</v>
      </c>
      <c r="S4529" s="9">
        <f t="shared" si="354"/>
        <v>534</v>
      </c>
    </row>
    <row r="4530" spans="1:19" x14ac:dyDescent="0.3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str">
        <f>IFERROR(VLOOKUP('Customer Info'!A4522,'Customer Info'!A4522:C5021,2,FALSE),"Not Found")</f>
        <v>Not Found</v>
      </c>
      <c r="H4530" s="6" t="str">
        <f>IFERROR(VLOOKUP('Customer Info'!A4522,'Customer Info'!A4522:C5021,3,FALSE),"Not Found")</f>
        <v>Not Found</v>
      </c>
      <c r="I4530" s="6" t="str">
        <f>IFERROR(VLOOKUP('Customer Info'!A4522,'Customer Info'!A4522:E5021,5,FALSE),"Not Found")</f>
        <v>Not Found</v>
      </c>
      <c r="J4530" s="2">
        <v>179</v>
      </c>
      <c r="K4530" s="2">
        <v>166</v>
      </c>
      <c r="L4530" s="2">
        <v>4</v>
      </c>
      <c r="M4530" s="7">
        <f t="shared" si="350"/>
        <v>664</v>
      </c>
      <c r="N4530" s="7">
        <f t="shared" si="351"/>
        <v>716</v>
      </c>
      <c r="O4530" s="2">
        <v>30</v>
      </c>
      <c r="P4530" s="8">
        <f t="shared" si="352"/>
        <v>746</v>
      </c>
      <c r="Q4530" s="8">
        <f t="shared" si="353"/>
        <v>550</v>
      </c>
      <c r="R4530" s="2" t="s">
        <v>50</v>
      </c>
      <c r="S4530" s="9">
        <f t="shared" si="354"/>
        <v>14.92</v>
      </c>
    </row>
    <row r="4531" spans="1:19" x14ac:dyDescent="0.3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str">
        <f>IFERROR(VLOOKUP('Customer Info'!A4523,'Customer Info'!A4523:C5022,2,FALSE),"Not Found")</f>
        <v>Not Found</v>
      </c>
      <c r="H4531" s="6" t="str">
        <f>IFERROR(VLOOKUP('Customer Info'!A4523,'Customer Info'!A4523:C5022,3,FALSE),"Not Found")</f>
        <v>Not Found</v>
      </c>
      <c r="I4531" s="6" t="str">
        <f>IFERROR(VLOOKUP('Customer Info'!A4523,'Customer Info'!A4523:E5022,5,FALSE),"Not Found")</f>
        <v>Not Found</v>
      </c>
      <c r="J4531" s="2">
        <v>1834</v>
      </c>
      <c r="K4531" s="2">
        <v>1716</v>
      </c>
      <c r="L4531" s="2">
        <v>1</v>
      </c>
      <c r="M4531" s="7">
        <f t="shared" si="350"/>
        <v>1716</v>
      </c>
      <c r="N4531" s="7">
        <f t="shared" si="351"/>
        <v>1834</v>
      </c>
      <c r="O4531" s="2">
        <v>99</v>
      </c>
      <c r="P4531" s="8">
        <f t="shared" si="352"/>
        <v>1933</v>
      </c>
      <c r="Q4531" s="8">
        <f t="shared" si="353"/>
        <v>118</v>
      </c>
      <c r="R4531" s="2" t="s">
        <v>50</v>
      </c>
      <c r="S4531" s="9">
        <f t="shared" si="354"/>
        <v>38.660000000000004</v>
      </c>
    </row>
    <row r="4532" spans="1:19" x14ac:dyDescent="0.3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str">
        <f>IFERROR(VLOOKUP('Customer Info'!A4524,'Customer Info'!A4524:C5023,2,FALSE),"Not Found")</f>
        <v>Not Found</v>
      </c>
      <c r="H4532" s="6" t="str">
        <f>IFERROR(VLOOKUP('Customer Info'!A4524,'Customer Info'!A4524:C5023,3,FALSE),"Not Found")</f>
        <v>Not Found</v>
      </c>
      <c r="I4532" s="6" t="str">
        <f>IFERROR(VLOOKUP('Customer Info'!A4524,'Customer Info'!A4524:E5023,5,FALSE),"Not Found")</f>
        <v>Not Found</v>
      </c>
      <c r="J4532" s="2">
        <v>1635</v>
      </c>
      <c r="K4532" s="2">
        <v>1573</v>
      </c>
      <c r="L4532" s="2">
        <v>2</v>
      </c>
      <c r="M4532" s="7">
        <f t="shared" si="350"/>
        <v>3146</v>
      </c>
      <c r="N4532" s="7">
        <f t="shared" si="351"/>
        <v>3270</v>
      </c>
      <c r="O4532" s="2">
        <v>70</v>
      </c>
      <c r="P4532" s="8">
        <f t="shared" si="352"/>
        <v>3340</v>
      </c>
      <c r="Q4532" s="8">
        <f t="shared" si="353"/>
        <v>1697</v>
      </c>
      <c r="R4532" s="2" t="s">
        <v>28</v>
      </c>
      <c r="S4532" s="9">
        <f t="shared" si="354"/>
        <v>66.8</v>
      </c>
    </row>
    <row r="4533" spans="1:19" x14ac:dyDescent="0.3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str">
        <f>IFERROR(VLOOKUP('Customer Info'!A4525,'Customer Info'!A4525:C5024,2,FALSE),"Not Found")</f>
        <v>Not Found</v>
      </c>
      <c r="H4533" s="6" t="str">
        <f>IFERROR(VLOOKUP('Customer Info'!A4525,'Customer Info'!A4525:C5024,3,FALSE),"Not Found")</f>
        <v>Not Found</v>
      </c>
      <c r="I4533" s="6" t="str">
        <f>IFERROR(VLOOKUP('Customer Info'!A4525,'Customer Info'!A4525:E5024,5,FALSE),"Not Found")</f>
        <v>Not Found</v>
      </c>
      <c r="J4533" s="2">
        <v>2333</v>
      </c>
      <c r="K4533" s="2">
        <v>2060</v>
      </c>
      <c r="L4533" s="2">
        <v>3</v>
      </c>
      <c r="M4533" s="7">
        <f t="shared" si="350"/>
        <v>6180</v>
      </c>
      <c r="N4533" s="7">
        <f t="shared" si="351"/>
        <v>6999</v>
      </c>
      <c r="O4533" s="2">
        <v>98</v>
      </c>
      <c r="P4533" s="8">
        <f t="shared" si="352"/>
        <v>7097</v>
      </c>
      <c r="Q4533" s="8">
        <f t="shared" si="353"/>
        <v>4939</v>
      </c>
      <c r="R4533" s="2" t="s">
        <v>50</v>
      </c>
      <c r="S4533" s="9">
        <f t="shared" si="354"/>
        <v>354.85</v>
      </c>
    </row>
    <row r="4534" spans="1:19" x14ac:dyDescent="0.3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str">
        <f>IFERROR(VLOOKUP('Customer Info'!A4526,'Customer Info'!A4526:C5025,2,FALSE),"Not Found")</f>
        <v>Not Found</v>
      </c>
      <c r="H4534" s="6" t="str">
        <f>IFERROR(VLOOKUP('Customer Info'!A4526,'Customer Info'!A4526:C5025,3,FALSE),"Not Found")</f>
        <v>Not Found</v>
      </c>
      <c r="I4534" s="6" t="str">
        <f>IFERROR(VLOOKUP('Customer Info'!A4526,'Customer Info'!A4526:E5025,5,FALSE),"Not Found")</f>
        <v>Not Found</v>
      </c>
      <c r="J4534" s="2">
        <v>3256</v>
      </c>
      <c r="K4534" s="2">
        <v>3044</v>
      </c>
      <c r="L4534" s="2">
        <v>2</v>
      </c>
      <c r="M4534" s="7">
        <f t="shared" si="350"/>
        <v>6088</v>
      </c>
      <c r="N4534" s="7">
        <f t="shared" si="351"/>
        <v>6512</v>
      </c>
      <c r="O4534" s="2">
        <v>39</v>
      </c>
      <c r="P4534" s="8">
        <f t="shared" si="352"/>
        <v>6551</v>
      </c>
      <c r="Q4534" s="8">
        <f t="shared" si="353"/>
        <v>3468</v>
      </c>
      <c r="R4534" s="2" t="s">
        <v>50</v>
      </c>
      <c r="S4534" s="9">
        <f t="shared" si="354"/>
        <v>327.55</v>
      </c>
    </row>
    <row r="4535" spans="1:19" x14ac:dyDescent="0.3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str">
        <f>IFERROR(VLOOKUP('Customer Info'!A4527,'Customer Info'!A4527:C5026,2,FALSE),"Not Found")</f>
        <v>Not Found</v>
      </c>
      <c r="H4535" s="6" t="str">
        <f>IFERROR(VLOOKUP('Customer Info'!A4527,'Customer Info'!A4527:C5026,3,FALSE),"Not Found")</f>
        <v>Not Found</v>
      </c>
      <c r="I4535" s="6" t="str">
        <f>IFERROR(VLOOKUP('Customer Info'!A4527,'Customer Info'!A4527:E5026,5,FALSE),"Not Found")</f>
        <v>Not Found</v>
      </c>
      <c r="J4535" s="2">
        <v>28522</v>
      </c>
      <c r="K4535" s="2">
        <v>26384</v>
      </c>
      <c r="L4535" s="2">
        <v>9</v>
      </c>
      <c r="M4535" s="7">
        <f t="shared" si="350"/>
        <v>237456</v>
      </c>
      <c r="N4535" s="7">
        <f t="shared" si="351"/>
        <v>256698</v>
      </c>
      <c r="O4535" s="2">
        <v>70</v>
      </c>
      <c r="P4535" s="8">
        <f t="shared" si="352"/>
        <v>256768</v>
      </c>
      <c r="Q4535" s="8">
        <f t="shared" si="353"/>
        <v>230314</v>
      </c>
      <c r="R4535" s="2" t="s">
        <v>50</v>
      </c>
      <c r="S4535" s="9">
        <f t="shared" si="354"/>
        <v>30812.16</v>
      </c>
    </row>
    <row r="4536" spans="1:19" x14ac:dyDescent="0.3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str">
        <f>IFERROR(VLOOKUP('Customer Info'!A4528,'Customer Info'!A4528:C5027,2,FALSE),"Not Found")</f>
        <v>Not Found</v>
      </c>
      <c r="H4536" s="6" t="str">
        <f>IFERROR(VLOOKUP('Customer Info'!A4528,'Customer Info'!A4528:C5027,3,FALSE),"Not Found")</f>
        <v>Not Found</v>
      </c>
      <c r="I4536" s="6" t="str">
        <f>IFERROR(VLOOKUP('Customer Info'!A4528,'Customer Info'!A4528:E5027,5,FALSE),"Not Found")</f>
        <v>Not Found</v>
      </c>
      <c r="J4536" s="2">
        <v>2205</v>
      </c>
      <c r="K4536" s="2">
        <v>2061</v>
      </c>
      <c r="L4536" s="2">
        <v>2</v>
      </c>
      <c r="M4536" s="7">
        <f t="shared" si="350"/>
        <v>4122</v>
      </c>
      <c r="N4536" s="7">
        <f t="shared" si="351"/>
        <v>4410</v>
      </c>
      <c r="O4536" s="2">
        <v>56</v>
      </c>
      <c r="P4536" s="8">
        <f t="shared" si="352"/>
        <v>4466</v>
      </c>
      <c r="Q4536" s="8">
        <f t="shared" si="353"/>
        <v>2349</v>
      </c>
      <c r="R4536" s="2" t="s">
        <v>50</v>
      </c>
      <c r="S4536" s="9">
        <f t="shared" si="354"/>
        <v>89.320000000000007</v>
      </c>
    </row>
    <row r="4537" spans="1:19" x14ac:dyDescent="0.3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str">
        <f>IFERROR(VLOOKUP('Customer Info'!A4529,'Customer Info'!A4529:C5028,2,FALSE),"Not Found")</f>
        <v>Not Found</v>
      </c>
      <c r="H4537" s="6" t="str">
        <f>IFERROR(VLOOKUP('Customer Info'!A4529,'Customer Info'!A4529:C5028,3,FALSE),"Not Found")</f>
        <v>Not Found</v>
      </c>
      <c r="I4537" s="6" t="str">
        <f>IFERROR(VLOOKUP('Customer Info'!A4529,'Customer Info'!A4529:E5028,5,FALSE),"Not Found")</f>
        <v>Not Found</v>
      </c>
      <c r="J4537" s="2">
        <v>8651</v>
      </c>
      <c r="K4537" s="2">
        <v>8081</v>
      </c>
      <c r="L4537" s="2">
        <v>12</v>
      </c>
      <c r="M4537" s="7">
        <f t="shared" si="350"/>
        <v>96972</v>
      </c>
      <c r="N4537" s="7">
        <f t="shared" si="351"/>
        <v>103812</v>
      </c>
      <c r="O4537" s="2">
        <v>91</v>
      </c>
      <c r="P4537" s="8">
        <f t="shared" si="352"/>
        <v>103903</v>
      </c>
      <c r="Q4537" s="8">
        <f t="shared" si="353"/>
        <v>95731</v>
      </c>
      <c r="R4537" s="2" t="s">
        <v>26</v>
      </c>
      <c r="S4537" s="9">
        <f t="shared" si="354"/>
        <v>12468.359999999999</v>
      </c>
    </row>
    <row r="4538" spans="1:19" x14ac:dyDescent="0.3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str">
        <f>IFERROR(VLOOKUP('Customer Info'!A4530,'Customer Info'!A4530:C5029,2,FALSE),"Not Found")</f>
        <v>Not Found</v>
      </c>
      <c r="H4538" s="6" t="str">
        <f>IFERROR(VLOOKUP('Customer Info'!A4530,'Customer Info'!A4530:C5029,3,FALSE),"Not Found")</f>
        <v>Not Found</v>
      </c>
      <c r="I4538" s="6" t="str">
        <f>IFERROR(VLOOKUP('Customer Info'!A4530,'Customer Info'!A4530:E5029,5,FALSE),"Not Found")</f>
        <v>Not Found</v>
      </c>
      <c r="J4538" s="2">
        <v>1925</v>
      </c>
      <c r="K4538" s="2">
        <v>1834</v>
      </c>
      <c r="L4538" s="2">
        <v>1</v>
      </c>
      <c r="M4538" s="7">
        <f t="shared" si="350"/>
        <v>1834</v>
      </c>
      <c r="N4538" s="7">
        <f t="shared" si="351"/>
        <v>1925</v>
      </c>
      <c r="O4538" s="2">
        <v>99</v>
      </c>
      <c r="P4538" s="8">
        <f t="shared" si="352"/>
        <v>2024</v>
      </c>
      <c r="Q4538" s="8">
        <f t="shared" si="353"/>
        <v>91</v>
      </c>
      <c r="R4538" s="2" t="s">
        <v>28</v>
      </c>
      <c r="S4538" s="9">
        <f t="shared" si="354"/>
        <v>40.480000000000004</v>
      </c>
    </row>
    <row r="4539" spans="1:19" x14ac:dyDescent="0.3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str">
        <f>IFERROR(VLOOKUP('Customer Info'!A4531,'Customer Info'!A4531:C5030,2,FALSE),"Not Found")</f>
        <v>Not Found</v>
      </c>
      <c r="H4539" s="6" t="str">
        <f>IFERROR(VLOOKUP('Customer Info'!A4531,'Customer Info'!A4531:C5030,3,FALSE),"Not Found")</f>
        <v>Not Found</v>
      </c>
      <c r="I4539" s="6" t="str">
        <f>IFERROR(VLOOKUP('Customer Info'!A4531,'Customer Info'!A4531:E5030,5,FALSE),"Not Found")</f>
        <v>Not Found</v>
      </c>
      <c r="J4539" s="2">
        <v>78</v>
      </c>
      <c r="K4539" s="2">
        <v>74</v>
      </c>
      <c r="L4539" s="2">
        <v>5</v>
      </c>
      <c r="M4539" s="7">
        <f t="shared" si="350"/>
        <v>370</v>
      </c>
      <c r="N4539" s="7">
        <f t="shared" si="351"/>
        <v>390</v>
      </c>
      <c r="O4539" s="2">
        <v>10</v>
      </c>
      <c r="P4539" s="8">
        <f t="shared" si="352"/>
        <v>400</v>
      </c>
      <c r="Q4539" s="8">
        <f t="shared" si="353"/>
        <v>316</v>
      </c>
      <c r="R4539" s="2" t="s">
        <v>50</v>
      </c>
      <c r="S4539" s="9">
        <f t="shared" si="354"/>
        <v>8</v>
      </c>
    </row>
    <row r="4540" spans="1:19" x14ac:dyDescent="0.3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str">
        <f>IFERROR(VLOOKUP('Customer Info'!A4532,'Customer Info'!A4532:C5031,2,FALSE),"Not Found")</f>
        <v>Not Found</v>
      </c>
      <c r="H4540" s="6" t="str">
        <f>IFERROR(VLOOKUP('Customer Info'!A4532,'Customer Info'!A4532:C5031,3,FALSE),"Not Found")</f>
        <v>Not Found</v>
      </c>
      <c r="I4540" s="6" t="str">
        <f>IFERROR(VLOOKUP('Customer Info'!A4532,'Customer Info'!A4532:E5031,5,FALSE),"Not Found")</f>
        <v>Not Found</v>
      </c>
      <c r="J4540" s="2">
        <v>2466</v>
      </c>
      <c r="K4540" s="2">
        <v>2327</v>
      </c>
      <c r="L4540" s="2">
        <v>4</v>
      </c>
      <c r="M4540" s="7">
        <f t="shared" si="350"/>
        <v>9308</v>
      </c>
      <c r="N4540" s="7">
        <f t="shared" si="351"/>
        <v>9864</v>
      </c>
      <c r="O4540" s="2">
        <v>99</v>
      </c>
      <c r="P4540" s="8">
        <f t="shared" si="352"/>
        <v>9963</v>
      </c>
      <c r="Q4540" s="8">
        <f t="shared" si="353"/>
        <v>7537</v>
      </c>
      <c r="R4540" s="2" t="s">
        <v>28</v>
      </c>
      <c r="S4540" s="9">
        <f t="shared" si="354"/>
        <v>498.15000000000003</v>
      </c>
    </row>
    <row r="4541" spans="1:19" x14ac:dyDescent="0.3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str">
        <f>IFERROR(VLOOKUP('Customer Info'!A4533,'Customer Info'!A4533:C5032,2,FALSE),"Not Found")</f>
        <v>Not Found</v>
      </c>
      <c r="H4541" s="6" t="str">
        <f>IFERROR(VLOOKUP('Customer Info'!A4533,'Customer Info'!A4533:C5032,3,FALSE),"Not Found")</f>
        <v>Not Found</v>
      </c>
      <c r="I4541" s="6" t="str">
        <f>IFERROR(VLOOKUP('Customer Info'!A4533,'Customer Info'!A4533:E5032,5,FALSE),"Not Found")</f>
        <v>Not Found</v>
      </c>
      <c r="J4541" s="2">
        <v>130</v>
      </c>
      <c r="K4541" s="2">
        <v>122</v>
      </c>
      <c r="L4541" s="2">
        <v>1</v>
      </c>
      <c r="M4541" s="7">
        <f t="shared" si="350"/>
        <v>122</v>
      </c>
      <c r="N4541" s="7">
        <f t="shared" si="351"/>
        <v>130</v>
      </c>
      <c r="O4541" s="2">
        <v>30</v>
      </c>
      <c r="P4541" s="8">
        <f t="shared" si="352"/>
        <v>160</v>
      </c>
      <c r="Q4541" s="8">
        <f t="shared" si="353"/>
        <v>8</v>
      </c>
      <c r="R4541" s="2" t="s">
        <v>26</v>
      </c>
      <c r="S4541" s="9">
        <f t="shared" si="354"/>
        <v>3.2</v>
      </c>
    </row>
    <row r="4542" spans="1:19" x14ac:dyDescent="0.3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str">
        <f>IFERROR(VLOOKUP('Customer Info'!A4534,'Customer Info'!A4534:C5033,2,FALSE),"Not Found")</f>
        <v>Not Found</v>
      </c>
      <c r="H4542" s="6" t="str">
        <f>IFERROR(VLOOKUP('Customer Info'!A4534,'Customer Info'!A4534:C5033,3,FALSE),"Not Found")</f>
        <v>Not Found</v>
      </c>
      <c r="I4542" s="6" t="str">
        <f>IFERROR(VLOOKUP('Customer Info'!A4534,'Customer Info'!A4534:E5033,5,FALSE),"Not Found")</f>
        <v>Not Found</v>
      </c>
      <c r="J4542" s="2">
        <v>1574</v>
      </c>
      <c r="K4542" s="2">
        <v>1375</v>
      </c>
      <c r="L4542" s="2">
        <v>4</v>
      </c>
      <c r="M4542" s="7">
        <f t="shared" si="350"/>
        <v>5500</v>
      </c>
      <c r="N4542" s="7">
        <f t="shared" si="351"/>
        <v>6296</v>
      </c>
      <c r="O4542" s="2">
        <v>50</v>
      </c>
      <c r="P4542" s="8">
        <f t="shared" si="352"/>
        <v>6346</v>
      </c>
      <c r="Q4542" s="8">
        <f t="shared" si="353"/>
        <v>4921</v>
      </c>
      <c r="R4542" s="2" t="s">
        <v>50</v>
      </c>
      <c r="S4542" s="9">
        <f t="shared" si="354"/>
        <v>317.3</v>
      </c>
    </row>
    <row r="4543" spans="1:19" x14ac:dyDescent="0.3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str">
        <f>IFERROR(VLOOKUP('Customer Info'!A4535,'Customer Info'!A4535:C5034,2,FALSE),"Not Found")</f>
        <v>Not Found</v>
      </c>
      <c r="H4543" s="6" t="str">
        <f>IFERROR(VLOOKUP('Customer Info'!A4535,'Customer Info'!A4535:C5034,3,FALSE),"Not Found")</f>
        <v>Not Found</v>
      </c>
      <c r="I4543" s="6" t="str">
        <f>IFERROR(VLOOKUP('Customer Info'!A4535,'Customer Info'!A4535:E5034,5,FALSE),"Not Found")</f>
        <v>Not Found</v>
      </c>
      <c r="J4543" s="2">
        <v>8651</v>
      </c>
      <c r="K4543" s="2">
        <v>8081</v>
      </c>
      <c r="L4543" s="2">
        <v>3</v>
      </c>
      <c r="M4543" s="7">
        <f t="shared" si="350"/>
        <v>24243</v>
      </c>
      <c r="N4543" s="7">
        <f t="shared" si="351"/>
        <v>25953</v>
      </c>
      <c r="O4543" s="2">
        <v>32</v>
      </c>
      <c r="P4543" s="8">
        <f t="shared" si="352"/>
        <v>25985</v>
      </c>
      <c r="Q4543" s="8">
        <f t="shared" si="353"/>
        <v>17872</v>
      </c>
      <c r="R4543" s="2" t="s">
        <v>50</v>
      </c>
      <c r="S4543" s="9">
        <f t="shared" si="354"/>
        <v>1818.9500000000003</v>
      </c>
    </row>
    <row r="4544" spans="1:19" x14ac:dyDescent="0.3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str">
        <f>IFERROR(VLOOKUP('Customer Info'!A4536,'Customer Info'!A4536:C5035,2,FALSE),"Not Found")</f>
        <v>Not Found</v>
      </c>
      <c r="H4544" s="6" t="str">
        <f>IFERROR(VLOOKUP('Customer Info'!A4536,'Customer Info'!A4536:C5035,3,FALSE),"Not Found")</f>
        <v>Not Found</v>
      </c>
      <c r="I4544" s="6" t="str">
        <f>IFERROR(VLOOKUP('Customer Info'!A4536,'Customer Info'!A4536:E5035,5,FALSE),"Not Found")</f>
        <v>Not Found</v>
      </c>
      <c r="J4544" s="2">
        <v>954</v>
      </c>
      <c r="K4544" s="2">
        <v>901</v>
      </c>
      <c r="L4544" s="2">
        <v>2</v>
      </c>
      <c r="M4544" s="7">
        <f t="shared" si="350"/>
        <v>1802</v>
      </c>
      <c r="N4544" s="7">
        <f t="shared" si="351"/>
        <v>1908</v>
      </c>
      <c r="O4544" s="2">
        <v>98</v>
      </c>
      <c r="P4544" s="8">
        <f t="shared" si="352"/>
        <v>2006</v>
      </c>
      <c r="Q4544" s="8">
        <f t="shared" si="353"/>
        <v>1007</v>
      </c>
      <c r="R4544" s="2" t="s">
        <v>28</v>
      </c>
      <c r="S4544" s="9">
        <f t="shared" si="354"/>
        <v>40.119999999999997</v>
      </c>
    </row>
    <row r="4545" spans="1:19" x14ac:dyDescent="0.3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str">
        <f>IFERROR(VLOOKUP('Customer Info'!A4537,'Customer Info'!A4537:C5036,2,FALSE),"Not Found")</f>
        <v>Not Found</v>
      </c>
      <c r="H4545" s="6" t="str">
        <f>IFERROR(VLOOKUP('Customer Info'!A4537,'Customer Info'!A4537:C5036,3,FALSE),"Not Found")</f>
        <v>Not Found</v>
      </c>
      <c r="I4545" s="6" t="str">
        <f>IFERROR(VLOOKUP('Customer Info'!A4537,'Customer Info'!A4537:E5036,5,FALSE),"Not Found")</f>
        <v>Not Found</v>
      </c>
      <c r="J4545" s="2">
        <v>8351</v>
      </c>
      <c r="K4545" s="2">
        <v>8033</v>
      </c>
      <c r="L4545" s="2">
        <v>1</v>
      </c>
      <c r="M4545" s="7">
        <f t="shared" si="350"/>
        <v>8033</v>
      </c>
      <c r="N4545" s="7">
        <f t="shared" si="351"/>
        <v>8351</v>
      </c>
      <c r="O4545" s="2">
        <v>36</v>
      </c>
      <c r="P4545" s="8">
        <f t="shared" si="352"/>
        <v>8387</v>
      </c>
      <c r="Q4545" s="8">
        <f t="shared" si="353"/>
        <v>318</v>
      </c>
      <c r="R4545" s="2" t="s">
        <v>50</v>
      </c>
      <c r="S4545" s="9">
        <f t="shared" si="354"/>
        <v>419.35</v>
      </c>
    </row>
    <row r="4546" spans="1:19" x14ac:dyDescent="0.3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str">
        <f>IFERROR(VLOOKUP('Customer Info'!A4538,'Customer Info'!A4538:C5037,2,FALSE),"Not Found")</f>
        <v>Not Found</v>
      </c>
      <c r="H4546" s="6" t="str">
        <f>IFERROR(VLOOKUP('Customer Info'!A4538,'Customer Info'!A4538:C5037,3,FALSE),"Not Found")</f>
        <v>Not Found</v>
      </c>
      <c r="I4546" s="6" t="str">
        <f>IFERROR(VLOOKUP('Customer Info'!A4538,'Customer Info'!A4538:E5037,5,FALSE),"Not Found")</f>
        <v>Not Found</v>
      </c>
      <c r="J4546" s="2">
        <v>1587</v>
      </c>
      <c r="K4546" s="2">
        <v>1428</v>
      </c>
      <c r="L4546" s="2">
        <v>2</v>
      </c>
      <c r="M4546" s="7">
        <f t="shared" si="350"/>
        <v>2856</v>
      </c>
      <c r="N4546" s="7">
        <f t="shared" si="351"/>
        <v>3174</v>
      </c>
      <c r="O4546" s="2">
        <v>37</v>
      </c>
      <c r="P4546" s="8">
        <f t="shared" si="352"/>
        <v>3211</v>
      </c>
      <c r="Q4546" s="8">
        <f t="shared" si="353"/>
        <v>1746</v>
      </c>
      <c r="R4546" s="2" t="s">
        <v>50</v>
      </c>
      <c r="S4546" s="9">
        <f t="shared" si="354"/>
        <v>64.22</v>
      </c>
    </row>
    <row r="4547" spans="1:19" x14ac:dyDescent="0.3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str">
        <f>IFERROR(VLOOKUP('Customer Info'!A4539,'Customer Info'!A4539:C5038,2,FALSE),"Not Found")</f>
        <v>Not Found</v>
      </c>
      <c r="H4547" s="6" t="str">
        <f>IFERROR(VLOOKUP('Customer Info'!A4539,'Customer Info'!A4539:C5038,3,FALSE),"Not Found")</f>
        <v>Not Found</v>
      </c>
      <c r="I4547" s="6" t="str">
        <f>IFERROR(VLOOKUP('Customer Info'!A4539,'Customer Info'!A4539:E5038,5,FALSE),"Not Found")</f>
        <v>Not Found</v>
      </c>
      <c r="J4547" s="2">
        <v>1359</v>
      </c>
      <c r="K4547" s="2">
        <v>1221</v>
      </c>
      <c r="L4547" s="2">
        <v>1</v>
      </c>
      <c r="M4547" s="7">
        <f t="shared" si="350"/>
        <v>1221</v>
      </c>
      <c r="N4547" s="7">
        <f t="shared" si="351"/>
        <v>1359</v>
      </c>
      <c r="O4547" s="2">
        <v>98</v>
      </c>
      <c r="P4547" s="8">
        <f t="shared" si="352"/>
        <v>1457</v>
      </c>
      <c r="Q4547" s="8">
        <f t="shared" si="353"/>
        <v>138</v>
      </c>
      <c r="R4547" s="2" t="s">
        <v>50</v>
      </c>
      <c r="S4547" s="9">
        <f t="shared" si="354"/>
        <v>29.14</v>
      </c>
    </row>
    <row r="4548" spans="1:19" x14ac:dyDescent="0.3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str">
        <f>IFERROR(VLOOKUP('Customer Info'!A4540,'Customer Info'!A4540:C5039,2,FALSE),"Not Found")</f>
        <v>Not Found</v>
      </c>
      <c r="H4548" s="6" t="str">
        <f>IFERROR(VLOOKUP('Customer Info'!A4540,'Customer Info'!A4540:C5039,3,FALSE),"Not Found")</f>
        <v>Not Found</v>
      </c>
      <c r="I4548" s="6" t="str">
        <f>IFERROR(VLOOKUP('Customer Info'!A4540,'Customer Info'!A4540:E5039,5,FALSE),"Not Found")</f>
        <v>Not Found</v>
      </c>
      <c r="J4548" s="2">
        <v>171</v>
      </c>
      <c r="K4548" s="2">
        <v>153</v>
      </c>
      <c r="L4548" s="2">
        <v>3</v>
      </c>
      <c r="M4548" s="7">
        <f t="shared" si="350"/>
        <v>459</v>
      </c>
      <c r="N4548" s="7">
        <f t="shared" si="351"/>
        <v>513</v>
      </c>
      <c r="O4548" s="2">
        <v>30</v>
      </c>
      <c r="P4548" s="8">
        <f t="shared" si="352"/>
        <v>543</v>
      </c>
      <c r="Q4548" s="8">
        <f t="shared" si="353"/>
        <v>360</v>
      </c>
      <c r="R4548" s="2" t="s">
        <v>26</v>
      </c>
      <c r="S4548" s="9">
        <f t="shared" si="354"/>
        <v>10.86</v>
      </c>
    </row>
    <row r="4549" spans="1:19" x14ac:dyDescent="0.3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str">
        <f>IFERROR(VLOOKUP('Customer Info'!A4541,'Customer Info'!A4541:C5040,2,FALSE),"Not Found")</f>
        <v>Not Found</v>
      </c>
      <c r="H4549" s="6" t="str">
        <f>IFERROR(VLOOKUP('Customer Info'!A4541,'Customer Info'!A4541:C5040,3,FALSE),"Not Found")</f>
        <v>Not Found</v>
      </c>
      <c r="I4549" s="6" t="str">
        <f>IFERROR(VLOOKUP('Customer Info'!A4541,'Customer Info'!A4541:E5040,5,FALSE),"Not Found")</f>
        <v>Not Found</v>
      </c>
      <c r="J4549" s="2">
        <v>68</v>
      </c>
      <c r="K4549" s="2">
        <v>63</v>
      </c>
      <c r="L4549" s="2">
        <v>2</v>
      </c>
      <c r="M4549" s="7">
        <f t="shared" si="350"/>
        <v>126</v>
      </c>
      <c r="N4549" s="7">
        <f t="shared" si="351"/>
        <v>136</v>
      </c>
      <c r="O4549" s="2">
        <v>10</v>
      </c>
      <c r="P4549" s="8">
        <f t="shared" si="352"/>
        <v>146</v>
      </c>
      <c r="Q4549" s="8">
        <f t="shared" si="353"/>
        <v>73</v>
      </c>
      <c r="R4549" s="2" t="s">
        <v>28</v>
      </c>
      <c r="S4549" s="9">
        <f t="shared" si="354"/>
        <v>2.92</v>
      </c>
    </row>
    <row r="4550" spans="1:19" x14ac:dyDescent="0.3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str">
        <f>IFERROR(VLOOKUP('Customer Info'!A4542,'Customer Info'!A4542:C5041,2,FALSE),"Not Found")</f>
        <v>Not Found</v>
      </c>
      <c r="H4550" s="6" t="str">
        <f>IFERROR(VLOOKUP('Customer Info'!A4542,'Customer Info'!A4542:C5041,3,FALSE),"Not Found")</f>
        <v>Not Found</v>
      </c>
      <c r="I4550" s="6" t="str">
        <f>IFERROR(VLOOKUP('Customer Info'!A4542,'Customer Info'!A4542:E5041,5,FALSE),"Not Found")</f>
        <v>Not Found</v>
      </c>
      <c r="J4550" s="2">
        <v>167</v>
      </c>
      <c r="K4550" s="2">
        <v>155</v>
      </c>
      <c r="L4550" s="2">
        <v>3</v>
      </c>
      <c r="M4550" s="7">
        <f t="shared" si="350"/>
        <v>465</v>
      </c>
      <c r="N4550" s="7">
        <f t="shared" si="351"/>
        <v>501</v>
      </c>
      <c r="O4550" s="2">
        <v>30</v>
      </c>
      <c r="P4550" s="8">
        <f t="shared" si="352"/>
        <v>531</v>
      </c>
      <c r="Q4550" s="8">
        <f t="shared" si="353"/>
        <v>346</v>
      </c>
      <c r="R4550" s="2" t="s">
        <v>50</v>
      </c>
      <c r="S4550" s="9">
        <f t="shared" si="354"/>
        <v>10.620000000000001</v>
      </c>
    </row>
    <row r="4551" spans="1:19" x14ac:dyDescent="0.3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str">
        <f>IFERROR(VLOOKUP('Customer Info'!A4543,'Customer Info'!A4543:C5042,2,FALSE),"Not Found")</f>
        <v>Not Found</v>
      </c>
      <c r="H4551" s="6" t="str">
        <f>IFERROR(VLOOKUP('Customer Info'!A4543,'Customer Info'!A4543:C5042,3,FALSE),"Not Found")</f>
        <v>Not Found</v>
      </c>
      <c r="I4551" s="6" t="str">
        <f>IFERROR(VLOOKUP('Customer Info'!A4543,'Customer Info'!A4543:E5042,5,FALSE),"Not Found")</f>
        <v>Not Found</v>
      </c>
      <c r="J4551" s="2">
        <v>5848</v>
      </c>
      <c r="K4551" s="2">
        <v>5214</v>
      </c>
      <c r="L4551" s="2">
        <v>4</v>
      </c>
      <c r="M4551" s="7">
        <f t="shared" si="350"/>
        <v>20856</v>
      </c>
      <c r="N4551" s="7">
        <f t="shared" si="351"/>
        <v>23392</v>
      </c>
      <c r="O4551" s="2">
        <v>32</v>
      </c>
      <c r="P4551" s="8">
        <f t="shared" si="352"/>
        <v>23424</v>
      </c>
      <c r="Q4551" s="8">
        <f t="shared" si="353"/>
        <v>18178</v>
      </c>
      <c r="R4551" s="2" t="s">
        <v>50</v>
      </c>
      <c r="S4551" s="9">
        <f t="shared" si="354"/>
        <v>1171.2</v>
      </c>
    </row>
    <row r="4552" spans="1:19" x14ac:dyDescent="0.3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str">
        <f>IFERROR(VLOOKUP('Customer Info'!A4544,'Customer Info'!A4544:C5043,2,FALSE),"Not Found")</f>
        <v>Not Found</v>
      </c>
      <c r="H4552" s="6" t="str">
        <f>IFERROR(VLOOKUP('Customer Info'!A4544,'Customer Info'!A4544:C5043,3,FALSE),"Not Found")</f>
        <v>Not Found</v>
      </c>
      <c r="I4552" s="6" t="str">
        <f>IFERROR(VLOOKUP('Customer Info'!A4544,'Customer Info'!A4544:E5043,5,FALSE),"Not Found")</f>
        <v>Not Found</v>
      </c>
      <c r="J4552" s="2">
        <v>1623</v>
      </c>
      <c r="K4552" s="2">
        <v>1546</v>
      </c>
      <c r="L4552" s="2">
        <v>4</v>
      </c>
      <c r="M4552" s="7">
        <f t="shared" si="350"/>
        <v>6184</v>
      </c>
      <c r="N4552" s="7">
        <f t="shared" si="351"/>
        <v>6492</v>
      </c>
      <c r="O4552" s="2">
        <v>80</v>
      </c>
      <c r="P4552" s="8">
        <f t="shared" si="352"/>
        <v>6572</v>
      </c>
      <c r="Q4552" s="8">
        <f t="shared" si="353"/>
        <v>4946</v>
      </c>
      <c r="R4552" s="2" t="s">
        <v>28</v>
      </c>
      <c r="S4552" s="9">
        <f t="shared" si="354"/>
        <v>328.6</v>
      </c>
    </row>
    <row r="4553" spans="1:19" x14ac:dyDescent="0.3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str">
        <f>IFERROR(VLOOKUP('Customer Info'!A4545,'Customer Info'!A4545:C5044,2,FALSE),"Not Found")</f>
        <v>Not Found</v>
      </c>
      <c r="H4553" s="6" t="str">
        <f>IFERROR(VLOOKUP('Customer Info'!A4545,'Customer Info'!A4545:C5044,3,FALSE),"Not Found")</f>
        <v>Not Found</v>
      </c>
      <c r="I4553" s="6" t="str">
        <f>IFERROR(VLOOKUP('Customer Info'!A4545,'Customer Info'!A4545:E5044,5,FALSE),"Not Found")</f>
        <v>Not Found</v>
      </c>
      <c r="J4553" s="2">
        <v>4714</v>
      </c>
      <c r="K4553" s="2">
        <v>4323</v>
      </c>
      <c r="L4553" s="2">
        <v>2</v>
      </c>
      <c r="M4553" s="7">
        <f t="shared" si="350"/>
        <v>8646</v>
      </c>
      <c r="N4553" s="7">
        <f t="shared" si="351"/>
        <v>9428</v>
      </c>
      <c r="O4553" s="2">
        <v>53</v>
      </c>
      <c r="P4553" s="8">
        <f t="shared" si="352"/>
        <v>9481</v>
      </c>
      <c r="Q4553" s="8">
        <f t="shared" si="353"/>
        <v>5105</v>
      </c>
      <c r="R4553" s="2" t="s">
        <v>56</v>
      </c>
      <c r="S4553" s="9">
        <f t="shared" si="354"/>
        <v>474.05</v>
      </c>
    </row>
    <row r="4554" spans="1:19" x14ac:dyDescent="0.3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str">
        <f>IFERROR(VLOOKUP('Customer Info'!A4546,'Customer Info'!A4546:C5045,2,FALSE),"Not Found")</f>
        <v>Not Found</v>
      </c>
      <c r="H4554" s="6" t="str">
        <f>IFERROR(VLOOKUP('Customer Info'!A4546,'Customer Info'!A4546:C5045,3,FALSE),"Not Found")</f>
        <v>Not Found</v>
      </c>
      <c r="I4554" s="6" t="str">
        <f>IFERROR(VLOOKUP('Customer Info'!A4546,'Customer Info'!A4546:E5045,5,FALSE),"Not Found")</f>
        <v>Not Found</v>
      </c>
      <c r="J4554" s="2">
        <v>100</v>
      </c>
      <c r="K4554" s="2">
        <v>95</v>
      </c>
      <c r="L4554" s="2">
        <v>1</v>
      </c>
      <c r="M4554" s="7">
        <f t="shared" si="350"/>
        <v>95</v>
      </c>
      <c r="N4554" s="7">
        <f t="shared" si="351"/>
        <v>100</v>
      </c>
      <c r="O4554" s="2">
        <v>10</v>
      </c>
      <c r="P4554" s="8">
        <f t="shared" si="352"/>
        <v>110</v>
      </c>
      <c r="Q4554" s="8">
        <f t="shared" si="353"/>
        <v>5</v>
      </c>
      <c r="R4554" s="2" t="s">
        <v>50</v>
      </c>
      <c r="S4554" s="9">
        <f t="shared" si="354"/>
        <v>2.2000000000000002</v>
      </c>
    </row>
    <row r="4555" spans="1:19" x14ac:dyDescent="0.3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str">
        <f>IFERROR(VLOOKUP('Customer Info'!A4547,'Customer Info'!A4547:C5046,2,FALSE),"Not Found")</f>
        <v>Not Found</v>
      </c>
      <c r="H4555" s="6" t="str">
        <f>IFERROR(VLOOKUP('Customer Info'!A4547,'Customer Info'!A4547:C5046,3,FALSE),"Not Found")</f>
        <v>Not Found</v>
      </c>
      <c r="I4555" s="6" t="str">
        <f>IFERROR(VLOOKUP('Customer Info'!A4547,'Customer Info'!A4547:E5046,5,FALSE),"Not Found")</f>
        <v>Not Found</v>
      </c>
      <c r="J4555" s="2">
        <v>25658</v>
      </c>
      <c r="K4555" s="2">
        <v>24466</v>
      </c>
      <c r="L4555" s="2">
        <v>1</v>
      </c>
      <c r="M4555" s="7">
        <f t="shared" ref="M4555:M4618" si="355">$K4555*$L4555</f>
        <v>24466</v>
      </c>
      <c r="N4555" s="7">
        <f t="shared" ref="N4555:N4618" si="356">$J4555*$L4555</f>
        <v>25658</v>
      </c>
      <c r="O4555" s="2">
        <v>60</v>
      </c>
      <c r="P4555" s="8">
        <f t="shared" ref="P4555:P4618" si="357">$N4555+$O4555</f>
        <v>25718</v>
      </c>
      <c r="Q4555" s="8">
        <f t="shared" ref="Q4555:Q4618" si="358">$N4555-$K4555</f>
        <v>1192</v>
      </c>
      <c r="R4555" s="2" t="s">
        <v>28</v>
      </c>
      <c r="S4555" s="9">
        <f t="shared" ref="S4555:S4618" si="359" xml:space="preserve"> P4555 * VLOOKUP(P4555, $T$2:$U$6, 2, TRUE)</f>
        <v>1800.2600000000002</v>
      </c>
    </row>
    <row r="4556" spans="1:19" x14ac:dyDescent="0.3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str">
        <f>IFERROR(VLOOKUP('Customer Info'!A4548,'Customer Info'!A4548:C5047,2,FALSE),"Not Found")</f>
        <v>Not Found</v>
      </c>
      <c r="H4556" s="6" t="str">
        <f>IFERROR(VLOOKUP('Customer Info'!A4548,'Customer Info'!A4548:C5047,3,FALSE),"Not Found")</f>
        <v>Not Found</v>
      </c>
      <c r="I4556" s="6" t="str">
        <f>IFERROR(VLOOKUP('Customer Info'!A4548,'Customer Info'!A4548:E5047,5,FALSE),"Not Found")</f>
        <v>Not Found</v>
      </c>
      <c r="J4556" s="2">
        <v>2551</v>
      </c>
      <c r="K4556" s="2">
        <v>2456</v>
      </c>
      <c r="L4556" s="2">
        <v>3</v>
      </c>
      <c r="M4556" s="7">
        <f t="shared" si="355"/>
        <v>7368</v>
      </c>
      <c r="N4556" s="7">
        <f t="shared" si="356"/>
        <v>7653</v>
      </c>
      <c r="O4556" s="2">
        <v>63</v>
      </c>
      <c r="P4556" s="8">
        <f t="shared" si="357"/>
        <v>7716</v>
      </c>
      <c r="Q4556" s="8">
        <f t="shared" si="358"/>
        <v>5197</v>
      </c>
      <c r="R4556" s="2" t="s">
        <v>28</v>
      </c>
      <c r="S4556" s="9">
        <f t="shared" si="359"/>
        <v>385.8</v>
      </c>
    </row>
    <row r="4557" spans="1:19" x14ac:dyDescent="0.3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str">
        <f>IFERROR(VLOOKUP('Customer Info'!A4549,'Customer Info'!A4549:C5048,2,FALSE),"Not Found")</f>
        <v>Not Found</v>
      </c>
      <c r="H4557" s="6" t="str">
        <f>IFERROR(VLOOKUP('Customer Info'!A4549,'Customer Info'!A4549:C5048,3,FALSE),"Not Found")</f>
        <v>Not Found</v>
      </c>
      <c r="I4557" s="6" t="str">
        <f>IFERROR(VLOOKUP('Customer Info'!A4549,'Customer Info'!A4549:E5048,5,FALSE),"Not Found")</f>
        <v>Not Found</v>
      </c>
      <c r="J4557" s="2">
        <v>2478</v>
      </c>
      <c r="K4557" s="2">
        <v>2406</v>
      </c>
      <c r="L4557" s="2">
        <v>2</v>
      </c>
      <c r="M4557" s="7">
        <f t="shared" si="355"/>
        <v>4812</v>
      </c>
      <c r="N4557" s="7">
        <f t="shared" si="356"/>
        <v>4956</v>
      </c>
      <c r="O4557" s="2">
        <v>57</v>
      </c>
      <c r="P4557" s="8">
        <f t="shared" si="357"/>
        <v>5013</v>
      </c>
      <c r="Q4557" s="8">
        <f t="shared" si="358"/>
        <v>2550</v>
      </c>
      <c r="R4557" s="2" t="s">
        <v>28</v>
      </c>
      <c r="S4557" s="9">
        <f t="shared" si="359"/>
        <v>250.65</v>
      </c>
    </row>
    <row r="4558" spans="1:19" x14ac:dyDescent="0.3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str">
        <f>IFERROR(VLOOKUP('Customer Info'!A4550,'Customer Info'!A4550:C5049,2,FALSE),"Not Found")</f>
        <v>Not Found</v>
      </c>
      <c r="H4558" s="6" t="str">
        <f>IFERROR(VLOOKUP('Customer Info'!A4550,'Customer Info'!A4550:C5049,3,FALSE),"Not Found")</f>
        <v>Not Found</v>
      </c>
      <c r="I4558" s="6" t="str">
        <f>IFERROR(VLOOKUP('Customer Info'!A4550,'Customer Info'!A4550:E5049,5,FALSE),"Not Found")</f>
        <v>Not Found</v>
      </c>
      <c r="J4558" s="2">
        <v>2017</v>
      </c>
      <c r="K4558" s="2">
        <v>1834</v>
      </c>
      <c r="L4558" s="2">
        <v>7</v>
      </c>
      <c r="M4558" s="7">
        <f t="shared" si="355"/>
        <v>12838</v>
      </c>
      <c r="N4558" s="7">
        <f t="shared" si="356"/>
        <v>14119</v>
      </c>
      <c r="O4558" s="2">
        <v>58</v>
      </c>
      <c r="P4558" s="8">
        <f t="shared" si="357"/>
        <v>14177</v>
      </c>
      <c r="Q4558" s="8">
        <f t="shared" si="358"/>
        <v>12285</v>
      </c>
      <c r="R4558" s="2" t="s">
        <v>56</v>
      </c>
      <c r="S4558" s="9">
        <f t="shared" si="359"/>
        <v>708.85</v>
      </c>
    </row>
    <row r="4559" spans="1:19" x14ac:dyDescent="0.3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str">
        <f>IFERROR(VLOOKUP('Customer Info'!A4551,'Customer Info'!A4551:C5050,2,FALSE),"Not Found")</f>
        <v>Not Found</v>
      </c>
      <c r="H4559" s="6" t="str">
        <f>IFERROR(VLOOKUP('Customer Info'!A4551,'Customer Info'!A4551:C5050,3,FALSE),"Not Found")</f>
        <v>Not Found</v>
      </c>
      <c r="I4559" s="6" t="str">
        <f>IFERROR(VLOOKUP('Customer Info'!A4551,'Customer Info'!A4551:E5050,5,FALSE),"Not Found")</f>
        <v>Not Found</v>
      </c>
      <c r="J4559" s="2">
        <v>5848</v>
      </c>
      <c r="K4559" s="2">
        <v>5214</v>
      </c>
      <c r="L4559" s="2">
        <v>3</v>
      </c>
      <c r="M4559" s="7">
        <f t="shared" si="355"/>
        <v>15642</v>
      </c>
      <c r="N4559" s="7">
        <f t="shared" si="356"/>
        <v>17544</v>
      </c>
      <c r="O4559" s="2">
        <v>52</v>
      </c>
      <c r="P4559" s="8">
        <f t="shared" si="357"/>
        <v>17596</v>
      </c>
      <c r="Q4559" s="8">
        <f t="shared" si="358"/>
        <v>12330</v>
      </c>
      <c r="R4559" s="2" t="s">
        <v>50</v>
      </c>
      <c r="S4559" s="9">
        <f t="shared" si="359"/>
        <v>879.80000000000007</v>
      </c>
    </row>
    <row r="4560" spans="1:19" x14ac:dyDescent="0.3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str">
        <f>IFERROR(VLOOKUP('Customer Info'!A4552,'Customer Info'!A4552:C5051,2,FALSE),"Not Found")</f>
        <v>Not Found</v>
      </c>
      <c r="H4560" s="6" t="str">
        <f>IFERROR(VLOOKUP('Customer Info'!A4552,'Customer Info'!A4552:C5051,3,FALSE),"Not Found")</f>
        <v>Not Found</v>
      </c>
      <c r="I4560" s="6" t="str">
        <f>IFERROR(VLOOKUP('Customer Info'!A4552,'Customer Info'!A4552:E5051,5,FALSE),"Not Found")</f>
        <v>Not Found</v>
      </c>
      <c r="J4560" s="2">
        <v>6012</v>
      </c>
      <c r="K4560" s="2">
        <v>5677</v>
      </c>
      <c r="L4560" s="2">
        <v>11</v>
      </c>
      <c r="M4560" s="7">
        <f t="shared" si="355"/>
        <v>62447</v>
      </c>
      <c r="N4560" s="7">
        <f t="shared" si="356"/>
        <v>66132</v>
      </c>
      <c r="O4560" s="2">
        <v>99</v>
      </c>
      <c r="P4560" s="8">
        <f t="shared" si="357"/>
        <v>66231</v>
      </c>
      <c r="Q4560" s="8">
        <f t="shared" si="358"/>
        <v>60455</v>
      </c>
      <c r="R4560" s="2" t="s">
        <v>28</v>
      </c>
      <c r="S4560" s="9">
        <f t="shared" si="359"/>
        <v>5960.79</v>
      </c>
    </row>
    <row r="4561" spans="1:19" x14ac:dyDescent="0.3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str">
        <f>IFERROR(VLOOKUP('Customer Info'!A4553,'Customer Info'!A4553:C5052,2,FALSE),"Not Found")</f>
        <v>Not Found</v>
      </c>
      <c r="H4561" s="6" t="str">
        <f>IFERROR(VLOOKUP('Customer Info'!A4553,'Customer Info'!A4553:C5052,3,FALSE),"Not Found")</f>
        <v>Not Found</v>
      </c>
      <c r="I4561" s="6" t="str">
        <f>IFERROR(VLOOKUP('Customer Info'!A4553,'Customer Info'!A4553:E5052,5,FALSE),"Not Found")</f>
        <v>Not Found</v>
      </c>
      <c r="J4561" s="2">
        <v>2526</v>
      </c>
      <c r="K4561" s="2">
        <v>2408</v>
      </c>
      <c r="L4561" s="2">
        <v>3</v>
      </c>
      <c r="M4561" s="7">
        <f t="shared" si="355"/>
        <v>7224</v>
      </c>
      <c r="N4561" s="7">
        <f t="shared" si="356"/>
        <v>7578</v>
      </c>
      <c r="O4561" s="2">
        <v>30</v>
      </c>
      <c r="P4561" s="8">
        <f t="shared" si="357"/>
        <v>7608</v>
      </c>
      <c r="Q4561" s="8">
        <f t="shared" si="358"/>
        <v>5170</v>
      </c>
      <c r="R4561" s="2" t="s">
        <v>50</v>
      </c>
      <c r="S4561" s="9">
        <f t="shared" si="359"/>
        <v>380.40000000000003</v>
      </c>
    </row>
    <row r="4562" spans="1:19" x14ac:dyDescent="0.3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str">
        <f>IFERROR(VLOOKUP('Customer Info'!A4554,'Customer Info'!A4554:C5053,2,FALSE),"Not Found")</f>
        <v>Not Found</v>
      </c>
      <c r="H4562" s="6" t="str">
        <f>IFERROR(VLOOKUP('Customer Info'!A4554,'Customer Info'!A4554:C5053,3,FALSE),"Not Found")</f>
        <v>Not Found</v>
      </c>
      <c r="I4562" s="6" t="str">
        <f>IFERROR(VLOOKUP('Customer Info'!A4554,'Customer Info'!A4554:E5053,5,FALSE),"Not Found")</f>
        <v>Not Found</v>
      </c>
      <c r="J4562" s="2">
        <v>8026</v>
      </c>
      <c r="K4562" s="2">
        <v>7572</v>
      </c>
      <c r="L4562" s="2">
        <v>3</v>
      </c>
      <c r="M4562" s="7">
        <f t="shared" si="355"/>
        <v>22716</v>
      </c>
      <c r="N4562" s="7">
        <f t="shared" si="356"/>
        <v>24078</v>
      </c>
      <c r="O4562" s="2">
        <v>86</v>
      </c>
      <c r="P4562" s="8">
        <f t="shared" si="357"/>
        <v>24164</v>
      </c>
      <c r="Q4562" s="8">
        <f t="shared" si="358"/>
        <v>16506</v>
      </c>
      <c r="R4562" s="2" t="s">
        <v>28</v>
      </c>
      <c r="S4562" s="9">
        <f t="shared" si="359"/>
        <v>1208.2</v>
      </c>
    </row>
    <row r="4563" spans="1:19" x14ac:dyDescent="0.3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str">
        <f>IFERROR(VLOOKUP('Customer Info'!A4555,'Customer Info'!A4555:C5054,2,FALSE),"Not Found")</f>
        <v>Not Found</v>
      </c>
      <c r="H4563" s="6" t="str">
        <f>IFERROR(VLOOKUP('Customer Info'!A4555,'Customer Info'!A4555:C5054,3,FALSE),"Not Found")</f>
        <v>Not Found</v>
      </c>
      <c r="I4563" s="6" t="str">
        <f>IFERROR(VLOOKUP('Customer Info'!A4555,'Customer Info'!A4555:E5054,5,FALSE),"Not Found")</f>
        <v>Not Found</v>
      </c>
      <c r="J4563" s="2">
        <v>1637</v>
      </c>
      <c r="K4563" s="2">
        <v>1591</v>
      </c>
      <c r="L4563" s="2">
        <v>5</v>
      </c>
      <c r="M4563" s="7">
        <f t="shared" si="355"/>
        <v>7955</v>
      </c>
      <c r="N4563" s="7">
        <f t="shared" si="356"/>
        <v>8185</v>
      </c>
      <c r="O4563" s="2">
        <v>100</v>
      </c>
      <c r="P4563" s="8">
        <f t="shared" si="357"/>
        <v>8285</v>
      </c>
      <c r="Q4563" s="8">
        <f t="shared" si="358"/>
        <v>6594</v>
      </c>
      <c r="R4563" s="2" t="s">
        <v>50</v>
      </c>
      <c r="S4563" s="9">
        <f t="shared" si="359"/>
        <v>414.25</v>
      </c>
    </row>
    <row r="4564" spans="1:19" x14ac:dyDescent="0.3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str">
        <f>IFERROR(VLOOKUP('Customer Info'!A4556,'Customer Info'!A4556:C5055,2,FALSE),"Not Found")</f>
        <v>Not Found</v>
      </c>
      <c r="H4564" s="6" t="str">
        <f>IFERROR(VLOOKUP('Customer Info'!A4556,'Customer Info'!A4556:C5055,3,FALSE),"Not Found")</f>
        <v>Not Found</v>
      </c>
      <c r="I4564" s="6" t="str">
        <f>IFERROR(VLOOKUP('Customer Info'!A4556,'Customer Info'!A4556:E5055,5,FALSE),"Not Found")</f>
        <v>Not Found</v>
      </c>
      <c r="J4564" s="2">
        <v>59</v>
      </c>
      <c r="K4564" s="2">
        <v>55</v>
      </c>
      <c r="L4564" s="2">
        <v>3</v>
      </c>
      <c r="M4564" s="7">
        <f t="shared" si="355"/>
        <v>165</v>
      </c>
      <c r="N4564" s="7">
        <f t="shared" si="356"/>
        <v>177</v>
      </c>
      <c r="O4564" s="2">
        <v>10</v>
      </c>
      <c r="P4564" s="8">
        <f t="shared" si="357"/>
        <v>187</v>
      </c>
      <c r="Q4564" s="8">
        <f t="shared" si="358"/>
        <v>122</v>
      </c>
      <c r="R4564" s="2" t="s">
        <v>50</v>
      </c>
      <c r="S4564" s="9">
        <f t="shared" si="359"/>
        <v>3.74</v>
      </c>
    </row>
    <row r="4565" spans="1:19" x14ac:dyDescent="0.3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str">
        <f>IFERROR(VLOOKUP('Customer Info'!A4557,'Customer Info'!A4557:C5056,2,FALSE),"Not Found")</f>
        <v>Not Found</v>
      </c>
      <c r="H4565" s="6" t="str">
        <f>IFERROR(VLOOKUP('Customer Info'!A4557,'Customer Info'!A4557:C5056,3,FALSE),"Not Found")</f>
        <v>Not Found</v>
      </c>
      <c r="I4565" s="6" t="str">
        <f>IFERROR(VLOOKUP('Customer Info'!A4557,'Customer Info'!A4557:E5056,5,FALSE),"Not Found")</f>
        <v>Not Found</v>
      </c>
      <c r="J4565" s="2">
        <v>9135</v>
      </c>
      <c r="K4565" s="2">
        <v>8143</v>
      </c>
      <c r="L4565" s="2">
        <v>3</v>
      </c>
      <c r="M4565" s="7">
        <f t="shared" si="355"/>
        <v>24429</v>
      </c>
      <c r="N4565" s="7">
        <f t="shared" si="356"/>
        <v>27405</v>
      </c>
      <c r="O4565" s="2">
        <v>69</v>
      </c>
      <c r="P4565" s="8">
        <f t="shared" si="357"/>
        <v>27474</v>
      </c>
      <c r="Q4565" s="8">
        <f t="shared" si="358"/>
        <v>19262</v>
      </c>
      <c r="R4565" s="2" t="s">
        <v>28</v>
      </c>
      <c r="S4565" s="9">
        <f t="shared" si="359"/>
        <v>1923.1800000000003</v>
      </c>
    </row>
    <row r="4566" spans="1:19" x14ac:dyDescent="0.3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str">
        <f>IFERROR(VLOOKUP('Customer Info'!A4558,'Customer Info'!A4558:C5057,2,FALSE),"Not Found")</f>
        <v>Not Found</v>
      </c>
      <c r="H4566" s="6" t="str">
        <f>IFERROR(VLOOKUP('Customer Info'!A4558,'Customer Info'!A4558:C5057,3,FALSE),"Not Found")</f>
        <v>Not Found</v>
      </c>
      <c r="I4566" s="6" t="str">
        <f>IFERROR(VLOOKUP('Customer Info'!A4558,'Customer Info'!A4558:E5057,5,FALSE),"Not Found")</f>
        <v>Not Found</v>
      </c>
      <c r="J4566" s="2">
        <v>1734</v>
      </c>
      <c r="K4566" s="2">
        <v>1702</v>
      </c>
      <c r="L4566" s="2">
        <v>4</v>
      </c>
      <c r="M4566" s="7">
        <f t="shared" si="355"/>
        <v>6808</v>
      </c>
      <c r="N4566" s="7">
        <f t="shared" si="356"/>
        <v>6936</v>
      </c>
      <c r="O4566" s="2">
        <v>93</v>
      </c>
      <c r="P4566" s="8">
        <f t="shared" si="357"/>
        <v>7029</v>
      </c>
      <c r="Q4566" s="8">
        <f t="shared" si="358"/>
        <v>5234</v>
      </c>
      <c r="R4566" s="2" t="s">
        <v>50</v>
      </c>
      <c r="S4566" s="9">
        <f t="shared" si="359"/>
        <v>351.45000000000005</v>
      </c>
    </row>
    <row r="4567" spans="1:19" x14ac:dyDescent="0.3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str">
        <f>IFERROR(VLOOKUP('Customer Info'!A4559,'Customer Info'!A4559:C5058,2,FALSE),"Not Found")</f>
        <v>Not Found</v>
      </c>
      <c r="H4567" s="6" t="str">
        <f>IFERROR(VLOOKUP('Customer Info'!A4559,'Customer Info'!A4559:C5058,3,FALSE),"Not Found")</f>
        <v>Not Found</v>
      </c>
      <c r="I4567" s="6" t="str">
        <f>IFERROR(VLOOKUP('Customer Info'!A4559,'Customer Info'!A4559:E5058,5,FALSE),"Not Found")</f>
        <v>Not Found</v>
      </c>
      <c r="J4567" s="2">
        <v>1413</v>
      </c>
      <c r="K4567" s="2">
        <v>1334</v>
      </c>
      <c r="L4567" s="2">
        <v>1</v>
      </c>
      <c r="M4567" s="7">
        <f t="shared" si="355"/>
        <v>1334</v>
      </c>
      <c r="N4567" s="7">
        <f t="shared" si="356"/>
        <v>1413</v>
      </c>
      <c r="O4567" s="2">
        <v>22</v>
      </c>
      <c r="P4567" s="8">
        <f t="shared" si="357"/>
        <v>1435</v>
      </c>
      <c r="Q4567" s="8">
        <f t="shared" si="358"/>
        <v>79</v>
      </c>
      <c r="R4567" s="2" t="s">
        <v>28</v>
      </c>
      <c r="S4567" s="9">
        <f t="shared" si="359"/>
        <v>28.7</v>
      </c>
    </row>
    <row r="4568" spans="1:19" x14ac:dyDescent="0.3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str">
        <f>IFERROR(VLOOKUP('Customer Info'!A4560,'Customer Info'!A4560:C5059,2,FALSE),"Not Found")</f>
        <v>Not Found</v>
      </c>
      <c r="H4568" s="6" t="str">
        <f>IFERROR(VLOOKUP('Customer Info'!A4560,'Customer Info'!A4560:C5059,3,FALSE),"Not Found")</f>
        <v>Not Found</v>
      </c>
      <c r="I4568" s="6" t="str">
        <f>IFERROR(VLOOKUP('Customer Info'!A4560,'Customer Info'!A4560:E5059,5,FALSE),"Not Found")</f>
        <v>Not Found</v>
      </c>
      <c r="J4568" s="2">
        <v>1752</v>
      </c>
      <c r="K4568" s="2">
        <v>1576</v>
      </c>
      <c r="L4568" s="2">
        <v>10</v>
      </c>
      <c r="M4568" s="7">
        <f t="shared" si="355"/>
        <v>15760</v>
      </c>
      <c r="N4568" s="7">
        <f t="shared" si="356"/>
        <v>17520</v>
      </c>
      <c r="O4568" s="2">
        <v>59</v>
      </c>
      <c r="P4568" s="8">
        <f t="shared" si="357"/>
        <v>17579</v>
      </c>
      <c r="Q4568" s="8">
        <f t="shared" si="358"/>
        <v>15944</v>
      </c>
      <c r="R4568" s="2" t="s">
        <v>28</v>
      </c>
      <c r="S4568" s="9">
        <f t="shared" si="359"/>
        <v>878.95</v>
      </c>
    </row>
    <row r="4569" spans="1:19" x14ac:dyDescent="0.3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str">
        <f>IFERROR(VLOOKUP('Customer Info'!A4561,'Customer Info'!A4561:C5060,2,FALSE),"Not Found")</f>
        <v>Not Found</v>
      </c>
      <c r="H4569" s="6" t="str">
        <f>IFERROR(VLOOKUP('Customer Info'!A4561,'Customer Info'!A4561:C5060,3,FALSE),"Not Found")</f>
        <v>Not Found</v>
      </c>
      <c r="I4569" s="6" t="str">
        <f>IFERROR(VLOOKUP('Customer Info'!A4561,'Customer Info'!A4561:E5060,5,FALSE),"Not Found")</f>
        <v>Not Found</v>
      </c>
      <c r="J4569" s="2">
        <v>8433</v>
      </c>
      <c r="K4569" s="2">
        <v>7801</v>
      </c>
      <c r="L4569" s="2">
        <v>3</v>
      </c>
      <c r="M4569" s="7">
        <f t="shared" si="355"/>
        <v>23403</v>
      </c>
      <c r="N4569" s="7">
        <f t="shared" si="356"/>
        <v>25299</v>
      </c>
      <c r="O4569" s="2">
        <v>97</v>
      </c>
      <c r="P4569" s="8">
        <f t="shared" si="357"/>
        <v>25396</v>
      </c>
      <c r="Q4569" s="8">
        <f t="shared" si="358"/>
        <v>17498</v>
      </c>
      <c r="R4569" s="2" t="s">
        <v>28</v>
      </c>
      <c r="S4569" s="9">
        <f t="shared" si="359"/>
        <v>1777.7200000000003</v>
      </c>
    </row>
    <row r="4570" spans="1:19" x14ac:dyDescent="0.3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str">
        <f>IFERROR(VLOOKUP('Customer Info'!A4562,'Customer Info'!A4562:C5061,2,FALSE),"Not Found")</f>
        <v>Not Found</v>
      </c>
      <c r="H4570" s="6" t="str">
        <f>IFERROR(VLOOKUP('Customer Info'!A4562,'Customer Info'!A4562:C5061,3,FALSE),"Not Found")</f>
        <v>Not Found</v>
      </c>
      <c r="I4570" s="6" t="str">
        <f>IFERROR(VLOOKUP('Customer Info'!A4562,'Customer Info'!A4562:E5061,5,FALSE),"Not Found")</f>
        <v>Not Found</v>
      </c>
      <c r="J4570" s="2">
        <v>63</v>
      </c>
      <c r="K4570" s="2">
        <v>58</v>
      </c>
      <c r="L4570" s="2">
        <v>5</v>
      </c>
      <c r="M4570" s="7">
        <f t="shared" si="355"/>
        <v>290</v>
      </c>
      <c r="N4570" s="7">
        <f t="shared" si="356"/>
        <v>315</v>
      </c>
      <c r="O4570" s="2">
        <v>10</v>
      </c>
      <c r="P4570" s="8">
        <f t="shared" si="357"/>
        <v>325</v>
      </c>
      <c r="Q4570" s="8">
        <f t="shared" si="358"/>
        <v>257</v>
      </c>
      <c r="R4570" s="2" t="s">
        <v>28</v>
      </c>
      <c r="S4570" s="9">
        <f t="shared" si="359"/>
        <v>6.5</v>
      </c>
    </row>
    <row r="4571" spans="1:19" x14ac:dyDescent="0.3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str">
        <f>IFERROR(VLOOKUP('Customer Info'!A4563,'Customer Info'!A4563:C5062,2,FALSE),"Not Found")</f>
        <v>Not Found</v>
      </c>
      <c r="H4571" s="6" t="str">
        <f>IFERROR(VLOOKUP('Customer Info'!A4563,'Customer Info'!A4563:C5062,3,FALSE),"Not Found")</f>
        <v>Not Found</v>
      </c>
      <c r="I4571" s="6" t="str">
        <f>IFERROR(VLOOKUP('Customer Info'!A4563,'Customer Info'!A4563:E5062,5,FALSE),"Not Found")</f>
        <v>Not Found</v>
      </c>
      <c r="J4571" s="2">
        <v>531</v>
      </c>
      <c r="K4571" s="2">
        <v>487</v>
      </c>
      <c r="L4571" s="2">
        <v>2</v>
      </c>
      <c r="M4571" s="7">
        <f t="shared" si="355"/>
        <v>974</v>
      </c>
      <c r="N4571" s="7">
        <f t="shared" si="356"/>
        <v>1062</v>
      </c>
      <c r="O4571" s="2">
        <v>88</v>
      </c>
      <c r="P4571" s="8">
        <f t="shared" si="357"/>
        <v>1150</v>
      </c>
      <c r="Q4571" s="8">
        <f t="shared" si="358"/>
        <v>575</v>
      </c>
      <c r="R4571" s="2" t="s">
        <v>28</v>
      </c>
      <c r="S4571" s="9">
        <f t="shared" si="359"/>
        <v>23</v>
      </c>
    </row>
    <row r="4572" spans="1:19" x14ac:dyDescent="0.3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str">
        <f>IFERROR(VLOOKUP('Customer Info'!A4564,'Customer Info'!A4564:C5063,2,FALSE),"Not Found")</f>
        <v>Not Found</v>
      </c>
      <c r="H4572" s="6" t="str">
        <f>IFERROR(VLOOKUP('Customer Info'!A4564,'Customer Info'!A4564:C5063,3,FALSE),"Not Found")</f>
        <v>Not Found</v>
      </c>
      <c r="I4572" s="6" t="str">
        <f>IFERROR(VLOOKUP('Customer Info'!A4564,'Customer Info'!A4564:E5063,5,FALSE),"Not Found")</f>
        <v>Not Found</v>
      </c>
      <c r="J4572" s="2">
        <v>3256</v>
      </c>
      <c r="K4572" s="2">
        <v>2959</v>
      </c>
      <c r="L4572" s="2">
        <v>1</v>
      </c>
      <c r="M4572" s="7">
        <f t="shared" si="355"/>
        <v>2959</v>
      </c>
      <c r="N4572" s="7">
        <f t="shared" si="356"/>
        <v>3256</v>
      </c>
      <c r="O4572" s="2">
        <v>46</v>
      </c>
      <c r="P4572" s="8">
        <f t="shared" si="357"/>
        <v>3302</v>
      </c>
      <c r="Q4572" s="8">
        <f t="shared" si="358"/>
        <v>297</v>
      </c>
      <c r="R4572" s="2" t="s">
        <v>50</v>
      </c>
      <c r="S4572" s="9">
        <f t="shared" si="359"/>
        <v>66.040000000000006</v>
      </c>
    </row>
    <row r="4573" spans="1:19" x14ac:dyDescent="0.3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str">
        <f>IFERROR(VLOOKUP('Customer Info'!A4565,'Customer Info'!A4565:C5064,2,FALSE),"Not Found")</f>
        <v>Not Found</v>
      </c>
      <c r="H4573" s="6" t="str">
        <f>IFERROR(VLOOKUP('Customer Info'!A4565,'Customer Info'!A4565:C5064,3,FALSE),"Not Found")</f>
        <v>Not Found</v>
      </c>
      <c r="I4573" s="6" t="str">
        <f>IFERROR(VLOOKUP('Customer Info'!A4565,'Customer Info'!A4565:E5064,5,FALSE),"Not Found")</f>
        <v>Not Found</v>
      </c>
      <c r="J4573" s="2">
        <v>100</v>
      </c>
      <c r="K4573" s="2">
        <v>95</v>
      </c>
      <c r="L4573" s="2">
        <v>7</v>
      </c>
      <c r="M4573" s="7">
        <f t="shared" si="355"/>
        <v>665</v>
      </c>
      <c r="N4573" s="7">
        <f t="shared" si="356"/>
        <v>700</v>
      </c>
      <c r="O4573" s="2">
        <v>10</v>
      </c>
      <c r="P4573" s="8">
        <f t="shared" si="357"/>
        <v>710</v>
      </c>
      <c r="Q4573" s="8">
        <f t="shared" si="358"/>
        <v>605</v>
      </c>
      <c r="R4573" s="2" t="s">
        <v>28</v>
      </c>
      <c r="S4573" s="9">
        <f t="shared" si="359"/>
        <v>14.200000000000001</v>
      </c>
    </row>
    <row r="4574" spans="1:19" x14ac:dyDescent="0.3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str">
        <f>IFERROR(VLOOKUP('Customer Info'!A4566,'Customer Info'!A4566:C5065,2,FALSE),"Not Found")</f>
        <v>Not Found</v>
      </c>
      <c r="H4574" s="6" t="str">
        <f>IFERROR(VLOOKUP('Customer Info'!A4566,'Customer Info'!A4566:C5065,3,FALSE),"Not Found")</f>
        <v>Not Found</v>
      </c>
      <c r="I4574" s="6" t="str">
        <f>IFERROR(VLOOKUP('Customer Info'!A4566,'Customer Info'!A4566:E5065,5,FALSE),"Not Found")</f>
        <v>Not Found</v>
      </c>
      <c r="J4574" s="2">
        <v>1574</v>
      </c>
      <c r="K4574" s="2">
        <v>1458</v>
      </c>
      <c r="L4574" s="2">
        <v>2</v>
      </c>
      <c r="M4574" s="7">
        <f t="shared" si="355"/>
        <v>2916</v>
      </c>
      <c r="N4574" s="7">
        <f t="shared" si="356"/>
        <v>3148</v>
      </c>
      <c r="O4574" s="2">
        <v>87</v>
      </c>
      <c r="P4574" s="8">
        <f t="shared" si="357"/>
        <v>3235</v>
      </c>
      <c r="Q4574" s="8">
        <f t="shared" si="358"/>
        <v>1690</v>
      </c>
      <c r="R4574" s="2" t="s">
        <v>50</v>
      </c>
      <c r="S4574" s="9">
        <f t="shared" si="359"/>
        <v>64.7</v>
      </c>
    </row>
    <row r="4575" spans="1:19" x14ac:dyDescent="0.3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str">
        <f>IFERROR(VLOOKUP('Customer Info'!A4567,'Customer Info'!A4567:C5066,2,FALSE),"Not Found")</f>
        <v>Not Found</v>
      </c>
      <c r="H4575" s="6" t="str">
        <f>IFERROR(VLOOKUP('Customer Info'!A4567,'Customer Info'!A4567:C5066,3,FALSE),"Not Found")</f>
        <v>Not Found</v>
      </c>
      <c r="I4575" s="6" t="str">
        <f>IFERROR(VLOOKUP('Customer Info'!A4567,'Customer Info'!A4567:E5066,5,FALSE),"Not Found")</f>
        <v>Not Found</v>
      </c>
      <c r="J4575" s="2">
        <v>2790</v>
      </c>
      <c r="K4575" s="2">
        <v>2557</v>
      </c>
      <c r="L4575" s="2">
        <v>4</v>
      </c>
      <c r="M4575" s="7">
        <f t="shared" si="355"/>
        <v>10228</v>
      </c>
      <c r="N4575" s="7">
        <f t="shared" si="356"/>
        <v>11160</v>
      </c>
      <c r="O4575" s="2">
        <v>55</v>
      </c>
      <c r="P4575" s="8">
        <f t="shared" si="357"/>
        <v>11215</v>
      </c>
      <c r="Q4575" s="8">
        <f t="shared" si="358"/>
        <v>8603</v>
      </c>
      <c r="R4575" s="2" t="s">
        <v>28</v>
      </c>
      <c r="S4575" s="9">
        <f t="shared" si="359"/>
        <v>560.75</v>
      </c>
    </row>
    <row r="4576" spans="1:19" x14ac:dyDescent="0.3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str">
        <f>IFERROR(VLOOKUP('Customer Info'!A4568,'Customer Info'!A4568:C5067,2,FALSE),"Not Found")</f>
        <v>Not Found</v>
      </c>
      <c r="H4576" s="6" t="str">
        <f>IFERROR(VLOOKUP('Customer Info'!A4568,'Customer Info'!A4568:C5067,3,FALSE),"Not Found")</f>
        <v>Not Found</v>
      </c>
      <c r="I4576" s="6" t="str">
        <f>IFERROR(VLOOKUP('Customer Info'!A4568,'Customer Info'!A4568:E5067,5,FALSE),"Not Found")</f>
        <v>Not Found</v>
      </c>
      <c r="J4576" s="2">
        <v>393</v>
      </c>
      <c r="K4576" s="2">
        <v>374</v>
      </c>
      <c r="L4576" s="2">
        <v>4</v>
      </c>
      <c r="M4576" s="7">
        <f t="shared" si="355"/>
        <v>1496</v>
      </c>
      <c r="N4576" s="7">
        <f t="shared" si="356"/>
        <v>1572</v>
      </c>
      <c r="O4576" s="2">
        <v>47</v>
      </c>
      <c r="P4576" s="8">
        <f t="shared" si="357"/>
        <v>1619</v>
      </c>
      <c r="Q4576" s="8">
        <f t="shared" si="358"/>
        <v>1198</v>
      </c>
      <c r="R4576" s="2" t="s">
        <v>28</v>
      </c>
      <c r="S4576" s="9">
        <f t="shared" si="359"/>
        <v>32.380000000000003</v>
      </c>
    </row>
    <row r="4577" spans="1:19" x14ac:dyDescent="0.3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str">
        <f>IFERROR(VLOOKUP('Customer Info'!A4569,'Customer Info'!A4569:C5068,2,FALSE),"Not Found")</f>
        <v>Not Found</v>
      </c>
      <c r="H4577" s="6" t="str">
        <f>IFERROR(VLOOKUP('Customer Info'!A4569,'Customer Info'!A4569:C5068,3,FALSE),"Not Found")</f>
        <v>Not Found</v>
      </c>
      <c r="I4577" s="6" t="str">
        <f>IFERROR(VLOOKUP('Customer Info'!A4569,'Customer Info'!A4569:E5068,5,FALSE),"Not Found")</f>
        <v>Not Found</v>
      </c>
      <c r="J4577" s="2">
        <v>2681</v>
      </c>
      <c r="K4577" s="2">
        <v>2458</v>
      </c>
      <c r="L4577" s="2">
        <v>3</v>
      </c>
      <c r="M4577" s="7">
        <f t="shared" si="355"/>
        <v>7374</v>
      </c>
      <c r="N4577" s="7">
        <f t="shared" si="356"/>
        <v>8043</v>
      </c>
      <c r="O4577" s="2">
        <v>68</v>
      </c>
      <c r="P4577" s="8">
        <f t="shared" si="357"/>
        <v>8111</v>
      </c>
      <c r="Q4577" s="8">
        <f t="shared" si="358"/>
        <v>5585</v>
      </c>
      <c r="R4577" s="2" t="s">
        <v>28</v>
      </c>
      <c r="S4577" s="9">
        <f t="shared" si="359"/>
        <v>405.55</v>
      </c>
    </row>
    <row r="4578" spans="1:19" x14ac:dyDescent="0.3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str">
        <f>IFERROR(VLOOKUP('Customer Info'!A4570,'Customer Info'!A4570:C5069,2,FALSE),"Not Found")</f>
        <v>Not Found</v>
      </c>
      <c r="H4578" s="6" t="str">
        <f>IFERROR(VLOOKUP('Customer Info'!A4570,'Customer Info'!A4570:C5069,3,FALSE),"Not Found")</f>
        <v>Not Found</v>
      </c>
      <c r="I4578" s="6" t="str">
        <f>IFERROR(VLOOKUP('Customer Info'!A4570,'Customer Info'!A4570:E5069,5,FALSE),"Not Found")</f>
        <v>Not Found</v>
      </c>
      <c r="J4578" s="2">
        <v>6664</v>
      </c>
      <c r="K4578" s="2">
        <v>6473</v>
      </c>
      <c r="L4578" s="2">
        <v>8</v>
      </c>
      <c r="M4578" s="7">
        <f t="shared" si="355"/>
        <v>51784</v>
      </c>
      <c r="N4578" s="7">
        <f t="shared" si="356"/>
        <v>53312</v>
      </c>
      <c r="O4578" s="2">
        <v>62</v>
      </c>
      <c r="P4578" s="8">
        <f t="shared" si="357"/>
        <v>53374</v>
      </c>
      <c r="Q4578" s="8">
        <f t="shared" si="358"/>
        <v>46839</v>
      </c>
      <c r="R4578" s="2" t="s">
        <v>50</v>
      </c>
      <c r="S4578" s="9">
        <f t="shared" si="359"/>
        <v>4803.66</v>
      </c>
    </row>
    <row r="4579" spans="1:19" x14ac:dyDescent="0.3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str">
        <f>IFERROR(VLOOKUP('Customer Info'!A4571,'Customer Info'!A4571:C5070,2,FALSE),"Not Found")</f>
        <v>Not Found</v>
      </c>
      <c r="H4579" s="6" t="str">
        <f>IFERROR(VLOOKUP('Customer Info'!A4571,'Customer Info'!A4571:C5070,3,FALSE),"Not Found")</f>
        <v>Not Found</v>
      </c>
      <c r="I4579" s="6" t="str">
        <f>IFERROR(VLOOKUP('Customer Info'!A4571,'Customer Info'!A4571:E5070,5,FALSE),"Not Found")</f>
        <v>Not Found</v>
      </c>
      <c r="J4579" s="2">
        <v>25658</v>
      </c>
      <c r="K4579" s="2">
        <v>24466</v>
      </c>
      <c r="L4579" s="2">
        <v>1</v>
      </c>
      <c r="M4579" s="7">
        <f t="shared" si="355"/>
        <v>24466</v>
      </c>
      <c r="N4579" s="7">
        <f t="shared" si="356"/>
        <v>25658</v>
      </c>
      <c r="O4579" s="2">
        <v>34</v>
      </c>
      <c r="P4579" s="8">
        <f t="shared" si="357"/>
        <v>25692</v>
      </c>
      <c r="Q4579" s="8">
        <f t="shared" si="358"/>
        <v>1192</v>
      </c>
      <c r="R4579" s="2" t="s">
        <v>28</v>
      </c>
      <c r="S4579" s="9">
        <f t="shared" si="359"/>
        <v>1798.4400000000003</v>
      </c>
    </row>
    <row r="4580" spans="1:19" x14ac:dyDescent="0.3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str">
        <f>IFERROR(VLOOKUP('Customer Info'!A4572,'Customer Info'!A4572:C5071,2,FALSE),"Not Found")</f>
        <v>Not Found</v>
      </c>
      <c r="H4580" s="6" t="str">
        <f>IFERROR(VLOOKUP('Customer Info'!A4572,'Customer Info'!A4572:C5071,3,FALSE),"Not Found")</f>
        <v>Not Found</v>
      </c>
      <c r="I4580" s="6" t="str">
        <f>IFERROR(VLOOKUP('Customer Info'!A4572,'Customer Info'!A4572:E5071,5,FALSE),"Not Found")</f>
        <v>Not Found</v>
      </c>
      <c r="J4580" s="2">
        <v>4808</v>
      </c>
      <c r="K4580" s="2">
        <v>4453</v>
      </c>
      <c r="L4580" s="2">
        <v>6</v>
      </c>
      <c r="M4580" s="7">
        <f t="shared" si="355"/>
        <v>26718</v>
      </c>
      <c r="N4580" s="7">
        <f t="shared" si="356"/>
        <v>28848</v>
      </c>
      <c r="O4580" s="2">
        <v>47</v>
      </c>
      <c r="P4580" s="8">
        <f t="shared" si="357"/>
        <v>28895</v>
      </c>
      <c r="Q4580" s="8">
        <f t="shared" si="358"/>
        <v>24395</v>
      </c>
      <c r="R4580" s="2" t="s">
        <v>28</v>
      </c>
      <c r="S4580" s="9">
        <f t="shared" si="359"/>
        <v>2022.65</v>
      </c>
    </row>
    <row r="4581" spans="1:19" x14ac:dyDescent="0.3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str">
        <f>IFERROR(VLOOKUP('Customer Info'!A4573,'Customer Info'!A4573:C5072,2,FALSE),"Not Found")</f>
        <v>Not Found</v>
      </c>
      <c r="H4581" s="6" t="str">
        <f>IFERROR(VLOOKUP('Customer Info'!A4573,'Customer Info'!A4573:C5072,3,FALSE),"Not Found")</f>
        <v>Not Found</v>
      </c>
      <c r="I4581" s="6" t="str">
        <f>IFERROR(VLOOKUP('Customer Info'!A4573,'Customer Info'!A4573:E5072,5,FALSE),"Not Found")</f>
        <v>Not Found</v>
      </c>
      <c r="J4581" s="2">
        <v>58</v>
      </c>
      <c r="K4581" s="2">
        <v>56</v>
      </c>
      <c r="L4581" s="2">
        <v>2</v>
      </c>
      <c r="M4581" s="7">
        <f t="shared" si="355"/>
        <v>112</v>
      </c>
      <c r="N4581" s="7">
        <f t="shared" si="356"/>
        <v>116</v>
      </c>
      <c r="O4581" s="2">
        <v>10</v>
      </c>
      <c r="P4581" s="8">
        <f t="shared" si="357"/>
        <v>126</v>
      </c>
      <c r="Q4581" s="8">
        <f t="shared" si="358"/>
        <v>60</v>
      </c>
      <c r="R4581" s="2" t="s">
        <v>28</v>
      </c>
      <c r="S4581" s="9">
        <f t="shared" si="359"/>
        <v>2.52</v>
      </c>
    </row>
    <row r="4582" spans="1:19" x14ac:dyDescent="0.3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str">
        <f>IFERROR(VLOOKUP('Customer Info'!A4574,'Customer Info'!A4574:C5073,2,FALSE),"Not Found")</f>
        <v>Not Found</v>
      </c>
      <c r="H4582" s="6" t="str">
        <f>IFERROR(VLOOKUP('Customer Info'!A4574,'Customer Info'!A4574:C5073,3,FALSE),"Not Found")</f>
        <v>Not Found</v>
      </c>
      <c r="I4582" s="6" t="str">
        <f>IFERROR(VLOOKUP('Customer Info'!A4574,'Customer Info'!A4574:E5073,5,FALSE),"Not Found")</f>
        <v>Not Found</v>
      </c>
      <c r="J4582" s="2">
        <v>1385</v>
      </c>
      <c r="K4582" s="2">
        <v>1295</v>
      </c>
      <c r="L4582" s="2">
        <v>3</v>
      </c>
      <c r="M4582" s="7">
        <f t="shared" si="355"/>
        <v>3885</v>
      </c>
      <c r="N4582" s="7">
        <f t="shared" si="356"/>
        <v>4155</v>
      </c>
      <c r="O4582" s="2">
        <v>55</v>
      </c>
      <c r="P4582" s="8">
        <f t="shared" si="357"/>
        <v>4210</v>
      </c>
      <c r="Q4582" s="8">
        <f t="shared" si="358"/>
        <v>2860</v>
      </c>
      <c r="R4582" s="2" t="s">
        <v>50</v>
      </c>
      <c r="S4582" s="9">
        <f t="shared" si="359"/>
        <v>84.2</v>
      </c>
    </row>
    <row r="4583" spans="1:19" x14ac:dyDescent="0.3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str">
        <f>IFERROR(VLOOKUP('Customer Info'!A4575,'Customer Info'!A4575:C5074,2,FALSE),"Not Found")</f>
        <v>Not Found</v>
      </c>
      <c r="H4583" s="6" t="str">
        <f>IFERROR(VLOOKUP('Customer Info'!A4575,'Customer Info'!A4575:C5074,3,FALSE),"Not Found")</f>
        <v>Not Found</v>
      </c>
      <c r="I4583" s="6" t="str">
        <f>IFERROR(VLOOKUP('Customer Info'!A4575,'Customer Info'!A4575:E5074,5,FALSE),"Not Found")</f>
        <v>Not Found</v>
      </c>
      <c r="J4583" s="2">
        <v>1752</v>
      </c>
      <c r="K4583" s="2">
        <v>1576</v>
      </c>
      <c r="L4583" s="2">
        <v>1</v>
      </c>
      <c r="M4583" s="7">
        <f t="shared" si="355"/>
        <v>1576</v>
      </c>
      <c r="N4583" s="7">
        <f t="shared" si="356"/>
        <v>1752</v>
      </c>
      <c r="O4583" s="2">
        <v>28</v>
      </c>
      <c r="P4583" s="8">
        <f t="shared" si="357"/>
        <v>1780</v>
      </c>
      <c r="Q4583" s="8">
        <f t="shared" si="358"/>
        <v>176</v>
      </c>
      <c r="R4583" s="2" t="s">
        <v>28</v>
      </c>
      <c r="S4583" s="9">
        <f t="shared" si="359"/>
        <v>35.6</v>
      </c>
    </row>
    <row r="4584" spans="1:19" x14ac:dyDescent="0.3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str">
        <f>IFERROR(VLOOKUP('Customer Info'!A4576,'Customer Info'!A4576:C5075,2,FALSE),"Not Found")</f>
        <v>Not Found</v>
      </c>
      <c r="H4584" s="6" t="str">
        <f>IFERROR(VLOOKUP('Customer Info'!A4576,'Customer Info'!A4576:C5075,3,FALSE),"Not Found")</f>
        <v>Not Found</v>
      </c>
      <c r="I4584" s="6" t="str">
        <f>IFERROR(VLOOKUP('Customer Info'!A4576,'Customer Info'!A4576:E5075,5,FALSE),"Not Found")</f>
        <v>Not Found</v>
      </c>
      <c r="J4584" s="2">
        <v>136</v>
      </c>
      <c r="K4584" s="2">
        <v>130</v>
      </c>
      <c r="L4584" s="2">
        <v>5</v>
      </c>
      <c r="M4584" s="7">
        <f t="shared" si="355"/>
        <v>650</v>
      </c>
      <c r="N4584" s="7">
        <f t="shared" si="356"/>
        <v>680</v>
      </c>
      <c r="O4584" s="2">
        <v>30</v>
      </c>
      <c r="P4584" s="8">
        <f t="shared" si="357"/>
        <v>710</v>
      </c>
      <c r="Q4584" s="8">
        <f t="shared" si="358"/>
        <v>550</v>
      </c>
      <c r="R4584" s="2" t="s">
        <v>50</v>
      </c>
      <c r="S4584" s="9">
        <f t="shared" si="359"/>
        <v>14.200000000000001</v>
      </c>
    </row>
    <row r="4585" spans="1:19" x14ac:dyDescent="0.3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str">
        <f>IFERROR(VLOOKUP('Customer Info'!A4577,'Customer Info'!A4577:C5076,2,FALSE),"Not Found")</f>
        <v>Not Found</v>
      </c>
      <c r="H4585" s="6" t="str">
        <f>IFERROR(VLOOKUP('Customer Info'!A4577,'Customer Info'!A4577:C5076,3,FALSE),"Not Found")</f>
        <v>Not Found</v>
      </c>
      <c r="I4585" s="6" t="str">
        <f>IFERROR(VLOOKUP('Customer Info'!A4577,'Customer Info'!A4577:E5076,5,FALSE),"Not Found")</f>
        <v>Not Found</v>
      </c>
      <c r="J4585" s="2">
        <v>681</v>
      </c>
      <c r="K4585" s="2">
        <v>642</v>
      </c>
      <c r="L4585" s="2">
        <v>2</v>
      </c>
      <c r="M4585" s="7">
        <f t="shared" si="355"/>
        <v>1284</v>
      </c>
      <c r="N4585" s="7">
        <f t="shared" si="356"/>
        <v>1362</v>
      </c>
      <c r="O4585" s="2">
        <v>26</v>
      </c>
      <c r="P4585" s="8">
        <f t="shared" si="357"/>
        <v>1388</v>
      </c>
      <c r="Q4585" s="8">
        <f t="shared" si="358"/>
        <v>720</v>
      </c>
      <c r="R4585" s="2" t="s">
        <v>28</v>
      </c>
      <c r="S4585" s="9">
        <f t="shared" si="359"/>
        <v>27.76</v>
      </c>
    </row>
    <row r="4586" spans="1:19" x14ac:dyDescent="0.3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str">
        <f>IFERROR(VLOOKUP('Customer Info'!A4578,'Customer Info'!A4578:C5077,2,FALSE),"Not Found")</f>
        <v>Not Found</v>
      </c>
      <c r="H4586" s="6" t="str">
        <f>IFERROR(VLOOKUP('Customer Info'!A4578,'Customer Info'!A4578:C5077,3,FALSE),"Not Found")</f>
        <v>Not Found</v>
      </c>
      <c r="I4586" s="6" t="str">
        <f>IFERROR(VLOOKUP('Customer Info'!A4578,'Customer Info'!A4578:E5077,5,FALSE),"Not Found")</f>
        <v>Not Found</v>
      </c>
      <c r="J4586" s="2">
        <v>666</v>
      </c>
      <c r="K4586" s="2">
        <v>641</v>
      </c>
      <c r="L4586" s="2">
        <v>2</v>
      </c>
      <c r="M4586" s="7">
        <f t="shared" si="355"/>
        <v>1282</v>
      </c>
      <c r="N4586" s="7">
        <f t="shared" si="356"/>
        <v>1332</v>
      </c>
      <c r="O4586" s="2">
        <v>46</v>
      </c>
      <c r="P4586" s="8">
        <f t="shared" si="357"/>
        <v>1378</v>
      </c>
      <c r="Q4586" s="8">
        <f t="shared" si="358"/>
        <v>691</v>
      </c>
      <c r="R4586" s="2" t="s">
        <v>50</v>
      </c>
      <c r="S4586" s="9">
        <f t="shared" si="359"/>
        <v>27.560000000000002</v>
      </c>
    </row>
    <row r="4587" spans="1:19" x14ac:dyDescent="0.3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str">
        <f>IFERROR(VLOOKUP('Customer Info'!A4579,'Customer Info'!A4579:C5078,2,FALSE),"Not Found")</f>
        <v>Not Found</v>
      </c>
      <c r="H4587" s="6" t="str">
        <f>IFERROR(VLOOKUP('Customer Info'!A4579,'Customer Info'!A4579:C5078,3,FALSE),"Not Found")</f>
        <v>Not Found</v>
      </c>
      <c r="I4587" s="6" t="str">
        <f>IFERROR(VLOOKUP('Customer Info'!A4579,'Customer Info'!A4579:E5078,5,FALSE),"Not Found")</f>
        <v>Not Found</v>
      </c>
      <c r="J4587" s="2">
        <v>4904</v>
      </c>
      <c r="K4587" s="2">
        <v>4499</v>
      </c>
      <c r="L4587" s="2">
        <v>3</v>
      </c>
      <c r="M4587" s="7">
        <f t="shared" si="355"/>
        <v>13497</v>
      </c>
      <c r="N4587" s="7">
        <f t="shared" si="356"/>
        <v>14712</v>
      </c>
      <c r="O4587" s="2">
        <v>34</v>
      </c>
      <c r="P4587" s="8">
        <f t="shared" si="357"/>
        <v>14746</v>
      </c>
      <c r="Q4587" s="8">
        <f t="shared" si="358"/>
        <v>10213</v>
      </c>
      <c r="R4587" s="2" t="s">
        <v>28</v>
      </c>
      <c r="S4587" s="9">
        <f t="shared" si="359"/>
        <v>737.30000000000007</v>
      </c>
    </row>
    <row r="4588" spans="1:19" x14ac:dyDescent="0.3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str">
        <f>IFERROR(VLOOKUP('Customer Info'!A4580,'Customer Info'!A4580:C5079,2,FALSE),"Not Found")</f>
        <v>Not Found</v>
      </c>
      <c r="H4588" s="6" t="str">
        <f>IFERROR(VLOOKUP('Customer Info'!A4580,'Customer Info'!A4580:C5079,3,FALSE),"Not Found")</f>
        <v>Not Found</v>
      </c>
      <c r="I4588" s="6" t="str">
        <f>IFERROR(VLOOKUP('Customer Info'!A4580,'Customer Info'!A4580:E5079,5,FALSE),"Not Found")</f>
        <v>Not Found</v>
      </c>
      <c r="J4588" s="2">
        <v>2644</v>
      </c>
      <c r="K4588" s="2">
        <v>2425</v>
      </c>
      <c r="L4588" s="2">
        <v>14</v>
      </c>
      <c r="M4588" s="7">
        <f t="shared" si="355"/>
        <v>33950</v>
      </c>
      <c r="N4588" s="7">
        <f t="shared" si="356"/>
        <v>37016</v>
      </c>
      <c r="O4588" s="2">
        <v>37</v>
      </c>
      <c r="P4588" s="8">
        <f t="shared" si="357"/>
        <v>37053</v>
      </c>
      <c r="Q4588" s="8">
        <f t="shared" si="358"/>
        <v>34591</v>
      </c>
      <c r="R4588" s="2" t="s">
        <v>28</v>
      </c>
      <c r="S4588" s="9">
        <f t="shared" si="359"/>
        <v>2593.71</v>
      </c>
    </row>
    <row r="4589" spans="1:19" x14ac:dyDescent="0.3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str">
        <f>IFERROR(VLOOKUP('Customer Info'!A4581,'Customer Info'!A4581:C5080,2,FALSE),"Not Found")</f>
        <v>Not Found</v>
      </c>
      <c r="H4589" s="6" t="str">
        <f>IFERROR(VLOOKUP('Customer Info'!A4581,'Customer Info'!A4581:C5080,3,FALSE),"Not Found")</f>
        <v>Not Found</v>
      </c>
      <c r="I4589" s="6" t="str">
        <f>IFERROR(VLOOKUP('Customer Info'!A4581,'Customer Info'!A4581:E5080,5,FALSE),"Not Found")</f>
        <v>Not Found</v>
      </c>
      <c r="J4589" s="2">
        <v>6060</v>
      </c>
      <c r="K4589" s="2">
        <v>6002</v>
      </c>
      <c r="L4589" s="2">
        <v>2</v>
      </c>
      <c r="M4589" s="7">
        <f t="shared" si="355"/>
        <v>12004</v>
      </c>
      <c r="N4589" s="7">
        <f t="shared" si="356"/>
        <v>12120</v>
      </c>
      <c r="O4589" s="2">
        <v>85</v>
      </c>
      <c r="P4589" s="8">
        <f t="shared" si="357"/>
        <v>12205</v>
      </c>
      <c r="Q4589" s="8">
        <f t="shared" si="358"/>
        <v>6118</v>
      </c>
      <c r="R4589" s="2" t="s">
        <v>28</v>
      </c>
      <c r="S4589" s="9">
        <f t="shared" si="359"/>
        <v>610.25</v>
      </c>
    </row>
    <row r="4590" spans="1:19" x14ac:dyDescent="0.3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str">
        <f>IFERROR(VLOOKUP('Customer Info'!A4582,'Customer Info'!A4582:C5081,2,FALSE),"Not Found")</f>
        <v>Not Found</v>
      </c>
      <c r="H4590" s="6" t="str">
        <f>IFERROR(VLOOKUP('Customer Info'!A4582,'Customer Info'!A4582:C5081,3,FALSE),"Not Found")</f>
        <v>Not Found</v>
      </c>
      <c r="I4590" s="6" t="str">
        <f>IFERROR(VLOOKUP('Customer Info'!A4582,'Customer Info'!A4582:E5081,5,FALSE),"Not Found")</f>
        <v>Not Found</v>
      </c>
      <c r="J4590" s="2">
        <v>2706</v>
      </c>
      <c r="K4590" s="2">
        <v>2553</v>
      </c>
      <c r="L4590" s="2">
        <v>1</v>
      </c>
      <c r="M4590" s="7">
        <f t="shared" si="355"/>
        <v>2553</v>
      </c>
      <c r="N4590" s="7">
        <f t="shared" si="356"/>
        <v>2706</v>
      </c>
      <c r="O4590" s="2">
        <v>63</v>
      </c>
      <c r="P4590" s="8">
        <f t="shared" si="357"/>
        <v>2769</v>
      </c>
      <c r="Q4590" s="8">
        <f t="shared" si="358"/>
        <v>153</v>
      </c>
      <c r="R4590" s="2" t="s">
        <v>28</v>
      </c>
      <c r="S4590" s="9">
        <f t="shared" si="359"/>
        <v>55.38</v>
      </c>
    </row>
    <row r="4591" spans="1:19" x14ac:dyDescent="0.3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str">
        <f>IFERROR(VLOOKUP('Customer Info'!A4583,'Customer Info'!A4583:C5082,2,FALSE),"Not Found")</f>
        <v>Not Found</v>
      </c>
      <c r="H4591" s="6" t="str">
        <f>IFERROR(VLOOKUP('Customer Info'!A4583,'Customer Info'!A4583:C5082,3,FALSE),"Not Found")</f>
        <v>Not Found</v>
      </c>
      <c r="I4591" s="6" t="str">
        <f>IFERROR(VLOOKUP('Customer Info'!A4583,'Customer Info'!A4583:E5082,5,FALSE),"Not Found")</f>
        <v>Not Found</v>
      </c>
      <c r="J4591" s="2">
        <v>1181</v>
      </c>
      <c r="K4591" s="2">
        <v>1136</v>
      </c>
      <c r="L4591" s="2">
        <v>8</v>
      </c>
      <c r="M4591" s="7">
        <f t="shared" si="355"/>
        <v>9088</v>
      </c>
      <c r="N4591" s="7">
        <f t="shared" si="356"/>
        <v>9448</v>
      </c>
      <c r="O4591" s="2">
        <v>94</v>
      </c>
      <c r="P4591" s="8">
        <f t="shared" si="357"/>
        <v>9542</v>
      </c>
      <c r="Q4591" s="8">
        <f t="shared" si="358"/>
        <v>8312</v>
      </c>
      <c r="R4591" s="2" t="s">
        <v>28</v>
      </c>
      <c r="S4591" s="9">
        <f t="shared" si="359"/>
        <v>477.1</v>
      </c>
    </row>
    <row r="4592" spans="1:19" x14ac:dyDescent="0.3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str">
        <f>IFERROR(VLOOKUP('Customer Info'!A4584,'Customer Info'!A4584:C5083,2,FALSE),"Not Found")</f>
        <v>Not Found</v>
      </c>
      <c r="H4592" s="6" t="str">
        <f>IFERROR(VLOOKUP('Customer Info'!A4584,'Customer Info'!A4584:C5083,3,FALSE),"Not Found")</f>
        <v>Not Found</v>
      </c>
      <c r="I4592" s="6" t="str">
        <f>IFERROR(VLOOKUP('Customer Info'!A4584,'Customer Info'!A4584:E5083,5,FALSE),"Not Found")</f>
        <v>Not Found</v>
      </c>
      <c r="J4592" s="2">
        <v>691</v>
      </c>
      <c r="K4592" s="2">
        <v>627</v>
      </c>
      <c r="L4592" s="2">
        <v>2</v>
      </c>
      <c r="M4592" s="7">
        <f t="shared" si="355"/>
        <v>1254</v>
      </c>
      <c r="N4592" s="7">
        <f t="shared" si="356"/>
        <v>1382</v>
      </c>
      <c r="O4592" s="2">
        <v>77</v>
      </c>
      <c r="P4592" s="8">
        <f t="shared" si="357"/>
        <v>1459</v>
      </c>
      <c r="Q4592" s="8">
        <f t="shared" si="358"/>
        <v>755</v>
      </c>
      <c r="R4592" s="2" t="s">
        <v>28</v>
      </c>
      <c r="S4592" s="9">
        <f t="shared" si="359"/>
        <v>29.18</v>
      </c>
    </row>
    <row r="4593" spans="1:19" x14ac:dyDescent="0.3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str">
        <f>IFERROR(VLOOKUP('Customer Info'!A4585,'Customer Info'!A4585:C5084,2,FALSE),"Not Found")</f>
        <v>Not Found</v>
      </c>
      <c r="H4593" s="6" t="str">
        <f>IFERROR(VLOOKUP('Customer Info'!A4585,'Customer Info'!A4585:C5084,3,FALSE),"Not Found")</f>
        <v>Not Found</v>
      </c>
      <c r="I4593" s="6" t="str">
        <f>IFERROR(VLOOKUP('Customer Info'!A4585,'Customer Info'!A4585:E5084,5,FALSE),"Not Found")</f>
        <v>Not Found</v>
      </c>
      <c r="J4593" s="2">
        <v>1968</v>
      </c>
      <c r="K4593" s="2">
        <v>1821</v>
      </c>
      <c r="L4593" s="2">
        <v>5</v>
      </c>
      <c r="M4593" s="7">
        <f t="shared" si="355"/>
        <v>9105</v>
      </c>
      <c r="N4593" s="7">
        <f t="shared" si="356"/>
        <v>9840</v>
      </c>
      <c r="O4593" s="2">
        <v>52</v>
      </c>
      <c r="P4593" s="8">
        <f t="shared" si="357"/>
        <v>9892</v>
      </c>
      <c r="Q4593" s="8">
        <f t="shared" si="358"/>
        <v>8019</v>
      </c>
      <c r="R4593" s="2" t="s">
        <v>28</v>
      </c>
      <c r="S4593" s="9">
        <f t="shared" si="359"/>
        <v>494.6</v>
      </c>
    </row>
    <row r="4594" spans="1:19" x14ac:dyDescent="0.3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str">
        <f>IFERROR(VLOOKUP('Customer Info'!A4586,'Customer Info'!A4586:C5085,2,FALSE),"Not Found")</f>
        <v>Not Found</v>
      </c>
      <c r="H4594" s="6" t="str">
        <f>IFERROR(VLOOKUP('Customer Info'!A4586,'Customer Info'!A4586:C5085,3,FALSE),"Not Found")</f>
        <v>Not Found</v>
      </c>
      <c r="I4594" s="6" t="str">
        <f>IFERROR(VLOOKUP('Customer Info'!A4586,'Customer Info'!A4586:E5085,5,FALSE),"Not Found")</f>
        <v>Not Found</v>
      </c>
      <c r="J4594" s="2">
        <v>914</v>
      </c>
      <c r="K4594" s="2">
        <v>830</v>
      </c>
      <c r="L4594" s="2">
        <v>2</v>
      </c>
      <c r="M4594" s="7">
        <f t="shared" si="355"/>
        <v>1660</v>
      </c>
      <c r="N4594" s="7">
        <f t="shared" si="356"/>
        <v>1828</v>
      </c>
      <c r="O4594" s="2">
        <v>21</v>
      </c>
      <c r="P4594" s="8">
        <f t="shared" si="357"/>
        <v>1849</v>
      </c>
      <c r="Q4594" s="8">
        <f t="shared" si="358"/>
        <v>998</v>
      </c>
      <c r="R4594" s="2" t="s">
        <v>28</v>
      </c>
      <c r="S4594" s="9">
        <f t="shared" si="359"/>
        <v>36.980000000000004</v>
      </c>
    </row>
    <row r="4595" spans="1:19" x14ac:dyDescent="0.3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str">
        <f>IFERROR(VLOOKUP('Customer Info'!A4587,'Customer Info'!A4587:C5086,2,FALSE),"Not Found")</f>
        <v>Not Found</v>
      </c>
      <c r="H4595" s="6" t="str">
        <f>IFERROR(VLOOKUP('Customer Info'!A4587,'Customer Info'!A4587:C5086,3,FALSE),"Not Found")</f>
        <v>Not Found</v>
      </c>
      <c r="I4595" s="6" t="str">
        <f>IFERROR(VLOOKUP('Customer Info'!A4587,'Customer Info'!A4587:E5086,5,FALSE),"Not Found")</f>
        <v>Not Found</v>
      </c>
      <c r="J4595" s="2">
        <v>3091</v>
      </c>
      <c r="K4595" s="2">
        <v>2889</v>
      </c>
      <c r="L4595" s="2">
        <v>6</v>
      </c>
      <c r="M4595" s="7">
        <f t="shared" si="355"/>
        <v>17334</v>
      </c>
      <c r="N4595" s="7">
        <f t="shared" si="356"/>
        <v>18546</v>
      </c>
      <c r="O4595" s="2">
        <v>30</v>
      </c>
      <c r="P4595" s="8">
        <f t="shared" si="357"/>
        <v>18576</v>
      </c>
      <c r="Q4595" s="8">
        <f t="shared" si="358"/>
        <v>15657</v>
      </c>
      <c r="R4595" s="2" t="s">
        <v>28</v>
      </c>
      <c r="S4595" s="9">
        <f t="shared" si="359"/>
        <v>928.80000000000007</v>
      </c>
    </row>
    <row r="4596" spans="1:19" x14ac:dyDescent="0.3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str">
        <f>IFERROR(VLOOKUP('Customer Info'!A4588,'Customer Info'!A4588:C5087,2,FALSE),"Not Found")</f>
        <v>Not Found</v>
      </c>
      <c r="H4596" s="6" t="str">
        <f>IFERROR(VLOOKUP('Customer Info'!A4588,'Customer Info'!A4588:C5087,3,FALSE),"Not Found")</f>
        <v>Not Found</v>
      </c>
      <c r="I4596" s="6" t="str">
        <f>IFERROR(VLOOKUP('Customer Info'!A4588,'Customer Info'!A4588:E5087,5,FALSE),"Not Found")</f>
        <v>Not Found</v>
      </c>
      <c r="J4596" s="2">
        <v>1717</v>
      </c>
      <c r="K4596" s="2">
        <v>1652</v>
      </c>
      <c r="L4596" s="2">
        <v>1</v>
      </c>
      <c r="M4596" s="7">
        <f t="shared" si="355"/>
        <v>1652</v>
      </c>
      <c r="N4596" s="7">
        <f t="shared" si="356"/>
        <v>1717</v>
      </c>
      <c r="O4596" s="2">
        <v>81</v>
      </c>
      <c r="P4596" s="8">
        <f t="shared" si="357"/>
        <v>1798</v>
      </c>
      <c r="Q4596" s="8">
        <f t="shared" si="358"/>
        <v>65</v>
      </c>
      <c r="R4596" s="2" t="s">
        <v>56</v>
      </c>
      <c r="S4596" s="9">
        <f t="shared" si="359"/>
        <v>35.96</v>
      </c>
    </row>
    <row r="4597" spans="1:19" x14ac:dyDescent="0.3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str">
        <f>IFERROR(VLOOKUP('Customer Info'!A4589,'Customer Info'!A4589:C5088,2,FALSE),"Not Found")</f>
        <v>Not Found</v>
      </c>
      <c r="H4597" s="6" t="str">
        <f>IFERROR(VLOOKUP('Customer Info'!A4589,'Customer Info'!A4589:C5088,3,FALSE),"Not Found")</f>
        <v>Not Found</v>
      </c>
      <c r="I4597" s="6" t="str">
        <f>IFERROR(VLOOKUP('Customer Info'!A4589,'Customer Info'!A4589:E5088,5,FALSE),"Not Found")</f>
        <v>Not Found</v>
      </c>
      <c r="J4597" s="2">
        <v>1512</v>
      </c>
      <c r="K4597" s="2">
        <v>1497</v>
      </c>
      <c r="L4597" s="2">
        <v>1</v>
      </c>
      <c r="M4597" s="7">
        <f t="shared" si="355"/>
        <v>1497</v>
      </c>
      <c r="N4597" s="7">
        <f t="shared" si="356"/>
        <v>1512</v>
      </c>
      <c r="O4597" s="2">
        <v>68</v>
      </c>
      <c r="P4597" s="8">
        <f t="shared" si="357"/>
        <v>1580</v>
      </c>
      <c r="Q4597" s="8">
        <f t="shared" si="358"/>
        <v>15</v>
      </c>
      <c r="R4597" s="2" t="s">
        <v>28</v>
      </c>
      <c r="S4597" s="9">
        <f t="shared" si="359"/>
        <v>31.6</v>
      </c>
    </row>
    <row r="4598" spans="1:19" x14ac:dyDescent="0.3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str">
        <f>IFERROR(VLOOKUP('Customer Info'!A4590,'Customer Info'!A4590:C5089,2,FALSE),"Not Found")</f>
        <v>Not Found</v>
      </c>
      <c r="H4598" s="6" t="str">
        <f>IFERROR(VLOOKUP('Customer Info'!A4590,'Customer Info'!A4590:C5089,3,FALSE),"Not Found")</f>
        <v>Not Found</v>
      </c>
      <c r="I4598" s="6" t="str">
        <f>IFERROR(VLOOKUP('Customer Info'!A4590,'Customer Info'!A4590:E5089,5,FALSE),"Not Found")</f>
        <v>Not Found</v>
      </c>
      <c r="J4598" s="2">
        <v>811</v>
      </c>
      <c r="K4598" s="2">
        <v>780</v>
      </c>
      <c r="L4598" s="2">
        <v>3</v>
      </c>
      <c r="M4598" s="7">
        <f t="shared" si="355"/>
        <v>2340</v>
      </c>
      <c r="N4598" s="7">
        <f t="shared" si="356"/>
        <v>2433</v>
      </c>
      <c r="O4598" s="2">
        <v>41</v>
      </c>
      <c r="P4598" s="8">
        <f t="shared" si="357"/>
        <v>2474</v>
      </c>
      <c r="Q4598" s="8">
        <f t="shared" si="358"/>
        <v>1653</v>
      </c>
      <c r="R4598" s="2" t="s">
        <v>26</v>
      </c>
      <c r="S4598" s="9">
        <f t="shared" si="359"/>
        <v>49.480000000000004</v>
      </c>
    </row>
    <row r="4599" spans="1:19" x14ac:dyDescent="0.3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str">
        <f>IFERROR(VLOOKUP('Customer Info'!A4591,'Customer Info'!A4591:C5090,2,FALSE),"Not Found")</f>
        <v>Not Found</v>
      </c>
      <c r="H4599" s="6" t="str">
        <f>IFERROR(VLOOKUP('Customer Info'!A4591,'Customer Info'!A4591:C5090,3,FALSE),"Not Found")</f>
        <v>Not Found</v>
      </c>
      <c r="I4599" s="6" t="str">
        <f>IFERROR(VLOOKUP('Customer Info'!A4591,'Customer Info'!A4591:E5090,5,FALSE),"Not Found")</f>
        <v>Not Found</v>
      </c>
      <c r="J4599" s="2">
        <v>1181</v>
      </c>
      <c r="K4599" s="2">
        <v>1136</v>
      </c>
      <c r="L4599" s="2">
        <v>2</v>
      </c>
      <c r="M4599" s="7">
        <f t="shared" si="355"/>
        <v>2272</v>
      </c>
      <c r="N4599" s="7">
        <f t="shared" si="356"/>
        <v>2362</v>
      </c>
      <c r="O4599" s="2">
        <v>22</v>
      </c>
      <c r="P4599" s="8">
        <f t="shared" si="357"/>
        <v>2384</v>
      </c>
      <c r="Q4599" s="8">
        <f t="shared" si="358"/>
        <v>1226</v>
      </c>
      <c r="R4599" s="2" t="s">
        <v>28</v>
      </c>
      <c r="S4599" s="9">
        <f t="shared" si="359"/>
        <v>47.68</v>
      </c>
    </row>
    <row r="4600" spans="1:19" x14ac:dyDescent="0.3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str">
        <f>IFERROR(VLOOKUP('Customer Info'!A4592,'Customer Info'!A4592:C5091,2,FALSE),"Not Found")</f>
        <v>Not Found</v>
      </c>
      <c r="H4600" s="6" t="str">
        <f>IFERROR(VLOOKUP('Customer Info'!A4592,'Customer Info'!A4592:C5091,3,FALSE),"Not Found")</f>
        <v>Not Found</v>
      </c>
      <c r="I4600" s="6" t="str">
        <f>IFERROR(VLOOKUP('Customer Info'!A4592,'Customer Info'!A4592:E5091,5,FALSE),"Not Found")</f>
        <v>Not Found</v>
      </c>
      <c r="J4600" s="2">
        <v>809</v>
      </c>
      <c r="K4600" s="2">
        <v>770</v>
      </c>
      <c r="L4600" s="2">
        <v>1</v>
      </c>
      <c r="M4600" s="7">
        <f t="shared" si="355"/>
        <v>770</v>
      </c>
      <c r="N4600" s="7">
        <f t="shared" si="356"/>
        <v>809</v>
      </c>
      <c r="O4600" s="2">
        <v>89</v>
      </c>
      <c r="P4600" s="8">
        <f t="shared" si="357"/>
        <v>898</v>
      </c>
      <c r="Q4600" s="8">
        <f t="shared" si="358"/>
        <v>39</v>
      </c>
      <c r="R4600" s="2" t="s">
        <v>28</v>
      </c>
      <c r="S4600" s="9">
        <f t="shared" si="359"/>
        <v>17.96</v>
      </c>
    </row>
    <row r="4601" spans="1:19" x14ac:dyDescent="0.3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str">
        <f>IFERROR(VLOOKUP('Customer Info'!A4593,'Customer Info'!A4593:C5092,2,FALSE),"Not Found")</f>
        <v>Not Found</v>
      </c>
      <c r="H4601" s="6" t="str">
        <f>IFERROR(VLOOKUP('Customer Info'!A4593,'Customer Info'!A4593:C5092,3,FALSE),"Not Found")</f>
        <v>Not Found</v>
      </c>
      <c r="I4601" s="6" t="str">
        <f>IFERROR(VLOOKUP('Customer Info'!A4593,'Customer Info'!A4593:E5092,5,FALSE),"Not Found")</f>
        <v>Not Found</v>
      </c>
      <c r="J4601" s="2">
        <v>495</v>
      </c>
      <c r="K4601" s="2">
        <v>458</v>
      </c>
      <c r="L4601" s="2">
        <v>2</v>
      </c>
      <c r="M4601" s="7">
        <f t="shared" si="355"/>
        <v>916</v>
      </c>
      <c r="N4601" s="7">
        <f t="shared" si="356"/>
        <v>990</v>
      </c>
      <c r="O4601" s="2">
        <v>36</v>
      </c>
      <c r="P4601" s="8">
        <f t="shared" si="357"/>
        <v>1026</v>
      </c>
      <c r="Q4601" s="8">
        <f t="shared" si="358"/>
        <v>532</v>
      </c>
      <c r="R4601" s="2" t="s">
        <v>50</v>
      </c>
      <c r="S4601" s="9">
        <f t="shared" si="359"/>
        <v>20.52</v>
      </c>
    </row>
    <row r="4602" spans="1:19" x14ac:dyDescent="0.3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str">
        <f>IFERROR(VLOOKUP('Customer Info'!A4594,'Customer Info'!A4594:C5093,2,FALSE),"Not Found")</f>
        <v>Not Found</v>
      </c>
      <c r="H4602" s="6" t="str">
        <f>IFERROR(VLOOKUP('Customer Info'!A4594,'Customer Info'!A4594:C5093,3,FALSE),"Not Found")</f>
        <v>Not Found</v>
      </c>
      <c r="I4602" s="6" t="str">
        <f>IFERROR(VLOOKUP('Customer Info'!A4594,'Customer Info'!A4594:E5093,5,FALSE),"Not Found")</f>
        <v>Not Found</v>
      </c>
      <c r="J4602" s="2">
        <v>7623</v>
      </c>
      <c r="K4602" s="2">
        <v>7064</v>
      </c>
      <c r="L4602" s="2">
        <v>2</v>
      </c>
      <c r="M4602" s="7">
        <f t="shared" si="355"/>
        <v>14128</v>
      </c>
      <c r="N4602" s="7">
        <f t="shared" si="356"/>
        <v>15246</v>
      </c>
      <c r="O4602" s="2">
        <v>58</v>
      </c>
      <c r="P4602" s="8">
        <f t="shared" si="357"/>
        <v>15304</v>
      </c>
      <c r="Q4602" s="8">
        <f t="shared" si="358"/>
        <v>8182</v>
      </c>
      <c r="R4602" s="2" t="s">
        <v>28</v>
      </c>
      <c r="S4602" s="9">
        <f t="shared" si="359"/>
        <v>765.2</v>
      </c>
    </row>
    <row r="4603" spans="1:19" x14ac:dyDescent="0.3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str">
        <f>IFERROR(VLOOKUP('Customer Info'!A4595,'Customer Info'!A4595:C5094,2,FALSE),"Not Found")</f>
        <v>Not Found</v>
      </c>
      <c r="H4603" s="6" t="str">
        <f>IFERROR(VLOOKUP('Customer Info'!A4595,'Customer Info'!A4595:C5094,3,FALSE),"Not Found")</f>
        <v>Not Found</v>
      </c>
      <c r="I4603" s="6" t="str">
        <f>IFERROR(VLOOKUP('Customer Info'!A4595,'Customer Info'!A4595:E5094,5,FALSE),"Not Found")</f>
        <v>Not Found</v>
      </c>
      <c r="J4603" s="2">
        <v>5906</v>
      </c>
      <c r="K4603" s="2">
        <v>5266</v>
      </c>
      <c r="L4603" s="2">
        <v>5</v>
      </c>
      <c r="M4603" s="7">
        <f t="shared" si="355"/>
        <v>26330</v>
      </c>
      <c r="N4603" s="7">
        <f t="shared" si="356"/>
        <v>29530</v>
      </c>
      <c r="O4603" s="2">
        <v>91</v>
      </c>
      <c r="P4603" s="8">
        <f t="shared" si="357"/>
        <v>29621</v>
      </c>
      <c r="Q4603" s="8">
        <f t="shared" si="358"/>
        <v>24264</v>
      </c>
      <c r="R4603" s="2" t="s">
        <v>26</v>
      </c>
      <c r="S4603" s="9">
        <f t="shared" si="359"/>
        <v>2073.4700000000003</v>
      </c>
    </row>
    <row r="4604" spans="1:19" x14ac:dyDescent="0.3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str">
        <f>IFERROR(VLOOKUP('Customer Info'!A4596,'Customer Info'!A4596:C5095,2,FALSE),"Not Found")</f>
        <v>Not Found</v>
      </c>
      <c r="H4604" s="6" t="str">
        <f>IFERROR(VLOOKUP('Customer Info'!A4596,'Customer Info'!A4596:C5095,3,FALSE),"Not Found")</f>
        <v>Not Found</v>
      </c>
      <c r="I4604" s="6" t="str">
        <f>IFERROR(VLOOKUP('Customer Info'!A4596,'Customer Info'!A4596:E5095,5,FALSE),"Not Found")</f>
        <v>Not Found</v>
      </c>
      <c r="J4604" s="2">
        <v>1770</v>
      </c>
      <c r="K4604" s="2">
        <v>1592</v>
      </c>
      <c r="L4604" s="2">
        <v>5</v>
      </c>
      <c r="M4604" s="7">
        <f t="shared" si="355"/>
        <v>7960</v>
      </c>
      <c r="N4604" s="7">
        <f t="shared" si="356"/>
        <v>8850</v>
      </c>
      <c r="O4604" s="2">
        <v>54</v>
      </c>
      <c r="P4604" s="8">
        <f t="shared" si="357"/>
        <v>8904</v>
      </c>
      <c r="Q4604" s="8">
        <f t="shared" si="358"/>
        <v>7258</v>
      </c>
      <c r="R4604" s="2" t="s">
        <v>28</v>
      </c>
      <c r="S4604" s="9">
        <f t="shared" si="359"/>
        <v>445.20000000000005</v>
      </c>
    </row>
    <row r="4605" spans="1:19" x14ac:dyDescent="0.3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str">
        <f>IFERROR(VLOOKUP('Customer Info'!A4597,'Customer Info'!A4597:C5096,2,FALSE),"Not Found")</f>
        <v>Not Found</v>
      </c>
      <c r="H4605" s="6" t="str">
        <f>IFERROR(VLOOKUP('Customer Info'!A4597,'Customer Info'!A4597:C5096,3,FALSE),"Not Found")</f>
        <v>Not Found</v>
      </c>
      <c r="I4605" s="6" t="str">
        <f>IFERROR(VLOOKUP('Customer Info'!A4597,'Customer Info'!A4597:E5096,5,FALSE),"Not Found")</f>
        <v>Not Found</v>
      </c>
      <c r="J4605" s="2">
        <v>8187</v>
      </c>
      <c r="K4605" s="2">
        <v>7799</v>
      </c>
      <c r="L4605" s="2">
        <v>1</v>
      </c>
      <c r="M4605" s="7">
        <f t="shared" si="355"/>
        <v>7799</v>
      </c>
      <c r="N4605" s="7">
        <f t="shared" si="356"/>
        <v>8187</v>
      </c>
      <c r="O4605" s="2">
        <v>27</v>
      </c>
      <c r="P4605" s="8">
        <f t="shared" si="357"/>
        <v>8214</v>
      </c>
      <c r="Q4605" s="8">
        <f t="shared" si="358"/>
        <v>388</v>
      </c>
      <c r="R4605" s="2" t="s">
        <v>28</v>
      </c>
      <c r="S4605" s="9">
        <f t="shared" si="359"/>
        <v>410.70000000000005</v>
      </c>
    </row>
    <row r="4606" spans="1:19" x14ac:dyDescent="0.3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str">
        <f>IFERROR(VLOOKUP('Customer Info'!A4598,'Customer Info'!A4598:C5097,2,FALSE),"Not Found")</f>
        <v>Not Found</v>
      </c>
      <c r="H4606" s="6" t="str">
        <f>IFERROR(VLOOKUP('Customer Info'!A4598,'Customer Info'!A4598:C5097,3,FALSE),"Not Found")</f>
        <v>Not Found</v>
      </c>
      <c r="I4606" s="6" t="str">
        <f>IFERROR(VLOOKUP('Customer Info'!A4598,'Customer Info'!A4598:E5097,5,FALSE),"Not Found")</f>
        <v>Not Found</v>
      </c>
      <c r="J4606" s="2">
        <v>8781</v>
      </c>
      <c r="K4606" s="2">
        <v>7828</v>
      </c>
      <c r="L4606" s="2">
        <v>9</v>
      </c>
      <c r="M4606" s="7">
        <f t="shared" si="355"/>
        <v>70452</v>
      </c>
      <c r="N4606" s="7">
        <f t="shared" si="356"/>
        <v>79029</v>
      </c>
      <c r="O4606" s="2">
        <v>41</v>
      </c>
      <c r="P4606" s="8">
        <f t="shared" si="357"/>
        <v>79070</v>
      </c>
      <c r="Q4606" s="8">
        <f t="shared" si="358"/>
        <v>71201</v>
      </c>
      <c r="R4606" s="2" t="s">
        <v>50</v>
      </c>
      <c r="S4606" s="9">
        <f t="shared" si="359"/>
        <v>7116.3</v>
      </c>
    </row>
    <row r="4607" spans="1:19" x14ac:dyDescent="0.3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str">
        <f>IFERROR(VLOOKUP('Customer Info'!A4599,'Customer Info'!A4599:C5098,2,FALSE),"Not Found")</f>
        <v>Not Found</v>
      </c>
      <c r="H4607" s="6" t="str">
        <f>IFERROR(VLOOKUP('Customer Info'!A4599,'Customer Info'!A4599:C5098,3,FALSE),"Not Found")</f>
        <v>Not Found</v>
      </c>
      <c r="I4607" s="6" t="str">
        <f>IFERROR(VLOOKUP('Customer Info'!A4599,'Customer Info'!A4599:E5098,5,FALSE),"Not Found")</f>
        <v>Not Found</v>
      </c>
      <c r="J4607" s="2">
        <v>170</v>
      </c>
      <c r="K4607" s="2">
        <v>160</v>
      </c>
      <c r="L4607" s="2">
        <v>2</v>
      </c>
      <c r="M4607" s="7">
        <f t="shared" si="355"/>
        <v>320</v>
      </c>
      <c r="N4607" s="7">
        <f t="shared" si="356"/>
        <v>340</v>
      </c>
      <c r="O4607" s="2">
        <v>30</v>
      </c>
      <c r="P4607" s="8">
        <f t="shared" si="357"/>
        <v>370</v>
      </c>
      <c r="Q4607" s="8">
        <f t="shared" si="358"/>
        <v>180</v>
      </c>
      <c r="R4607" s="2" t="s">
        <v>50</v>
      </c>
      <c r="S4607" s="9">
        <f t="shared" si="359"/>
        <v>7.4</v>
      </c>
    </row>
    <row r="4608" spans="1:19" x14ac:dyDescent="0.3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str">
        <f>IFERROR(VLOOKUP('Customer Info'!A4600,'Customer Info'!A4600:C5099,2,FALSE),"Not Found")</f>
        <v>Not Found</v>
      </c>
      <c r="H4608" s="6" t="str">
        <f>IFERROR(VLOOKUP('Customer Info'!A4600,'Customer Info'!A4600:C5099,3,FALSE),"Not Found")</f>
        <v>Not Found</v>
      </c>
      <c r="I4608" s="6" t="str">
        <f>IFERROR(VLOOKUP('Customer Info'!A4600,'Customer Info'!A4600:E5099,5,FALSE),"Not Found")</f>
        <v>Not Found</v>
      </c>
      <c r="J4608" s="2">
        <v>1399</v>
      </c>
      <c r="K4608" s="2">
        <v>1333</v>
      </c>
      <c r="L4608" s="2">
        <v>5</v>
      </c>
      <c r="M4608" s="7">
        <f t="shared" si="355"/>
        <v>6665</v>
      </c>
      <c r="N4608" s="7">
        <f t="shared" si="356"/>
        <v>6995</v>
      </c>
      <c r="O4608" s="2">
        <v>95</v>
      </c>
      <c r="P4608" s="8">
        <f t="shared" si="357"/>
        <v>7090</v>
      </c>
      <c r="Q4608" s="8">
        <f t="shared" si="358"/>
        <v>5662</v>
      </c>
      <c r="R4608" s="2" t="s">
        <v>28</v>
      </c>
      <c r="S4608" s="9">
        <f t="shared" si="359"/>
        <v>354.5</v>
      </c>
    </row>
    <row r="4609" spans="1:19" x14ac:dyDescent="0.3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str">
        <f>IFERROR(VLOOKUP('Customer Info'!A4601,'Customer Info'!A4601:C5100,2,FALSE),"Not Found")</f>
        <v>Not Found</v>
      </c>
      <c r="H4609" s="6" t="str">
        <f>IFERROR(VLOOKUP('Customer Info'!A4601,'Customer Info'!A4601:C5100,3,FALSE),"Not Found")</f>
        <v>Not Found</v>
      </c>
      <c r="I4609" s="6" t="str">
        <f>IFERROR(VLOOKUP('Customer Info'!A4601,'Customer Info'!A4601:E5100,5,FALSE),"Not Found")</f>
        <v>Not Found</v>
      </c>
      <c r="J4609" s="2">
        <v>58</v>
      </c>
      <c r="K4609" s="2">
        <v>56</v>
      </c>
      <c r="L4609" s="2">
        <v>5</v>
      </c>
      <c r="M4609" s="7">
        <f t="shared" si="355"/>
        <v>280</v>
      </c>
      <c r="N4609" s="7">
        <f t="shared" si="356"/>
        <v>290</v>
      </c>
      <c r="O4609" s="2">
        <v>10</v>
      </c>
      <c r="P4609" s="8">
        <f t="shared" si="357"/>
        <v>300</v>
      </c>
      <c r="Q4609" s="8">
        <f t="shared" si="358"/>
        <v>234</v>
      </c>
      <c r="R4609" s="2" t="s">
        <v>50</v>
      </c>
      <c r="S4609" s="9">
        <f t="shared" si="359"/>
        <v>6</v>
      </c>
    </row>
    <row r="4610" spans="1:19" x14ac:dyDescent="0.3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str">
        <f>IFERROR(VLOOKUP('Customer Info'!A4602,'Customer Info'!A4602:C5101,2,FALSE),"Not Found")</f>
        <v>Not Found</v>
      </c>
      <c r="H4610" s="6" t="str">
        <f>IFERROR(VLOOKUP('Customer Info'!A4602,'Customer Info'!A4602:C5101,3,FALSE),"Not Found")</f>
        <v>Not Found</v>
      </c>
      <c r="I4610" s="6" t="str">
        <f>IFERROR(VLOOKUP('Customer Info'!A4602,'Customer Info'!A4602:E5101,5,FALSE),"Not Found")</f>
        <v>Not Found</v>
      </c>
      <c r="J4610" s="2">
        <v>21143</v>
      </c>
      <c r="K4610" s="2">
        <v>18848</v>
      </c>
      <c r="L4610" s="2">
        <v>4</v>
      </c>
      <c r="M4610" s="7">
        <f t="shared" si="355"/>
        <v>75392</v>
      </c>
      <c r="N4610" s="7">
        <f t="shared" si="356"/>
        <v>84572</v>
      </c>
      <c r="O4610" s="2">
        <v>24</v>
      </c>
      <c r="P4610" s="8">
        <f t="shared" si="357"/>
        <v>84596</v>
      </c>
      <c r="Q4610" s="8">
        <f t="shared" si="358"/>
        <v>65724</v>
      </c>
      <c r="R4610" s="2" t="s">
        <v>28</v>
      </c>
      <c r="S4610" s="9">
        <f t="shared" si="359"/>
        <v>7613.6399999999994</v>
      </c>
    </row>
    <row r="4611" spans="1:19" x14ac:dyDescent="0.3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str">
        <f>IFERROR(VLOOKUP('Customer Info'!A4603,'Customer Info'!A4603:C5102,2,FALSE),"Not Found")</f>
        <v>Not Found</v>
      </c>
      <c r="H4611" s="6" t="str">
        <f>IFERROR(VLOOKUP('Customer Info'!A4603,'Customer Info'!A4603:C5102,3,FALSE),"Not Found")</f>
        <v>Not Found</v>
      </c>
      <c r="I4611" s="6" t="str">
        <f>IFERROR(VLOOKUP('Customer Info'!A4603,'Customer Info'!A4603:E5102,5,FALSE),"Not Found")</f>
        <v>Not Found</v>
      </c>
      <c r="J4611" s="2">
        <v>210</v>
      </c>
      <c r="K4611" s="2">
        <v>191</v>
      </c>
      <c r="L4611" s="2">
        <v>1</v>
      </c>
      <c r="M4611" s="7">
        <f t="shared" si="355"/>
        <v>191</v>
      </c>
      <c r="N4611" s="7">
        <f t="shared" si="356"/>
        <v>210</v>
      </c>
      <c r="O4611" s="2">
        <v>30</v>
      </c>
      <c r="P4611" s="8">
        <f t="shared" si="357"/>
        <v>240</v>
      </c>
      <c r="Q4611" s="8">
        <f t="shared" si="358"/>
        <v>19</v>
      </c>
      <c r="R4611" s="2" t="s">
        <v>50</v>
      </c>
      <c r="S4611" s="9">
        <f t="shared" si="359"/>
        <v>4.8</v>
      </c>
    </row>
    <row r="4612" spans="1:19" x14ac:dyDescent="0.3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str">
        <f>IFERROR(VLOOKUP('Customer Info'!A4604,'Customer Info'!A4604:C5103,2,FALSE),"Not Found")</f>
        <v>Not Found</v>
      </c>
      <c r="H4612" s="6" t="str">
        <f>IFERROR(VLOOKUP('Customer Info'!A4604,'Customer Info'!A4604:C5103,3,FALSE),"Not Found")</f>
        <v>Not Found</v>
      </c>
      <c r="I4612" s="6" t="str">
        <f>IFERROR(VLOOKUP('Customer Info'!A4604,'Customer Info'!A4604:E5103,5,FALSE),"Not Found")</f>
        <v>Not Found</v>
      </c>
      <c r="J4612" s="2">
        <v>835</v>
      </c>
      <c r="K4612" s="2">
        <v>796</v>
      </c>
      <c r="L4612" s="2">
        <v>7</v>
      </c>
      <c r="M4612" s="7">
        <f t="shared" si="355"/>
        <v>5572</v>
      </c>
      <c r="N4612" s="7">
        <f t="shared" si="356"/>
        <v>5845</v>
      </c>
      <c r="O4612" s="2">
        <v>37</v>
      </c>
      <c r="P4612" s="8">
        <f t="shared" si="357"/>
        <v>5882</v>
      </c>
      <c r="Q4612" s="8">
        <f t="shared" si="358"/>
        <v>5049</v>
      </c>
      <c r="R4612" s="2" t="s">
        <v>28</v>
      </c>
      <c r="S4612" s="9">
        <f t="shared" si="359"/>
        <v>294.10000000000002</v>
      </c>
    </row>
    <row r="4613" spans="1:19" x14ac:dyDescent="0.3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str">
        <f>IFERROR(VLOOKUP('Customer Info'!A4605,'Customer Info'!A4605:C5104,2,FALSE),"Not Found")</f>
        <v>Not Found</v>
      </c>
      <c r="H4613" s="6" t="str">
        <f>IFERROR(VLOOKUP('Customer Info'!A4605,'Customer Info'!A4605:C5104,3,FALSE),"Not Found")</f>
        <v>Not Found</v>
      </c>
      <c r="I4613" s="6" t="str">
        <f>IFERROR(VLOOKUP('Customer Info'!A4605,'Customer Info'!A4605:E5104,5,FALSE),"Not Found")</f>
        <v>Not Found</v>
      </c>
      <c r="J4613" s="2">
        <v>1574</v>
      </c>
      <c r="K4613" s="2">
        <v>1458</v>
      </c>
      <c r="L4613" s="2">
        <v>6</v>
      </c>
      <c r="M4613" s="7">
        <f t="shared" si="355"/>
        <v>8748</v>
      </c>
      <c r="N4613" s="7">
        <f t="shared" si="356"/>
        <v>9444</v>
      </c>
      <c r="O4613" s="2">
        <v>23</v>
      </c>
      <c r="P4613" s="8">
        <f t="shared" si="357"/>
        <v>9467</v>
      </c>
      <c r="Q4613" s="8">
        <f t="shared" si="358"/>
        <v>7986</v>
      </c>
      <c r="R4613" s="2" t="s">
        <v>28</v>
      </c>
      <c r="S4613" s="9">
        <f t="shared" si="359"/>
        <v>473.35</v>
      </c>
    </row>
    <row r="4614" spans="1:19" x14ac:dyDescent="0.3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str">
        <f>IFERROR(VLOOKUP('Customer Info'!A4606,'Customer Info'!A4606:C5105,2,FALSE),"Not Found")</f>
        <v>Not Found</v>
      </c>
      <c r="H4614" s="6" t="str">
        <f>IFERROR(VLOOKUP('Customer Info'!A4606,'Customer Info'!A4606:C5105,3,FALSE),"Not Found")</f>
        <v>Not Found</v>
      </c>
      <c r="I4614" s="6" t="str">
        <f>IFERROR(VLOOKUP('Customer Info'!A4606,'Customer Info'!A4606:E5105,5,FALSE),"Not Found")</f>
        <v>Not Found</v>
      </c>
      <c r="J4614" s="2">
        <v>2017</v>
      </c>
      <c r="K4614" s="2">
        <v>1834</v>
      </c>
      <c r="L4614" s="2">
        <v>4</v>
      </c>
      <c r="M4614" s="7">
        <f t="shared" si="355"/>
        <v>7336</v>
      </c>
      <c r="N4614" s="7">
        <f t="shared" si="356"/>
        <v>8068</v>
      </c>
      <c r="O4614" s="2">
        <v>35</v>
      </c>
      <c r="P4614" s="8">
        <f t="shared" si="357"/>
        <v>8103</v>
      </c>
      <c r="Q4614" s="8">
        <f t="shared" si="358"/>
        <v>6234</v>
      </c>
      <c r="R4614" s="2" t="s">
        <v>28</v>
      </c>
      <c r="S4614" s="9">
        <f t="shared" si="359"/>
        <v>405.15000000000003</v>
      </c>
    </row>
    <row r="4615" spans="1:19" x14ac:dyDescent="0.3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str">
        <f>IFERROR(VLOOKUP('Customer Info'!A4607,'Customer Info'!A4607:C5106,2,FALSE),"Not Found")</f>
        <v>Not Found</v>
      </c>
      <c r="H4615" s="6" t="str">
        <f>IFERROR(VLOOKUP('Customer Info'!A4607,'Customer Info'!A4607:C5106,3,FALSE),"Not Found")</f>
        <v>Not Found</v>
      </c>
      <c r="I4615" s="6" t="str">
        <f>IFERROR(VLOOKUP('Customer Info'!A4607,'Customer Info'!A4607:E5106,5,FALSE),"Not Found")</f>
        <v>Not Found</v>
      </c>
      <c r="J4615" s="2">
        <v>1623</v>
      </c>
      <c r="K4615" s="2">
        <v>1546</v>
      </c>
      <c r="L4615" s="2">
        <v>4</v>
      </c>
      <c r="M4615" s="7">
        <f t="shared" si="355"/>
        <v>6184</v>
      </c>
      <c r="N4615" s="7">
        <f t="shared" si="356"/>
        <v>6492</v>
      </c>
      <c r="O4615" s="2">
        <v>77</v>
      </c>
      <c r="P4615" s="8">
        <f t="shared" si="357"/>
        <v>6569</v>
      </c>
      <c r="Q4615" s="8">
        <f t="shared" si="358"/>
        <v>4946</v>
      </c>
      <c r="R4615" s="2" t="s">
        <v>28</v>
      </c>
      <c r="S4615" s="9">
        <f t="shared" si="359"/>
        <v>328.45000000000005</v>
      </c>
    </row>
    <row r="4616" spans="1:19" x14ac:dyDescent="0.3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str">
        <f>IFERROR(VLOOKUP('Customer Info'!A4608,'Customer Info'!A4608:C5107,2,FALSE),"Not Found")</f>
        <v>Not Found</v>
      </c>
      <c r="H4616" s="6" t="str">
        <f>IFERROR(VLOOKUP('Customer Info'!A4608,'Customer Info'!A4608:C5107,3,FALSE),"Not Found")</f>
        <v>Not Found</v>
      </c>
      <c r="I4616" s="6" t="str">
        <f>IFERROR(VLOOKUP('Customer Info'!A4608,'Customer Info'!A4608:E5107,5,FALSE),"Not Found")</f>
        <v>Not Found</v>
      </c>
      <c r="J4616" s="2">
        <v>194</v>
      </c>
      <c r="K4616" s="2">
        <v>176</v>
      </c>
      <c r="L4616" s="2">
        <v>8</v>
      </c>
      <c r="M4616" s="7">
        <f t="shared" si="355"/>
        <v>1408</v>
      </c>
      <c r="N4616" s="7">
        <f t="shared" si="356"/>
        <v>1552</v>
      </c>
      <c r="O4616" s="2">
        <v>30</v>
      </c>
      <c r="P4616" s="8">
        <f t="shared" si="357"/>
        <v>1582</v>
      </c>
      <c r="Q4616" s="8">
        <f t="shared" si="358"/>
        <v>1376</v>
      </c>
      <c r="R4616" s="2" t="s">
        <v>50</v>
      </c>
      <c r="S4616" s="9">
        <f t="shared" si="359"/>
        <v>31.64</v>
      </c>
    </row>
    <row r="4617" spans="1:19" x14ac:dyDescent="0.3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str">
        <f>IFERROR(VLOOKUP('Customer Info'!A4609,'Customer Info'!A4609:C5108,2,FALSE),"Not Found")</f>
        <v>Not Found</v>
      </c>
      <c r="H4617" s="6" t="str">
        <f>IFERROR(VLOOKUP('Customer Info'!A4609,'Customer Info'!A4609:C5108,3,FALSE),"Not Found")</f>
        <v>Not Found</v>
      </c>
      <c r="I4617" s="6" t="str">
        <f>IFERROR(VLOOKUP('Customer Info'!A4609,'Customer Info'!A4609:E5108,5,FALSE),"Not Found")</f>
        <v>Not Found</v>
      </c>
      <c r="J4617" s="2">
        <v>151</v>
      </c>
      <c r="K4617" s="2">
        <v>139</v>
      </c>
      <c r="L4617" s="2">
        <v>5</v>
      </c>
      <c r="M4617" s="7">
        <f t="shared" si="355"/>
        <v>695</v>
      </c>
      <c r="N4617" s="7">
        <f t="shared" si="356"/>
        <v>755</v>
      </c>
      <c r="O4617" s="2">
        <v>30</v>
      </c>
      <c r="P4617" s="8">
        <f t="shared" si="357"/>
        <v>785</v>
      </c>
      <c r="Q4617" s="8">
        <f t="shared" si="358"/>
        <v>616</v>
      </c>
      <c r="R4617" s="2" t="s">
        <v>50</v>
      </c>
      <c r="S4617" s="9">
        <f t="shared" si="359"/>
        <v>15.700000000000001</v>
      </c>
    </row>
    <row r="4618" spans="1:19" x14ac:dyDescent="0.3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str">
        <f>IFERROR(VLOOKUP('Customer Info'!A4610,'Customer Info'!A4610:C5109,2,FALSE),"Not Found")</f>
        <v>Not Found</v>
      </c>
      <c r="H4618" s="6" t="str">
        <f>IFERROR(VLOOKUP('Customer Info'!A4610,'Customer Info'!A4610:C5109,3,FALSE),"Not Found")</f>
        <v>Not Found</v>
      </c>
      <c r="I4618" s="6" t="str">
        <f>IFERROR(VLOOKUP('Customer Info'!A4610,'Customer Info'!A4610:E5109,5,FALSE),"Not Found")</f>
        <v>Not Found</v>
      </c>
      <c r="J4618" s="2">
        <v>68</v>
      </c>
      <c r="K4618" s="2">
        <v>63</v>
      </c>
      <c r="L4618" s="2">
        <v>3</v>
      </c>
      <c r="M4618" s="7">
        <f t="shared" si="355"/>
        <v>189</v>
      </c>
      <c r="N4618" s="7">
        <f t="shared" si="356"/>
        <v>204</v>
      </c>
      <c r="O4618" s="2">
        <v>10</v>
      </c>
      <c r="P4618" s="8">
        <f t="shared" si="357"/>
        <v>214</v>
      </c>
      <c r="Q4618" s="8">
        <f t="shared" si="358"/>
        <v>141</v>
      </c>
      <c r="R4618" s="2" t="s">
        <v>50</v>
      </c>
      <c r="S4618" s="9">
        <f t="shared" si="359"/>
        <v>4.28</v>
      </c>
    </row>
    <row r="4619" spans="1:19" x14ac:dyDescent="0.3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str">
        <f>IFERROR(VLOOKUP('Customer Info'!A4611,'Customer Info'!A4611:C5110,2,FALSE),"Not Found")</f>
        <v>Not Found</v>
      </c>
      <c r="H4619" s="6" t="str">
        <f>IFERROR(VLOOKUP('Customer Info'!A4611,'Customer Info'!A4611:C5110,3,FALSE),"Not Found")</f>
        <v>Not Found</v>
      </c>
      <c r="I4619" s="6" t="str">
        <f>IFERROR(VLOOKUP('Customer Info'!A4611,'Customer Info'!A4611:E5110,5,FALSE),"Not Found")</f>
        <v>Not Found</v>
      </c>
      <c r="J4619" s="2">
        <v>1615</v>
      </c>
      <c r="K4619" s="2">
        <v>1525</v>
      </c>
      <c r="L4619" s="2">
        <v>2</v>
      </c>
      <c r="M4619" s="7">
        <f t="shared" ref="M4619:M4682" si="360">$K4619*$L4619</f>
        <v>3050</v>
      </c>
      <c r="N4619" s="7">
        <f t="shared" ref="N4619:N4682" si="361">$J4619*$L4619</f>
        <v>3230</v>
      </c>
      <c r="O4619" s="2">
        <v>52</v>
      </c>
      <c r="P4619" s="8">
        <f t="shared" ref="P4619:P4682" si="362">$N4619+$O4619</f>
        <v>3282</v>
      </c>
      <c r="Q4619" s="8">
        <f t="shared" ref="Q4619:Q4682" si="363">$N4619-$K4619</f>
        <v>1705</v>
      </c>
      <c r="R4619" s="2" t="s">
        <v>50</v>
      </c>
      <c r="S4619" s="9">
        <f t="shared" ref="S4619:S4682" si="364" xml:space="preserve"> P4619 * VLOOKUP(P4619, $T$2:$U$6, 2, TRUE)</f>
        <v>65.64</v>
      </c>
    </row>
    <row r="4620" spans="1:19" x14ac:dyDescent="0.3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str">
        <f>IFERROR(VLOOKUP('Customer Info'!A4612,'Customer Info'!A4612:C5111,2,FALSE),"Not Found")</f>
        <v>Not Found</v>
      </c>
      <c r="H4620" s="6" t="str">
        <f>IFERROR(VLOOKUP('Customer Info'!A4612,'Customer Info'!A4612:C5111,3,FALSE),"Not Found")</f>
        <v>Not Found</v>
      </c>
      <c r="I4620" s="6" t="str">
        <f>IFERROR(VLOOKUP('Customer Info'!A4612,'Customer Info'!A4612:E5111,5,FALSE),"Not Found")</f>
        <v>Not Found</v>
      </c>
      <c r="J4620" s="2">
        <v>214</v>
      </c>
      <c r="K4620" s="2">
        <v>200</v>
      </c>
      <c r="L4620" s="2">
        <v>3</v>
      </c>
      <c r="M4620" s="7">
        <f t="shared" si="360"/>
        <v>600</v>
      </c>
      <c r="N4620" s="7">
        <f t="shared" si="361"/>
        <v>642</v>
      </c>
      <c r="O4620" s="2">
        <v>27</v>
      </c>
      <c r="P4620" s="8">
        <f t="shared" si="362"/>
        <v>669</v>
      </c>
      <c r="Q4620" s="8">
        <f t="shared" si="363"/>
        <v>442</v>
      </c>
      <c r="R4620" s="2" t="s">
        <v>28</v>
      </c>
      <c r="S4620" s="9">
        <f t="shared" si="364"/>
        <v>13.38</v>
      </c>
    </row>
    <row r="4621" spans="1:19" x14ac:dyDescent="0.3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str">
        <f>IFERROR(VLOOKUP('Customer Info'!A4613,'Customer Info'!A4613:C5112,2,FALSE),"Not Found")</f>
        <v>Not Found</v>
      </c>
      <c r="H4621" s="6" t="str">
        <f>IFERROR(VLOOKUP('Customer Info'!A4613,'Customer Info'!A4613:C5112,3,FALSE),"Not Found")</f>
        <v>Not Found</v>
      </c>
      <c r="I4621" s="6" t="str">
        <f>IFERROR(VLOOKUP('Customer Info'!A4613,'Customer Info'!A4613:E5112,5,FALSE),"Not Found")</f>
        <v>Not Found</v>
      </c>
      <c r="J4621" s="2">
        <v>726</v>
      </c>
      <c r="K4621" s="2">
        <v>646</v>
      </c>
      <c r="L4621" s="2">
        <v>4</v>
      </c>
      <c r="M4621" s="7">
        <f t="shared" si="360"/>
        <v>2584</v>
      </c>
      <c r="N4621" s="7">
        <f t="shared" si="361"/>
        <v>2904</v>
      </c>
      <c r="O4621" s="2">
        <v>53</v>
      </c>
      <c r="P4621" s="8">
        <f t="shared" si="362"/>
        <v>2957</v>
      </c>
      <c r="Q4621" s="8">
        <f t="shared" si="363"/>
        <v>2258</v>
      </c>
      <c r="R4621" s="2" t="s">
        <v>50</v>
      </c>
      <c r="S4621" s="9">
        <f t="shared" si="364"/>
        <v>59.14</v>
      </c>
    </row>
    <row r="4622" spans="1:19" x14ac:dyDescent="0.3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str">
        <f>IFERROR(VLOOKUP('Customer Info'!A4614,'Customer Info'!A4614:C5113,2,FALSE),"Not Found")</f>
        <v>Not Found</v>
      </c>
      <c r="H4622" s="6" t="str">
        <f>IFERROR(VLOOKUP('Customer Info'!A4614,'Customer Info'!A4614:C5113,3,FALSE),"Not Found")</f>
        <v>Not Found</v>
      </c>
      <c r="I4622" s="6" t="str">
        <f>IFERROR(VLOOKUP('Customer Info'!A4614,'Customer Info'!A4614:E5113,5,FALSE),"Not Found")</f>
        <v>Not Found</v>
      </c>
      <c r="J4622" s="2">
        <v>3408</v>
      </c>
      <c r="K4622" s="2">
        <v>3215</v>
      </c>
      <c r="L4622" s="2">
        <v>1</v>
      </c>
      <c r="M4622" s="7">
        <f t="shared" si="360"/>
        <v>3215</v>
      </c>
      <c r="N4622" s="7">
        <f t="shared" si="361"/>
        <v>3408</v>
      </c>
      <c r="O4622" s="2">
        <v>32</v>
      </c>
      <c r="P4622" s="8">
        <f t="shared" si="362"/>
        <v>3440</v>
      </c>
      <c r="Q4622" s="8">
        <f t="shared" si="363"/>
        <v>193</v>
      </c>
      <c r="R4622" s="2" t="s">
        <v>28</v>
      </c>
      <c r="S4622" s="9">
        <f t="shared" si="364"/>
        <v>68.8</v>
      </c>
    </row>
    <row r="4623" spans="1:19" x14ac:dyDescent="0.3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str">
        <f>IFERROR(VLOOKUP('Customer Info'!A4615,'Customer Info'!A4615:C5114,2,FALSE),"Not Found")</f>
        <v>Not Found</v>
      </c>
      <c r="H4623" s="6" t="str">
        <f>IFERROR(VLOOKUP('Customer Info'!A4615,'Customer Info'!A4615:C5114,3,FALSE),"Not Found")</f>
        <v>Not Found</v>
      </c>
      <c r="I4623" s="6" t="str">
        <f>IFERROR(VLOOKUP('Customer Info'!A4615,'Customer Info'!A4615:E5114,5,FALSE),"Not Found")</f>
        <v>Not Found</v>
      </c>
      <c r="J4623" s="2">
        <v>7623</v>
      </c>
      <c r="K4623" s="2">
        <v>7064</v>
      </c>
      <c r="L4623" s="2">
        <v>2</v>
      </c>
      <c r="M4623" s="7">
        <f t="shared" si="360"/>
        <v>14128</v>
      </c>
      <c r="N4623" s="7">
        <f t="shared" si="361"/>
        <v>15246</v>
      </c>
      <c r="O4623" s="2">
        <v>38</v>
      </c>
      <c r="P4623" s="8">
        <f t="shared" si="362"/>
        <v>15284</v>
      </c>
      <c r="Q4623" s="8">
        <f t="shared" si="363"/>
        <v>8182</v>
      </c>
      <c r="R4623" s="2" t="s">
        <v>50</v>
      </c>
      <c r="S4623" s="9">
        <f t="shared" si="364"/>
        <v>764.2</v>
      </c>
    </row>
    <row r="4624" spans="1:19" x14ac:dyDescent="0.3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str">
        <f>IFERROR(VLOOKUP('Customer Info'!A4616,'Customer Info'!A4616:C5115,2,FALSE),"Not Found")</f>
        <v>Not Found</v>
      </c>
      <c r="H4624" s="6" t="str">
        <f>IFERROR(VLOOKUP('Customer Info'!A4616,'Customer Info'!A4616:C5115,3,FALSE),"Not Found")</f>
        <v>Not Found</v>
      </c>
      <c r="I4624" s="6" t="str">
        <f>IFERROR(VLOOKUP('Customer Info'!A4616,'Customer Info'!A4616:E5115,5,FALSE),"Not Found")</f>
        <v>Not Found</v>
      </c>
      <c r="J4624" s="2">
        <v>1358</v>
      </c>
      <c r="K4624" s="2">
        <v>1294</v>
      </c>
      <c r="L4624" s="2">
        <v>3</v>
      </c>
      <c r="M4624" s="7">
        <f t="shared" si="360"/>
        <v>3882</v>
      </c>
      <c r="N4624" s="7">
        <f t="shared" si="361"/>
        <v>4074</v>
      </c>
      <c r="O4624" s="2">
        <v>28</v>
      </c>
      <c r="P4624" s="8">
        <f t="shared" si="362"/>
        <v>4102</v>
      </c>
      <c r="Q4624" s="8">
        <f t="shared" si="363"/>
        <v>2780</v>
      </c>
      <c r="R4624" s="2" t="s">
        <v>28</v>
      </c>
      <c r="S4624" s="9">
        <f t="shared" si="364"/>
        <v>82.04</v>
      </c>
    </row>
    <row r="4625" spans="1:19" x14ac:dyDescent="0.3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str">
        <f>IFERROR(VLOOKUP('Customer Info'!A4617,'Customer Info'!A4617:C5116,2,FALSE),"Not Found")</f>
        <v>Not Found</v>
      </c>
      <c r="H4625" s="6" t="str">
        <f>IFERROR(VLOOKUP('Customer Info'!A4617,'Customer Info'!A4617:C5116,3,FALSE),"Not Found")</f>
        <v>Not Found</v>
      </c>
      <c r="I4625" s="6" t="str">
        <f>IFERROR(VLOOKUP('Customer Info'!A4617,'Customer Info'!A4617:E5116,5,FALSE),"Not Found")</f>
        <v>Not Found</v>
      </c>
      <c r="J4625" s="2">
        <v>183</v>
      </c>
      <c r="K4625" s="2">
        <v>168</v>
      </c>
      <c r="L4625" s="2">
        <v>5</v>
      </c>
      <c r="M4625" s="7">
        <f t="shared" si="360"/>
        <v>840</v>
      </c>
      <c r="N4625" s="7">
        <f t="shared" si="361"/>
        <v>915</v>
      </c>
      <c r="O4625" s="2">
        <v>30</v>
      </c>
      <c r="P4625" s="8">
        <f t="shared" si="362"/>
        <v>945</v>
      </c>
      <c r="Q4625" s="8">
        <f t="shared" si="363"/>
        <v>747</v>
      </c>
      <c r="R4625" s="2" t="s">
        <v>28</v>
      </c>
      <c r="S4625" s="9">
        <f t="shared" si="364"/>
        <v>18.900000000000002</v>
      </c>
    </row>
    <row r="4626" spans="1:19" x14ac:dyDescent="0.3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str">
        <f>IFERROR(VLOOKUP('Customer Info'!A4618,'Customer Info'!A4618:C5117,2,FALSE),"Not Found")</f>
        <v>Not Found</v>
      </c>
      <c r="H4626" s="6" t="str">
        <f>IFERROR(VLOOKUP('Customer Info'!A4618,'Customer Info'!A4618:C5117,3,FALSE),"Not Found")</f>
        <v>Not Found</v>
      </c>
      <c r="I4626" s="6" t="str">
        <f>IFERROR(VLOOKUP('Customer Info'!A4618,'Customer Info'!A4618:E5117,5,FALSE),"Not Found")</f>
        <v>Not Found</v>
      </c>
      <c r="J4626" s="2">
        <v>58</v>
      </c>
      <c r="K4626" s="2">
        <v>56</v>
      </c>
      <c r="L4626" s="2">
        <v>2</v>
      </c>
      <c r="M4626" s="7">
        <f t="shared" si="360"/>
        <v>112</v>
      </c>
      <c r="N4626" s="7">
        <f t="shared" si="361"/>
        <v>116</v>
      </c>
      <c r="O4626" s="2">
        <v>10</v>
      </c>
      <c r="P4626" s="8">
        <f t="shared" si="362"/>
        <v>126</v>
      </c>
      <c r="Q4626" s="8">
        <f t="shared" si="363"/>
        <v>60</v>
      </c>
      <c r="R4626" s="2" t="s">
        <v>26</v>
      </c>
      <c r="S4626" s="9">
        <f t="shared" si="364"/>
        <v>2.52</v>
      </c>
    </row>
    <row r="4627" spans="1:19" x14ac:dyDescent="0.3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str">
        <f>IFERROR(VLOOKUP('Customer Info'!A4619,'Customer Info'!A4619:C5118,2,FALSE),"Not Found")</f>
        <v>Not Found</v>
      </c>
      <c r="H4627" s="6" t="str">
        <f>IFERROR(VLOOKUP('Customer Info'!A4619,'Customer Info'!A4619:C5118,3,FALSE),"Not Found")</f>
        <v>Not Found</v>
      </c>
      <c r="I4627" s="6" t="str">
        <f>IFERROR(VLOOKUP('Customer Info'!A4619,'Customer Info'!A4619:E5118,5,FALSE),"Not Found")</f>
        <v>Not Found</v>
      </c>
      <c r="J4627" s="2">
        <v>765</v>
      </c>
      <c r="K4627" s="2">
        <v>701</v>
      </c>
      <c r="L4627" s="2">
        <v>2</v>
      </c>
      <c r="M4627" s="7">
        <f t="shared" si="360"/>
        <v>1402</v>
      </c>
      <c r="N4627" s="7">
        <f t="shared" si="361"/>
        <v>1530</v>
      </c>
      <c r="O4627" s="2">
        <v>98</v>
      </c>
      <c r="P4627" s="8">
        <f t="shared" si="362"/>
        <v>1628</v>
      </c>
      <c r="Q4627" s="8">
        <f t="shared" si="363"/>
        <v>829</v>
      </c>
      <c r="R4627" s="2" t="s">
        <v>50</v>
      </c>
      <c r="S4627" s="9">
        <f t="shared" si="364"/>
        <v>32.56</v>
      </c>
    </row>
    <row r="4628" spans="1:19" x14ac:dyDescent="0.3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str">
        <f>IFERROR(VLOOKUP('Customer Info'!A4620,'Customer Info'!A4620:C5119,2,FALSE),"Not Found")</f>
        <v>Not Found</v>
      </c>
      <c r="H4628" s="6" t="str">
        <f>IFERROR(VLOOKUP('Customer Info'!A4620,'Customer Info'!A4620:C5119,3,FALSE),"Not Found")</f>
        <v>Not Found</v>
      </c>
      <c r="I4628" s="6" t="str">
        <f>IFERROR(VLOOKUP('Customer Info'!A4620,'Customer Info'!A4620:E5119,5,FALSE),"Not Found")</f>
        <v>Not Found</v>
      </c>
      <c r="J4628" s="2">
        <v>1210</v>
      </c>
      <c r="K4628" s="2">
        <v>1164</v>
      </c>
      <c r="L4628" s="2">
        <v>4</v>
      </c>
      <c r="M4628" s="7">
        <f t="shared" si="360"/>
        <v>4656</v>
      </c>
      <c r="N4628" s="7">
        <f t="shared" si="361"/>
        <v>4840</v>
      </c>
      <c r="O4628" s="2">
        <v>28</v>
      </c>
      <c r="P4628" s="8">
        <f t="shared" si="362"/>
        <v>4868</v>
      </c>
      <c r="Q4628" s="8">
        <f t="shared" si="363"/>
        <v>3676</v>
      </c>
      <c r="R4628" s="2" t="s">
        <v>28</v>
      </c>
      <c r="S4628" s="9">
        <f t="shared" si="364"/>
        <v>97.36</v>
      </c>
    </row>
    <row r="4629" spans="1:19" x14ac:dyDescent="0.3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str">
        <f>IFERROR(VLOOKUP('Customer Info'!A4621,'Customer Info'!A4621:C5120,2,FALSE),"Not Found")</f>
        <v>Not Found</v>
      </c>
      <c r="H4629" s="6" t="str">
        <f>IFERROR(VLOOKUP('Customer Info'!A4621,'Customer Info'!A4621:C5120,3,FALSE),"Not Found")</f>
        <v>Not Found</v>
      </c>
      <c r="I4629" s="6" t="str">
        <f>IFERROR(VLOOKUP('Customer Info'!A4621,'Customer Info'!A4621:E5120,5,FALSE),"Not Found")</f>
        <v>Not Found</v>
      </c>
      <c r="J4629" s="2">
        <v>1700</v>
      </c>
      <c r="K4629" s="2">
        <v>1620</v>
      </c>
      <c r="L4629" s="2">
        <v>3</v>
      </c>
      <c r="M4629" s="7">
        <f t="shared" si="360"/>
        <v>4860</v>
      </c>
      <c r="N4629" s="7">
        <f t="shared" si="361"/>
        <v>5100</v>
      </c>
      <c r="O4629" s="2">
        <v>82</v>
      </c>
      <c r="P4629" s="8">
        <f t="shared" si="362"/>
        <v>5182</v>
      </c>
      <c r="Q4629" s="8">
        <f t="shared" si="363"/>
        <v>3480</v>
      </c>
      <c r="R4629" s="2" t="s">
        <v>28</v>
      </c>
      <c r="S4629" s="9">
        <f t="shared" si="364"/>
        <v>259.10000000000002</v>
      </c>
    </row>
    <row r="4630" spans="1:19" x14ac:dyDescent="0.3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str">
        <f>IFERROR(VLOOKUP('Customer Info'!A4622,'Customer Info'!A4622:C5121,2,FALSE),"Not Found")</f>
        <v>Not Found</v>
      </c>
      <c r="H4630" s="6" t="str">
        <f>IFERROR(VLOOKUP('Customer Info'!A4622,'Customer Info'!A4622:C5121,3,FALSE),"Not Found")</f>
        <v>Not Found</v>
      </c>
      <c r="I4630" s="6" t="str">
        <f>IFERROR(VLOOKUP('Customer Info'!A4622,'Customer Info'!A4622:E5121,5,FALSE),"Not Found")</f>
        <v>Not Found</v>
      </c>
      <c r="J4630" s="2">
        <v>6611</v>
      </c>
      <c r="K4630" s="2">
        <v>5943</v>
      </c>
      <c r="L4630" s="2">
        <v>1</v>
      </c>
      <c r="M4630" s="7">
        <f t="shared" si="360"/>
        <v>5943</v>
      </c>
      <c r="N4630" s="7">
        <f t="shared" si="361"/>
        <v>6611</v>
      </c>
      <c r="O4630" s="2">
        <v>58</v>
      </c>
      <c r="P4630" s="8">
        <f t="shared" si="362"/>
        <v>6669</v>
      </c>
      <c r="Q4630" s="8">
        <f t="shared" si="363"/>
        <v>668</v>
      </c>
      <c r="R4630" s="2" t="s">
        <v>26</v>
      </c>
      <c r="S4630" s="9">
        <f t="shared" si="364"/>
        <v>333.45000000000005</v>
      </c>
    </row>
    <row r="4631" spans="1:19" x14ac:dyDescent="0.3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str">
        <f>IFERROR(VLOOKUP('Customer Info'!A4623,'Customer Info'!A4623:C5122,2,FALSE),"Not Found")</f>
        <v>Not Found</v>
      </c>
      <c r="H4631" s="6" t="str">
        <f>IFERROR(VLOOKUP('Customer Info'!A4623,'Customer Info'!A4623:C5122,3,FALSE),"Not Found")</f>
        <v>Not Found</v>
      </c>
      <c r="I4631" s="6" t="str">
        <f>IFERROR(VLOOKUP('Customer Info'!A4623,'Customer Info'!A4623:E5122,5,FALSE),"Not Found")</f>
        <v>Not Found</v>
      </c>
      <c r="J4631" s="2">
        <v>6012</v>
      </c>
      <c r="K4631" s="2">
        <v>5677</v>
      </c>
      <c r="L4631" s="2">
        <v>7</v>
      </c>
      <c r="M4631" s="7">
        <f t="shared" si="360"/>
        <v>39739</v>
      </c>
      <c r="N4631" s="7">
        <f t="shared" si="361"/>
        <v>42084</v>
      </c>
      <c r="O4631" s="2">
        <v>51</v>
      </c>
      <c r="P4631" s="8">
        <f t="shared" si="362"/>
        <v>42135</v>
      </c>
      <c r="Q4631" s="8">
        <f t="shared" si="363"/>
        <v>36407</v>
      </c>
      <c r="R4631" s="2" t="s">
        <v>50</v>
      </c>
      <c r="S4631" s="9">
        <f t="shared" si="364"/>
        <v>2949.4500000000003</v>
      </c>
    </row>
    <row r="4632" spans="1:19" x14ac:dyDescent="0.3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str">
        <f>IFERROR(VLOOKUP('Customer Info'!A4624,'Customer Info'!A4624:C5123,2,FALSE),"Not Found")</f>
        <v>Not Found</v>
      </c>
      <c r="H4632" s="6" t="str">
        <f>IFERROR(VLOOKUP('Customer Info'!A4624,'Customer Info'!A4624:C5123,3,FALSE),"Not Found")</f>
        <v>Not Found</v>
      </c>
      <c r="I4632" s="6" t="str">
        <f>IFERROR(VLOOKUP('Customer Info'!A4624,'Customer Info'!A4624:E5123,5,FALSE),"Not Found")</f>
        <v>Not Found</v>
      </c>
      <c r="J4632" s="2">
        <v>1623</v>
      </c>
      <c r="K4632" s="2">
        <v>1546</v>
      </c>
      <c r="L4632" s="2">
        <v>1</v>
      </c>
      <c r="M4632" s="7">
        <f t="shared" si="360"/>
        <v>1546</v>
      </c>
      <c r="N4632" s="7">
        <f t="shared" si="361"/>
        <v>1623</v>
      </c>
      <c r="O4632" s="2">
        <v>45</v>
      </c>
      <c r="P4632" s="8">
        <f t="shared" si="362"/>
        <v>1668</v>
      </c>
      <c r="Q4632" s="8">
        <f t="shared" si="363"/>
        <v>77</v>
      </c>
      <c r="R4632" s="2" t="s">
        <v>28</v>
      </c>
      <c r="S4632" s="9">
        <f t="shared" si="364"/>
        <v>33.36</v>
      </c>
    </row>
    <row r="4633" spans="1:19" x14ac:dyDescent="0.3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str">
        <f>IFERROR(VLOOKUP('Customer Info'!A4625,'Customer Info'!A4625:C5124,2,FALSE),"Not Found")</f>
        <v>Not Found</v>
      </c>
      <c r="H4633" s="6" t="str">
        <f>IFERROR(VLOOKUP('Customer Info'!A4625,'Customer Info'!A4625:C5124,3,FALSE),"Not Found")</f>
        <v>Not Found</v>
      </c>
      <c r="I4633" s="6" t="str">
        <f>IFERROR(VLOOKUP('Customer Info'!A4625,'Customer Info'!A4625:E5124,5,FALSE),"Not Found")</f>
        <v>Not Found</v>
      </c>
      <c r="J4633" s="2">
        <v>145</v>
      </c>
      <c r="K4633" s="2">
        <v>130</v>
      </c>
      <c r="L4633" s="2">
        <v>2</v>
      </c>
      <c r="M4633" s="7">
        <f t="shared" si="360"/>
        <v>260</v>
      </c>
      <c r="N4633" s="7">
        <f t="shared" si="361"/>
        <v>290</v>
      </c>
      <c r="O4633" s="2">
        <v>30</v>
      </c>
      <c r="P4633" s="8">
        <f t="shared" si="362"/>
        <v>320</v>
      </c>
      <c r="Q4633" s="8">
        <f t="shared" si="363"/>
        <v>160</v>
      </c>
      <c r="R4633" s="2" t="s">
        <v>50</v>
      </c>
      <c r="S4633" s="9">
        <f t="shared" si="364"/>
        <v>6.4</v>
      </c>
    </row>
    <row r="4634" spans="1:19" x14ac:dyDescent="0.3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str">
        <f>IFERROR(VLOOKUP('Customer Info'!A4626,'Customer Info'!A4626:C5125,2,FALSE),"Not Found")</f>
        <v>Not Found</v>
      </c>
      <c r="H4634" s="6" t="str">
        <f>IFERROR(VLOOKUP('Customer Info'!A4626,'Customer Info'!A4626:C5125,3,FALSE),"Not Found")</f>
        <v>Not Found</v>
      </c>
      <c r="I4634" s="6" t="str">
        <f>IFERROR(VLOOKUP('Customer Info'!A4626,'Customer Info'!A4626:E5125,5,FALSE),"Not Found")</f>
        <v>Not Found</v>
      </c>
      <c r="J4634" s="2">
        <v>1569</v>
      </c>
      <c r="K4634" s="2">
        <v>1466</v>
      </c>
      <c r="L4634" s="2">
        <v>2</v>
      </c>
      <c r="M4634" s="7">
        <f t="shared" si="360"/>
        <v>2932</v>
      </c>
      <c r="N4634" s="7">
        <f t="shared" si="361"/>
        <v>3138</v>
      </c>
      <c r="O4634" s="2">
        <v>57</v>
      </c>
      <c r="P4634" s="8">
        <f t="shared" si="362"/>
        <v>3195</v>
      </c>
      <c r="Q4634" s="8">
        <f t="shared" si="363"/>
        <v>1672</v>
      </c>
      <c r="R4634" s="2" t="s">
        <v>50</v>
      </c>
      <c r="S4634" s="9">
        <f t="shared" si="364"/>
        <v>63.9</v>
      </c>
    </row>
    <row r="4635" spans="1:19" x14ac:dyDescent="0.3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str">
        <f>IFERROR(VLOOKUP('Customer Info'!A4627,'Customer Info'!A4627:C5126,2,FALSE),"Not Found")</f>
        <v>Not Found</v>
      </c>
      <c r="H4635" s="6" t="str">
        <f>IFERROR(VLOOKUP('Customer Info'!A4627,'Customer Info'!A4627:C5126,3,FALSE),"Not Found")</f>
        <v>Not Found</v>
      </c>
      <c r="I4635" s="6" t="str">
        <f>IFERROR(VLOOKUP('Customer Info'!A4627,'Customer Info'!A4627:E5126,5,FALSE),"Not Found")</f>
        <v>Not Found</v>
      </c>
      <c r="J4635" s="2">
        <v>1169</v>
      </c>
      <c r="K4635" s="2">
        <v>1072</v>
      </c>
      <c r="L4635" s="2">
        <v>1</v>
      </c>
      <c r="M4635" s="7">
        <f t="shared" si="360"/>
        <v>1072</v>
      </c>
      <c r="N4635" s="7">
        <f t="shared" si="361"/>
        <v>1169</v>
      </c>
      <c r="O4635" s="2">
        <v>43</v>
      </c>
      <c r="P4635" s="8">
        <f t="shared" si="362"/>
        <v>1212</v>
      </c>
      <c r="Q4635" s="8">
        <f t="shared" si="363"/>
        <v>97</v>
      </c>
      <c r="R4635" s="2" t="s">
        <v>50</v>
      </c>
      <c r="S4635" s="9">
        <f t="shared" si="364"/>
        <v>24.240000000000002</v>
      </c>
    </row>
    <row r="4636" spans="1:19" x14ac:dyDescent="0.3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str">
        <f>IFERROR(VLOOKUP('Customer Info'!A4628,'Customer Info'!A4628:C5127,2,FALSE),"Not Found")</f>
        <v>Not Found</v>
      </c>
      <c r="H4636" s="6" t="str">
        <f>IFERROR(VLOOKUP('Customer Info'!A4628,'Customer Info'!A4628:C5127,3,FALSE),"Not Found")</f>
        <v>Not Found</v>
      </c>
      <c r="I4636" s="6" t="str">
        <f>IFERROR(VLOOKUP('Customer Info'!A4628,'Customer Info'!A4628:E5127,5,FALSE),"Not Found")</f>
        <v>Not Found</v>
      </c>
      <c r="J4636" s="2">
        <v>214</v>
      </c>
      <c r="K4636" s="2">
        <v>199</v>
      </c>
      <c r="L4636" s="2">
        <v>4</v>
      </c>
      <c r="M4636" s="7">
        <f t="shared" si="360"/>
        <v>796</v>
      </c>
      <c r="N4636" s="7">
        <f t="shared" si="361"/>
        <v>856</v>
      </c>
      <c r="O4636" s="2">
        <v>44</v>
      </c>
      <c r="P4636" s="8">
        <f t="shared" si="362"/>
        <v>900</v>
      </c>
      <c r="Q4636" s="8">
        <f t="shared" si="363"/>
        <v>657</v>
      </c>
      <c r="R4636" s="2" t="s">
        <v>28</v>
      </c>
      <c r="S4636" s="9">
        <f t="shared" si="364"/>
        <v>18</v>
      </c>
    </row>
    <row r="4637" spans="1:19" x14ac:dyDescent="0.3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str">
        <f>IFERROR(VLOOKUP('Customer Info'!A4629,'Customer Info'!A4629:C5128,2,FALSE),"Not Found")</f>
        <v>Not Found</v>
      </c>
      <c r="H4637" s="6" t="str">
        <f>IFERROR(VLOOKUP('Customer Info'!A4629,'Customer Info'!A4629:C5128,3,FALSE),"Not Found")</f>
        <v>Not Found</v>
      </c>
      <c r="I4637" s="6" t="str">
        <f>IFERROR(VLOOKUP('Customer Info'!A4629,'Customer Info'!A4629:E5128,5,FALSE),"Not Found")</f>
        <v>Not Found</v>
      </c>
      <c r="J4637" s="2">
        <v>2515</v>
      </c>
      <c r="K4637" s="2">
        <v>2397</v>
      </c>
      <c r="L4637" s="2">
        <v>5</v>
      </c>
      <c r="M4637" s="7">
        <f t="shared" si="360"/>
        <v>11985</v>
      </c>
      <c r="N4637" s="7">
        <f t="shared" si="361"/>
        <v>12575</v>
      </c>
      <c r="O4637" s="2">
        <v>34</v>
      </c>
      <c r="P4637" s="8">
        <f t="shared" si="362"/>
        <v>12609</v>
      </c>
      <c r="Q4637" s="8">
        <f t="shared" si="363"/>
        <v>10178</v>
      </c>
      <c r="R4637" s="2" t="s">
        <v>50</v>
      </c>
      <c r="S4637" s="9">
        <f t="shared" si="364"/>
        <v>630.45000000000005</v>
      </c>
    </row>
    <row r="4638" spans="1:19" x14ac:dyDescent="0.3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str">
        <f>IFERROR(VLOOKUP('Customer Info'!A4630,'Customer Info'!A4630:C5129,2,FALSE),"Not Found")</f>
        <v>Not Found</v>
      </c>
      <c r="H4638" s="6" t="str">
        <f>IFERROR(VLOOKUP('Customer Info'!A4630,'Customer Info'!A4630:C5129,3,FALSE),"Not Found")</f>
        <v>Not Found</v>
      </c>
      <c r="I4638" s="6" t="str">
        <f>IFERROR(VLOOKUP('Customer Info'!A4630,'Customer Info'!A4630:E5129,5,FALSE),"Not Found")</f>
        <v>Not Found</v>
      </c>
      <c r="J4638" s="2">
        <v>805</v>
      </c>
      <c r="K4638" s="2">
        <v>746</v>
      </c>
      <c r="L4638" s="2">
        <v>4</v>
      </c>
      <c r="M4638" s="7">
        <f t="shared" si="360"/>
        <v>2984</v>
      </c>
      <c r="N4638" s="7">
        <f t="shared" si="361"/>
        <v>3220</v>
      </c>
      <c r="O4638" s="2">
        <v>20</v>
      </c>
      <c r="P4638" s="8">
        <f t="shared" si="362"/>
        <v>3240</v>
      </c>
      <c r="Q4638" s="8">
        <f t="shared" si="363"/>
        <v>2474</v>
      </c>
      <c r="R4638" s="2" t="s">
        <v>50</v>
      </c>
      <c r="S4638" s="9">
        <f t="shared" si="364"/>
        <v>64.8</v>
      </c>
    </row>
    <row r="4639" spans="1:19" x14ac:dyDescent="0.3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str">
        <f>IFERROR(VLOOKUP('Customer Info'!A4631,'Customer Info'!A4631:C5130,2,FALSE),"Not Found")</f>
        <v>Not Found</v>
      </c>
      <c r="H4639" s="6" t="str">
        <f>IFERROR(VLOOKUP('Customer Info'!A4631,'Customer Info'!A4631:C5130,3,FALSE),"Not Found")</f>
        <v>Not Found</v>
      </c>
      <c r="I4639" s="6" t="str">
        <f>IFERROR(VLOOKUP('Customer Info'!A4631,'Customer Info'!A4631:E5130,5,FALSE),"Not Found")</f>
        <v>Not Found</v>
      </c>
      <c r="J4639" s="2">
        <v>7232</v>
      </c>
      <c r="K4639" s="2">
        <v>6753</v>
      </c>
      <c r="L4639" s="2">
        <v>2</v>
      </c>
      <c r="M4639" s="7">
        <f t="shared" si="360"/>
        <v>13506</v>
      </c>
      <c r="N4639" s="7">
        <f t="shared" si="361"/>
        <v>14464</v>
      </c>
      <c r="O4639" s="2">
        <v>54</v>
      </c>
      <c r="P4639" s="8">
        <f t="shared" si="362"/>
        <v>14518</v>
      </c>
      <c r="Q4639" s="8">
        <f t="shared" si="363"/>
        <v>7711</v>
      </c>
      <c r="R4639" s="2" t="s">
        <v>50</v>
      </c>
      <c r="S4639" s="9">
        <f t="shared" si="364"/>
        <v>725.90000000000009</v>
      </c>
    </row>
    <row r="4640" spans="1:19" x14ac:dyDescent="0.3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str">
        <f>IFERROR(VLOOKUP('Customer Info'!A4632,'Customer Info'!A4632:C5131,2,FALSE),"Not Found")</f>
        <v>Not Found</v>
      </c>
      <c r="H4640" s="6" t="str">
        <f>IFERROR(VLOOKUP('Customer Info'!A4632,'Customer Info'!A4632:C5131,3,FALSE),"Not Found")</f>
        <v>Not Found</v>
      </c>
      <c r="I4640" s="6" t="str">
        <f>IFERROR(VLOOKUP('Customer Info'!A4632,'Customer Info'!A4632:E5131,5,FALSE),"Not Found")</f>
        <v>Not Found</v>
      </c>
      <c r="J4640" s="2">
        <v>1060</v>
      </c>
      <c r="K4640" s="2">
        <v>964</v>
      </c>
      <c r="L4640" s="2">
        <v>4</v>
      </c>
      <c r="M4640" s="7">
        <f t="shared" si="360"/>
        <v>3856</v>
      </c>
      <c r="N4640" s="7">
        <f t="shared" si="361"/>
        <v>4240</v>
      </c>
      <c r="O4640" s="2">
        <v>91</v>
      </c>
      <c r="P4640" s="8">
        <f t="shared" si="362"/>
        <v>4331</v>
      </c>
      <c r="Q4640" s="8">
        <f t="shared" si="363"/>
        <v>3276</v>
      </c>
      <c r="R4640" s="2" t="s">
        <v>28</v>
      </c>
      <c r="S4640" s="9">
        <f t="shared" si="364"/>
        <v>86.62</v>
      </c>
    </row>
    <row r="4641" spans="1:19" x14ac:dyDescent="0.3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str">
        <f>IFERROR(VLOOKUP('Customer Info'!A4633,'Customer Info'!A4633:C5132,2,FALSE),"Not Found")</f>
        <v>Not Found</v>
      </c>
      <c r="H4641" s="6" t="str">
        <f>IFERROR(VLOOKUP('Customer Info'!A4633,'Customer Info'!A4633:C5132,3,FALSE),"Not Found")</f>
        <v>Not Found</v>
      </c>
      <c r="I4641" s="6" t="str">
        <f>IFERROR(VLOOKUP('Customer Info'!A4633,'Customer Info'!A4633:E5132,5,FALSE),"Not Found")</f>
        <v>Not Found</v>
      </c>
      <c r="J4641" s="2">
        <v>36778</v>
      </c>
      <c r="K4641" s="2">
        <v>34709</v>
      </c>
      <c r="L4641" s="2">
        <v>2</v>
      </c>
      <c r="M4641" s="7">
        <f t="shared" si="360"/>
        <v>69418</v>
      </c>
      <c r="N4641" s="7">
        <f t="shared" si="361"/>
        <v>73556</v>
      </c>
      <c r="O4641" s="2">
        <v>81</v>
      </c>
      <c r="P4641" s="8">
        <f t="shared" si="362"/>
        <v>73637</v>
      </c>
      <c r="Q4641" s="8">
        <f t="shared" si="363"/>
        <v>38847</v>
      </c>
      <c r="R4641" s="2" t="s">
        <v>28</v>
      </c>
      <c r="S4641" s="9">
        <f t="shared" si="364"/>
        <v>6627.33</v>
      </c>
    </row>
    <row r="4642" spans="1:19" x14ac:dyDescent="0.3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str">
        <f>IFERROR(VLOOKUP('Customer Info'!A4634,'Customer Info'!A4634:C5133,2,FALSE),"Not Found")</f>
        <v>Not Found</v>
      </c>
      <c r="H4642" s="6" t="str">
        <f>IFERROR(VLOOKUP('Customer Info'!A4634,'Customer Info'!A4634:C5133,3,FALSE),"Not Found")</f>
        <v>Not Found</v>
      </c>
      <c r="I4642" s="6" t="str">
        <f>IFERROR(VLOOKUP('Customer Info'!A4634,'Customer Info'!A4634:E5133,5,FALSE),"Not Found")</f>
        <v>Not Found</v>
      </c>
      <c r="J4642" s="2">
        <v>24662</v>
      </c>
      <c r="K4642" s="2">
        <v>23061</v>
      </c>
      <c r="L4642" s="2">
        <v>7</v>
      </c>
      <c r="M4642" s="7">
        <f t="shared" si="360"/>
        <v>161427</v>
      </c>
      <c r="N4642" s="7">
        <f t="shared" si="361"/>
        <v>172634</v>
      </c>
      <c r="O4642" s="2">
        <v>93</v>
      </c>
      <c r="P4642" s="8">
        <f t="shared" si="362"/>
        <v>172727</v>
      </c>
      <c r="Q4642" s="8">
        <f t="shared" si="363"/>
        <v>149573</v>
      </c>
      <c r="R4642" s="2" t="s">
        <v>28</v>
      </c>
      <c r="S4642" s="9">
        <f t="shared" si="364"/>
        <v>20727.239999999998</v>
      </c>
    </row>
    <row r="4643" spans="1:19" x14ac:dyDescent="0.3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str">
        <f>IFERROR(VLOOKUP('Customer Info'!A4635,'Customer Info'!A4635:C5134,2,FALSE),"Not Found")</f>
        <v>Not Found</v>
      </c>
      <c r="H4643" s="6" t="str">
        <f>IFERROR(VLOOKUP('Customer Info'!A4635,'Customer Info'!A4635:C5134,3,FALSE),"Not Found")</f>
        <v>Not Found</v>
      </c>
      <c r="I4643" s="6" t="str">
        <f>IFERROR(VLOOKUP('Customer Info'!A4635,'Customer Info'!A4635:E5134,5,FALSE),"Not Found")</f>
        <v>Not Found</v>
      </c>
      <c r="J4643" s="2">
        <v>61</v>
      </c>
      <c r="K4643" s="2">
        <v>57</v>
      </c>
      <c r="L4643" s="2">
        <v>3</v>
      </c>
      <c r="M4643" s="7">
        <f t="shared" si="360"/>
        <v>171</v>
      </c>
      <c r="N4643" s="7">
        <f t="shared" si="361"/>
        <v>183</v>
      </c>
      <c r="O4643" s="2">
        <v>10</v>
      </c>
      <c r="P4643" s="8">
        <f t="shared" si="362"/>
        <v>193</v>
      </c>
      <c r="Q4643" s="8">
        <f t="shared" si="363"/>
        <v>126</v>
      </c>
      <c r="R4643" s="2" t="s">
        <v>28</v>
      </c>
      <c r="S4643" s="9">
        <f t="shared" si="364"/>
        <v>3.86</v>
      </c>
    </row>
    <row r="4644" spans="1:19" x14ac:dyDescent="0.3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str">
        <f>IFERROR(VLOOKUP('Customer Info'!A4636,'Customer Info'!A4636:C5135,2,FALSE),"Not Found")</f>
        <v>Not Found</v>
      </c>
      <c r="H4644" s="6" t="str">
        <f>IFERROR(VLOOKUP('Customer Info'!A4636,'Customer Info'!A4636:C5135,3,FALSE),"Not Found")</f>
        <v>Not Found</v>
      </c>
      <c r="I4644" s="6" t="str">
        <f>IFERROR(VLOOKUP('Customer Info'!A4636,'Customer Info'!A4636:E5135,5,FALSE),"Not Found")</f>
        <v>Not Found</v>
      </c>
      <c r="J4644" s="2">
        <v>1447</v>
      </c>
      <c r="K4644" s="2">
        <v>1326</v>
      </c>
      <c r="L4644" s="2">
        <v>3</v>
      </c>
      <c r="M4644" s="7">
        <f t="shared" si="360"/>
        <v>3978</v>
      </c>
      <c r="N4644" s="7">
        <f t="shared" si="361"/>
        <v>4341</v>
      </c>
      <c r="O4644" s="2">
        <v>66</v>
      </c>
      <c r="P4644" s="8">
        <f t="shared" si="362"/>
        <v>4407</v>
      </c>
      <c r="Q4644" s="8">
        <f t="shared" si="363"/>
        <v>3015</v>
      </c>
      <c r="R4644" s="2" t="s">
        <v>28</v>
      </c>
      <c r="S4644" s="9">
        <f t="shared" si="364"/>
        <v>88.14</v>
      </c>
    </row>
    <row r="4645" spans="1:19" x14ac:dyDescent="0.3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str">
        <f>IFERROR(VLOOKUP('Customer Info'!A4637,'Customer Info'!A4637:C5136,2,FALSE),"Not Found")</f>
        <v>Not Found</v>
      </c>
      <c r="H4645" s="6" t="str">
        <f>IFERROR(VLOOKUP('Customer Info'!A4637,'Customer Info'!A4637:C5136,3,FALSE),"Not Found")</f>
        <v>Not Found</v>
      </c>
      <c r="I4645" s="6" t="str">
        <f>IFERROR(VLOOKUP('Customer Info'!A4637,'Customer Info'!A4637:E5136,5,FALSE),"Not Found")</f>
        <v>Not Found</v>
      </c>
      <c r="J4645" s="2">
        <v>726</v>
      </c>
      <c r="K4645" s="2">
        <v>646</v>
      </c>
      <c r="L4645" s="2">
        <v>14</v>
      </c>
      <c r="M4645" s="7">
        <f t="shared" si="360"/>
        <v>9044</v>
      </c>
      <c r="N4645" s="7">
        <f t="shared" si="361"/>
        <v>10164</v>
      </c>
      <c r="O4645" s="2">
        <v>65</v>
      </c>
      <c r="P4645" s="8">
        <f t="shared" si="362"/>
        <v>10229</v>
      </c>
      <c r="Q4645" s="8">
        <f t="shared" si="363"/>
        <v>9518</v>
      </c>
      <c r="R4645" s="2" t="s">
        <v>28</v>
      </c>
      <c r="S4645" s="9">
        <f t="shared" si="364"/>
        <v>511.45000000000005</v>
      </c>
    </row>
    <row r="4646" spans="1:19" x14ac:dyDescent="0.3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str">
        <f>IFERROR(VLOOKUP('Customer Info'!A4638,'Customer Info'!A4638:C5137,2,FALSE),"Not Found")</f>
        <v>Not Found</v>
      </c>
      <c r="H4646" s="6" t="str">
        <f>IFERROR(VLOOKUP('Customer Info'!A4638,'Customer Info'!A4638:C5137,3,FALSE),"Not Found")</f>
        <v>Not Found</v>
      </c>
      <c r="I4646" s="6" t="str">
        <f>IFERROR(VLOOKUP('Customer Info'!A4638,'Customer Info'!A4638:E5137,5,FALSE),"Not Found")</f>
        <v>Not Found</v>
      </c>
      <c r="J4646" s="2">
        <v>6717</v>
      </c>
      <c r="K4646" s="2">
        <v>6288</v>
      </c>
      <c r="L4646" s="2">
        <v>4</v>
      </c>
      <c r="M4646" s="7">
        <f t="shared" si="360"/>
        <v>25152</v>
      </c>
      <c r="N4646" s="7">
        <f t="shared" si="361"/>
        <v>26868</v>
      </c>
      <c r="O4646" s="2">
        <v>21</v>
      </c>
      <c r="P4646" s="8">
        <f t="shared" si="362"/>
        <v>26889</v>
      </c>
      <c r="Q4646" s="8">
        <f t="shared" si="363"/>
        <v>20580</v>
      </c>
      <c r="R4646" s="2" t="s">
        <v>28</v>
      </c>
      <c r="S4646" s="9">
        <f t="shared" si="364"/>
        <v>1882.2300000000002</v>
      </c>
    </row>
    <row r="4647" spans="1:19" x14ac:dyDescent="0.3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str">
        <f>IFERROR(VLOOKUP('Customer Info'!A4639,'Customer Info'!A4639:C5138,2,FALSE),"Not Found")</f>
        <v>Not Found</v>
      </c>
      <c r="H4647" s="6" t="str">
        <f>IFERROR(VLOOKUP('Customer Info'!A4639,'Customer Info'!A4639:C5138,3,FALSE),"Not Found")</f>
        <v>Not Found</v>
      </c>
      <c r="I4647" s="6" t="str">
        <f>IFERROR(VLOOKUP('Customer Info'!A4639,'Customer Info'!A4639:E5138,5,FALSE),"Not Found")</f>
        <v>Not Found</v>
      </c>
      <c r="J4647" s="2">
        <v>1816</v>
      </c>
      <c r="K4647" s="2">
        <v>1700</v>
      </c>
      <c r="L4647" s="2">
        <v>12</v>
      </c>
      <c r="M4647" s="7">
        <f t="shared" si="360"/>
        <v>20400</v>
      </c>
      <c r="N4647" s="7">
        <f t="shared" si="361"/>
        <v>21792</v>
      </c>
      <c r="O4647" s="2">
        <v>24</v>
      </c>
      <c r="P4647" s="8">
        <f t="shared" si="362"/>
        <v>21816</v>
      </c>
      <c r="Q4647" s="8">
        <f t="shared" si="363"/>
        <v>20092</v>
      </c>
      <c r="R4647" s="2" t="s">
        <v>56</v>
      </c>
      <c r="S4647" s="9">
        <f t="shared" si="364"/>
        <v>1090.8</v>
      </c>
    </row>
    <row r="4648" spans="1:19" x14ac:dyDescent="0.3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str">
        <f>IFERROR(VLOOKUP('Customer Info'!A4640,'Customer Info'!A4640:C5139,2,FALSE),"Not Found")</f>
        <v>Not Found</v>
      </c>
      <c r="H4648" s="6" t="str">
        <f>IFERROR(VLOOKUP('Customer Info'!A4640,'Customer Info'!A4640:C5139,3,FALSE),"Not Found")</f>
        <v>Not Found</v>
      </c>
      <c r="I4648" s="6" t="str">
        <f>IFERROR(VLOOKUP('Customer Info'!A4640,'Customer Info'!A4640:E5139,5,FALSE),"Not Found")</f>
        <v>Not Found</v>
      </c>
      <c r="J4648" s="2">
        <v>167</v>
      </c>
      <c r="K4648" s="2">
        <v>152</v>
      </c>
      <c r="L4648" s="2">
        <v>3</v>
      </c>
      <c r="M4648" s="7">
        <f t="shared" si="360"/>
        <v>456</v>
      </c>
      <c r="N4648" s="7">
        <f t="shared" si="361"/>
        <v>501</v>
      </c>
      <c r="O4648" s="2">
        <v>30</v>
      </c>
      <c r="P4648" s="8">
        <f t="shared" si="362"/>
        <v>531</v>
      </c>
      <c r="Q4648" s="8">
        <f t="shared" si="363"/>
        <v>349</v>
      </c>
      <c r="R4648" s="2" t="s">
        <v>28</v>
      </c>
      <c r="S4648" s="9">
        <f t="shared" si="364"/>
        <v>10.620000000000001</v>
      </c>
    </row>
    <row r="4649" spans="1:19" x14ac:dyDescent="0.3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str">
        <f>IFERROR(VLOOKUP('Customer Info'!A4641,'Customer Info'!A4641:C5140,2,FALSE),"Not Found")</f>
        <v>Not Found</v>
      </c>
      <c r="H4649" s="6" t="str">
        <f>IFERROR(VLOOKUP('Customer Info'!A4641,'Customer Info'!A4641:C5140,3,FALSE),"Not Found")</f>
        <v>Not Found</v>
      </c>
      <c r="I4649" s="6" t="str">
        <f>IFERROR(VLOOKUP('Customer Info'!A4641,'Customer Info'!A4641:E5140,5,FALSE),"Not Found")</f>
        <v>Not Found</v>
      </c>
      <c r="J4649" s="2">
        <v>2706</v>
      </c>
      <c r="K4649" s="2">
        <v>2553</v>
      </c>
      <c r="L4649" s="2">
        <v>4</v>
      </c>
      <c r="M4649" s="7">
        <f t="shared" si="360"/>
        <v>10212</v>
      </c>
      <c r="N4649" s="7">
        <f t="shared" si="361"/>
        <v>10824</v>
      </c>
      <c r="O4649" s="2">
        <v>47</v>
      </c>
      <c r="P4649" s="8">
        <f t="shared" si="362"/>
        <v>10871</v>
      </c>
      <c r="Q4649" s="8">
        <f t="shared" si="363"/>
        <v>8271</v>
      </c>
      <c r="R4649" s="2" t="s">
        <v>28</v>
      </c>
      <c r="S4649" s="9">
        <f t="shared" si="364"/>
        <v>543.55000000000007</v>
      </c>
    </row>
    <row r="4650" spans="1:19" x14ac:dyDescent="0.3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str">
        <f>IFERROR(VLOOKUP('Customer Info'!A4642,'Customer Info'!A4642:C5141,2,FALSE),"Not Found")</f>
        <v>Not Found</v>
      </c>
      <c r="H4650" s="6" t="str">
        <f>IFERROR(VLOOKUP('Customer Info'!A4642,'Customer Info'!A4642:C5141,3,FALSE),"Not Found")</f>
        <v>Not Found</v>
      </c>
      <c r="I4650" s="6" t="str">
        <f>IFERROR(VLOOKUP('Customer Info'!A4642,'Customer Info'!A4642:E5141,5,FALSE),"Not Found")</f>
        <v>Not Found</v>
      </c>
      <c r="J4650" s="2">
        <v>4714</v>
      </c>
      <c r="K4650" s="2">
        <v>4323</v>
      </c>
      <c r="L4650" s="2">
        <v>3</v>
      </c>
      <c r="M4650" s="7">
        <f t="shared" si="360"/>
        <v>12969</v>
      </c>
      <c r="N4650" s="7">
        <f t="shared" si="361"/>
        <v>14142</v>
      </c>
      <c r="O4650" s="2">
        <v>27</v>
      </c>
      <c r="P4650" s="8">
        <f t="shared" si="362"/>
        <v>14169</v>
      </c>
      <c r="Q4650" s="8">
        <f t="shared" si="363"/>
        <v>9819</v>
      </c>
      <c r="R4650" s="2" t="s">
        <v>28</v>
      </c>
      <c r="S4650" s="9">
        <f t="shared" si="364"/>
        <v>708.45</v>
      </c>
    </row>
    <row r="4651" spans="1:19" x14ac:dyDescent="0.3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str">
        <f>IFERROR(VLOOKUP('Customer Info'!A4643,'Customer Info'!A4643:C5142,2,FALSE),"Not Found")</f>
        <v>Not Found</v>
      </c>
      <c r="H4651" s="6" t="str">
        <f>IFERROR(VLOOKUP('Customer Info'!A4643,'Customer Info'!A4643:C5142,3,FALSE),"Not Found")</f>
        <v>Not Found</v>
      </c>
      <c r="I4651" s="6" t="str">
        <f>IFERROR(VLOOKUP('Customer Info'!A4643,'Customer Info'!A4643:E5142,5,FALSE),"Not Found")</f>
        <v>Not Found</v>
      </c>
      <c r="J4651" s="2">
        <v>1958</v>
      </c>
      <c r="K4651" s="2">
        <v>1846</v>
      </c>
      <c r="L4651" s="2">
        <v>3</v>
      </c>
      <c r="M4651" s="7">
        <f t="shared" si="360"/>
        <v>5538</v>
      </c>
      <c r="N4651" s="7">
        <f t="shared" si="361"/>
        <v>5874</v>
      </c>
      <c r="O4651" s="2">
        <v>60</v>
      </c>
      <c r="P4651" s="8">
        <f t="shared" si="362"/>
        <v>5934</v>
      </c>
      <c r="Q4651" s="8">
        <f t="shared" si="363"/>
        <v>4028</v>
      </c>
      <c r="R4651" s="2" t="s">
        <v>28</v>
      </c>
      <c r="S4651" s="9">
        <f t="shared" si="364"/>
        <v>296.7</v>
      </c>
    </row>
    <row r="4652" spans="1:19" x14ac:dyDescent="0.3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str">
        <f>IFERROR(VLOOKUP('Customer Info'!A4644,'Customer Info'!A4644:C5143,2,FALSE),"Not Found")</f>
        <v>Not Found</v>
      </c>
      <c r="H4652" s="6" t="str">
        <f>IFERROR(VLOOKUP('Customer Info'!A4644,'Customer Info'!A4644:C5143,3,FALSE),"Not Found")</f>
        <v>Not Found</v>
      </c>
      <c r="I4652" s="6" t="str">
        <f>IFERROR(VLOOKUP('Customer Info'!A4644,'Customer Info'!A4644:E5143,5,FALSE),"Not Found")</f>
        <v>Not Found</v>
      </c>
      <c r="J4652" s="2">
        <v>2759</v>
      </c>
      <c r="K4652" s="2">
        <v>2628</v>
      </c>
      <c r="L4652" s="2">
        <v>4</v>
      </c>
      <c r="M4652" s="7">
        <f t="shared" si="360"/>
        <v>10512</v>
      </c>
      <c r="N4652" s="7">
        <f t="shared" si="361"/>
        <v>11036</v>
      </c>
      <c r="O4652" s="2">
        <v>81</v>
      </c>
      <c r="P4652" s="8">
        <f t="shared" si="362"/>
        <v>11117</v>
      </c>
      <c r="Q4652" s="8">
        <f t="shared" si="363"/>
        <v>8408</v>
      </c>
      <c r="R4652" s="2" t="s">
        <v>50</v>
      </c>
      <c r="S4652" s="9">
        <f t="shared" si="364"/>
        <v>555.85</v>
      </c>
    </row>
    <row r="4653" spans="1:19" x14ac:dyDescent="0.3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str">
        <f>IFERROR(VLOOKUP('Customer Info'!A4645,'Customer Info'!A4645:C5144,2,FALSE),"Not Found")</f>
        <v>Not Found</v>
      </c>
      <c r="H4653" s="6" t="str">
        <f>IFERROR(VLOOKUP('Customer Info'!A4645,'Customer Info'!A4645:C5144,3,FALSE),"Not Found")</f>
        <v>Not Found</v>
      </c>
      <c r="I4653" s="6" t="str">
        <f>IFERROR(VLOOKUP('Customer Info'!A4645,'Customer Info'!A4645:E5144,5,FALSE),"Not Found")</f>
        <v>Not Found</v>
      </c>
      <c r="J4653" s="2">
        <v>666</v>
      </c>
      <c r="K4653" s="2">
        <v>641</v>
      </c>
      <c r="L4653" s="2">
        <v>4</v>
      </c>
      <c r="M4653" s="7">
        <f t="shared" si="360"/>
        <v>2564</v>
      </c>
      <c r="N4653" s="7">
        <f t="shared" si="361"/>
        <v>2664</v>
      </c>
      <c r="O4653" s="2">
        <v>49</v>
      </c>
      <c r="P4653" s="8">
        <f t="shared" si="362"/>
        <v>2713</v>
      </c>
      <c r="Q4653" s="8">
        <f t="shared" si="363"/>
        <v>2023</v>
      </c>
      <c r="R4653" s="2" t="s">
        <v>28</v>
      </c>
      <c r="S4653" s="9">
        <f t="shared" si="364"/>
        <v>54.26</v>
      </c>
    </row>
    <row r="4654" spans="1:19" x14ac:dyDescent="0.3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str">
        <f>IFERROR(VLOOKUP('Customer Info'!A4646,'Customer Info'!A4646:C5145,2,FALSE),"Not Found")</f>
        <v>Not Found</v>
      </c>
      <c r="H4654" s="6" t="str">
        <f>IFERROR(VLOOKUP('Customer Info'!A4646,'Customer Info'!A4646:C5145,3,FALSE),"Not Found")</f>
        <v>Not Found</v>
      </c>
      <c r="I4654" s="6" t="str">
        <f>IFERROR(VLOOKUP('Customer Info'!A4646,'Customer Info'!A4646:E5145,5,FALSE),"Not Found")</f>
        <v>Not Found</v>
      </c>
      <c r="J4654" s="2">
        <v>171</v>
      </c>
      <c r="K4654" s="2">
        <v>153</v>
      </c>
      <c r="L4654" s="2">
        <v>2</v>
      </c>
      <c r="M4654" s="7">
        <f t="shared" si="360"/>
        <v>306</v>
      </c>
      <c r="N4654" s="7">
        <f t="shared" si="361"/>
        <v>342</v>
      </c>
      <c r="O4654" s="2">
        <v>30</v>
      </c>
      <c r="P4654" s="8">
        <f t="shared" si="362"/>
        <v>372</v>
      </c>
      <c r="Q4654" s="8">
        <f t="shared" si="363"/>
        <v>189</v>
      </c>
      <c r="R4654" s="2" t="s">
        <v>50</v>
      </c>
      <c r="S4654" s="9">
        <f t="shared" si="364"/>
        <v>7.44</v>
      </c>
    </row>
    <row r="4655" spans="1:19" x14ac:dyDescent="0.3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str">
        <f>IFERROR(VLOOKUP('Customer Info'!A4647,'Customer Info'!A4647:C5146,2,FALSE),"Not Found")</f>
        <v>Not Found</v>
      </c>
      <c r="H4655" s="6" t="str">
        <f>IFERROR(VLOOKUP('Customer Info'!A4647,'Customer Info'!A4647:C5146,3,FALSE),"Not Found")</f>
        <v>Not Found</v>
      </c>
      <c r="I4655" s="6" t="str">
        <f>IFERROR(VLOOKUP('Customer Info'!A4647,'Customer Info'!A4647:E5146,5,FALSE),"Not Found")</f>
        <v>Not Found</v>
      </c>
      <c r="J4655" s="2">
        <v>1556</v>
      </c>
      <c r="K4655" s="2">
        <v>1414</v>
      </c>
      <c r="L4655" s="2">
        <v>12</v>
      </c>
      <c r="M4655" s="7">
        <f t="shared" si="360"/>
        <v>16968</v>
      </c>
      <c r="N4655" s="7">
        <f t="shared" si="361"/>
        <v>18672</v>
      </c>
      <c r="O4655" s="2">
        <v>46</v>
      </c>
      <c r="P4655" s="8">
        <f t="shared" si="362"/>
        <v>18718</v>
      </c>
      <c r="Q4655" s="8">
        <f t="shared" si="363"/>
        <v>17258</v>
      </c>
      <c r="R4655" s="2" t="s">
        <v>28</v>
      </c>
      <c r="S4655" s="9">
        <f t="shared" si="364"/>
        <v>935.90000000000009</v>
      </c>
    </row>
    <row r="4656" spans="1:19" x14ac:dyDescent="0.3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str">
        <f>IFERROR(VLOOKUP('Customer Info'!A4648,'Customer Info'!A4648:C5147,2,FALSE),"Not Found")</f>
        <v>Not Found</v>
      </c>
      <c r="H4656" s="6" t="str">
        <f>IFERROR(VLOOKUP('Customer Info'!A4648,'Customer Info'!A4648:C5147,3,FALSE),"Not Found")</f>
        <v>Not Found</v>
      </c>
      <c r="I4656" s="6" t="str">
        <f>IFERROR(VLOOKUP('Customer Info'!A4648,'Customer Info'!A4648:E5147,5,FALSE),"Not Found")</f>
        <v>Not Found</v>
      </c>
      <c r="J4656" s="2">
        <v>1306</v>
      </c>
      <c r="K4656" s="2">
        <v>1197</v>
      </c>
      <c r="L4656" s="2">
        <v>5</v>
      </c>
      <c r="M4656" s="7">
        <f t="shared" si="360"/>
        <v>5985</v>
      </c>
      <c r="N4656" s="7">
        <f t="shared" si="361"/>
        <v>6530</v>
      </c>
      <c r="O4656" s="2">
        <v>68</v>
      </c>
      <c r="P4656" s="8">
        <f t="shared" si="362"/>
        <v>6598</v>
      </c>
      <c r="Q4656" s="8">
        <f t="shared" si="363"/>
        <v>5333</v>
      </c>
      <c r="R4656" s="2" t="s">
        <v>50</v>
      </c>
      <c r="S4656" s="9">
        <f t="shared" si="364"/>
        <v>329.90000000000003</v>
      </c>
    </row>
    <row r="4657" spans="1:19" x14ac:dyDescent="0.3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str">
        <f>IFERROR(VLOOKUP('Customer Info'!A4649,'Customer Info'!A4649:C5148,2,FALSE),"Not Found")</f>
        <v>Not Found</v>
      </c>
      <c r="H4657" s="6" t="str">
        <f>IFERROR(VLOOKUP('Customer Info'!A4649,'Customer Info'!A4649:C5148,3,FALSE),"Not Found")</f>
        <v>Not Found</v>
      </c>
      <c r="I4657" s="6" t="str">
        <f>IFERROR(VLOOKUP('Customer Info'!A4649,'Customer Info'!A4649:E5148,5,FALSE),"Not Found")</f>
        <v>Not Found</v>
      </c>
      <c r="J4657" s="2">
        <v>2017</v>
      </c>
      <c r="K4657" s="2">
        <v>1834</v>
      </c>
      <c r="L4657" s="2">
        <v>1</v>
      </c>
      <c r="M4657" s="7">
        <f t="shared" si="360"/>
        <v>1834</v>
      </c>
      <c r="N4657" s="7">
        <f t="shared" si="361"/>
        <v>2017</v>
      </c>
      <c r="O4657" s="2">
        <v>68</v>
      </c>
      <c r="P4657" s="8">
        <f t="shared" si="362"/>
        <v>2085</v>
      </c>
      <c r="Q4657" s="8">
        <f t="shared" si="363"/>
        <v>183</v>
      </c>
      <c r="R4657" s="2" t="s">
        <v>28</v>
      </c>
      <c r="S4657" s="9">
        <f t="shared" si="364"/>
        <v>41.7</v>
      </c>
    </row>
    <row r="4658" spans="1:19" x14ac:dyDescent="0.3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str">
        <f>IFERROR(VLOOKUP('Customer Info'!A4650,'Customer Info'!A4650:C5149,2,FALSE),"Not Found")</f>
        <v>Not Found</v>
      </c>
      <c r="H4658" s="6" t="str">
        <f>IFERROR(VLOOKUP('Customer Info'!A4650,'Customer Info'!A4650:C5149,3,FALSE),"Not Found")</f>
        <v>Not Found</v>
      </c>
      <c r="I4658" s="6" t="str">
        <f>IFERROR(VLOOKUP('Customer Info'!A4650,'Customer Info'!A4650:E5149,5,FALSE),"Not Found")</f>
        <v>Not Found</v>
      </c>
      <c r="J4658" s="2">
        <v>4246</v>
      </c>
      <c r="K4658" s="2">
        <v>3857</v>
      </c>
      <c r="L4658" s="2">
        <v>7</v>
      </c>
      <c r="M4658" s="7">
        <f t="shared" si="360"/>
        <v>26999</v>
      </c>
      <c r="N4658" s="7">
        <f t="shared" si="361"/>
        <v>29722</v>
      </c>
      <c r="O4658" s="2">
        <v>21</v>
      </c>
      <c r="P4658" s="8">
        <f t="shared" si="362"/>
        <v>29743</v>
      </c>
      <c r="Q4658" s="8">
        <f t="shared" si="363"/>
        <v>25865</v>
      </c>
      <c r="R4658" s="2" t="s">
        <v>28</v>
      </c>
      <c r="S4658" s="9">
        <f t="shared" si="364"/>
        <v>2082.0100000000002</v>
      </c>
    </row>
    <row r="4659" spans="1:19" x14ac:dyDescent="0.3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str">
        <f>IFERROR(VLOOKUP('Customer Info'!A4651,'Customer Info'!A4651:C5150,2,FALSE),"Not Found")</f>
        <v>Not Found</v>
      </c>
      <c r="H4659" s="6" t="str">
        <f>IFERROR(VLOOKUP('Customer Info'!A4651,'Customer Info'!A4651:C5150,3,FALSE),"Not Found")</f>
        <v>Not Found</v>
      </c>
      <c r="I4659" s="6" t="str">
        <f>IFERROR(VLOOKUP('Customer Info'!A4651,'Customer Info'!A4651:E5150,5,FALSE),"Not Found")</f>
        <v>Not Found</v>
      </c>
      <c r="J4659" s="2">
        <v>1498</v>
      </c>
      <c r="K4659" s="2">
        <v>1335</v>
      </c>
      <c r="L4659" s="2">
        <v>6</v>
      </c>
      <c r="M4659" s="7">
        <f t="shared" si="360"/>
        <v>8010</v>
      </c>
      <c r="N4659" s="7">
        <f t="shared" si="361"/>
        <v>8988</v>
      </c>
      <c r="O4659" s="2">
        <v>61</v>
      </c>
      <c r="P4659" s="8">
        <f t="shared" si="362"/>
        <v>9049</v>
      </c>
      <c r="Q4659" s="8">
        <f t="shared" si="363"/>
        <v>7653</v>
      </c>
      <c r="R4659" s="2" t="s">
        <v>28</v>
      </c>
      <c r="S4659" s="9">
        <f t="shared" si="364"/>
        <v>452.45000000000005</v>
      </c>
    </row>
    <row r="4660" spans="1:19" x14ac:dyDescent="0.3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str">
        <f>IFERROR(VLOOKUP('Customer Info'!A4652,'Customer Info'!A4652:C5151,2,FALSE),"Not Found")</f>
        <v>Not Found</v>
      </c>
      <c r="H4660" s="6" t="str">
        <f>IFERROR(VLOOKUP('Customer Info'!A4652,'Customer Info'!A4652:C5151,3,FALSE),"Not Found")</f>
        <v>Not Found</v>
      </c>
      <c r="I4660" s="6" t="str">
        <f>IFERROR(VLOOKUP('Customer Info'!A4652,'Customer Info'!A4652:E5151,5,FALSE),"Not Found")</f>
        <v>Not Found</v>
      </c>
      <c r="J4660" s="2">
        <v>191</v>
      </c>
      <c r="K4660" s="2">
        <v>170</v>
      </c>
      <c r="L4660" s="2">
        <v>2</v>
      </c>
      <c r="M4660" s="7">
        <f t="shared" si="360"/>
        <v>340</v>
      </c>
      <c r="N4660" s="7">
        <f t="shared" si="361"/>
        <v>382</v>
      </c>
      <c r="O4660" s="2">
        <v>30</v>
      </c>
      <c r="P4660" s="8">
        <f t="shared" si="362"/>
        <v>412</v>
      </c>
      <c r="Q4660" s="8">
        <f t="shared" si="363"/>
        <v>212</v>
      </c>
      <c r="R4660" s="2" t="s">
        <v>28</v>
      </c>
      <c r="S4660" s="9">
        <f t="shared" si="364"/>
        <v>8.24</v>
      </c>
    </row>
    <row r="4661" spans="1:19" x14ac:dyDescent="0.3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str">
        <f>IFERROR(VLOOKUP('Customer Info'!A4653,'Customer Info'!A4653:C5152,2,FALSE),"Not Found")</f>
        <v>Not Found</v>
      </c>
      <c r="H4661" s="6" t="str">
        <f>IFERROR(VLOOKUP('Customer Info'!A4653,'Customer Info'!A4653:C5152,3,FALSE),"Not Found")</f>
        <v>Not Found</v>
      </c>
      <c r="I4661" s="6" t="str">
        <f>IFERROR(VLOOKUP('Customer Info'!A4653,'Customer Info'!A4653:E5152,5,FALSE),"Not Found")</f>
        <v>Not Found</v>
      </c>
      <c r="J4661" s="2">
        <v>183</v>
      </c>
      <c r="K4661" s="2">
        <v>172</v>
      </c>
      <c r="L4661" s="2">
        <v>3</v>
      </c>
      <c r="M4661" s="7">
        <f t="shared" si="360"/>
        <v>516</v>
      </c>
      <c r="N4661" s="7">
        <f t="shared" si="361"/>
        <v>549</v>
      </c>
      <c r="O4661" s="2">
        <v>30</v>
      </c>
      <c r="P4661" s="8">
        <f t="shared" si="362"/>
        <v>579</v>
      </c>
      <c r="Q4661" s="8">
        <f t="shared" si="363"/>
        <v>377</v>
      </c>
      <c r="R4661" s="2" t="s">
        <v>50</v>
      </c>
      <c r="S4661" s="9">
        <f t="shared" si="364"/>
        <v>11.58</v>
      </c>
    </row>
    <row r="4662" spans="1:19" x14ac:dyDescent="0.3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str">
        <f>IFERROR(VLOOKUP('Customer Info'!A4654,'Customer Info'!A4654:C5153,2,FALSE),"Not Found")</f>
        <v>Not Found</v>
      </c>
      <c r="H4662" s="6" t="str">
        <f>IFERROR(VLOOKUP('Customer Info'!A4654,'Customer Info'!A4654:C5153,3,FALSE),"Not Found")</f>
        <v>Not Found</v>
      </c>
      <c r="I4662" s="6" t="str">
        <f>IFERROR(VLOOKUP('Customer Info'!A4654,'Customer Info'!A4654:E5153,5,FALSE),"Not Found")</f>
        <v>Not Found</v>
      </c>
      <c r="J4662" s="2">
        <v>1528</v>
      </c>
      <c r="K4662" s="2">
        <v>1348</v>
      </c>
      <c r="L4662" s="2">
        <v>6</v>
      </c>
      <c r="M4662" s="7">
        <f t="shared" si="360"/>
        <v>8088</v>
      </c>
      <c r="N4662" s="7">
        <f t="shared" si="361"/>
        <v>9168</v>
      </c>
      <c r="O4662" s="2">
        <v>74</v>
      </c>
      <c r="P4662" s="8">
        <f t="shared" si="362"/>
        <v>9242</v>
      </c>
      <c r="Q4662" s="8">
        <f t="shared" si="363"/>
        <v>7820</v>
      </c>
      <c r="R4662" s="2" t="s">
        <v>28</v>
      </c>
      <c r="S4662" s="9">
        <f t="shared" si="364"/>
        <v>462.1</v>
      </c>
    </row>
    <row r="4663" spans="1:19" x14ac:dyDescent="0.3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str">
        <f>IFERROR(VLOOKUP('Customer Info'!A4655,'Customer Info'!A4655:C5154,2,FALSE),"Not Found")</f>
        <v>Not Found</v>
      </c>
      <c r="H4663" s="6" t="str">
        <f>IFERROR(VLOOKUP('Customer Info'!A4655,'Customer Info'!A4655:C5154,3,FALSE),"Not Found")</f>
        <v>Not Found</v>
      </c>
      <c r="I4663" s="6" t="str">
        <f>IFERROR(VLOOKUP('Customer Info'!A4655,'Customer Info'!A4655:E5154,5,FALSE),"Not Found")</f>
        <v>Not Found</v>
      </c>
      <c r="J4663" s="2">
        <v>191</v>
      </c>
      <c r="K4663" s="2">
        <v>170</v>
      </c>
      <c r="L4663" s="2">
        <v>4</v>
      </c>
      <c r="M4663" s="7">
        <f t="shared" si="360"/>
        <v>680</v>
      </c>
      <c r="N4663" s="7">
        <f t="shared" si="361"/>
        <v>764</v>
      </c>
      <c r="O4663" s="2">
        <v>30</v>
      </c>
      <c r="P4663" s="8">
        <f t="shared" si="362"/>
        <v>794</v>
      </c>
      <c r="Q4663" s="8">
        <f t="shared" si="363"/>
        <v>594</v>
      </c>
      <c r="R4663" s="2" t="s">
        <v>28</v>
      </c>
      <c r="S4663" s="9">
        <f t="shared" si="364"/>
        <v>15.88</v>
      </c>
    </row>
    <row r="4664" spans="1:19" x14ac:dyDescent="0.3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str">
        <f>IFERROR(VLOOKUP('Customer Info'!A4656,'Customer Info'!A4656:C5155,2,FALSE),"Not Found")</f>
        <v>Not Found</v>
      </c>
      <c r="H4664" s="6" t="str">
        <f>IFERROR(VLOOKUP('Customer Info'!A4656,'Customer Info'!A4656:C5155,3,FALSE),"Not Found")</f>
        <v>Not Found</v>
      </c>
      <c r="I4664" s="6" t="str">
        <f>IFERROR(VLOOKUP('Customer Info'!A4656,'Customer Info'!A4656:E5155,5,FALSE),"Not Found")</f>
        <v>Not Found</v>
      </c>
      <c r="J4664" s="2">
        <v>8967</v>
      </c>
      <c r="K4664" s="2">
        <v>8151</v>
      </c>
      <c r="L4664" s="2">
        <v>9</v>
      </c>
      <c r="M4664" s="7">
        <f t="shared" si="360"/>
        <v>73359</v>
      </c>
      <c r="N4664" s="7">
        <f t="shared" si="361"/>
        <v>80703</v>
      </c>
      <c r="O4664" s="2">
        <v>53</v>
      </c>
      <c r="P4664" s="8">
        <f t="shared" si="362"/>
        <v>80756</v>
      </c>
      <c r="Q4664" s="8">
        <f t="shared" si="363"/>
        <v>72552</v>
      </c>
      <c r="R4664" s="2" t="s">
        <v>28</v>
      </c>
      <c r="S4664" s="9">
        <f t="shared" si="364"/>
        <v>7268.04</v>
      </c>
    </row>
    <row r="4665" spans="1:19" x14ac:dyDescent="0.3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str">
        <f>IFERROR(VLOOKUP('Customer Info'!A4657,'Customer Info'!A4657:C5156,2,FALSE),"Not Found")</f>
        <v>Not Found</v>
      </c>
      <c r="H4665" s="6" t="str">
        <f>IFERROR(VLOOKUP('Customer Info'!A4657,'Customer Info'!A4657:C5156,3,FALSE),"Not Found")</f>
        <v>Not Found</v>
      </c>
      <c r="I4665" s="6" t="str">
        <f>IFERROR(VLOOKUP('Customer Info'!A4657,'Customer Info'!A4657:E5156,5,FALSE),"Not Found")</f>
        <v>Not Found</v>
      </c>
      <c r="J4665" s="2">
        <v>674</v>
      </c>
      <c r="K4665" s="2">
        <v>629</v>
      </c>
      <c r="L4665" s="2">
        <v>3</v>
      </c>
      <c r="M4665" s="7">
        <f t="shared" si="360"/>
        <v>1887</v>
      </c>
      <c r="N4665" s="7">
        <f t="shared" si="361"/>
        <v>2022</v>
      </c>
      <c r="O4665" s="2">
        <v>24</v>
      </c>
      <c r="P4665" s="8">
        <f t="shared" si="362"/>
        <v>2046</v>
      </c>
      <c r="Q4665" s="8">
        <f t="shared" si="363"/>
        <v>1393</v>
      </c>
      <c r="R4665" s="2" t="s">
        <v>50</v>
      </c>
      <c r="S4665" s="9">
        <f t="shared" si="364"/>
        <v>40.92</v>
      </c>
    </row>
    <row r="4666" spans="1:19" x14ac:dyDescent="0.3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str">
        <f>IFERROR(VLOOKUP('Customer Info'!A4658,'Customer Info'!A4658:C5157,2,FALSE),"Not Found")</f>
        <v>Not Found</v>
      </c>
      <c r="H4666" s="6" t="str">
        <f>IFERROR(VLOOKUP('Customer Info'!A4658,'Customer Info'!A4658:C5157,3,FALSE),"Not Found")</f>
        <v>Not Found</v>
      </c>
      <c r="I4666" s="6" t="str">
        <f>IFERROR(VLOOKUP('Customer Info'!A4658,'Customer Info'!A4658:E5157,5,FALSE),"Not Found")</f>
        <v>Not Found</v>
      </c>
      <c r="J4666" s="2">
        <v>2273</v>
      </c>
      <c r="K4666" s="2">
        <v>2229</v>
      </c>
      <c r="L4666" s="2">
        <v>5</v>
      </c>
      <c r="M4666" s="7">
        <f t="shared" si="360"/>
        <v>11145</v>
      </c>
      <c r="N4666" s="7">
        <f t="shared" si="361"/>
        <v>11365</v>
      </c>
      <c r="O4666" s="2">
        <v>63</v>
      </c>
      <c r="P4666" s="8">
        <f t="shared" si="362"/>
        <v>11428</v>
      </c>
      <c r="Q4666" s="8">
        <f t="shared" si="363"/>
        <v>9136</v>
      </c>
      <c r="R4666" s="2" t="s">
        <v>56</v>
      </c>
      <c r="S4666" s="9">
        <f t="shared" si="364"/>
        <v>571.4</v>
      </c>
    </row>
    <row r="4667" spans="1:19" x14ac:dyDescent="0.3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str">
        <f>IFERROR(VLOOKUP('Customer Info'!A4659,'Customer Info'!A4659:C5158,2,FALSE),"Not Found")</f>
        <v>Not Found</v>
      </c>
      <c r="H4667" s="6" t="str">
        <f>IFERROR(VLOOKUP('Customer Info'!A4659,'Customer Info'!A4659:C5158,3,FALSE),"Not Found")</f>
        <v>Not Found</v>
      </c>
      <c r="I4667" s="6" t="str">
        <f>IFERROR(VLOOKUP('Customer Info'!A4659,'Customer Info'!A4659:E5158,5,FALSE),"Not Found")</f>
        <v>Not Found</v>
      </c>
      <c r="J4667" s="2">
        <v>1186</v>
      </c>
      <c r="K4667" s="2">
        <v>1141</v>
      </c>
      <c r="L4667" s="2">
        <v>2</v>
      </c>
      <c r="M4667" s="7">
        <f t="shared" si="360"/>
        <v>2282</v>
      </c>
      <c r="N4667" s="7">
        <f t="shared" si="361"/>
        <v>2372</v>
      </c>
      <c r="O4667" s="2">
        <v>49</v>
      </c>
      <c r="P4667" s="8">
        <f t="shared" si="362"/>
        <v>2421</v>
      </c>
      <c r="Q4667" s="8">
        <f t="shared" si="363"/>
        <v>1231</v>
      </c>
      <c r="R4667" s="2" t="s">
        <v>50</v>
      </c>
      <c r="S4667" s="9">
        <f t="shared" si="364"/>
        <v>48.42</v>
      </c>
    </row>
    <row r="4668" spans="1:19" x14ac:dyDescent="0.3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str">
        <f>IFERROR(VLOOKUP('Customer Info'!A4660,'Customer Info'!A4660:C5159,2,FALSE),"Not Found")</f>
        <v>Not Found</v>
      </c>
      <c r="H4668" s="6" t="str">
        <f>IFERROR(VLOOKUP('Customer Info'!A4660,'Customer Info'!A4660:C5159,3,FALSE),"Not Found")</f>
        <v>Not Found</v>
      </c>
      <c r="I4668" s="6" t="str">
        <f>IFERROR(VLOOKUP('Customer Info'!A4660,'Customer Info'!A4660:E5159,5,FALSE),"Not Found")</f>
        <v>Not Found</v>
      </c>
      <c r="J4668" s="2">
        <v>1798</v>
      </c>
      <c r="K4668" s="2">
        <v>1650</v>
      </c>
      <c r="L4668" s="2">
        <v>1</v>
      </c>
      <c r="M4668" s="7">
        <f t="shared" si="360"/>
        <v>1650</v>
      </c>
      <c r="N4668" s="7">
        <f t="shared" si="361"/>
        <v>1798</v>
      </c>
      <c r="O4668" s="2">
        <v>30</v>
      </c>
      <c r="P4668" s="8">
        <f t="shared" si="362"/>
        <v>1828</v>
      </c>
      <c r="Q4668" s="8">
        <f t="shared" si="363"/>
        <v>148</v>
      </c>
      <c r="R4668" s="2" t="s">
        <v>50</v>
      </c>
      <c r="S4668" s="9">
        <f t="shared" si="364"/>
        <v>36.56</v>
      </c>
    </row>
    <row r="4669" spans="1:19" x14ac:dyDescent="0.3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str">
        <f>IFERROR(VLOOKUP('Customer Info'!A4661,'Customer Info'!A4661:C5160,2,FALSE),"Not Found")</f>
        <v>Not Found</v>
      </c>
      <c r="H4669" s="6" t="str">
        <f>IFERROR(VLOOKUP('Customer Info'!A4661,'Customer Info'!A4661:C5160,3,FALSE),"Not Found")</f>
        <v>Not Found</v>
      </c>
      <c r="I4669" s="6" t="str">
        <f>IFERROR(VLOOKUP('Customer Info'!A4661,'Customer Info'!A4661:E5160,5,FALSE),"Not Found")</f>
        <v>Not Found</v>
      </c>
      <c r="J4669" s="2">
        <v>7943</v>
      </c>
      <c r="K4669" s="2">
        <v>7790</v>
      </c>
      <c r="L4669" s="2">
        <v>7</v>
      </c>
      <c r="M4669" s="7">
        <f t="shared" si="360"/>
        <v>54530</v>
      </c>
      <c r="N4669" s="7">
        <f t="shared" si="361"/>
        <v>55601</v>
      </c>
      <c r="O4669" s="2">
        <v>42</v>
      </c>
      <c r="P4669" s="8">
        <f t="shared" si="362"/>
        <v>55643</v>
      </c>
      <c r="Q4669" s="8">
        <f t="shared" si="363"/>
        <v>47811</v>
      </c>
      <c r="R4669" s="2" t="s">
        <v>28</v>
      </c>
      <c r="S4669" s="9">
        <f t="shared" si="364"/>
        <v>5007.87</v>
      </c>
    </row>
    <row r="4670" spans="1:19" x14ac:dyDescent="0.3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str">
        <f>IFERROR(VLOOKUP('Customer Info'!A4662,'Customer Info'!A4662:C5161,2,FALSE),"Not Found")</f>
        <v>Not Found</v>
      </c>
      <c r="H4670" s="6" t="str">
        <f>IFERROR(VLOOKUP('Customer Info'!A4662,'Customer Info'!A4662:C5161,3,FALSE),"Not Found")</f>
        <v>Not Found</v>
      </c>
      <c r="I4670" s="6" t="str">
        <f>IFERROR(VLOOKUP('Customer Info'!A4662,'Customer Info'!A4662:E5161,5,FALSE),"Not Found")</f>
        <v>Not Found</v>
      </c>
      <c r="J4670" s="2">
        <v>835</v>
      </c>
      <c r="K4670" s="2">
        <v>796</v>
      </c>
      <c r="L4670" s="2">
        <v>4</v>
      </c>
      <c r="M4670" s="7">
        <f t="shared" si="360"/>
        <v>3184</v>
      </c>
      <c r="N4670" s="7">
        <f t="shared" si="361"/>
        <v>3340</v>
      </c>
      <c r="O4670" s="2">
        <v>80</v>
      </c>
      <c r="P4670" s="8">
        <f t="shared" si="362"/>
        <v>3420</v>
      </c>
      <c r="Q4670" s="8">
        <f t="shared" si="363"/>
        <v>2544</v>
      </c>
      <c r="R4670" s="2" t="s">
        <v>26</v>
      </c>
      <c r="S4670" s="9">
        <f t="shared" si="364"/>
        <v>68.400000000000006</v>
      </c>
    </row>
    <row r="4671" spans="1:19" x14ac:dyDescent="0.3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str">
        <f>IFERROR(VLOOKUP('Customer Info'!A4663,'Customer Info'!A4663:C5162,2,FALSE),"Not Found")</f>
        <v>Not Found</v>
      </c>
      <c r="H4671" s="6" t="str">
        <f>IFERROR(VLOOKUP('Customer Info'!A4663,'Customer Info'!A4663:C5162,3,FALSE),"Not Found")</f>
        <v>Not Found</v>
      </c>
      <c r="I4671" s="6" t="str">
        <f>IFERROR(VLOOKUP('Customer Info'!A4663,'Customer Info'!A4663:E5162,5,FALSE),"Not Found")</f>
        <v>Not Found</v>
      </c>
      <c r="J4671" s="2">
        <v>1498</v>
      </c>
      <c r="K4671" s="2">
        <v>1335</v>
      </c>
      <c r="L4671" s="2">
        <v>7</v>
      </c>
      <c r="M4671" s="7">
        <f t="shared" si="360"/>
        <v>9345</v>
      </c>
      <c r="N4671" s="7">
        <f t="shared" si="361"/>
        <v>10486</v>
      </c>
      <c r="O4671" s="2">
        <v>44</v>
      </c>
      <c r="P4671" s="8">
        <f t="shared" si="362"/>
        <v>10530</v>
      </c>
      <c r="Q4671" s="8">
        <f t="shared" si="363"/>
        <v>9151</v>
      </c>
      <c r="R4671" s="2" t="s">
        <v>28</v>
      </c>
      <c r="S4671" s="9">
        <f t="shared" si="364"/>
        <v>526.5</v>
      </c>
    </row>
    <row r="4672" spans="1:19" x14ac:dyDescent="0.3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str">
        <f>IFERROR(VLOOKUP('Customer Info'!A4664,'Customer Info'!A4664:C5163,2,FALSE),"Not Found")</f>
        <v>Not Found</v>
      </c>
      <c r="H4672" s="6" t="str">
        <f>IFERROR(VLOOKUP('Customer Info'!A4664,'Customer Info'!A4664:C5163,3,FALSE),"Not Found")</f>
        <v>Not Found</v>
      </c>
      <c r="I4672" s="6" t="str">
        <f>IFERROR(VLOOKUP('Customer Info'!A4664,'Customer Info'!A4664:E5163,5,FALSE),"Not Found")</f>
        <v>Not Found</v>
      </c>
      <c r="J4672" s="2">
        <v>531</v>
      </c>
      <c r="K4672" s="2">
        <v>487</v>
      </c>
      <c r="L4672" s="2">
        <v>4</v>
      </c>
      <c r="M4672" s="7">
        <f t="shared" si="360"/>
        <v>1948</v>
      </c>
      <c r="N4672" s="7">
        <f t="shared" si="361"/>
        <v>2124</v>
      </c>
      <c r="O4672" s="2">
        <v>26</v>
      </c>
      <c r="P4672" s="8">
        <f t="shared" si="362"/>
        <v>2150</v>
      </c>
      <c r="Q4672" s="8">
        <f t="shared" si="363"/>
        <v>1637</v>
      </c>
      <c r="R4672" s="2" t="s">
        <v>50</v>
      </c>
      <c r="S4672" s="9">
        <f t="shared" si="364"/>
        <v>43</v>
      </c>
    </row>
    <row r="4673" spans="1:19" x14ac:dyDescent="0.3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str">
        <f>IFERROR(VLOOKUP('Customer Info'!A4665,'Customer Info'!A4665:C5164,2,FALSE),"Not Found")</f>
        <v>Not Found</v>
      </c>
      <c r="H4673" s="6" t="str">
        <f>IFERROR(VLOOKUP('Customer Info'!A4665,'Customer Info'!A4665:C5164,3,FALSE),"Not Found")</f>
        <v>Not Found</v>
      </c>
      <c r="I4673" s="6" t="str">
        <f>IFERROR(VLOOKUP('Customer Info'!A4665,'Customer Info'!A4665:E5164,5,FALSE),"Not Found")</f>
        <v>Not Found</v>
      </c>
      <c r="J4673" s="2">
        <v>208</v>
      </c>
      <c r="K4673" s="2">
        <v>187</v>
      </c>
      <c r="L4673" s="2">
        <v>3</v>
      </c>
      <c r="M4673" s="7">
        <f t="shared" si="360"/>
        <v>561</v>
      </c>
      <c r="N4673" s="7">
        <f t="shared" si="361"/>
        <v>624</v>
      </c>
      <c r="O4673" s="2">
        <v>72</v>
      </c>
      <c r="P4673" s="8">
        <f t="shared" si="362"/>
        <v>696</v>
      </c>
      <c r="Q4673" s="8">
        <f t="shared" si="363"/>
        <v>437</v>
      </c>
      <c r="R4673" s="2" t="s">
        <v>50</v>
      </c>
      <c r="S4673" s="9">
        <f t="shared" si="364"/>
        <v>13.92</v>
      </c>
    </row>
    <row r="4674" spans="1:19" x14ac:dyDescent="0.3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str">
        <f>IFERROR(VLOOKUP('Customer Info'!A4666,'Customer Info'!A4666:C5165,2,FALSE),"Not Found")</f>
        <v>Not Found</v>
      </c>
      <c r="H4674" s="6" t="str">
        <f>IFERROR(VLOOKUP('Customer Info'!A4666,'Customer Info'!A4666:C5165,3,FALSE),"Not Found")</f>
        <v>Not Found</v>
      </c>
      <c r="I4674" s="6" t="str">
        <f>IFERROR(VLOOKUP('Customer Info'!A4666,'Customer Info'!A4666:E5165,5,FALSE),"Not Found")</f>
        <v>Not Found</v>
      </c>
      <c r="J4674" s="2">
        <v>8160</v>
      </c>
      <c r="K4674" s="2">
        <v>7475</v>
      </c>
      <c r="L4674" s="2">
        <v>1</v>
      </c>
      <c r="M4674" s="7">
        <f t="shared" si="360"/>
        <v>7475</v>
      </c>
      <c r="N4674" s="7">
        <f t="shared" si="361"/>
        <v>8160</v>
      </c>
      <c r="O4674" s="2">
        <v>27</v>
      </c>
      <c r="P4674" s="8">
        <f t="shared" si="362"/>
        <v>8187</v>
      </c>
      <c r="Q4674" s="8">
        <f t="shared" si="363"/>
        <v>685</v>
      </c>
      <c r="R4674" s="2" t="s">
        <v>28</v>
      </c>
      <c r="S4674" s="9">
        <f t="shared" si="364"/>
        <v>409.35</v>
      </c>
    </row>
    <row r="4675" spans="1:19" x14ac:dyDescent="0.3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str">
        <f>IFERROR(VLOOKUP('Customer Info'!A4667,'Customer Info'!A4667:C5166,2,FALSE),"Not Found")</f>
        <v>Not Found</v>
      </c>
      <c r="H4675" s="6" t="str">
        <f>IFERROR(VLOOKUP('Customer Info'!A4667,'Customer Info'!A4667:C5166,3,FALSE),"Not Found")</f>
        <v>Not Found</v>
      </c>
      <c r="I4675" s="6" t="str">
        <f>IFERROR(VLOOKUP('Customer Info'!A4667,'Customer Info'!A4667:E5166,5,FALSE),"Not Found")</f>
        <v>Not Found</v>
      </c>
      <c r="J4675" s="2">
        <v>61</v>
      </c>
      <c r="K4675" s="2">
        <v>56</v>
      </c>
      <c r="L4675" s="2">
        <v>2</v>
      </c>
      <c r="M4675" s="7">
        <f t="shared" si="360"/>
        <v>112</v>
      </c>
      <c r="N4675" s="7">
        <f t="shared" si="361"/>
        <v>122</v>
      </c>
      <c r="O4675" s="2">
        <v>10</v>
      </c>
      <c r="P4675" s="8">
        <f t="shared" si="362"/>
        <v>132</v>
      </c>
      <c r="Q4675" s="8">
        <f t="shared" si="363"/>
        <v>66</v>
      </c>
      <c r="R4675" s="2" t="s">
        <v>28</v>
      </c>
      <c r="S4675" s="9">
        <f t="shared" si="364"/>
        <v>2.64</v>
      </c>
    </row>
    <row r="4676" spans="1:19" x14ac:dyDescent="0.3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str">
        <f>IFERROR(VLOOKUP('Customer Info'!A4668,'Customer Info'!A4668:C5167,2,FALSE),"Not Found")</f>
        <v>Not Found</v>
      </c>
      <c r="H4676" s="6" t="str">
        <f>IFERROR(VLOOKUP('Customer Info'!A4668,'Customer Info'!A4668:C5167,3,FALSE),"Not Found")</f>
        <v>Not Found</v>
      </c>
      <c r="I4676" s="6" t="str">
        <f>IFERROR(VLOOKUP('Customer Info'!A4668,'Customer Info'!A4668:E5167,5,FALSE),"Not Found")</f>
        <v>Not Found</v>
      </c>
      <c r="J4676" s="2">
        <v>81</v>
      </c>
      <c r="K4676" s="2">
        <v>77</v>
      </c>
      <c r="L4676" s="2">
        <v>8</v>
      </c>
      <c r="M4676" s="7">
        <f t="shared" si="360"/>
        <v>616</v>
      </c>
      <c r="N4676" s="7">
        <f t="shared" si="361"/>
        <v>648</v>
      </c>
      <c r="O4676" s="2">
        <v>10</v>
      </c>
      <c r="P4676" s="8">
        <f t="shared" si="362"/>
        <v>658</v>
      </c>
      <c r="Q4676" s="8">
        <f t="shared" si="363"/>
        <v>571</v>
      </c>
      <c r="R4676" s="2" t="s">
        <v>28</v>
      </c>
      <c r="S4676" s="9">
        <f t="shared" si="364"/>
        <v>13.16</v>
      </c>
    </row>
    <row r="4677" spans="1:19" x14ac:dyDescent="0.3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str">
        <f>IFERROR(VLOOKUP('Customer Info'!A4669,'Customer Info'!A4669:C5168,2,FALSE),"Not Found")</f>
        <v>Not Found</v>
      </c>
      <c r="H4677" s="6" t="str">
        <f>IFERROR(VLOOKUP('Customer Info'!A4669,'Customer Info'!A4669:C5168,3,FALSE),"Not Found")</f>
        <v>Not Found</v>
      </c>
      <c r="I4677" s="6" t="str">
        <f>IFERROR(VLOOKUP('Customer Info'!A4669,'Customer Info'!A4669:E5168,5,FALSE),"Not Found")</f>
        <v>Not Found</v>
      </c>
      <c r="J4677" s="2">
        <v>3224</v>
      </c>
      <c r="K4677" s="2">
        <v>2901</v>
      </c>
      <c r="L4677" s="2">
        <v>1</v>
      </c>
      <c r="M4677" s="7">
        <f t="shared" si="360"/>
        <v>2901</v>
      </c>
      <c r="N4677" s="7">
        <f t="shared" si="361"/>
        <v>3224</v>
      </c>
      <c r="O4677" s="2">
        <v>99</v>
      </c>
      <c r="P4677" s="8">
        <f t="shared" si="362"/>
        <v>3323</v>
      </c>
      <c r="Q4677" s="8">
        <f t="shared" si="363"/>
        <v>323</v>
      </c>
      <c r="R4677" s="2" t="s">
        <v>26</v>
      </c>
      <c r="S4677" s="9">
        <f t="shared" si="364"/>
        <v>66.460000000000008</v>
      </c>
    </row>
    <row r="4678" spans="1:19" x14ac:dyDescent="0.3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str">
        <f>IFERROR(VLOOKUP('Customer Info'!A4670,'Customer Info'!A4670:C5169,2,FALSE),"Not Found")</f>
        <v>Not Found</v>
      </c>
      <c r="H4678" s="6" t="str">
        <f>IFERROR(VLOOKUP('Customer Info'!A4670,'Customer Info'!A4670:C5169,3,FALSE),"Not Found")</f>
        <v>Not Found</v>
      </c>
      <c r="I4678" s="6" t="str">
        <f>IFERROR(VLOOKUP('Customer Info'!A4670,'Customer Info'!A4670:E5169,5,FALSE),"Not Found")</f>
        <v>Not Found</v>
      </c>
      <c r="J4678" s="2">
        <v>5882</v>
      </c>
      <c r="K4678" s="2">
        <v>5713</v>
      </c>
      <c r="L4678" s="2">
        <v>2</v>
      </c>
      <c r="M4678" s="7">
        <f t="shared" si="360"/>
        <v>11426</v>
      </c>
      <c r="N4678" s="7">
        <f t="shared" si="361"/>
        <v>11764</v>
      </c>
      <c r="O4678" s="2">
        <v>67</v>
      </c>
      <c r="P4678" s="8">
        <f t="shared" si="362"/>
        <v>11831</v>
      </c>
      <c r="Q4678" s="8">
        <f t="shared" si="363"/>
        <v>6051</v>
      </c>
      <c r="R4678" s="2" t="s">
        <v>50</v>
      </c>
      <c r="S4678" s="9">
        <f t="shared" si="364"/>
        <v>591.55000000000007</v>
      </c>
    </row>
    <row r="4679" spans="1:19" x14ac:dyDescent="0.3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str">
        <f>IFERROR(VLOOKUP('Customer Info'!A4671,'Customer Info'!A4671:C5170,2,FALSE),"Not Found")</f>
        <v>Not Found</v>
      </c>
      <c r="H4679" s="6" t="str">
        <f>IFERROR(VLOOKUP('Customer Info'!A4671,'Customer Info'!A4671:C5170,3,FALSE),"Not Found")</f>
        <v>Not Found</v>
      </c>
      <c r="I4679" s="6" t="str">
        <f>IFERROR(VLOOKUP('Customer Info'!A4671,'Customer Info'!A4671:E5170,5,FALSE),"Not Found")</f>
        <v>Not Found</v>
      </c>
      <c r="J4679" s="2">
        <v>2958</v>
      </c>
      <c r="K4679" s="2">
        <v>2743</v>
      </c>
      <c r="L4679" s="2">
        <v>2</v>
      </c>
      <c r="M4679" s="7">
        <f t="shared" si="360"/>
        <v>5486</v>
      </c>
      <c r="N4679" s="7">
        <f t="shared" si="361"/>
        <v>5916</v>
      </c>
      <c r="O4679" s="2">
        <v>36</v>
      </c>
      <c r="P4679" s="8">
        <f t="shared" si="362"/>
        <v>5952</v>
      </c>
      <c r="Q4679" s="8">
        <f t="shared" si="363"/>
        <v>3173</v>
      </c>
      <c r="R4679" s="2" t="s">
        <v>50</v>
      </c>
      <c r="S4679" s="9">
        <f t="shared" si="364"/>
        <v>297.60000000000002</v>
      </c>
    </row>
    <row r="4680" spans="1:19" x14ac:dyDescent="0.3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str">
        <f>IFERROR(VLOOKUP('Customer Info'!A4672,'Customer Info'!A4672:C5171,2,FALSE),"Not Found")</f>
        <v>Not Found</v>
      </c>
      <c r="H4680" s="6" t="str">
        <f>IFERROR(VLOOKUP('Customer Info'!A4672,'Customer Info'!A4672:C5171,3,FALSE),"Not Found")</f>
        <v>Not Found</v>
      </c>
      <c r="I4680" s="6" t="str">
        <f>IFERROR(VLOOKUP('Customer Info'!A4672,'Customer Info'!A4672:E5171,5,FALSE),"Not Found")</f>
        <v>Not Found</v>
      </c>
      <c r="J4680" s="2">
        <v>142</v>
      </c>
      <c r="K4680" s="2">
        <v>134</v>
      </c>
      <c r="L4680" s="2">
        <v>8</v>
      </c>
      <c r="M4680" s="7">
        <f t="shared" si="360"/>
        <v>1072</v>
      </c>
      <c r="N4680" s="7">
        <f t="shared" si="361"/>
        <v>1136</v>
      </c>
      <c r="O4680" s="2">
        <v>30</v>
      </c>
      <c r="P4680" s="8">
        <f t="shared" si="362"/>
        <v>1166</v>
      </c>
      <c r="Q4680" s="8">
        <f t="shared" si="363"/>
        <v>1002</v>
      </c>
      <c r="R4680" s="2" t="s">
        <v>50</v>
      </c>
      <c r="S4680" s="9">
        <f t="shared" si="364"/>
        <v>23.32</v>
      </c>
    </row>
    <row r="4681" spans="1:19" x14ac:dyDescent="0.3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str">
        <f>IFERROR(VLOOKUP('Customer Info'!A4673,'Customer Info'!A4673:C5172,2,FALSE),"Not Found")</f>
        <v>Not Found</v>
      </c>
      <c r="H4681" s="6" t="str">
        <f>IFERROR(VLOOKUP('Customer Info'!A4673,'Customer Info'!A4673:C5172,3,FALSE),"Not Found")</f>
        <v>Not Found</v>
      </c>
      <c r="I4681" s="6" t="str">
        <f>IFERROR(VLOOKUP('Customer Info'!A4673,'Customer Info'!A4673:E5172,5,FALSE),"Not Found")</f>
        <v>Not Found</v>
      </c>
      <c r="J4681" s="2">
        <v>144</v>
      </c>
      <c r="K4681" s="2">
        <v>132</v>
      </c>
      <c r="L4681" s="2">
        <v>9</v>
      </c>
      <c r="M4681" s="7">
        <f t="shared" si="360"/>
        <v>1188</v>
      </c>
      <c r="N4681" s="7">
        <f t="shared" si="361"/>
        <v>1296</v>
      </c>
      <c r="O4681" s="2">
        <v>30</v>
      </c>
      <c r="P4681" s="8">
        <f t="shared" si="362"/>
        <v>1326</v>
      </c>
      <c r="Q4681" s="8">
        <f t="shared" si="363"/>
        <v>1164</v>
      </c>
      <c r="R4681" s="2" t="s">
        <v>28</v>
      </c>
      <c r="S4681" s="9">
        <f t="shared" si="364"/>
        <v>26.52</v>
      </c>
    </row>
    <row r="4682" spans="1:19" x14ac:dyDescent="0.3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str">
        <f>IFERROR(VLOOKUP('Customer Info'!A4674,'Customer Info'!A4674:C5173,2,FALSE),"Not Found")</f>
        <v>Not Found</v>
      </c>
      <c r="H4682" s="6" t="str">
        <f>IFERROR(VLOOKUP('Customer Info'!A4674,'Customer Info'!A4674:C5173,3,FALSE),"Not Found")</f>
        <v>Not Found</v>
      </c>
      <c r="I4682" s="6" t="str">
        <f>IFERROR(VLOOKUP('Customer Info'!A4674,'Customer Info'!A4674:E5173,5,FALSE),"Not Found")</f>
        <v>Not Found</v>
      </c>
      <c r="J4682" s="2">
        <v>1358</v>
      </c>
      <c r="K4682" s="2">
        <v>1270</v>
      </c>
      <c r="L4682" s="2">
        <v>2</v>
      </c>
      <c r="M4682" s="7">
        <f t="shared" si="360"/>
        <v>2540</v>
      </c>
      <c r="N4682" s="7">
        <f t="shared" si="361"/>
        <v>2716</v>
      </c>
      <c r="O4682" s="2">
        <v>54</v>
      </c>
      <c r="P4682" s="8">
        <f t="shared" si="362"/>
        <v>2770</v>
      </c>
      <c r="Q4682" s="8">
        <f t="shared" si="363"/>
        <v>1446</v>
      </c>
      <c r="R4682" s="2" t="s">
        <v>28</v>
      </c>
      <c r="S4682" s="9">
        <f t="shared" si="364"/>
        <v>55.4</v>
      </c>
    </row>
    <row r="4683" spans="1:19" x14ac:dyDescent="0.3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str">
        <f>IFERROR(VLOOKUP('Customer Info'!A4675,'Customer Info'!A4675:C5174,2,FALSE),"Not Found")</f>
        <v>Not Found</v>
      </c>
      <c r="H4683" s="6" t="str">
        <f>IFERROR(VLOOKUP('Customer Info'!A4675,'Customer Info'!A4675:C5174,3,FALSE),"Not Found")</f>
        <v>Not Found</v>
      </c>
      <c r="I4683" s="6" t="str">
        <f>IFERROR(VLOOKUP('Customer Info'!A4675,'Customer Info'!A4675:E5174,5,FALSE),"Not Found")</f>
        <v>Not Found</v>
      </c>
      <c r="J4683" s="2">
        <v>2273</v>
      </c>
      <c r="K4683" s="2">
        <v>2229</v>
      </c>
      <c r="L4683" s="2">
        <v>1</v>
      </c>
      <c r="M4683" s="7">
        <f t="shared" ref="M4683:M4746" si="365">$K4683*$L4683</f>
        <v>2229</v>
      </c>
      <c r="N4683" s="7">
        <f t="shared" ref="N4683:N4746" si="366">$J4683*$L4683</f>
        <v>2273</v>
      </c>
      <c r="O4683" s="2">
        <v>44</v>
      </c>
      <c r="P4683" s="8">
        <f t="shared" ref="P4683:P4746" si="367">$N4683+$O4683</f>
        <v>2317</v>
      </c>
      <c r="Q4683" s="8">
        <f t="shared" ref="Q4683:Q4746" si="368">$N4683-$K4683</f>
        <v>44</v>
      </c>
      <c r="R4683" s="2" t="s">
        <v>28</v>
      </c>
      <c r="S4683" s="9">
        <f t="shared" ref="S4683:S4746" si="369" xml:space="preserve"> P4683 * VLOOKUP(P4683, $T$2:$U$6, 2, TRUE)</f>
        <v>46.34</v>
      </c>
    </row>
    <row r="4684" spans="1:19" x14ac:dyDescent="0.3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str">
        <f>IFERROR(VLOOKUP('Customer Info'!A4676,'Customer Info'!A4676:C5175,2,FALSE),"Not Found")</f>
        <v>Not Found</v>
      </c>
      <c r="H4684" s="6" t="str">
        <f>IFERROR(VLOOKUP('Customer Info'!A4676,'Customer Info'!A4676:C5175,3,FALSE),"Not Found")</f>
        <v>Not Found</v>
      </c>
      <c r="I4684" s="6" t="str">
        <f>IFERROR(VLOOKUP('Customer Info'!A4676,'Customer Info'!A4676:E5175,5,FALSE),"Not Found")</f>
        <v>Not Found</v>
      </c>
      <c r="J4684" s="2">
        <v>21143</v>
      </c>
      <c r="K4684" s="2">
        <v>18848</v>
      </c>
      <c r="L4684" s="2">
        <v>7</v>
      </c>
      <c r="M4684" s="7">
        <f t="shared" si="365"/>
        <v>131936</v>
      </c>
      <c r="N4684" s="7">
        <f t="shared" si="366"/>
        <v>148001</v>
      </c>
      <c r="O4684" s="2">
        <v>88</v>
      </c>
      <c r="P4684" s="8">
        <f t="shared" si="367"/>
        <v>148089</v>
      </c>
      <c r="Q4684" s="8">
        <f t="shared" si="368"/>
        <v>129153</v>
      </c>
      <c r="R4684" s="2" t="s">
        <v>26</v>
      </c>
      <c r="S4684" s="9">
        <f t="shared" si="369"/>
        <v>17770.68</v>
      </c>
    </row>
    <row r="4685" spans="1:19" x14ac:dyDescent="0.3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str">
        <f>IFERROR(VLOOKUP('Customer Info'!A4677,'Customer Info'!A4677:C5176,2,FALSE),"Not Found")</f>
        <v>Not Found</v>
      </c>
      <c r="H4685" s="6" t="str">
        <f>IFERROR(VLOOKUP('Customer Info'!A4677,'Customer Info'!A4677:C5176,3,FALSE),"Not Found")</f>
        <v>Not Found</v>
      </c>
      <c r="I4685" s="6" t="str">
        <f>IFERROR(VLOOKUP('Customer Info'!A4677,'Customer Info'!A4677:E5176,5,FALSE),"Not Found")</f>
        <v>Not Found</v>
      </c>
      <c r="J4685" s="2">
        <v>1587</v>
      </c>
      <c r="K4685" s="2">
        <v>1428</v>
      </c>
      <c r="L4685" s="2">
        <v>1</v>
      </c>
      <c r="M4685" s="7">
        <f t="shared" si="365"/>
        <v>1428</v>
      </c>
      <c r="N4685" s="7">
        <f t="shared" si="366"/>
        <v>1587</v>
      </c>
      <c r="O4685" s="2">
        <v>63</v>
      </c>
      <c r="P4685" s="8">
        <f t="shared" si="367"/>
        <v>1650</v>
      </c>
      <c r="Q4685" s="8">
        <f t="shared" si="368"/>
        <v>159</v>
      </c>
      <c r="R4685" s="2" t="s">
        <v>56</v>
      </c>
      <c r="S4685" s="9">
        <f t="shared" si="369"/>
        <v>33</v>
      </c>
    </row>
    <row r="4686" spans="1:19" x14ac:dyDescent="0.3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str">
        <f>IFERROR(VLOOKUP('Customer Info'!A4678,'Customer Info'!A4678:C5177,2,FALSE),"Not Found")</f>
        <v>Not Found</v>
      </c>
      <c r="H4686" s="6" t="str">
        <f>IFERROR(VLOOKUP('Customer Info'!A4678,'Customer Info'!A4678:C5177,3,FALSE),"Not Found")</f>
        <v>Not Found</v>
      </c>
      <c r="I4686" s="6" t="str">
        <f>IFERROR(VLOOKUP('Customer Info'!A4678,'Customer Info'!A4678:E5177,5,FALSE),"Not Found")</f>
        <v>Not Found</v>
      </c>
      <c r="J4686" s="2">
        <v>1770</v>
      </c>
      <c r="K4686" s="2">
        <v>1592</v>
      </c>
      <c r="L4686" s="2">
        <v>1</v>
      </c>
      <c r="M4686" s="7">
        <f t="shared" si="365"/>
        <v>1592</v>
      </c>
      <c r="N4686" s="7">
        <f t="shared" si="366"/>
        <v>1770</v>
      </c>
      <c r="O4686" s="2">
        <v>40</v>
      </c>
      <c r="P4686" s="8">
        <f t="shared" si="367"/>
        <v>1810</v>
      </c>
      <c r="Q4686" s="8">
        <f t="shared" si="368"/>
        <v>178</v>
      </c>
      <c r="R4686" s="2" t="s">
        <v>50</v>
      </c>
      <c r="S4686" s="9">
        <f t="shared" si="369"/>
        <v>36.200000000000003</v>
      </c>
    </row>
    <row r="4687" spans="1:19" x14ac:dyDescent="0.3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str">
        <f>IFERROR(VLOOKUP('Customer Info'!A4679,'Customer Info'!A4679:C5178,2,FALSE),"Not Found")</f>
        <v>Not Found</v>
      </c>
      <c r="H4687" s="6" t="str">
        <f>IFERROR(VLOOKUP('Customer Info'!A4679,'Customer Info'!A4679:C5178,3,FALSE),"Not Found")</f>
        <v>Not Found</v>
      </c>
      <c r="I4687" s="6" t="str">
        <f>IFERROR(VLOOKUP('Customer Info'!A4679,'Customer Info'!A4679:E5178,5,FALSE),"Not Found")</f>
        <v>Not Found</v>
      </c>
      <c r="J4687" s="2">
        <v>1576</v>
      </c>
      <c r="K4687" s="2">
        <v>1531</v>
      </c>
      <c r="L4687" s="2">
        <v>7</v>
      </c>
      <c r="M4687" s="7">
        <f t="shared" si="365"/>
        <v>10717</v>
      </c>
      <c r="N4687" s="7">
        <f t="shared" si="366"/>
        <v>11032</v>
      </c>
      <c r="O4687" s="2">
        <v>49</v>
      </c>
      <c r="P4687" s="8">
        <f t="shared" si="367"/>
        <v>11081</v>
      </c>
      <c r="Q4687" s="8">
        <f t="shared" si="368"/>
        <v>9501</v>
      </c>
      <c r="R4687" s="2" t="s">
        <v>28</v>
      </c>
      <c r="S4687" s="9">
        <f t="shared" si="369"/>
        <v>554.05000000000007</v>
      </c>
    </row>
    <row r="4688" spans="1:19" x14ac:dyDescent="0.3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str">
        <f>IFERROR(VLOOKUP('Customer Info'!A4680,'Customer Info'!A4680:C5179,2,FALSE),"Not Found")</f>
        <v>Not Found</v>
      </c>
      <c r="H4688" s="6" t="str">
        <f>IFERROR(VLOOKUP('Customer Info'!A4680,'Customer Info'!A4680:C5179,3,FALSE),"Not Found")</f>
        <v>Not Found</v>
      </c>
      <c r="I4688" s="6" t="str">
        <f>IFERROR(VLOOKUP('Customer Info'!A4680,'Customer Info'!A4680:E5179,5,FALSE),"Not Found")</f>
        <v>Not Found</v>
      </c>
      <c r="J4688" s="2">
        <v>3289</v>
      </c>
      <c r="K4688" s="2">
        <v>3105</v>
      </c>
      <c r="L4688" s="2">
        <v>1</v>
      </c>
      <c r="M4688" s="7">
        <f t="shared" si="365"/>
        <v>3105</v>
      </c>
      <c r="N4688" s="7">
        <f t="shared" si="366"/>
        <v>3289</v>
      </c>
      <c r="O4688" s="2">
        <v>24</v>
      </c>
      <c r="P4688" s="8">
        <f t="shared" si="367"/>
        <v>3313</v>
      </c>
      <c r="Q4688" s="8">
        <f t="shared" si="368"/>
        <v>184</v>
      </c>
      <c r="R4688" s="2" t="s">
        <v>28</v>
      </c>
      <c r="S4688" s="9">
        <f t="shared" si="369"/>
        <v>66.260000000000005</v>
      </c>
    </row>
    <row r="4689" spans="1:19" x14ac:dyDescent="0.3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str">
        <f>IFERROR(VLOOKUP('Customer Info'!A4681,'Customer Info'!A4681:C5180,2,FALSE),"Not Found")</f>
        <v>Not Found</v>
      </c>
      <c r="H4689" s="6" t="str">
        <f>IFERROR(VLOOKUP('Customer Info'!A4681,'Customer Info'!A4681:C5180,3,FALSE),"Not Found")</f>
        <v>Not Found</v>
      </c>
      <c r="I4689" s="6" t="str">
        <f>IFERROR(VLOOKUP('Customer Info'!A4681,'Customer Info'!A4681:E5180,5,FALSE),"Not Found")</f>
        <v>Not Found</v>
      </c>
      <c r="J4689" s="2">
        <v>8351</v>
      </c>
      <c r="K4689" s="2">
        <v>8033</v>
      </c>
      <c r="L4689" s="2">
        <v>1</v>
      </c>
      <c r="M4689" s="7">
        <f t="shared" si="365"/>
        <v>8033</v>
      </c>
      <c r="N4689" s="7">
        <f t="shared" si="366"/>
        <v>8351</v>
      </c>
      <c r="O4689" s="2">
        <v>54</v>
      </c>
      <c r="P4689" s="8">
        <f t="shared" si="367"/>
        <v>8405</v>
      </c>
      <c r="Q4689" s="8">
        <f t="shared" si="368"/>
        <v>318</v>
      </c>
      <c r="R4689" s="2" t="s">
        <v>50</v>
      </c>
      <c r="S4689" s="9">
        <f t="shared" si="369"/>
        <v>420.25</v>
      </c>
    </row>
    <row r="4690" spans="1:19" x14ac:dyDescent="0.3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str">
        <f>IFERROR(VLOOKUP('Customer Info'!A4682,'Customer Info'!A4682:C5181,2,FALSE),"Not Found")</f>
        <v>Not Found</v>
      </c>
      <c r="H4690" s="6" t="str">
        <f>IFERROR(VLOOKUP('Customer Info'!A4682,'Customer Info'!A4682:C5181,3,FALSE),"Not Found")</f>
        <v>Not Found</v>
      </c>
      <c r="I4690" s="6" t="str">
        <f>IFERROR(VLOOKUP('Customer Info'!A4682,'Customer Info'!A4682:E5181,5,FALSE),"Not Found")</f>
        <v>Not Found</v>
      </c>
      <c r="J4690" s="2">
        <v>7141</v>
      </c>
      <c r="K4690" s="2">
        <v>6541</v>
      </c>
      <c r="L4690" s="2">
        <v>1</v>
      </c>
      <c r="M4690" s="7">
        <f t="shared" si="365"/>
        <v>6541</v>
      </c>
      <c r="N4690" s="7">
        <f t="shared" si="366"/>
        <v>7141</v>
      </c>
      <c r="O4690" s="2">
        <v>70</v>
      </c>
      <c r="P4690" s="8">
        <f t="shared" si="367"/>
        <v>7211</v>
      </c>
      <c r="Q4690" s="8">
        <f t="shared" si="368"/>
        <v>600</v>
      </c>
      <c r="R4690" s="2" t="s">
        <v>28</v>
      </c>
      <c r="S4690" s="9">
        <f t="shared" si="369"/>
        <v>360.55</v>
      </c>
    </row>
    <row r="4691" spans="1:19" x14ac:dyDescent="0.3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str">
        <f>IFERROR(VLOOKUP('Customer Info'!A4683,'Customer Info'!A4683:C5182,2,FALSE),"Not Found")</f>
        <v>Not Found</v>
      </c>
      <c r="H4691" s="6" t="str">
        <f>IFERROR(VLOOKUP('Customer Info'!A4683,'Customer Info'!A4683:C5182,3,FALSE),"Not Found")</f>
        <v>Not Found</v>
      </c>
      <c r="I4691" s="6" t="str">
        <f>IFERROR(VLOOKUP('Customer Info'!A4683,'Customer Info'!A4683:E5182,5,FALSE),"Not Found")</f>
        <v>Not Found</v>
      </c>
      <c r="J4691" s="2">
        <v>886</v>
      </c>
      <c r="K4691" s="2">
        <v>796</v>
      </c>
      <c r="L4691" s="2">
        <v>2</v>
      </c>
      <c r="M4691" s="7">
        <f t="shared" si="365"/>
        <v>1592</v>
      </c>
      <c r="N4691" s="7">
        <f t="shared" si="366"/>
        <v>1772</v>
      </c>
      <c r="O4691" s="2">
        <v>69</v>
      </c>
      <c r="P4691" s="8">
        <f t="shared" si="367"/>
        <v>1841</v>
      </c>
      <c r="Q4691" s="8">
        <f t="shared" si="368"/>
        <v>976</v>
      </c>
      <c r="R4691" s="2" t="s">
        <v>28</v>
      </c>
      <c r="S4691" s="9">
        <f t="shared" si="369"/>
        <v>36.82</v>
      </c>
    </row>
    <row r="4692" spans="1:19" x14ac:dyDescent="0.3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str">
        <f>IFERROR(VLOOKUP('Customer Info'!A4684,'Customer Info'!A4684:C5183,2,FALSE),"Not Found")</f>
        <v>Not Found</v>
      </c>
      <c r="H4692" s="6" t="str">
        <f>IFERROR(VLOOKUP('Customer Info'!A4684,'Customer Info'!A4684:C5183,3,FALSE),"Not Found")</f>
        <v>Not Found</v>
      </c>
      <c r="I4692" s="6" t="str">
        <f>IFERROR(VLOOKUP('Customer Info'!A4684,'Customer Info'!A4684:E5183,5,FALSE),"Not Found")</f>
        <v>Not Found</v>
      </c>
      <c r="J4692" s="2">
        <v>125</v>
      </c>
      <c r="K4692" s="2">
        <v>113</v>
      </c>
      <c r="L4692" s="2">
        <v>6</v>
      </c>
      <c r="M4692" s="7">
        <f t="shared" si="365"/>
        <v>678</v>
      </c>
      <c r="N4692" s="7">
        <f t="shared" si="366"/>
        <v>750</v>
      </c>
      <c r="O4692" s="2">
        <v>30</v>
      </c>
      <c r="P4692" s="8">
        <f t="shared" si="367"/>
        <v>780</v>
      </c>
      <c r="Q4692" s="8">
        <f t="shared" si="368"/>
        <v>637</v>
      </c>
      <c r="R4692" s="2" t="s">
        <v>28</v>
      </c>
      <c r="S4692" s="9">
        <f t="shared" si="369"/>
        <v>15.6</v>
      </c>
    </row>
    <row r="4693" spans="1:19" x14ac:dyDescent="0.3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str">
        <f>IFERROR(VLOOKUP('Customer Info'!A4685,'Customer Info'!A4685:C5184,2,FALSE),"Not Found")</f>
        <v>Not Found</v>
      </c>
      <c r="H4693" s="6" t="str">
        <f>IFERROR(VLOOKUP('Customer Info'!A4685,'Customer Info'!A4685:C5184,3,FALSE),"Not Found")</f>
        <v>Not Found</v>
      </c>
      <c r="I4693" s="6" t="str">
        <f>IFERROR(VLOOKUP('Customer Info'!A4685,'Customer Info'!A4685:E5184,5,FALSE),"Not Found")</f>
        <v>Not Found</v>
      </c>
      <c r="J4693" s="2">
        <v>202</v>
      </c>
      <c r="K4693" s="2">
        <v>187</v>
      </c>
      <c r="L4693" s="2">
        <v>4</v>
      </c>
      <c r="M4693" s="7">
        <f t="shared" si="365"/>
        <v>748</v>
      </c>
      <c r="N4693" s="7">
        <f t="shared" si="366"/>
        <v>808</v>
      </c>
      <c r="O4693" s="2">
        <v>30</v>
      </c>
      <c r="P4693" s="8">
        <f t="shared" si="367"/>
        <v>838</v>
      </c>
      <c r="Q4693" s="8">
        <f t="shared" si="368"/>
        <v>621</v>
      </c>
      <c r="R4693" s="2" t="s">
        <v>28</v>
      </c>
      <c r="S4693" s="9">
        <f t="shared" si="369"/>
        <v>16.760000000000002</v>
      </c>
    </row>
    <row r="4694" spans="1:19" x14ac:dyDescent="0.3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str">
        <f>IFERROR(VLOOKUP('Customer Info'!A4686,'Customer Info'!A4686:C5185,2,FALSE),"Not Found")</f>
        <v>Not Found</v>
      </c>
      <c r="H4694" s="6" t="str">
        <f>IFERROR(VLOOKUP('Customer Info'!A4686,'Customer Info'!A4686:C5185,3,FALSE),"Not Found")</f>
        <v>Not Found</v>
      </c>
      <c r="I4694" s="6" t="str">
        <f>IFERROR(VLOOKUP('Customer Info'!A4686,'Customer Info'!A4686:E5185,5,FALSE),"Not Found")</f>
        <v>Not Found</v>
      </c>
      <c r="J4694" s="2">
        <v>1564</v>
      </c>
      <c r="K4694" s="2">
        <v>1420</v>
      </c>
      <c r="L4694" s="2">
        <v>5</v>
      </c>
      <c r="M4694" s="7">
        <f t="shared" si="365"/>
        <v>7100</v>
      </c>
      <c r="N4694" s="7">
        <f t="shared" si="366"/>
        <v>7820</v>
      </c>
      <c r="O4694" s="2">
        <v>64</v>
      </c>
      <c r="P4694" s="8">
        <f t="shared" si="367"/>
        <v>7884</v>
      </c>
      <c r="Q4694" s="8">
        <f t="shared" si="368"/>
        <v>6400</v>
      </c>
      <c r="R4694" s="2" t="s">
        <v>28</v>
      </c>
      <c r="S4694" s="9">
        <f t="shared" si="369"/>
        <v>394.20000000000005</v>
      </c>
    </row>
    <row r="4695" spans="1:19" x14ac:dyDescent="0.3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str">
        <f>IFERROR(VLOOKUP('Customer Info'!A4687,'Customer Info'!A4687:C5186,2,FALSE),"Not Found")</f>
        <v>Not Found</v>
      </c>
      <c r="H4695" s="6" t="str">
        <f>IFERROR(VLOOKUP('Customer Info'!A4687,'Customer Info'!A4687:C5186,3,FALSE),"Not Found")</f>
        <v>Not Found</v>
      </c>
      <c r="I4695" s="6" t="str">
        <f>IFERROR(VLOOKUP('Customer Info'!A4687,'Customer Info'!A4687:E5186,5,FALSE),"Not Found")</f>
        <v>Not Found</v>
      </c>
      <c r="J4695" s="2">
        <v>1305</v>
      </c>
      <c r="K4695" s="2">
        <v>1197</v>
      </c>
      <c r="L4695" s="2">
        <v>3</v>
      </c>
      <c r="M4695" s="7">
        <f t="shared" si="365"/>
        <v>3591</v>
      </c>
      <c r="N4695" s="7">
        <f t="shared" si="366"/>
        <v>3915</v>
      </c>
      <c r="O4695" s="2">
        <v>43</v>
      </c>
      <c r="P4695" s="8">
        <f t="shared" si="367"/>
        <v>3958</v>
      </c>
      <c r="Q4695" s="8">
        <f t="shared" si="368"/>
        <v>2718</v>
      </c>
      <c r="R4695" s="2" t="s">
        <v>28</v>
      </c>
      <c r="S4695" s="9">
        <f t="shared" si="369"/>
        <v>79.16</v>
      </c>
    </row>
    <row r="4696" spans="1:19" x14ac:dyDescent="0.3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str">
        <f>IFERROR(VLOOKUP('Customer Info'!A4688,'Customer Info'!A4688:C5187,2,FALSE),"Not Found")</f>
        <v>Not Found</v>
      </c>
      <c r="H4696" s="6" t="str">
        <f>IFERROR(VLOOKUP('Customer Info'!A4688,'Customer Info'!A4688:C5187,3,FALSE),"Not Found")</f>
        <v>Not Found</v>
      </c>
      <c r="I4696" s="6" t="str">
        <f>IFERROR(VLOOKUP('Customer Info'!A4688,'Customer Info'!A4688:E5187,5,FALSE),"Not Found")</f>
        <v>Not Found</v>
      </c>
      <c r="J4696" s="2">
        <v>4443</v>
      </c>
      <c r="K4696" s="2">
        <v>4079</v>
      </c>
      <c r="L4696" s="2">
        <v>1</v>
      </c>
      <c r="M4696" s="7">
        <f t="shared" si="365"/>
        <v>4079</v>
      </c>
      <c r="N4696" s="7">
        <f t="shared" si="366"/>
        <v>4443</v>
      </c>
      <c r="O4696" s="2">
        <v>96</v>
      </c>
      <c r="P4696" s="8">
        <f t="shared" si="367"/>
        <v>4539</v>
      </c>
      <c r="Q4696" s="8">
        <f t="shared" si="368"/>
        <v>364</v>
      </c>
      <c r="R4696" s="2" t="s">
        <v>50</v>
      </c>
      <c r="S4696" s="9">
        <f t="shared" si="369"/>
        <v>90.78</v>
      </c>
    </row>
    <row r="4697" spans="1:19" x14ac:dyDescent="0.3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str">
        <f>IFERROR(VLOOKUP('Customer Info'!A4689,'Customer Info'!A4689:C5188,2,FALSE),"Not Found")</f>
        <v>Not Found</v>
      </c>
      <c r="H4697" s="6" t="str">
        <f>IFERROR(VLOOKUP('Customer Info'!A4689,'Customer Info'!A4689:C5188,3,FALSE),"Not Found")</f>
        <v>Not Found</v>
      </c>
      <c r="I4697" s="6" t="str">
        <f>IFERROR(VLOOKUP('Customer Info'!A4689,'Customer Info'!A4689:E5188,5,FALSE),"Not Found")</f>
        <v>Not Found</v>
      </c>
      <c r="J4697" s="2">
        <v>1146</v>
      </c>
      <c r="K4697" s="2">
        <v>1061</v>
      </c>
      <c r="L4697" s="2">
        <v>4</v>
      </c>
      <c r="M4697" s="7">
        <f t="shared" si="365"/>
        <v>4244</v>
      </c>
      <c r="N4697" s="7">
        <f t="shared" si="366"/>
        <v>4584</v>
      </c>
      <c r="O4697" s="2">
        <v>77</v>
      </c>
      <c r="P4697" s="8">
        <f t="shared" si="367"/>
        <v>4661</v>
      </c>
      <c r="Q4697" s="8">
        <f t="shared" si="368"/>
        <v>3523</v>
      </c>
      <c r="R4697" s="2" t="s">
        <v>50</v>
      </c>
      <c r="S4697" s="9">
        <f t="shared" si="369"/>
        <v>93.22</v>
      </c>
    </row>
    <row r="4698" spans="1:19" x14ac:dyDescent="0.3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str">
        <f>IFERROR(VLOOKUP('Customer Info'!A4690,'Customer Info'!A4690:C5189,2,FALSE),"Not Found")</f>
        <v>Not Found</v>
      </c>
      <c r="H4698" s="6" t="str">
        <f>IFERROR(VLOOKUP('Customer Info'!A4690,'Customer Info'!A4690:C5189,3,FALSE),"Not Found")</f>
        <v>Not Found</v>
      </c>
      <c r="I4698" s="6" t="str">
        <f>IFERROR(VLOOKUP('Customer Info'!A4690,'Customer Info'!A4690:E5189,5,FALSE),"Not Found")</f>
        <v>Not Found</v>
      </c>
      <c r="J4698" s="2">
        <v>187</v>
      </c>
      <c r="K4698" s="2">
        <v>176</v>
      </c>
      <c r="L4698" s="2">
        <v>1</v>
      </c>
      <c r="M4698" s="7">
        <f t="shared" si="365"/>
        <v>176</v>
      </c>
      <c r="N4698" s="7">
        <f t="shared" si="366"/>
        <v>187</v>
      </c>
      <c r="O4698" s="2">
        <v>30</v>
      </c>
      <c r="P4698" s="8">
        <f t="shared" si="367"/>
        <v>217</v>
      </c>
      <c r="Q4698" s="8">
        <f t="shared" si="368"/>
        <v>11</v>
      </c>
      <c r="R4698" s="2" t="s">
        <v>56</v>
      </c>
      <c r="S4698" s="9">
        <f t="shared" si="369"/>
        <v>4.34</v>
      </c>
    </row>
    <row r="4699" spans="1:19" x14ac:dyDescent="0.3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str">
        <f>IFERROR(VLOOKUP('Customer Info'!A4691,'Customer Info'!A4691:C5190,2,FALSE),"Not Found")</f>
        <v>Not Found</v>
      </c>
      <c r="H4699" s="6" t="str">
        <f>IFERROR(VLOOKUP('Customer Info'!A4691,'Customer Info'!A4691:C5190,3,FALSE),"Not Found")</f>
        <v>Not Found</v>
      </c>
      <c r="I4699" s="6" t="str">
        <f>IFERROR(VLOOKUP('Customer Info'!A4691,'Customer Info'!A4691:E5190,5,FALSE),"Not Found")</f>
        <v>Not Found</v>
      </c>
      <c r="J4699" s="2">
        <v>79</v>
      </c>
      <c r="K4699" s="2">
        <v>75</v>
      </c>
      <c r="L4699" s="2">
        <v>4</v>
      </c>
      <c r="M4699" s="7">
        <f t="shared" si="365"/>
        <v>300</v>
      </c>
      <c r="N4699" s="7">
        <f t="shared" si="366"/>
        <v>316</v>
      </c>
      <c r="O4699" s="2">
        <v>10</v>
      </c>
      <c r="P4699" s="8">
        <f t="shared" si="367"/>
        <v>326</v>
      </c>
      <c r="Q4699" s="8">
        <f t="shared" si="368"/>
        <v>241</v>
      </c>
      <c r="R4699" s="2" t="s">
        <v>50</v>
      </c>
      <c r="S4699" s="9">
        <f t="shared" si="369"/>
        <v>6.5200000000000005</v>
      </c>
    </row>
    <row r="4700" spans="1:19" x14ac:dyDescent="0.3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str">
        <f>IFERROR(VLOOKUP('Customer Info'!A4692,'Customer Info'!A4692:C5191,2,FALSE),"Not Found")</f>
        <v>Not Found</v>
      </c>
      <c r="H4700" s="6" t="str">
        <f>IFERROR(VLOOKUP('Customer Info'!A4692,'Customer Info'!A4692:C5191,3,FALSE),"Not Found")</f>
        <v>Not Found</v>
      </c>
      <c r="I4700" s="6" t="str">
        <f>IFERROR(VLOOKUP('Customer Info'!A4692,'Customer Info'!A4692:E5191,5,FALSE),"Not Found")</f>
        <v>Not Found</v>
      </c>
      <c r="J4700" s="2">
        <v>691</v>
      </c>
      <c r="K4700" s="2">
        <v>646</v>
      </c>
      <c r="L4700" s="2">
        <v>1</v>
      </c>
      <c r="M4700" s="7">
        <f t="shared" si="365"/>
        <v>646</v>
      </c>
      <c r="N4700" s="7">
        <f t="shared" si="366"/>
        <v>691</v>
      </c>
      <c r="O4700" s="2">
        <v>30</v>
      </c>
      <c r="P4700" s="8">
        <f t="shared" si="367"/>
        <v>721</v>
      </c>
      <c r="Q4700" s="8">
        <f t="shared" si="368"/>
        <v>45</v>
      </c>
      <c r="R4700" s="2" t="s">
        <v>28</v>
      </c>
      <c r="S4700" s="9">
        <f t="shared" si="369"/>
        <v>14.42</v>
      </c>
    </row>
    <row r="4701" spans="1:19" x14ac:dyDescent="0.3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str">
        <f>IFERROR(VLOOKUP('Customer Info'!A4693,'Customer Info'!A4693:C5192,2,FALSE),"Not Found")</f>
        <v>Not Found</v>
      </c>
      <c r="H4701" s="6" t="str">
        <f>IFERROR(VLOOKUP('Customer Info'!A4693,'Customer Info'!A4693:C5192,3,FALSE),"Not Found")</f>
        <v>Not Found</v>
      </c>
      <c r="I4701" s="6" t="str">
        <f>IFERROR(VLOOKUP('Customer Info'!A4693,'Customer Info'!A4693:E5192,5,FALSE),"Not Found")</f>
        <v>Not Found</v>
      </c>
      <c r="J4701" s="2">
        <v>6087</v>
      </c>
      <c r="K4701" s="2">
        <v>5808</v>
      </c>
      <c r="L4701" s="2">
        <v>2</v>
      </c>
      <c r="M4701" s="7">
        <f t="shared" si="365"/>
        <v>11616</v>
      </c>
      <c r="N4701" s="7">
        <f t="shared" si="366"/>
        <v>12174</v>
      </c>
      <c r="O4701" s="2">
        <v>49</v>
      </c>
      <c r="P4701" s="8">
        <f t="shared" si="367"/>
        <v>12223</v>
      </c>
      <c r="Q4701" s="8">
        <f t="shared" si="368"/>
        <v>6366</v>
      </c>
      <c r="R4701" s="2" t="s">
        <v>28</v>
      </c>
      <c r="S4701" s="9">
        <f t="shared" si="369"/>
        <v>611.15</v>
      </c>
    </row>
    <row r="4702" spans="1:19" x14ac:dyDescent="0.3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str">
        <f>IFERROR(VLOOKUP('Customer Info'!A4694,'Customer Info'!A4694:C5193,2,FALSE),"Not Found")</f>
        <v>Not Found</v>
      </c>
      <c r="H4702" s="6" t="str">
        <f>IFERROR(VLOOKUP('Customer Info'!A4694,'Customer Info'!A4694:C5193,3,FALSE),"Not Found")</f>
        <v>Not Found</v>
      </c>
      <c r="I4702" s="6" t="str">
        <f>IFERROR(VLOOKUP('Customer Info'!A4694,'Customer Info'!A4694:E5193,5,FALSE),"Not Found")</f>
        <v>Not Found</v>
      </c>
      <c r="J4702" s="2">
        <v>1968</v>
      </c>
      <c r="K4702" s="2">
        <v>1821</v>
      </c>
      <c r="L4702" s="2">
        <v>3</v>
      </c>
      <c r="M4702" s="7">
        <f t="shared" si="365"/>
        <v>5463</v>
      </c>
      <c r="N4702" s="7">
        <f t="shared" si="366"/>
        <v>5904</v>
      </c>
      <c r="O4702" s="2">
        <v>95</v>
      </c>
      <c r="P4702" s="8">
        <f t="shared" si="367"/>
        <v>5999</v>
      </c>
      <c r="Q4702" s="8">
        <f t="shared" si="368"/>
        <v>4083</v>
      </c>
      <c r="R4702" s="2" t="s">
        <v>28</v>
      </c>
      <c r="S4702" s="9">
        <f t="shared" si="369"/>
        <v>299.95</v>
      </c>
    </row>
    <row r="4703" spans="1:19" x14ac:dyDescent="0.3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str">
        <f>IFERROR(VLOOKUP('Customer Info'!A4695,'Customer Info'!A4695:C5194,2,FALSE),"Not Found")</f>
        <v>Not Found</v>
      </c>
      <c r="H4703" s="6" t="str">
        <f>IFERROR(VLOOKUP('Customer Info'!A4695,'Customer Info'!A4695:C5194,3,FALSE),"Not Found")</f>
        <v>Not Found</v>
      </c>
      <c r="I4703" s="6" t="str">
        <f>IFERROR(VLOOKUP('Customer Info'!A4695,'Customer Info'!A4695:E5194,5,FALSE),"Not Found")</f>
        <v>Not Found</v>
      </c>
      <c r="J4703" s="2">
        <v>1635</v>
      </c>
      <c r="K4703" s="2">
        <v>1573</v>
      </c>
      <c r="L4703" s="2">
        <v>4</v>
      </c>
      <c r="M4703" s="7">
        <f t="shared" si="365"/>
        <v>6292</v>
      </c>
      <c r="N4703" s="7">
        <f t="shared" si="366"/>
        <v>6540</v>
      </c>
      <c r="O4703" s="2">
        <v>57</v>
      </c>
      <c r="P4703" s="8">
        <f t="shared" si="367"/>
        <v>6597</v>
      </c>
      <c r="Q4703" s="8">
        <f t="shared" si="368"/>
        <v>4967</v>
      </c>
      <c r="R4703" s="2" t="s">
        <v>28</v>
      </c>
      <c r="S4703" s="9">
        <f t="shared" si="369"/>
        <v>329.85</v>
      </c>
    </row>
    <row r="4704" spans="1:19" x14ac:dyDescent="0.3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str">
        <f>IFERROR(VLOOKUP('Customer Info'!A4696,'Customer Info'!A4696:C5195,2,FALSE),"Not Found")</f>
        <v>Not Found</v>
      </c>
      <c r="H4704" s="6" t="str">
        <f>IFERROR(VLOOKUP('Customer Info'!A4696,'Customer Info'!A4696:C5195,3,FALSE),"Not Found")</f>
        <v>Not Found</v>
      </c>
      <c r="I4704" s="6" t="str">
        <f>IFERROR(VLOOKUP('Customer Info'!A4696,'Customer Info'!A4696:E5195,5,FALSE),"Not Found")</f>
        <v>Not Found</v>
      </c>
      <c r="J4704" s="2">
        <v>1181</v>
      </c>
      <c r="K4704" s="2">
        <v>1136</v>
      </c>
      <c r="L4704" s="2">
        <v>2</v>
      </c>
      <c r="M4704" s="7">
        <f t="shared" si="365"/>
        <v>2272</v>
      </c>
      <c r="N4704" s="7">
        <f t="shared" si="366"/>
        <v>2362</v>
      </c>
      <c r="O4704" s="2">
        <v>76</v>
      </c>
      <c r="P4704" s="8">
        <f t="shared" si="367"/>
        <v>2438</v>
      </c>
      <c r="Q4704" s="8">
        <f t="shared" si="368"/>
        <v>1226</v>
      </c>
      <c r="R4704" s="2" t="s">
        <v>28</v>
      </c>
      <c r="S4704" s="9">
        <f t="shared" si="369"/>
        <v>48.76</v>
      </c>
    </row>
    <row r="4705" spans="1:19" x14ac:dyDescent="0.3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str">
        <f>IFERROR(VLOOKUP('Customer Info'!A4697,'Customer Info'!A4697:C5196,2,FALSE),"Not Found")</f>
        <v>Not Found</v>
      </c>
      <c r="H4705" s="6" t="str">
        <f>IFERROR(VLOOKUP('Customer Info'!A4697,'Customer Info'!A4697:C5196,3,FALSE),"Not Found")</f>
        <v>Not Found</v>
      </c>
      <c r="I4705" s="6" t="str">
        <f>IFERROR(VLOOKUP('Customer Info'!A4697,'Customer Info'!A4697:E5196,5,FALSE),"Not Found")</f>
        <v>Not Found</v>
      </c>
      <c r="J4705" s="2">
        <v>6585</v>
      </c>
      <c r="K4705" s="2">
        <v>6105</v>
      </c>
      <c r="L4705" s="2">
        <v>14</v>
      </c>
      <c r="M4705" s="7">
        <f t="shared" si="365"/>
        <v>85470</v>
      </c>
      <c r="N4705" s="7">
        <f t="shared" si="366"/>
        <v>92190</v>
      </c>
      <c r="O4705" s="2">
        <v>84</v>
      </c>
      <c r="P4705" s="8">
        <f t="shared" si="367"/>
        <v>92274</v>
      </c>
      <c r="Q4705" s="8">
        <f t="shared" si="368"/>
        <v>86085</v>
      </c>
      <c r="R4705" s="2" t="s">
        <v>26</v>
      </c>
      <c r="S4705" s="9">
        <f t="shared" si="369"/>
        <v>8304.66</v>
      </c>
    </row>
    <row r="4706" spans="1:19" x14ac:dyDescent="0.3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str">
        <f>IFERROR(VLOOKUP('Customer Info'!A4698,'Customer Info'!A4698:C5197,2,FALSE),"Not Found")</f>
        <v>Not Found</v>
      </c>
      <c r="H4706" s="6" t="str">
        <f>IFERROR(VLOOKUP('Customer Info'!A4698,'Customer Info'!A4698:C5197,3,FALSE),"Not Found")</f>
        <v>Not Found</v>
      </c>
      <c r="I4706" s="6" t="str">
        <f>IFERROR(VLOOKUP('Customer Info'!A4698,'Customer Info'!A4698:E5197,5,FALSE),"Not Found")</f>
        <v>Not Found</v>
      </c>
      <c r="J4706" s="2">
        <v>2271</v>
      </c>
      <c r="K4706" s="2">
        <v>2144</v>
      </c>
      <c r="L4706" s="2">
        <v>2</v>
      </c>
      <c r="M4706" s="7">
        <f t="shared" si="365"/>
        <v>4288</v>
      </c>
      <c r="N4706" s="7">
        <f t="shared" si="366"/>
        <v>4542</v>
      </c>
      <c r="O4706" s="2">
        <v>74</v>
      </c>
      <c r="P4706" s="8">
        <f t="shared" si="367"/>
        <v>4616</v>
      </c>
      <c r="Q4706" s="8">
        <f t="shared" si="368"/>
        <v>2398</v>
      </c>
      <c r="R4706" s="2" t="s">
        <v>26</v>
      </c>
      <c r="S4706" s="9">
        <f t="shared" si="369"/>
        <v>92.320000000000007</v>
      </c>
    </row>
    <row r="4707" spans="1:19" x14ac:dyDescent="0.3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str">
        <f>IFERROR(VLOOKUP('Customer Info'!A4699,'Customer Info'!A4699:C5198,2,FALSE),"Not Found")</f>
        <v>Not Found</v>
      </c>
      <c r="H4707" s="6" t="str">
        <f>IFERROR(VLOOKUP('Customer Info'!A4699,'Customer Info'!A4699:C5198,3,FALSE),"Not Found")</f>
        <v>Not Found</v>
      </c>
      <c r="I4707" s="6" t="str">
        <f>IFERROR(VLOOKUP('Customer Info'!A4699,'Customer Info'!A4699:E5198,5,FALSE),"Not Found")</f>
        <v>Not Found</v>
      </c>
      <c r="J4707" s="2">
        <v>456</v>
      </c>
      <c r="K4707" s="2">
        <v>430</v>
      </c>
      <c r="L4707" s="2">
        <v>1</v>
      </c>
      <c r="M4707" s="7">
        <f t="shared" si="365"/>
        <v>430</v>
      </c>
      <c r="N4707" s="7">
        <f t="shared" si="366"/>
        <v>456</v>
      </c>
      <c r="O4707" s="2">
        <v>93</v>
      </c>
      <c r="P4707" s="8">
        <f t="shared" si="367"/>
        <v>549</v>
      </c>
      <c r="Q4707" s="8">
        <f t="shared" si="368"/>
        <v>26</v>
      </c>
      <c r="R4707" s="2" t="s">
        <v>50</v>
      </c>
      <c r="S4707" s="9">
        <f t="shared" si="369"/>
        <v>10.98</v>
      </c>
    </row>
    <row r="4708" spans="1:19" x14ac:dyDescent="0.3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str">
        <f>IFERROR(VLOOKUP('Customer Info'!A4700,'Customer Info'!A4700:C5199,2,FALSE),"Not Found")</f>
        <v>Not Found</v>
      </c>
      <c r="H4708" s="6" t="str">
        <f>IFERROR(VLOOKUP('Customer Info'!A4700,'Customer Info'!A4700:C5199,3,FALSE),"Not Found")</f>
        <v>Not Found</v>
      </c>
      <c r="I4708" s="6" t="str">
        <f>IFERROR(VLOOKUP('Customer Info'!A4700,'Customer Info'!A4700:E5199,5,FALSE),"Not Found")</f>
        <v>Not Found</v>
      </c>
      <c r="J4708" s="2">
        <v>7136</v>
      </c>
      <c r="K4708" s="2">
        <v>6676</v>
      </c>
      <c r="L4708" s="2">
        <v>2</v>
      </c>
      <c r="M4708" s="7">
        <f t="shared" si="365"/>
        <v>13352</v>
      </c>
      <c r="N4708" s="7">
        <f t="shared" si="366"/>
        <v>14272</v>
      </c>
      <c r="O4708" s="2">
        <v>75</v>
      </c>
      <c r="P4708" s="8">
        <f t="shared" si="367"/>
        <v>14347</v>
      </c>
      <c r="Q4708" s="8">
        <f t="shared" si="368"/>
        <v>7596</v>
      </c>
      <c r="R4708" s="2" t="s">
        <v>28</v>
      </c>
      <c r="S4708" s="9">
        <f t="shared" si="369"/>
        <v>717.35</v>
      </c>
    </row>
    <row r="4709" spans="1:19" x14ac:dyDescent="0.3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str">
        <f>IFERROR(VLOOKUP('Customer Info'!A4701,'Customer Info'!A4701:C5200,2,FALSE),"Not Found")</f>
        <v>Not Found</v>
      </c>
      <c r="H4709" s="6" t="str">
        <f>IFERROR(VLOOKUP('Customer Info'!A4701,'Customer Info'!A4701:C5200,3,FALSE),"Not Found")</f>
        <v>Not Found</v>
      </c>
      <c r="I4709" s="6" t="str">
        <f>IFERROR(VLOOKUP('Customer Info'!A4701,'Customer Info'!A4701:E5200,5,FALSE),"Not Found")</f>
        <v>Not Found</v>
      </c>
      <c r="J4709" s="2">
        <v>222</v>
      </c>
      <c r="K4709" s="2">
        <v>208</v>
      </c>
      <c r="L4709" s="2">
        <v>3</v>
      </c>
      <c r="M4709" s="7">
        <f t="shared" si="365"/>
        <v>624</v>
      </c>
      <c r="N4709" s="7">
        <f t="shared" si="366"/>
        <v>666</v>
      </c>
      <c r="O4709" s="2">
        <v>69</v>
      </c>
      <c r="P4709" s="8">
        <f t="shared" si="367"/>
        <v>735</v>
      </c>
      <c r="Q4709" s="8">
        <f t="shared" si="368"/>
        <v>458</v>
      </c>
      <c r="R4709" s="2" t="s">
        <v>50</v>
      </c>
      <c r="S4709" s="9">
        <f t="shared" si="369"/>
        <v>14.700000000000001</v>
      </c>
    </row>
    <row r="4710" spans="1:19" x14ac:dyDescent="0.3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str">
        <f>IFERROR(VLOOKUP('Customer Info'!A4702,'Customer Info'!A4702:C5201,2,FALSE),"Not Found")</f>
        <v>Not Found</v>
      </c>
      <c r="H4710" s="6" t="str">
        <f>IFERROR(VLOOKUP('Customer Info'!A4702,'Customer Info'!A4702:C5201,3,FALSE),"Not Found")</f>
        <v>Not Found</v>
      </c>
      <c r="I4710" s="6" t="str">
        <f>IFERROR(VLOOKUP('Customer Info'!A4702,'Customer Info'!A4702:E5201,5,FALSE),"Not Found")</f>
        <v>Not Found</v>
      </c>
      <c r="J4710" s="2">
        <v>1983</v>
      </c>
      <c r="K4710" s="2">
        <v>1908</v>
      </c>
      <c r="L4710" s="2">
        <v>12</v>
      </c>
      <c r="M4710" s="7">
        <f t="shared" si="365"/>
        <v>22896</v>
      </c>
      <c r="N4710" s="7">
        <f t="shared" si="366"/>
        <v>23796</v>
      </c>
      <c r="O4710" s="2">
        <v>89</v>
      </c>
      <c r="P4710" s="8">
        <f t="shared" si="367"/>
        <v>23885</v>
      </c>
      <c r="Q4710" s="8">
        <f t="shared" si="368"/>
        <v>21888</v>
      </c>
      <c r="R4710" s="2" t="s">
        <v>28</v>
      </c>
      <c r="S4710" s="9">
        <f t="shared" si="369"/>
        <v>1194.25</v>
      </c>
    </row>
    <row r="4711" spans="1:19" x14ac:dyDescent="0.3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str">
        <f>IFERROR(VLOOKUP('Customer Info'!A4703,'Customer Info'!A4703:C5202,2,FALSE),"Not Found")</f>
        <v>Not Found</v>
      </c>
      <c r="H4711" s="6" t="str">
        <f>IFERROR(VLOOKUP('Customer Info'!A4703,'Customer Info'!A4703:C5202,3,FALSE),"Not Found")</f>
        <v>Not Found</v>
      </c>
      <c r="I4711" s="6" t="str">
        <f>IFERROR(VLOOKUP('Customer Info'!A4703,'Customer Info'!A4703:E5202,5,FALSE),"Not Found")</f>
        <v>Not Found</v>
      </c>
      <c r="J4711" s="2">
        <v>187</v>
      </c>
      <c r="K4711" s="2">
        <v>176</v>
      </c>
      <c r="L4711" s="2">
        <v>8</v>
      </c>
      <c r="M4711" s="7">
        <f t="shared" si="365"/>
        <v>1408</v>
      </c>
      <c r="N4711" s="7">
        <f t="shared" si="366"/>
        <v>1496</v>
      </c>
      <c r="O4711" s="2">
        <v>30</v>
      </c>
      <c r="P4711" s="8">
        <f t="shared" si="367"/>
        <v>1526</v>
      </c>
      <c r="Q4711" s="8">
        <f t="shared" si="368"/>
        <v>1320</v>
      </c>
      <c r="R4711" s="2" t="s">
        <v>28</v>
      </c>
      <c r="S4711" s="9">
        <f t="shared" si="369"/>
        <v>30.52</v>
      </c>
    </row>
    <row r="4712" spans="1:19" x14ac:dyDescent="0.3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str">
        <f>IFERROR(VLOOKUP('Customer Info'!A4704,'Customer Info'!A4704:C5203,2,FALSE),"Not Found")</f>
        <v>Not Found</v>
      </c>
      <c r="H4712" s="6" t="str">
        <f>IFERROR(VLOOKUP('Customer Info'!A4704,'Customer Info'!A4704:C5203,3,FALSE),"Not Found")</f>
        <v>Not Found</v>
      </c>
      <c r="I4712" s="6" t="str">
        <f>IFERROR(VLOOKUP('Customer Info'!A4704,'Customer Info'!A4704:E5203,5,FALSE),"Not Found")</f>
        <v>Not Found</v>
      </c>
      <c r="J4712" s="2">
        <v>531</v>
      </c>
      <c r="K4712" s="2">
        <v>487</v>
      </c>
      <c r="L4712" s="2">
        <v>5</v>
      </c>
      <c r="M4712" s="7">
        <f t="shared" si="365"/>
        <v>2435</v>
      </c>
      <c r="N4712" s="7">
        <f t="shared" si="366"/>
        <v>2655</v>
      </c>
      <c r="O4712" s="2">
        <v>25</v>
      </c>
      <c r="P4712" s="8">
        <f t="shared" si="367"/>
        <v>2680</v>
      </c>
      <c r="Q4712" s="8">
        <f t="shared" si="368"/>
        <v>2168</v>
      </c>
      <c r="R4712" s="2" t="s">
        <v>50</v>
      </c>
      <c r="S4712" s="9">
        <f t="shared" si="369"/>
        <v>53.6</v>
      </c>
    </row>
    <row r="4713" spans="1:19" x14ac:dyDescent="0.3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str">
        <f>IFERROR(VLOOKUP('Customer Info'!A4705,'Customer Info'!A4705:C5204,2,FALSE),"Not Found")</f>
        <v>Not Found</v>
      </c>
      <c r="H4713" s="6" t="str">
        <f>IFERROR(VLOOKUP('Customer Info'!A4705,'Customer Info'!A4705:C5204,3,FALSE),"Not Found")</f>
        <v>Not Found</v>
      </c>
      <c r="I4713" s="6" t="str">
        <f>IFERROR(VLOOKUP('Customer Info'!A4705,'Customer Info'!A4705:E5204,5,FALSE),"Not Found")</f>
        <v>Not Found</v>
      </c>
      <c r="J4713" s="2">
        <v>80</v>
      </c>
      <c r="K4713" s="2">
        <v>75</v>
      </c>
      <c r="L4713" s="2">
        <v>4</v>
      </c>
      <c r="M4713" s="7">
        <f t="shared" si="365"/>
        <v>300</v>
      </c>
      <c r="N4713" s="7">
        <f t="shared" si="366"/>
        <v>320</v>
      </c>
      <c r="O4713" s="2">
        <v>10</v>
      </c>
      <c r="P4713" s="8">
        <f t="shared" si="367"/>
        <v>330</v>
      </c>
      <c r="Q4713" s="8">
        <f t="shared" si="368"/>
        <v>245</v>
      </c>
      <c r="R4713" s="2" t="s">
        <v>50</v>
      </c>
      <c r="S4713" s="9">
        <f t="shared" si="369"/>
        <v>6.6000000000000005</v>
      </c>
    </row>
    <row r="4714" spans="1:19" x14ac:dyDescent="0.3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str">
        <f>IFERROR(VLOOKUP('Customer Info'!A4706,'Customer Info'!A4706:C5205,2,FALSE),"Not Found")</f>
        <v>Not Found</v>
      </c>
      <c r="H4714" s="6" t="str">
        <f>IFERROR(VLOOKUP('Customer Info'!A4706,'Customer Info'!A4706:C5205,3,FALSE),"Not Found")</f>
        <v>Not Found</v>
      </c>
      <c r="I4714" s="6" t="str">
        <f>IFERROR(VLOOKUP('Customer Info'!A4706,'Customer Info'!A4706:E5205,5,FALSE),"Not Found")</f>
        <v>Not Found</v>
      </c>
      <c r="J4714" s="2">
        <v>141</v>
      </c>
      <c r="K4714" s="2">
        <v>131</v>
      </c>
      <c r="L4714" s="2">
        <v>2</v>
      </c>
      <c r="M4714" s="7">
        <f t="shared" si="365"/>
        <v>262</v>
      </c>
      <c r="N4714" s="7">
        <f t="shared" si="366"/>
        <v>282</v>
      </c>
      <c r="O4714" s="2">
        <v>30</v>
      </c>
      <c r="P4714" s="8">
        <f t="shared" si="367"/>
        <v>312</v>
      </c>
      <c r="Q4714" s="8">
        <f t="shared" si="368"/>
        <v>151</v>
      </c>
      <c r="R4714" s="2" t="s">
        <v>28</v>
      </c>
      <c r="S4714" s="9">
        <f t="shared" si="369"/>
        <v>6.24</v>
      </c>
    </row>
    <row r="4715" spans="1:19" x14ac:dyDescent="0.3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str">
        <f>IFERROR(VLOOKUP('Customer Info'!A4707,'Customer Info'!A4707:C5206,2,FALSE),"Not Found")</f>
        <v>Not Found</v>
      </c>
      <c r="H4715" s="6" t="str">
        <f>IFERROR(VLOOKUP('Customer Info'!A4707,'Customer Info'!A4707:C5206,3,FALSE),"Not Found")</f>
        <v>Not Found</v>
      </c>
      <c r="I4715" s="6" t="str">
        <f>IFERROR(VLOOKUP('Customer Info'!A4707,'Customer Info'!A4707:E5206,5,FALSE),"Not Found")</f>
        <v>Not Found</v>
      </c>
      <c r="J4715" s="2">
        <v>1587</v>
      </c>
      <c r="K4715" s="2">
        <v>1428</v>
      </c>
      <c r="L4715" s="2">
        <v>4</v>
      </c>
      <c r="M4715" s="7">
        <f t="shared" si="365"/>
        <v>5712</v>
      </c>
      <c r="N4715" s="7">
        <f t="shared" si="366"/>
        <v>6348</v>
      </c>
      <c r="O4715" s="2">
        <v>34</v>
      </c>
      <c r="P4715" s="8">
        <f t="shared" si="367"/>
        <v>6382</v>
      </c>
      <c r="Q4715" s="8">
        <f t="shared" si="368"/>
        <v>4920</v>
      </c>
      <c r="R4715" s="2" t="s">
        <v>50</v>
      </c>
      <c r="S4715" s="9">
        <f t="shared" si="369"/>
        <v>319.10000000000002</v>
      </c>
    </row>
    <row r="4716" spans="1:19" x14ac:dyDescent="0.3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str">
        <f>IFERROR(VLOOKUP('Customer Info'!A4708,'Customer Info'!A4708:C5207,2,FALSE),"Not Found")</f>
        <v>Not Found</v>
      </c>
      <c r="H4716" s="6" t="str">
        <f>IFERROR(VLOOKUP('Customer Info'!A4708,'Customer Info'!A4708:C5207,3,FALSE),"Not Found")</f>
        <v>Not Found</v>
      </c>
      <c r="I4716" s="6" t="str">
        <f>IFERROR(VLOOKUP('Customer Info'!A4708,'Customer Info'!A4708:E5207,5,FALSE),"Not Found")</f>
        <v>Not Found</v>
      </c>
      <c r="J4716" s="2">
        <v>5894</v>
      </c>
      <c r="K4716" s="2">
        <v>5621</v>
      </c>
      <c r="L4716" s="2">
        <v>2</v>
      </c>
      <c r="M4716" s="7">
        <f t="shared" si="365"/>
        <v>11242</v>
      </c>
      <c r="N4716" s="7">
        <f t="shared" si="366"/>
        <v>11788</v>
      </c>
      <c r="O4716" s="2">
        <v>79</v>
      </c>
      <c r="P4716" s="8">
        <f t="shared" si="367"/>
        <v>11867</v>
      </c>
      <c r="Q4716" s="8">
        <f t="shared" si="368"/>
        <v>6167</v>
      </c>
      <c r="R4716" s="2" t="s">
        <v>50</v>
      </c>
      <c r="S4716" s="9">
        <f t="shared" si="369"/>
        <v>593.35</v>
      </c>
    </row>
    <row r="4717" spans="1:19" x14ac:dyDescent="0.3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str">
        <f>IFERROR(VLOOKUP('Customer Info'!A4709,'Customer Info'!A4709:C5208,2,FALSE),"Not Found")</f>
        <v>Not Found</v>
      </c>
      <c r="H4717" s="6" t="str">
        <f>IFERROR(VLOOKUP('Customer Info'!A4709,'Customer Info'!A4709:C5208,3,FALSE),"Not Found")</f>
        <v>Not Found</v>
      </c>
      <c r="I4717" s="6" t="str">
        <f>IFERROR(VLOOKUP('Customer Info'!A4709,'Customer Info'!A4709:E5208,5,FALSE),"Not Found")</f>
        <v>Not Found</v>
      </c>
      <c r="J4717" s="2">
        <v>8869</v>
      </c>
      <c r="K4717" s="2">
        <v>7906</v>
      </c>
      <c r="L4717" s="2">
        <v>6</v>
      </c>
      <c r="M4717" s="7">
        <f t="shared" si="365"/>
        <v>47436</v>
      </c>
      <c r="N4717" s="7">
        <f t="shared" si="366"/>
        <v>53214</v>
      </c>
      <c r="O4717" s="2">
        <v>31</v>
      </c>
      <c r="P4717" s="8">
        <f t="shared" si="367"/>
        <v>53245</v>
      </c>
      <c r="Q4717" s="8">
        <f t="shared" si="368"/>
        <v>45308</v>
      </c>
      <c r="R4717" s="2" t="s">
        <v>28</v>
      </c>
      <c r="S4717" s="9">
        <f t="shared" si="369"/>
        <v>4792.05</v>
      </c>
    </row>
    <row r="4718" spans="1:19" x14ac:dyDescent="0.3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str">
        <f>IFERROR(VLOOKUP('Customer Info'!A4710,'Customer Info'!A4710:C5209,2,FALSE),"Not Found")</f>
        <v>Not Found</v>
      </c>
      <c r="H4718" s="6" t="str">
        <f>IFERROR(VLOOKUP('Customer Info'!A4710,'Customer Info'!A4710:C5209,3,FALSE),"Not Found")</f>
        <v>Not Found</v>
      </c>
      <c r="I4718" s="6" t="str">
        <f>IFERROR(VLOOKUP('Customer Info'!A4710,'Customer Info'!A4710:E5209,5,FALSE),"Not Found")</f>
        <v>Not Found</v>
      </c>
      <c r="J4718" s="2">
        <v>279</v>
      </c>
      <c r="K4718" s="2">
        <v>254</v>
      </c>
      <c r="L4718" s="2">
        <v>1</v>
      </c>
      <c r="M4718" s="7">
        <f t="shared" si="365"/>
        <v>254</v>
      </c>
      <c r="N4718" s="7">
        <f t="shared" si="366"/>
        <v>279</v>
      </c>
      <c r="O4718" s="2">
        <v>69</v>
      </c>
      <c r="P4718" s="8">
        <f t="shared" si="367"/>
        <v>348</v>
      </c>
      <c r="Q4718" s="8">
        <f t="shared" si="368"/>
        <v>25</v>
      </c>
      <c r="R4718" s="2" t="s">
        <v>28</v>
      </c>
      <c r="S4718" s="9">
        <f t="shared" si="369"/>
        <v>6.96</v>
      </c>
    </row>
    <row r="4719" spans="1:19" x14ac:dyDescent="0.3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str">
        <f>IFERROR(VLOOKUP('Customer Info'!A4711,'Customer Info'!A4711:C5210,2,FALSE),"Not Found")</f>
        <v>Not Found</v>
      </c>
      <c r="H4719" s="6" t="str">
        <f>IFERROR(VLOOKUP('Customer Info'!A4711,'Customer Info'!A4711:C5210,3,FALSE),"Not Found")</f>
        <v>Not Found</v>
      </c>
      <c r="I4719" s="6" t="str">
        <f>IFERROR(VLOOKUP('Customer Info'!A4711,'Customer Info'!A4711:E5210,5,FALSE),"Not Found")</f>
        <v>Not Found</v>
      </c>
      <c r="J4719" s="2">
        <v>516</v>
      </c>
      <c r="K4719" s="2">
        <v>473</v>
      </c>
      <c r="L4719" s="2">
        <v>2</v>
      </c>
      <c r="M4719" s="7">
        <f t="shared" si="365"/>
        <v>946</v>
      </c>
      <c r="N4719" s="7">
        <f t="shared" si="366"/>
        <v>1032</v>
      </c>
      <c r="O4719" s="2">
        <v>59</v>
      </c>
      <c r="P4719" s="8">
        <f t="shared" si="367"/>
        <v>1091</v>
      </c>
      <c r="Q4719" s="8">
        <f t="shared" si="368"/>
        <v>559</v>
      </c>
      <c r="R4719" s="2" t="s">
        <v>28</v>
      </c>
      <c r="S4719" s="9">
        <f t="shared" si="369"/>
        <v>21.82</v>
      </c>
    </row>
    <row r="4720" spans="1:19" x14ac:dyDescent="0.3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str">
        <f>IFERROR(VLOOKUP('Customer Info'!A4712,'Customer Info'!A4712:C5211,2,FALSE),"Not Found")</f>
        <v>Not Found</v>
      </c>
      <c r="H4720" s="6" t="str">
        <f>IFERROR(VLOOKUP('Customer Info'!A4712,'Customer Info'!A4712:C5211,3,FALSE),"Not Found")</f>
        <v>Not Found</v>
      </c>
      <c r="I4720" s="6" t="str">
        <f>IFERROR(VLOOKUP('Customer Info'!A4712,'Customer Info'!A4712:E5211,5,FALSE),"Not Found")</f>
        <v>Not Found</v>
      </c>
      <c r="J4720" s="2">
        <v>887</v>
      </c>
      <c r="K4720" s="2">
        <v>814</v>
      </c>
      <c r="L4720" s="2">
        <v>2</v>
      </c>
      <c r="M4720" s="7">
        <f t="shared" si="365"/>
        <v>1628</v>
      </c>
      <c r="N4720" s="7">
        <f t="shared" si="366"/>
        <v>1774</v>
      </c>
      <c r="O4720" s="2">
        <v>57</v>
      </c>
      <c r="P4720" s="8">
        <f t="shared" si="367"/>
        <v>1831</v>
      </c>
      <c r="Q4720" s="8">
        <f t="shared" si="368"/>
        <v>960</v>
      </c>
      <c r="R4720" s="2" t="s">
        <v>50</v>
      </c>
      <c r="S4720" s="9">
        <f t="shared" si="369"/>
        <v>36.619999999999997</v>
      </c>
    </row>
    <row r="4721" spans="1:19" x14ac:dyDescent="0.3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str">
        <f>IFERROR(VLOOKUP('Customer Info'!A4713,'Customer Info'!A4713:C5212,2,FALSE),"Not Found")</f>
        <v>Not Found</v>
      </c>
      <c r="H4721" s="6" t="str">
        <f>IFERROR(VLOOKUP('Customer Info'!A4713,'Customer Info'!A4713:C5212,3,FALSE),"Not Found")</f>
        <v>Not Found</v>
      </c>
      <c r="I4721" s="6" t="str">
        <f>IFERROR(VLOOKUP('Customer Info'!A4713,'Customer Info'!A4713:E5212,5,FALSE),"Not Found")</f>
        <v>Not Found</v>
      </c>
      <c r="J4721" s="2">
        <v>2808</v>
      </c>
      <c r="K4721" s="2">
        <v>2674</v>
      </c>
      <c r="L4721" s="2">
        <v>1</v>
      </c>
      <c r="M4721" s="7">
        <f t="shared" si="365"/>
        <v>2674</v>
      </c>
      <c r="N4721" s="7">
        <f t="shared" si="366"/>
        <v>2808</v>
      </c>
      <c r="O4721" s="2">
        <v>42</v>
      </c>
      <c r="P4721" s="8">
        <f t="shared" si="367"/>
        <v>2850</v>
      </c>
      <c r="Q4721" s="8">
        <f t="shared" si="368"/>
        <v>134</v>
      </c>
      <c r="R4721" s="2" t="s">
        <v>28</v>
      </c>
      <c r="S4721" s="9">
        <f t="shared" si="369"/>
        <v>57</v>
      </c>
    </row>
    <row r="4722" spans="1:19" x14ac:dyDescent="0.3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str">
        <f>IFERROR(VLOOKUP('Customer Info'!A4714,'Customer Info'!A4714:C5213,2,FALSE),"Not Found")</f>
        <v>Not Found</v>
      </c>
      <c r="H4722" s="6" t="str">
        <f>IFERROR(VLOOKUP('Customer Info'!A4714,'Customer Info'!A4714:C5213,3,FALSE),"Not Found")</f>
        <v>Not Found</v>
      </c>
      <c r="I4722" s="6" t="str">
        <f>IFERROR(VLOOKUP('Customer Info'!A4714,'Customer Info'!A4714:E5213,5,FALSE),"Not Found")</f>
        <v>Not Found</v>
      </c>
      <c r="J4722" s="2">
        <v>4122</v>
      </c>
      <c r="K4722" s="2">
        <v>3781</v>
      </c>
      <c r="L4722" s="2">
        <v>2</v>
      </c>
      <c r="M4722" s="7">
        <f t="shared" si="365"/>
        <v>7562</v>
      </c>
      <c r="N4722" s="7">
        <f t="shared" si="366"/>
        <v>8244</v>
      </c>
      <c r="O4722" s="2">
        <v>49</v>
      </c>
      <c r="P4722" s="8">
        <f t="shared" si="367"/>
        <v>8293</v>
      </c>
      <c r="Q4722" s="8">
        <f t="shared" si="368"/>
        <v>4463</v>
      </c>
      <c r="R4722" s="2" t="s">
        <v>28</v>
      </c>
      <c r="S4722" s="9">
        <f t="shared" si="369"/>
        <v>414.65000000000003</v>
      </c>
    </row>
    <row r="4723" spans="1:19" x14ac:dyDescent="0.3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str">
        <f>IFERROR(VLOOKUP('Customer Info'!A4715,'Customer Info'!A4715:C5214,2,FALSE),"Not Found")</f>
        <v>Not Found</v>
      </c>
      <c r="H4723" s="6" t="str">
        <f>IFERROR(VLOOKUP('Customer Info'!A4715,'Customer Info'!A4715:C5214,3,FALSE),"Not Found")</f>
        <v>Not Found</v>
      </c>
      <c r="I4723" s="6" t="str">
        <f>IFERROR(VLOOKUP('Customer Info'!A4715,'Customer Info'!A4715:E5214,5,FALSE),"Not Found")</f>
        <v>Not Found</v>
      </c>
      <c r="J4723" s="2">
        <v>218</v>
      </c>
      <c r="K4723" s="2">
        <v>200</v>
      </c>
      <c r="L4723" s="2">
        <v>3</v>
      </c>
      <c r="M4723" s="7">
        <f t="shared" si="365"/>
        <v>600</v>
      </c>
      <c r="N4723" s="7">
        <f t="shared" si="366"/>
        <v>654</v>
      </c>
      <c r="O4723" s="2">
        <v>37</v>
      </c>
      <c r="P4723" s="8">
        <f t="shared" si="367"/>
        <v>691</v>
      </c>
      <c r="Q4723" s="8">
        <f t="shared" si="368"/>
        <v>454</v>
      </c>
      <c r="R4723" s="2" t="s">
        <v>50</v>
      </c>
      <c r="S4723" s="9">
        <f t="shared" si="369"/>
        <v>13.82</v>
      </c>
    </row>
    <row r="4724" spans="1:19" x14ac:dyDescent="0.3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str">
        <f>IFERROR(VLOOKUP('Customer Info'!A4716,'Customer Info'!A4716:C5215,2,FALSE),"Not Found")</f>
        <v>Not Found</v>
      </c>
      <c r="H4724" s="6" t="str">
        <f>IFERROR(VLOOKUP('Customer Info'!A4716,'Customer Info'!A4716:C5215,3,FALSE),"Not Found")</f>
        <v>Not Found</v>
      </c>
      <c r="I4724" s="6" t="str">
        <f>IFERROR(VLOOKUP('Customer Info'!A4716,'Customer Info'!A4716:E5215,5,FALSE),"Not Found")</f>
        <v>Not Found</v>
      </c>
      <c r="J4724" s="2">
        <v>2244</v>
      </c>
      <c r="K4724" s="2">
        <v>2143</v>
      </c>
      <c r="L4724" s="2">
        <v>3</v>
      </c>
      <c r="M4724" s="7">
        <f t="shared" si="365"/>
        <v>6429</v>
      </c>
      <c r="N4724" s="7">
        <f t="shared" si="366"/>
        <v>6732</v>
      </c>
      <c r="O4724" s="2">
        <v>57</v>
      </c>
      <c r="P4724" s="8">
        <f t="shared" si="367"/>
        <v>6789</v>
      </c>
      <c r="Q4724" s="8">
        <f t="shared" si="368"/>
        <v>4589</v>
      </c>
      <c r="R4724" s="2" t="s">
        <v>50</v>
      </c>
      <c r="S4724" s="9">
        <f t="shared" si="369"/>
        <v>339.45000000000005</v>
      </c>
    </row>
    <row r="4725" spans="1:19" x14ac:dyDescent="0.3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str">
        <f>IFERROR(VLOOKUP('Customer Info'!A4717,'Customer Info'!A4717:C5216,2,FALSE),"Not Found")</f>
        <v>Not Found</v>
      </c>
      <c r="H4725" s="6" t="str">
        <f>IFERROR(VLOOKUP('Customer Info'!A4717,'Customer Info'!A4717:C5216,3,FALSE),"Not Found")</f>
        <v>Not Found</v>
      </c>
      <c r="I4725" s="6" t="str">
        <f>IFERROR(VLOOKUP('Customer Info'!A4717,'Customer Info'!A4717:E5216,5,FALSE),"Not Found")</f>
        <v>Not Found</v>
      </c>
      <c r="J4725" s="2">
        <v>2466</v>
      </c>
      <c r="K4725" s="2">
        <v>2350</v>
      </c>
      <c r="L4725" s="2">
        <v>3</v>
      </c>
      <c r="M4725" s="7">
        <f t="shared" si="365"/>
        <v>7050</v>
      </c>
      <c r="N4725" s="7">
        <f t="shared" si="366"/>
        <v>7398</v>
      </c>
      <c r="O4725" s="2">
        <v>100</v>
      </c>
      <c r="P4725" s="8">
        <f t="shared" si="367"/>
        <v>7498</v>
      </c>
      <c r="Q4725" s="8">
        <f t="shared" si="368"/>
        <v>5048</v>
      </c>
      <c r="R4725" s="2" t="s">
        <v>50</v>
      </c>
      <c r="S4725" s="9">
        <f t="shared" si="369"/>
        <v>374.90000000000003</v>
      </c>
    </row>
    <row r="4726" spans="1:19" x14ac:dyDescent="0.3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str">
        <f>IFERROR(VLOOKUP('Customer Info'!A4718,'Customer Info'!A4718:C5217,2,FALSE),"Not Found")</f>
        <v>Not Found</v>
      </c>
      <c r="H4726" s="6" t="str">
        <f>IFERROR(VLOOKUP('Customer Info'!A4718,'Customer Info'!A4718:C5217,3,FALSE),"Not Found")</f>
        <v>Not Found</v>
      </c>
      <c r="I4726" s="6" t="str">
        <f>IFERROR(VLOOKUP('Customer Info'!A4718,'Customer Info'!A4718:E5217,5,FALSE),"Not Found")</f>
        <v>Not Found</v>
      </c>
      <c r="J4726" s="2">
        <v>279</v>
      </c>
      <c r="K4726" s="2">
        <v>254</v>
      </c>
      <c r="L4726" s="2">
        <v>1</v>
      </c>
      <c r="M4726" s="7">
        <f t="shared" si="365"/>
        <v>254</v>
      </c>
      <c r="N4726" s="7">
        <f t="shared" si="366"/>
        <v>279</v>
      </c>
      <c r="O4726" s="2">
        <v>65</v>
      </c>
      <c r="P4726" s="8">
        <f t="shared" si="367"/>
        <v>344</v>
      </c>
      <c r="Q4726" s="8">
        <f t="shared" si="368"/>
        <v>25</v>
      </c>
      <c r="R4726" s="2" t="s">
        <v>26</v>
      </c>
      <c r="S4726" s="9">
        <f t="shared" si="369"/>
        <v>6.88</v>
      </c>
    </row>
    <row r="4727" spans="1:19" x14ac:dyDescent="0.3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str">
        <f>IFERROR(VLOOKUP('Customer Info'!A4719,'Customer Info'!A4719:C5218,2,FALSE),"Not Found")</f>
        <v>Not Found</v>
      </c>
      <c r="H4727" s="6" t="str">
        <f>IFERROR(VLOOKUP('Customer Info'!A4719,'Customer Info'!A4719:C5218,3,FALSE),"Not Found")</f>
        <v>Not Found</v>
      </c>
      <c r="I4727" s="6" t="str">
        <f>IFERROR(VLOOKUP('Customer Info'!A4719,'Customer Info'!A4719:E5218,5,FALSE),"Not Found")</f>
        <v>Not Found</v>
      </c>
      <c r="J4727" s="2">
        <v>1552</v>
      </c>
      <c r="K4727" s="2">
        <v>1466</v>
      </c>
      <c r="L4727" s="2">
        <v>4</v>
      </c>
      <c r="M4727" s="7">
        <f t="shared" si="365"/>
        <v>5864</v>
      </c>
      <c r="N4727" s="7">
        <f t="shared" si="366"/>
        <v>6208</v>
      </c>
      <c r="O4727" s="2">
        <v>66</v>
      </c>
      <c r="P4727" s="8">
        <f t="shared" si="367"/>
        <v>6274</v>
      </c>
      <c r="Q4727" s="8">
        <f t="shared" si="368"/>
        <v>4742</v>
      </c>
      <c r="R4727" s="2" t="s">
        <v>50</v>
      </c>
      <c r="S4727" s="9">
        <f t="shared" si="369"/>
        <v>313.70000000000005</v>
      </c>
    </row>
    <row r="4728" spans="1:19" x14ac:dyDescent="0.3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str">
        <f>IFERROR(VLOOKUP('Customer Info'!A4720,'Customer Info'!A4720:C5219,2,FALSE),"Not Found")</f>
        <v>Not Found</v>
      </c>
      <c r="H4728" s="6" t="str">
        <f>IFERROR(VLOOKUP('Customer Info'!A4720,'Customer Info'!A4720:C5219,3,FALSE),"Not Found")</f>
        <v>Not Found</v>
      </c>
      <c r="I4728" s="6" t="str">
        <f>IFERROR(VLOOKUP('Customer Info'!A4720,'Customer Info'!A4720:E5219,5,FALSE),"Not Found")</f>
        <v>Not Found</v>
      </c>
      <c r="J4728" s="2">
        <v>6520</v>
      </c>
      <c r="K4728" s="2">
        <v>5985</v>
      </c>
      <c r="L4728" s="2">
        <v>7</v>
      </c>
      <c r="M4728" s="7">
        <f t="shared" si="365"/>
        <v>41895</v>
      </c>
      <c r="N4728" s="7">
        <f t="shared" si="366"/>
        <v>45640</v>
      </c>
      <c r="O4728" s="2">
        <v>52</v>
      </c>
      <c r="P4728" s="8">
        <f t="shared" si="367"/>
        <v>45692</v>
      </c>
      <c r="Q4728" s="8">
        <f t="shared" si="368"/>
        <v>39655</v>
      </c>
      <c r="R4728" s="2" t="s">
        <v>26</v>
      </c>
      <c r="S4728" s="9">
        <f t="shared" si="369"/>
        <v>3198.4400000000005</v>
      </c>
    </row>
    <row r="4729" spans="1:19" x14ac:dyDescent="0.3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str">
        <f>IFERROR(VLOOKUP('Customer Info'!A4721,'Customer Info'!A4721:C5220,2,FALSE),"Not Found")</f>
        <v>Not Found</v>
      </c>
      <c r="H4729" s="6" t="str">
        <f>IFERROR(VLOOKUP('Customer Info'!A4721,'Customer Info'!A4721:C5220,3,FALSE),"Not Found")</f>
        <v>Not Found</v>
      </c>
      <c r="I4729" s="6" t="str">
        <f>IFERROR(VLOOKUP('Customer Info'!A4721,'Customer Info'!A4721:E5220,5,FALSE),"Not Found")</f>
        <v>Not Found</v>
      </c>
      <c r="J4729" s="2">
        <v>6337</v>
      </c>
      <c r="K4729" s="2">
        <v>6215</v>
      </c>
      <c r="L4729" s="2">
        <v>2</v>
      </c>
      <c r="M4729" s="7">
        <f t="shared" si="365"/>
        <v>12430</v>
      </c>
      <c r="N4729" s="7">
        <f t="shared" si="366"/>
        <v>12674</v>
      </c>
      <c r="O4729" s="2">
        <v>74</v>
      </c>
      <c r="P4729" s="8">
        <f t="shared" si="367"/>
        <v>12748</v>
      </c>
      <c r="Q4729" s="8">
        <f t="shared" si="368"/>
        <v>6459</v>
      </c>
      <c r="R4729" s="2" t="s">
        <v>26</v>
      </c>
      <c r="S4729" s="9">
        <f t="shared" si="369"/>
        <v>637.40000000000009</v>
      </c>
    </row>
    <row r="4730" spans="1:19" x14ac:dyDescent="0.3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str">
        <f>IFERROR(VLOOKUP('Customer Info'!A4722,'Customer Info'!A4722:C5221,2,FALSE),"Not Found")</f>
        <v>Not Found</v>
      </c>
      <c r="H4730" s="6" t="str">
        <f>IFERROR(VLOOKUP('Customer Info'!A4722,'Customer Info'!A4722:C5221,3,FALSE),"Not Found")</f>
        <v>Not Found</v>
      </c>
      <c r="I4730" s="6" t="str">
        <f>IFERROR(VLOOKUP('Customer Info'!A4722,'Customer Info'!A4722:E5221,5,FALSE),"Not Found")</f>
        <v>Not Found</v>
      </c>
      <c r="J4730" s="2">
        <v>1569</v>
      </c>
      <c r="K4730" s="2">
        <v>1466</v>
      </c>
      <c r="L4730" s="2">
        <v>6</v>
      </c>
      <c r="M4730" s="7">
        <f t="shared" si="365"/>
        <v>8796</v>
      </c>
      <c r="N4730" s="7">
        <f t="shared" si="366"/>
        <v>9414</v>
      </c>
      <c r="O4730" s="2">
        <v>55</v>
      </c>
      <c r="P4730" s="8">
        <f t="shared" si="367"/>
        <v>9469</v>
      </c>
      <c r="Q4730" s="8">
        <f t="shared" si="368"/>
        <v>7948</v>
      </c>
      <c r="R4730" s="2" t="s">
        <v>50</v>
      </c>
      <c r="S4730" s="9">
        <f t="shared" si="369"/>
        <v>473.45000000000005</v>
      </c>
    </row>
    <row r="4731" spans="1:19" x14ac:dyDescent="0.3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str">
        <f>IFERROR(VLOOKUP('Customer Info'!A4723,'Customer Info'!A4723:C5222,2,FALSE),"Not Found")</f>
        <v>Not Found</v>
      </c>
      <c r="H4731" s="6" t="str">
        <f>IFERROR(VLOOKUP('Customer Info'!A4723,'Customer Info'!A4723:C5222,3,FALSE),"Not Found")</f>
        <v>Not Found</v>
      </c>
      <c r="I4731" s="6" t="str">
        <f>IFERROR(VLOOKUP('Customer Info'!A4723,'Customer Info'!A4723:E5222,5,FALSE),"Not Found")</f>
        <v>Not Found</v>
      </c>
      <c r="J4731" s="2">
        <v>140</v>
      </c>
      <c r="K4731" s="2">
        <v>137</v>
      </c>
      <c r="L4731" s="2">
        <v>2</v>
      </c>
      <c r="M4731" s="7">
        <f t="shared" si="365"/>
        <v>274</v>
      </c>
      <c r="N4731" s="7">
        <f t="shared" si="366"/>
        <v>280</v>
      </c>
      <c r="O4731" s="2">
        <v>30</v>
      </c>
      <c r="P4731" s="8">
        <f t="shared" si="367"/>
        <v>310</v>
      </c>
      <c r="Q4731" s="8">
        <f t="shared" si="368"/>
        <v>143</v>
      </c>
      <c r="R4731" s="2" t="s">
        <v>50</v>
      </c>
      <c r="S4731" s="9">
        <f t="shared" si="369"/>
        <v>6.2</v>
      </c>
    </row>
    <row r="4732" spans="1:19" x14ac:dyDescent="0.3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str">
        <f>IFERROR(VLOOKUP('Customer Info'!A4724,'Customer Info'!A4724:C5223,2,FALSE),"Not Found")</f>
        <v>Not Found</v>
      </c>
      <c r="H4732" s="6" t="str">
        <f>IFERROR(VLOOKUP('Customer Info'!A4724,'Customer Info'!A4724:C5223,3,FALSE),"Not Found")</f>
        <v>Not Found</v>
      </c>
      <c r="I4732" s="6" t="str">
        <f>IFERROR(VLOOKUP('Customer Info'!A4724,'Customer Info'!A4724:E5223,5,FALSE),"Not Found")</f>
        <v>Not Found</v>
      </c>
      <c r="J4732" s="2">
        <v>2857</v>
      </c>
      <c r="K4732" s="2">
        <v>2622</v>
      </c>
      <c r="L4732" s="2">
        <v>1</v>
      </c>
      <c r="M4732" s="7">
        <f t="shared" si="365"/>
        <v>2622</v>
      </c>
      <c r="N4732" s="7">
        <f t="shared" si="366"/>
        <v>2857</v>
      </c>
      <c r="O4732" s="2">
        <v>97</v>
      </c>
      <c r="P4732" s="8">
        <f t="shared" si="367"/>
        <v>2954</v>
      </c>
      <c r="Q4732" s="8">
        <f t="shared" si="368"/>
        <v>235</v>
      </c>
      <c r="R4732" s="2" t="s">
        <v>28</v>
      </c>
      <c r="S4732" s="9">
        <f t="shared" si="369"/>
        <v>59.08</v>
      </c>
    </row>
    <row r="4733" spans="1:19" x14ac:dyDescent="0.3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str">
        <f>IFERROR(VLOOKUP('Customer Info'!A4725,'Customer Info'!A4725:C5224,2,FALSE),"Not Found")</f>
        <v>Not Found</v>
      </c>
      <c r="H4733" s="6" t="str">
        <f>IFERROR(VLOOKUP('Customer Info'!A4725,'Customer Info'!A4725:C5224,3,FALSE),"Not Found")</f>
        <v>Not Found</v>
      </c>
      <c r="I4733" s="6" t="str">
        <f>IFERROR(VLOOKUP('Customer Info'!A4725,'Customer Info'!A4725:E5224,5,FALSE),"Not Found")</f>
        <v>Not Found</v>
      </c>
      <c r="J4733" s="2">
        <v>4246</v>
      </c>
      <c r="K4733" s="2">
        <v>3857</v>
      </c>
      <c r="L4733" s="2">
        <v>3</v>
      </c>
      <c r="M4733" s="7">
        <f t="shared" si="365"/>
        <v>11571</v>
      </c>
      <c r="N4733" s="7">
        <f t="shared" si="366"/>
        <v>12738</v>
      </c>
      <c r="O4733" s="2">
        <v>20</v>
      </c>
      <c r="P4733" s="8">
        <f t="shared" si="367"/>
        <v>12758</v>
      </c>
      <c r="Q4733" s="8">
        <f t="shared" si="368"/>
        <v>8881</v>
      </c>
      <c r="R4733" s="2" t="s">
        <v>50</v>
      </c>
      <c r="S4733" s="9">
        <f t="shared" si="369"/>
        <v>637.90000000000009</v>
      </c>
    </row>
    <row r="4734" spans="1:19" x14ac:dyDescent="0.3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str">
        <f>IFERROR(VLOOKUP('Customer Info'!A4726,'Customer Info'!A4726:C5225,2,FALSE),"Not Found")</f>
        <v>Not Found</v>
      </c>
      <c r="H4734" s="6" t="str">
        <f>IFERROR(VLOOKUP('Customer Info'!A4726,'Customer Info'!A4726:C5225,3,FALSE),"Not Found")</f>
        <v>Not Found</v>
      </c>
      <c r="I4734" s="6" t="str">
        <f>IFERROR(VLOOKUP('Customer Info'!A4726,'Customer Info'!A4726:E5225,5,FALSE),"Not Found")</f>
        <v>Not Found</v>
      </c>
      <c r="J4734" s="2">
        <v>8878</v>
      </c>
      <c r="K4734" s="2">
        <v>7914</v>
      </c>
      <c r="L4734" s="2">
        <v>2</v>
      </c>
      <c r="M4734" s="7">
        <f t="shared" si="365"/>
        <v>15828</v>
      </c>
      <c r="N4734" s="7">
        <f t="shared" si="366"/>
        <v>17756</v>
      </c>
      <c r="O4734" s="2">
        <v>89</v>
      </c>
      <c r="P4734" s="8">
        <f t="shared" si="367"/>
        <v>17845</v>
      </c>
      <c r="Q4734" s="8">
        <f t="shared" si="368"/>
        <v>9842</v>
      </c>
      <c r="R4734" s="2" t="s">
        <v>28</v>
      </c>
      <c r="S4734" s="9">
        <f t="shared" si="369"/>
        <v>892.25</v>
      </c>
    </row>
    <row r="4735" spans="1:19" x14ac:dyDescent="0.3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str">
        <f>IFERROR(VLOOKUP('Customer Info'!A4727,'Customer Info'!A4727:C5226,2,FALSE),"Not Found")</f>
        <v>Not Found</v>
      </c>
      <c r="H4735" s="6" t="str">
        <f>IFERROR(VLOOKUP('Customer Info'!A4727,'Customer Info'!A4727:C5226,3,FALSE),"Not Found")</f>
        <v>Not Found</v>
      </c>
      <c r="I4735" s="6" t="str">
        <f>IFERROR(VLOOKUP('Customer Info'!A4727,'Customer Info'!A4727:E5226,5,FALSE),"Not Found")</f>
        <v>Not Found</v>
      </c>
      <c r="J4735" s="2">
        <v>61</v>
      </c>
      <c r="K4735" s="2">
        <v>56</v>
      </c>
      <c r="L4735" s="2">
        <v>3</v>
      </c>
      <c r="M4735" s="7">
        <f t="shared" si="365"/>
        <v>168</v>
      </c>
      <c r="N4735" s="7">
        <f t="shared" si="366"/>
        <v>183</v>
      </c>
      <c r="O4735" s="2">
        <v>10</v>
      </c>
      <c r="P4735" s="8">
        <f t="shared" si="367"/>
        <v>193</v>
      </c>
      <c r="Q4735" s="8">
        <f t="shared" si="368"/>
        <v>127</v>
      </c>
      <c r="R4735" s="2" t="s">
        <v>50</v>
      </c>
      <c r="S4735" s="9">
        <f t="shared" si="369"/>
        <v>3.86</v>
      </c>
    </row>
    <row r="4736" spans="1:19" x14ac:dyDescent="0.3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str">
        <f>IFERROR(VLOOKUP('Customer Info'!A4728,'Customer Info'!A4728:C5227,2,FALSE),"Not Found")</f>
        <v>Not Found</v>
      </c>
      <c r="H4736" s="6" t="str">
        <f>IFERROR(VLOOKUP('Customer Info'!A4728,'Customer Info'!A4728:C5227,3,FALSE),"Not Found")</f>
        <v>Not Found</v>
      </c>
      <c r="I4736" s="6" t="str">
        <f>IFERROR(VLOOKUP('Customer Info'!A4728,'Customer Info'!A4728:E5227,5,FALSE),"Not Found")</f>
        <v>Not Found</v>
      </c>
      <c r="J4736" s="2">
        <v>7474</v>
      </c>
      <c r="K4736" s="2">
        <v>6858</v>
      </c>
      <c r="L4736" s="2">
        <v>6</v>
      </c>
      <c r="M4736" s="7">
        <f t="shared" si="365"/>
        <v>41148</v>
      </c>
      <c r="N4736" s="7">
        <f t="shared" si="366"/>
        <v>44844</v>
      </c>
      <c r="O4736" s="2">
        <v>96</v>
      </c>
      <c r="P4736" s="8">
        <f t="shared" si="367"/>
        <v>44940</v>
      </c>
      <c r="Q4736" s="8">
        <f t="shared" si="368"/>
        <v>37986</v>
      </c>
      <c r="R4736" s="2" t="s">
        <v>28</v>
      </c>
      <c r="S4736" s="9">
        <f t="shared" si="369"/>
        <v>3145.8</v>
      </c>
    </row>
    <row r="4737" spans="1:19" x14ac:dyDescent="0.3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str">
        <f>IFERROR(VLOOKUP('Customer Info'!A4729,'Customer Info'!A4729:C5228,2,FALSE),"Not Found")</f>
        <v>Not Found</v>
      </c>
      <c r="H4737" s="6" t="str">
        <f>IFERROR(VLOOKUP('Customer Info'!A4729,'Customer Info'!A4729:C5228,3,FALSE),"Not Found")</f>
        <v>Not Found</v>
      </c>
      <c r="I4737" s="6" t="str">
        <f>IFERROR(VLOOKUP('Customer Info'!A4729,'Customer Info'!A4729:E5228,5,FALSE),"Not Found")</f>
        <v>Not Found</v>
      </c>
      <c r="J4737" s="2">
        <v>2083</v>
      </c>
      <c r="K4737" s="2">
        <v>2004</v>
      </c>
      <c r="L4737" s="2">
        <v>1</v>
      </c>
      <c r="M4737" s="7">
        <f t="shared" si="365"/>
        <v>2004</v>
      </c>
      <c r="N4737" s="7">
        <f t="shared" si="366"/>
        <v>2083</v>
      </c>
      <c r="O4737" s="2">
        <v>68</v>
      </c>
      <c r="P4737" s="8">
        <f t="shared" si="367"/>
        <v>2151</v>
      </c>
      <c r="Q4737" s="8">
        <f t="shared" si="368"/>
        <v>79</v>
      </c>
      <c r="R4737" s="2" t="s">
        <v>28</v>
      </c>
      <c r="S4737" s="9">
        <f t="shared" si="369"/>
        <v>43.02</v>
      </c>
    </row>
    <row r="4738" spans="1:19" x14ac:dyDescent="0.3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str">
        <f>IFERROR(VLOOKUP('Customer Info'!A4730,'Customer Info'!A4730:C5229,2,FALSE),"Not Found")</f>
        <v>Not Found</v>
      </c>
      <c r="H4738" s="6" t="str">
        <f>IFERROR(VLOOKUP('Customer Info'!A4730,'Customer Info'!A4730:C5229,3,FALSE),"Not Found")</f>
        <v>Not Found</v>
      </c>
      <c r="I4738" s="6" t="str">
        <f>IFERROR(VLOOKUP('Customer Info'!A4730,'Customer Info'!A4730:E5229,5,FALSE),"Not Found")</f>
        <v>Not Found</v>
      </c>
      <c r="J4738" s="2">
        <v>69</v>
      </c>
      <c r="K4738" s="2">
        <v>64</v>
      </c>
      <c r="L4738" s="2">
        <v>1</v>
      </c>
      <c r="M4738" s="7">
        <f t="shared" si="365"/>
        <v>64</v>
      </c>
      <c r="N4738" s="7">
        <f t="shared" si="366"/>
        <v>69</v>
      </c>
      <c r="O4738" s="2">
        <v>10</v>
      </c>
      <c r="P4738" s="8">
        <f t="shared" si="367"/>
        <v>79</v>
      </c>
      <c r="Q4738" s="8">
        <f t="shared" si="368"/>
        <v>5</v>
      </c>
      <c r="R4738" s="2" t="s">
        <v>28</v>
      </c>
      <c r="S4738" s="9">
        <f t="shared" si="369"/>
        <v>1.58</v>
      </c>
    </row>
    <row r="4739" spans="1:19" x14ac:dyDescent="0.3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str">
        <f>IFERROR(VLOOKUP('Customer Info'!A4731,'Customer Info'!A4731:C5230,2,FALSE),"Not Found")</f>
        <v>Not Found</v>
      </c>
      <c r="H4739" s="6" t="str">
        <f>IFERROR(VLOOKUP('Customer Info'!A4731,'Customer Info'!A4731:C5230,3,FALSE),"Not Found")</f>
        <v>Not Found</v>
      </c>
      <c r="I4739" s="6" t="str">
        <f>IFERROR(VLOOKUP('Customer Info'!A4731,'Customer Info'!A4731:E5230,5,FALSE),"Not Found")</f>
        <v>Not Found</v>
      </c>
      <c r="J4739" s="2">
        <v>7943</v>
      </c>
      <c r="K4739" s="2">
        <v>7790</v>
      </c>
      <c r="L4739" s="2">
        <v>2</v>
      </c>
      <c r="M4739" s="7">
        <f t="shared" si="365"/>
        <v>15580</v>
      </c>
      <c r="N4739" s="7">
        <f t="shared" si="366"/>
        <v>15886</v>
      </c>
      <c r="O4739" s="2">
        <v>71</v>
      </c>
      <c r="P4739" s="8">
        <f t="shared" si="367"/>
        <v>15957</v>
      </c>
      <c r="Q4739" s="8">
        <f t="shared" si="368"/>
        <v>8096</v>
      </c>
      <c r="R4739" s="2" t="s">
        <v>28</v>
      </c>
      <c r="S4739" s="9">
        <f t="shared" si="369"/>
        <v>797.85</v>
      </c>
    </row>
    <row r="4740" spans="1:19" x14ac:dyDescent="0.3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str">
        <f>IFERROR(VLOOKUP('Customer Info'!A4732,'Customer Info'!A4732:C5231,2,FALSE),"Not Found")</f>
        <v>Not Found</v>
      </c>
      <c r="H4740" s="6" t="str">
        <f>IFERROR(VLOOKUP('Customer Info'!A4732,'Customer Info'!A4732:C5231,3,FALSE),"Not Found")</f>
        <v>Not Found</v>
      </c>
      <c r="I4740" s="6" t="str">
        <f>IFERROR(VLOOKUP('Customer Info'!A4732,'Customer Info'!A4732:E5231,5,FALSE),"Not Found")</f>
        <v>Not Found</v>
      </c>
      <c r="J4740" s="2">
        <v>2874</v>
      </c>
      <c r="K4740" s="2">
        <v>2583</v>
      </c>
      <c r="L4740" s="2">
        <v>2</v>
      </c>
      <c r="M4740" s="7">
        <f t="shared" si="365"/>
        <v>5166</v>
      </c>
      <c r="N4740" s="7">
        <f t="shared" si="366"/>
        <v>5748</v>
      </c>
      <c r="O4740" s="2">
        <v>86</v>
      </c>
      <c r="P4740" s="8">
        <f t="shared" si="367"/>
        <v>5834</v>
      </c>
      <c r="Q4740" s="8">
        <f t="shared" si="368"/>
        <v>3165</v>
      </c>
      <c r="R4740" s="2" t="s">
        <v>28</v>
      </c>
      <c r="S4740" s="9">
        <f t="shared" si="369"/>
        <v>291.7</v>
      </c>
    </row>
    <row r="4741" spans="1:19" x14ac:dyDescent="0.3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str">
        <f>IFERROR(VLOOKUP('Customer Info'!A4733,'Customer Info'!A4733:C5232,2,FALSE),"Not Found")</f>
        <v>Not Found</v>
      </c>
      <c r="H4741" s="6" t="str">
        <f>IFERROR(VLOOKUP('Customer Info'!A4733,'Customer Info'!A4733:C5232,3,FALSE),"Not Found")</f>
        <v>Not Found</v>
      </c>
      <c r="I4741" s="6" t="str">
        <f>IFERROR(VLOOKUP('Customer Info'!A4733,'Customer Info'!A4733:E5232,5,FALSE),"Not Found")</f>
        <v>Not Found</v>
      </c>
      <c r="J4741" s="2">
        <v>4904</v>
      </c>
      <c r="K4741" s="2">
        <v>4499</v>
      </c>
      <c r="L4741" s="2">
        <v>2</v>
      </c>
      <c r="M4741" s="7">
        <f t="shared" si="365"/>
        <v>8998</v>
      </c>
      <c r="N4741" s="7">
        <f t="shared" si="366"/>
        <v>9808</v>
      </c>
      <c r="O4741" s="2">
        <v>56</v>
      </c>
      <c r="P4741" s="8">
        <f t="shared" si="367"/>
        <v>9864</v>
      </c>
      <c r="Q4741" s="8">
        <f t="shared" si="368"/>
        <v>5309</v>
      </c>
      <c r="R4741" s="2" t="s">
        <v>28</v>
      </c>
      <c r="S4741" s="9">
        <f t="shared" si="369"/>
        <v>493.20000000000005</v>
      </c>
    </row>
    <row r="4742" spans="1:19" x14ac:dyDescent="0.3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str">
        <f>IFERROR(VLOOKUP('Customer Info'!A4734,'Customer Info'!A4734:C5233,2,FALSE),"Not Found")</f>
        <v>Not Found</v>
      </c>
      <c r="H4742" s="6" t="str">
        <f>IFERROR(VLOOKUP('Customer Info'!A4734,'Customer Info'!A4734:C5233,3,FALSE),"Not Found")</f>
        <v>Not Found</v>
      </c>
      <c r="I4742" s="6" t="str">
        <f>IFERROR(VLOOKUP('Customer Info'!A4734,'Customer Info'!A4734:E5233,5,FALSE),"Not Found")</f>
        <v>Not Found</v>
      </c>
      <c r="J4742" s="2">
        <v>1882</v>
      </c>
      <c r="K4742" s="2">
        <v>1792</v>
      </c>
      <c r="L4742" s="2">
        <v>3</v>
      </c>
      <c r="M4742" s="7">
        <f t="shared" si="365"/>
        <v>5376</v>
      </c>
      <c r="N4742" s="7">
        <f t="shared" si="366"/>
        <v>5646</v>
      </c>
      <c r="O4742" s="2">
        <v>60</v>
      </c>
      <c r="P4742" s="8">
        <f t="shared" si="367"/>
        <v>5706</v>
      </c>
      <c r="Q4742" s="8">
        <f t="shared" si="368"/>
        <v>3854</v>
      </c>
      <c r="R4742" s="2" t="s">
        <v>50</v>
      </c>
      <c r="S4742" s="9">
        <f t="shared" si="369"/>
        <v>285.3</v>
      </c>
    </row>
    <row r="4743" spans="1:19" x14ac:dyDescent="0.3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str">
        <f>IFERROR(VLOOKUP('Customer Info'!A4735,'Customer Info'!A4735:C5234,2,FALSE),"Not Found")</f>
        <v>Not Found</v>
      </c>
      <c r="H4743" s="6" t="str">
        <f>IFERROR(VLOOKUP('Customer Info'!A4735,'Customer Info'!A4735:C5234,3,FALSE),"Not Found")</f>
        <v>Not Found</v>
      </c>
      <c r="I4743" s="6" t="str">
        <f>IFERROR(VLOOKUP('Customer Info'!A4735,'Customer Info'!A4735:E5234,5,FALSE),"Not Found")</f>
        <v>Not Found</v>
      </c>
      <c r="J4743" s="2">
        <v>140</v>
      </c>
      <c r="K4743" s="2">
        <v>137</v>
      </c>
      <c r="L4743" s="2">
        <v>2</v>
      </c>
      <c r="M4743" s="7">
        <f t="shared" si="365"/>
        <v>274</v>
      </c>
      <c r="N4743" s="7">
        <f t="shared" si="366"/>
        <v>280</v>
      </c>
      <c r="O4743" s="2">
        <v>30</v>
      </c>
      <c r="P4743" s="8">
        <f t="shared" si="367"/>
        <v>310</v>
      </c>
      <c r="Q4743" s="8">
        <f t="shared" si="368"/>
        <v>143</v>
      </c>
      <c r="R4743" s="2" t="s">
        <v>50</v>
      </c>
      <c r="S4743" s="9">
        <f t="shared" si="369"/>
        <v>6.2</v>
      </c>
    </row>
    <row r="4744" spans="1:19" x14ac:dyDescent="0.3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str">
        <f>IFERROR(VLOOKUP('Customer Info'!A4736,'Customer Info'!A4736:C5235,2,FALSE),"Not Found")</f>
        <v>Not Found</v>
      </c>
      <c r="H4744" s="6" t="str">
        <f>IFERROR(VLOOKUP('Customer Info'!A4736,'Customer Info'!A4736:C5235,3,FALSE),"Not Found")</f>
        <v>Not Found</v>
      </c>
      <c r="I4744" s="6" t="str">
        <f>IFERROR(VLOOKUP('Customer Info'!A4736,'Customer Info'!A4736:E5235,5,FALSE),"Not Found")</f>
        <v>Not Found</v>
      </c>
      <c r="J4744" s="2">
        <v>9306</v>
      </c>
      <c r="K4744" s="2">
        <v>8461</v>
      </c>
      <c r="L4744" s="2">
        <v>3</v>
      </c>
      <c r="M4744" s="7">
        <f t="shared" si="365"/>
        <v>25383</v>
      </c>
      <c r="N4744" s="7">
        <f t="shared" si="366"/>
        <v>27918</v>
      </c>
      <c r="O4744" s="2">
        <v>39</v>
      </c>
      <c r="P4744" s="8">
        <f t="shared" si="367"/>
        <v>27957</v>
      </c>
      <c r="Q4744" s="8">
        <f t="shared" si="368"/>
        <v>19457</v>
      </c>
      <c r="R4744" s="2" t="s">
        <v>50</v>
      </c>
      <c r="S4744" s="9">
        <f t="shared" si="369"/>
        <v>1956.9900000000002</v>
      </c>
    </row>
    <row r="4745" spans="1:19" x14ac:dyDescent="0.3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str">
        <f>IFERROR(VLOOKUP('Customer Info'!A4737,'Customer Info'!A4737:C5236,2,FALSE),"Not Found")</f>
        <v>Not Found</v>
      </c>
      <c r="H4745" s="6" t="str">
        <f>IFERROR(VLOOKUP('Customer Info'!A4737,'Customer Info'!A4737:C5236,3,FALSE),"Not Found")</f>
        <v>Not Found</v>
      </c>
      <c r="I4745" s="6" t="str">
        <f>IFERROR(VLOOKUP('Customer Info'!A4737,'Customer Info'!A4737:E5236,5,FALSE),"Not Found")</f>
        <v>Not Found</v>
      </c>
      <c r="J4745" s="2">
        <v>1364</v>
      </c>
      <c r="K4745" s="2">
        <v>1274</v>
      </c>
      <c r="L4745" s="2">
        <v>4</v>
      </c>
      <c r="M4745" s="7">
        <f t="shared" si="365"/>
        <v>5096</v>
      </c>
      <c r="N4745" s="7">
        <f t="shared" si="366"/>
        <v>5456</v>
      </c>
      <c r="O4745" s="2">
        <v>51</v>
      </c>
      <c r="P4745" s="8">
        <f t="shared" si="367"/>
        <v>5507</v>
      </c>
      <c r="Q4745" s="8">
        <f t="shared" si="368"/>
        <v>4182</v>
      </c>
      <c r="R4745" s="2" t="s">
        <v>56</v>
      </c>
      <c r="S4745" s="9">
        <f t="shared" si="369"/>
        <v>275.35000000000002</v>
      </c>
    </row>
    <row r="4746" spans="1:19" x14ac:dyDescent="0.3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str">
        <f>IFERROR(VLOOKUP('Customer Info'!A4738,'Customer Info'!A4738:C5237,2,FALSE),"Not Found")</f>
        <v>Not Found</v>
      </c>
      <c r="H4746" s="6" t="str">
        <f>IFERROR(VLOOKUP('Customer Info'!A4738,'Customer Info'!A4738:C5237,3,FALSE),"Not Found")</f>
        <v>Not Found</v>
      </c>
      <c r="I4746" s="6" t="str">
        <f>IFERROR(VLOOKUP('Customer Info'!A4738,'Customer Info'!A4738:E5237,5,FALSE),"Not Found")</f>
        <v>Not Found</v>
      </c>
      <c r="J4746" s="2">
        <v>58</v>
      </c>
      <c r="K4746" s="2">
        <v>56</v>
      </c>
      <c r="L4746" s="2">
        <v>2</v>
      </c>
      <c r="M4746" s="7">
        <f t="shared" si="365"/>
        <v>112</v>
      </c>
      <c r="N4746" s="7">
        <f t="shared" si="366"/>
        <v>116</v>
      </c>
      <c r="O4746" s="2">
        <v>10</v>
      </c>
      <c r="P4746" s="8">
        <f t="shared" si="367"/>
        <v>126</v>
      </c>
      <c r="Q4746" s="8">
        <f t="shared" si="368"/>
        <v>60</v>
      </c>
      <c r="R4746" s="2" t="s">
        <v>28</v>
      </c>
      <c r="S4746" s="9">
        <f t="shared" si="369"/>
        <v>2.52</v>
      </c>
    </row>
    <row r="4747" spans="1:19" x14ac:dyDescent="0.3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str">
        <f>IFERROR(VLOOKUP('Customer Info'!A4739,'Customer Info'!A4739:C5238,2,FALSE),"Not Found")</f>
        <v>Not Found</v>
      </c>
      <c r="H4747" s="6" t="str">
        <f>IFERROR(VLOOKUP('Customer Info'!A4739,'Customer Info'!A4739:C5238,3,FALSE),"Not Found")</f>
        <v>Not Found</v>
      </c>
      <c r="I4747" s="6" t="str">
        <f>IFERROR(VLOOKUP('Customer Info'!A4739,'Customer Info'!A4739:E5238,5,FALSE),"Not Found")</f>
        <v>Not Found</v>
      </c>
      <c r="J4747" s="2">
        <v>1081</v>
      </c>
      <c r="K4747" s="2">
        <v>983</v>
      </c>
      <c r="L4747" s="2">
        <v>3</v>
      </c>
      <c r="M4747" s="7">
        <f t="shared" ref="M4747:M4810" si="370">$K4747*$L4747</f>
        <v>2949</v>
      </c>
      <c r="N4747" s="7">
        <f t="shared" ref="N4747:N4810" si="371">$J4747*$L4747</f>
        <v>3243</v>
      </c>
      <c r="O4747" s="2">
        <v>44</v>
      </c>
      <c r="P4747" s="8">
        <f t="shared" ref="P4747:P4810" si="372">$N4747+$O4747</f>
        <v>3287</v>
      </c>
      <c r="Q4747" s="8">
        <f t="shared" ref="Q4747:Q4810" si="373">$N4747-$K4747</f>
        <v>2260</v>
      </c>
      <c r="R4747" s="2" t="s">
        <v>28</v>
      </c>
      <c r="S4747" s="9">
        <f t="shared" ref="S4747:S4810" si="374" xml:space="preserve"> P4747 * VLOOKUP(P4747, $T$2:$U$6, 2, TRUE)</f>
        <v>65.739999999999995</v>
      </c>
    </row>
    <row r="4748" spans="1:19" x14ac:dyDescent="0.3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str">
        <f>IFERROR(VLOOKUP('Customer Info'!A4740,'Customer Info'!A4740:C5239,2,FALSE),"Not Found")</f>
        <v>Not Found</v>
      </c>
      <c r="H4748" s="6" t="str">
        <f>IFERROR(VLOOKUP('Customer Info'!A4740,'Customer Info'!A4740:C5239,3,FALSE),"Not Found")</f>
        <v>Not Found</v>
      </c>
      <c r="I4748" s="6" t="str">
        <f>IFERROR(VLOOKUP('Customer Info'!A4740,'Customer Info'!A4740:E5239,5,FALSE),"Not Found")</f>
        <v>Not Found</v>
      </c>
      <c r="J4748" s="2">
        <v>170</v>
      </c>
      <c r="K4748" s="2">
        <v>160</v>
      </c>
      <c r="L4748" s="2">
        <v>6</v>
      </c>
      <c r="M4748" s="7">
        <f t="shared" si="370"/>
        <v>960</v>
      </c>
      <c r="N4748" s="7">
        <f t="shared" si="371"/>
        <v>1020</v>
      </c>
      <c r="O4748" s="2">
        <v>30</v>
      </c>
      <c r="P4748" s="8">
        <f t="shared" si="372"/>
        <v>1050</v>
      </c>
      <c r="Q4748" s="8">
        <f t="shared" si="373"/>
        <v>860</v>
      </c>
      <c r="R4748" s="2" t="s">
        <v>28</v>
      </c>
      <c r="S4748" s="9">
        <f t="shared" si="374"/>
        <v>21</v>
      </c>
    </row>
    <row r="4749" spans="1:19" x14ac:dyDescent="0.3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str">
        <f>IFERROR(VLOOKUP('Customer Info'!A4741,'Customer Info'!A4741:C5240,2,FALSE),"Not Found")</f>
        <v>Not Found</v>
      </c>
      <c r="H4749" s="6" t="str">
        <f>IFERROR(VLOOKUP('Customer Info'!A4741,'Customer Info'!A4741:C5240,3,FALSE),"Not Found")</f>
        <v>Not Found</v>
      </c>
      <c r="I4749" s="6" t="str">
        <f>IFERROR(VLOOKUP('Customer Info'!A4741,'Customer Info'!A4741:E5240,5,FALSE),"Not Found")</f>
        <v>Not Found</v>
      </c>
      <c r="J4749" s="2">
        <v>6024</v>
      </c>
      <c r="K4749" s="2">
        <v>5424</v>
      </c>
      <c r="L4749" s="2">
        <v>3</v>
      </c>
      <c r="M4749" s="7">
        <f t="shared" si="370"/>
        <v>16272</v>
      </c>
      <c r="N4749" s="7">
        <f t="shared" si="371"/>
        <v>18072</v>
      </c>
      <c r="O4749" s="2">
        <v>48</v>
      </c>
      <c r="P4749" s="8">
        <f t="shared" si="372"/>
        <v>18120</v>
      </c>
      <c r="Q4749" s="8">
        <f t="shared" si="373"/>
        <v>12648</v>
      </c>
      <c r="R4749" s="2" t="s">
        <v>26</v>
      </c>
      <c r="S4749" s="9">
        <f t="shared" si="374"/>
        <v>906</v>
      </c>
    </row>
    <row r="4750" spans="1:19" x14ac:dyDescent="0.3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str">
        <f>IFERROR(VLOOKUP('Customer Info'!A4742,'Customer Info'!A4742:C5241,2,FALSE),"Not Found")</f>
        <v>Not Found</v>
      </c>
      <c r="H4750" s="6" t="str">
        <f>IFERROR(VLOOKUP('Customer Info'!A4742,'Customer Info'!A4742:C5241,3,FALSE),"Not Found")</f>
        <v>Not Found</v>
      </c>
      <c r="I4750" s="6" t="str">
        <f>IFERROR(VLOOKUP('Customer Info'!A4742,'Customer Info'!A4742:E5241,5,FALSE),"Not Found")</f>
        <v>Not Found</v>
      </c>
      <c r="J4750" s="2">
        <v>2526</v>
      </c>
      <c r="K4750" s="2">
        <v>2408</v>
      </c>
      <c r="L4750" s="2">
        <v>5</v>
      </c>
      <c r="M4750" s="7">
        <f t="shared" si="370"/>
        <v>12040</v>
      </c>
      <c r="N4750" s="7">
        <f t="shared" si="371"/>
        <v>12630</v>
      </c>
      <c r="O4750" s="2">
        <v>58</v>
      </c>
      <c r="P4750" s="8">
        <f t="shared" si="372"/>
        <v>12688</v>
      </c>
      <c r="Q4750" s="8">
        <f t="shared" si="373"/>
        <v>10222</v>
      </c>
      <c r="R4750" s="2" t="s">
        <v>28</v>
      </c>
      <c r="S4750" s="9">
        <f t="shared" si="374"/>
        <v>634.40000000000009</v>
      </c>
    </row>
    <row r="4751" spans="1:19" x14ac:dyDescent="0.3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str">
        <f>IFERROR(VLOOKUP('Customer Info'!A4743,'Customer Info'!A4743:C5242,2,FALSE),"Not Found")</f>
        <v>Not Found</v>
      </c>
      <c r="H4751" s="6" t="str">
        <f>IFERROR(VLOOKUP('Customer Info'!A4743,'Customer Info'!A4743:C5242,3,FALSE),"Not Found")</f>
        <v>Not Found</v>
      </c>
      <c r="I4751" s="6" t="str">
        <f>IFERROR(VLOOKUP('Customer Info'!A4743,'Customer Info'!A4743:E5242,5,FALSE),"Not Found")</f>
        <v>Not Found</v>
      </c>
      <c r="J4751" s="2">
        <v>2747</v>
      </c>
      <c r="K4751" s="2">
        <v>2545</v>
      </c>
      <c r="L4751" s="2">
        <v>8</v>
      </c>
      <c r="M4751" s="7">
        <f t="shared" si="370"/>
        <v>20360</v>
      </c>
      <c r="N4751" s="7">
        <f t="shared" si="371"/>
        <v>21976</v>
      </c>
      <c r="O4751" s="2">
        <v>25</v>
      </c>
      <c r="P4751" s="8">
        <f t="shared" si="372"/>
        <v>22001</v>
      </c>
      <c r="Q4751" s="8">
        <f t="shared" si="373"/>
        <v>19431</v>
      </c>
      <c r="R4751" s="2" t="s">
        <v>28</v>
      </c>
      <c r="S4751" s="9">
        <f t="shared" si="374"/>
        <v>1100.05</v>
      </c>
    </row>
    <row r="4752" spans="1:19" x14ac:dyDescent="0.3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str">
        <f>IFERROR(VLOOKUP('Customer Info'!A4744,'Customer Info'!A4744:C5243,2,FALSE),"Not Found")</f>
        <v>Not Found</v>
      </c>
      <c r="H4752" s="6" t="str">
        <f>IFERROR(VLOOKUP('Customer Info'!A4744,'Customer Info'!A4744:C5243,3,FALSE),"Not Found")</f>
        <v>Not Found</v>
      </c>
      <c r="I4752" s="6" t="str">
        <f>IFERROR(VLOOKUP('Customer Info'!A4744,'Customer Info'!A4744:E5243,5,FALSE),"Not Found")</f>
        <v>Not Found</v>
      </c>
      <c r="J4752" s="2">
        <v>4832</v>
      </c>
      <c r="K4752" s="2">
        <v>4563</v>
      </c>
      <c r="L4752" s="2">
        <v>2</v>
      </c>
      <c r="M4752" s="7">
        <f t="shared" si="370"/>
        <v>9126</v>
      </c>
      <c r="N4752" s="7">
        <f t="shared" si="371"/>
        <v>9664</v>
      </c>
      <c r="O4752" s="2">
        <v>21</v>
      </c>
      <c r="P4752" s="8">
        <f t="shared" si="372"/>
        <v>9685</v>
      </c>
      <c r="Q4752" s="8">
        <f t="shared" si="373"/>
        <v>5101</v>
      </c>
      <c r="R4752" s="2" t="s">
        <v>28</v>
      </c>
      <c r="S4752" s="9">
        <f t="shared" si="374"/>
        <v>484.25</v>
      </c>
    </row>
    <row r="4753" spans="1:19" x14ac:dyDescent="0.3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str">
        <f>IFERROR(VLOOKUP('Customer Info'!A4745,'Customer Info'!A4745:C5244,2,FALSE),"Not Found")</f>
        <v>Not Found</v>
      </c>
      <c r="H4753" s="6" t="str">
        <f>IFERROR(VLOOKUP('Customer Info'!A4745,'Customer Info'!A4745:C5244,3,FALSE),"Not Found")</f>
        <v>Not Found</v>
      </c>
      <c r="I4753" s="6" t="str">
        <f>IFERROR(VLOOKUP('Customer Info'!A4745,'Customer Info'!A4745:E5244,5,FALSE),"Not Found")</f>
        <v>Not Found</v>
      </c>
      <c r="J4753" s="2">
        <v>67</v>
      </c>
      <c r="K4753" s="2">
        <v>62</v>
      </c>
      <c r="L4753" s="2">
        <v>2</v>
      </c>
      <c r="M4753" s="7">
        <f t="shared" si="370"/>
        <v>124</v>
      </c>
      <c r="N4753" s="7">
        <f t="shared" si="371"/>
        <v>134</v>
      </c>
      <c r="O4753" s="2">
        <v>10</v>
      </c>
      <c r="P4753" s="8">
        <f t="shared" si="372"/>
        <v>144</v>
      </c>
      <c r="Q4753" s="8">
        <f t="shared" si="373"/>
        <v>72</v>
      </c>
      <c r="R4753" s="2" t="s">
        <v>50</v>
      </c>
      <c r="S4753" s="9">
        <f t="shared" si="374"/>
        <v>2.88</v>
      </c>
    </row>
    <row r="4754" spans="1:19" x14ac:dyDescent="0.3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str">
        <f>IFERROR(VLOOKUP('Customer Info'!A4746,'Customer Info'!A4746:C5245,2,FALSE),"Not Found")</f>
        <v>Not Found</v>
      </c>
      <c r="H4754" s="6" t="str">
        <f>IFERROR(VLOOKUP('Customer Info'!A4746,'Customer Info'!A4746:C5245,3,FALSE),"Not Found")</f>
        <v>Not Found</v>
      </c>
      <c r="I4754" s="6" t="str">
        <f>IFERROR(VLOOKUP('Customer Info'!A4746,'Customer Info'!A4746:E5245,5,FALSE),"Not Found")</f>
        <v>Not Found</v>
      </c>
      <c r="J4754" s="2">
        <v>2778</v>
      </c>
      <c r="K4754" s="2">
        <v>2573</v>
      </c>
      <c r="L4754" s="2">
        <v>1</v>
      </c>
      <c r="M4754" s="7">
        <f t="shared" si="370"/>
        <v>2573</v>
      </c>
      <c r="N4754" s="7">
        <f t="shared" si="371"/>
        <v>2778</v>
      </c>
      <c r="O4754" s="2">
        <v>86</v>
      </c>
      <c r="P4754" s="8">
        <f t="shared" si="372"/>
        <v>2864</v>
      </c>
      <c r="Q4754" s="8">
        <f t="shared" si="373"/>
        <v>205</v>
      </c>
      <c r="R4754" s="2" t="s">
        <v>28</v>
      </c>
      <c r="S4754" s="9">
        <f t="shared" si="374"/>
        <v>57.28</v>
      </c>
    </row>
    <row r="4755" spans="1:19" x14ac:dyDescent="0.3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str">
        <f>IFERROR(VLOOKUP('Customer Info'!A4747,'Customer Info'!A4747:C5246,2,FALSE),"Not Found")</f>
        <v>Not Found</v>
      </c>
      <c r="H4755" s="6" t="str">
        <f>IFERROR(VLOOKUP('Customer Info'!A4747,'Customer Info'!A4747:C5246,3,FALSE),"Not Found")</f>
        <v>Not Found</v>
      </c>
      <c r="I4755" s="6" t="str">
        <f>IFERROR(VLOOKUP('Customer Info'!A4747,'Customer Info'!A4747:E5246,5,FALSE),"Not Found")</f>
        <v>Not Found</v>
      </c>
      <c r="J4755" s="2">
        <v>7232</v>
      </c>
      <c r="K4755" s="2">
        <v>6753</v>
      </c>
      <c r="L4755" s="2">
        <v>2</v>
      </c>
      <c r="M4755" s="7">
        <f t="shared" si="370"/>
        <v>13506</v>
      </c>
      <c r="N4755" s="7">
        <f t="shared" si="371"/>
        <v>14464</v>
      </c>
      <c r="O4755" s="2">
        <v>68</v>
      </c>
      <c r="P4755" s="8">
        <f t="shared" si="372"/>
        <v>14532</v>
      </c>
      <c r="Q4755" s="8">
        <f t="shared" si="373"/>
        <v>7711</v>
      </c>
      <c r="R4755" s="2" t="s">
        <v>50</v>
      </c>
      <c r="S4755" s="9">
        <f t="shared" si="374"/>
        <v>726.6</v>
      </c>
    </row>
    <row r="4756" spans="1:19" x14ac:dyDescent="0.3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str">
        <f>IFERROR(VLOOKUP('Customer Info'!A4748,'Customer Info'!A4748:C5247,2,FALSE),"Not Found")</f>
        <v>Not Found</v>
      </c>
      <c r="H4756" s="6" t="str">
        <f>IFERROR(VLOOKUP('Customer Info'!A4748,'Customer Info'!A4748:C5247,3,FALSE),"Not Found")</f>
        <v>Not Found</v>
      </c>
      <c r="I4756" s="6" t="str">
        <f>IFERROR(VLOOKUP('Customer Info'!A4748,'Customer Info'!A4748:E5247,5,FALSE),"Not Found")</f>
        <v>Not Found</v>
      </c>
      <c r="J4756" s="2">
        <v>664</v>
      </c>
      <c r="K4756" s="2">
        <v>576</v>
      </c>
      <c r="L4756" s="2">
        <v>7</v>
      </c>
      <c r="M4756" s="7">
        <f t="shared" si="370"/>
        <v>4032</v>
      </c>
      <c r="N4756" s="7">
        <f t="shared" si="371"/>
        <v>4648</v>
      </c>
      <c r="O4756" s="2">
        <v>46</v>
      </c>
      <c r="P4756" s="8">
        <f t="shared" si="372"/>
        <v>4694</v>
      </c>
      <c r="Q4756" s="8">
        <f t="shared" si="373"/>
        <v>4072</v>
      </c>
      <c r="R4756" s="2" t="s">
        <v>28</v>
      </c>
      <c r="S4756" s="9">
        <f t="shared" si="374"/>
        <v>93.88</v>
      </c>
    </row>
    <row r="4757" spans="1:19" x14ac:dyDescent="0.3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str">
        <f>IFERROR(VLOOKUP('Customer Info'!A4749,'Customer Info'!A4749:C5248,2,FALSE),"Not Found")</f>
        <v>Not Found</v>
      </c>
      <c r="H4757" s="6" t="str">
        <f>IFERROR(VLOOKUP('Customer Info'!A4749,'Customer Info'!A4749:C5248,3,FALSE),"Not Found")</f>
        <v>Not Found</v>
      </c>
      <c r="I4757" s="6" t="str">
        <f>IFERROR(VLOOKUP('Customer Info'!A4749,'Customer Info'!A4749:E5248,5,FALSE),"Not Found")</f>
        <v>Not Found</v>
      </c>
      <c r="J4757" s="2">
        <v>8379</v>
      </c>
      <c r="K4757" s="2">
        <v>8061</v>
      </c>
      <c r="L4757" s="2">
        <v>3</v>
      </c>
      <c r="M4757" s="7">
        <f t="shared" si="370"/>
        <v>24183</v>
      </c>
      <c r="N4757" s="7">
        <f t="shared" si="371"/>
        <v>25137</v>
      </c>
      <c r="O4757" s="2">
        <v>89</v>
      </c>
      <c r="P4757" s="8">
        <f t="shared" si="372"/>
        <v>25226</v>
      </c>
      <c r="Q4757" s="8">
        <f t="shared" si="373"/>
        <v>17076</v>
      </c>
      <c r="R4757" s="2" t="s">
        <v>50</v>
      </c>
      <c r="S4757" s="9">
        <f t="shared" si="374"/>
        <v>1765.8200000000002</v>
      </c>
    </row>
    <row r="4758" spans="1:19" x14ac:dyDescent="0.3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str">
        <f>IFERROR(VLOOKUP('Customer Info'!A4750,'Customer Info'!A4750:C5249,2,FALSE),"Not Found")</f>
        <v>Not Found</v>
      </c>
      <c r="H4758" s="6" t="str">
        <f>IFERROR(VLOOKUP('Customer Info'!A4750,'Customer Info'!A4750:C5249,3,FALSE),"Not Found")</f>
        <v>Not Found</v>
      </c>
      <c r="I4758" s="6" t="str">
        <f>IFERROR(VLOOKUP('Customer Info'!A4750,'Customer Info'!A4750:E5249,5,FALSE),"Not Found")</f>
        <v>Not Found</v>
      </c>
      <c r="J4758" s="2">
        <v>6060</v>
      </c>
      <c r="K4758" s="2">
        <v>6002</v>
      </c>
      <c r="L4758" s="2">
        <v>3</v>
      </c>
      <c r="M4758" s="7">
        <f t="shared" si="370"/>
        <v>18006</v>
      </c>
      <c r="N4758" s="7">
        <f t="shared" si="371"/>
        <v>18180</v>
      </c>
      <c r="O4758" s="2">
        <v>92</v>
      </c>
      <c r="P4758" s="8">
        <f t="shared" si="372"/>
        <v>18272</v>
      </c>
      <c r="Q4758" s="8">
        <f t="shared" si="373"/>
        <v>12178</v>
      </c>
      <c r="R4758" s="2" t="s">
        <v>50</v>
      </c>
      <c r="S4758" s="9">
        <f t="shared" si="374"/>
        <v>913.6</v>
      </c>
    </row>
    <row r="4759" spans="1:19" x14ac:dyDescent="0.3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str">
        <f>IFERROR(VLOOKUP('Customer Info'!A4751,'Customer Info'!A4751:C5250,2,FALSE),"Not Found")</f>
        <v>Not Found</v>
      </c>
      <c r="H4759" s="6" t="str">
        <f>IFERROR(VLOOKUP('Customer Info'!A4751,'Customer Info'!A4751:C5250,3,FALSE),"Not Found")</f>
        <v>Not Found</v>
      </c>
      <c r="I4759" s="6" t="str">
        <f>IFERROR(VLOOKUP('Customer Info'!A4751,'Customer Info'!A4751:E5250,5,FALSE),"Not Found")</f>
        <v>Not Found</v>
      </c>
      <c r="J4759" s="2">
        <v>2526</v>
      </c>
      <c r="K4759" s="2">
        <v>2408</v>
      </c>
      <c r="L4759" s="2">
        <v>1</v>
      </c>
      <c r="M4759" s="7">
        <f t="shared" si="370"/>
        <v>2408</v>
      </c>
      <c r="N4759" s="7">
        <f t="shared" si="371"/>
        <v>2526</v>
      </c>
      <c r="O4759" s="2">
        <v>99</v>
      </c>
      <c r="P4759" s="8">
        <f t="shared" si="372"/>
        <v>2625</v>
      </c>
      <c r="Q4759" s="8">
        <f t="shared" si="373"/>
        <v>118</v>
      </c>
      <c r="R4759" s="2" t="s">
        <v>28</v>
      </c>
      <c r="S4759" s="9">
        <f t="shared" si="374"/>
        <v>52.5</v>
      </c>
    </row>
    <row r="4760" spans="1:19" x14ac:dyDescent="0.3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str">
        <f>IFERROR(VLOOKUP('Customer Info'!A4752,'Customer Info'!A4752:C5251,2,FALSE),"Not Found")</f>
        <v>Not Found</v>
      </c>
      <c r="H4760" s="6" t="str">
        <f>IFERROR(VLOOKUP('Customer Info'!A4752,'Customer Info'!A4752:C5251,3,FALSE),"Not Found")</f>
        <v>Not Found</v>
      </c>
      <c r="I4760" s="6" t="str">
        <f>IFERROR(VLOOKUP('Customer Info'!A4752,'Customer Info'!A4752:E5251,5,FALSE),"Not Found")</f>
        <v>Not Found</v>
      </c>
      <c r="J4760" s="2">
        <v>3176</v>
      </c>
      <c r="K4760" s="2">
        <v>3116</v>
      </c>
      <c r="L4760" s="2">
        <v>2</v>
      </c>
      <c r="M4760" s="7">
        <f t="shared" si="370"/>
        <v>6232</v>
      </c>
      <c r="N4760" s="7">
        <f t="shared" si="371"/>
        <v>6352</v>
      </c>
      <c r="O4760" s="2">
        <v>22</v>
      </c>
      <c r="P4760" s="8">
        <f t="shared" si="372"/>
        <v>6374</v>
      </c>
      <c r="Q4760" s="8">
        <f t="shared" si="373"/>
        <v>3236</v>
      </c>
      <c r="R4760" s="2" t="s">
        <v>50</v>
      </c>
      <c r="S4760" s="9">
        <f t="shared" si="374"/>
        <v>318.70000000000005</v>
      </c>
    </row>
    <row r="4761" spans="1:19" x14ac:dyDescent="0.3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str">
        <f>IFERROR(VLOOKUP('Customer Info'!A4753,'Customer Info'!A4753:C5252,2,FALSE),"Not Found")</f>
        <v>Not Found</v>
      </c>
      <c r="H4761" s="6" t="str">
        <f>IFERROR(VLOOKUP('Customer Info'!A4753,'Customer Info'!A4753:C5252,3,FALSE),"Not Found")</f>
        <v>Not Found</v>
      </c>
      <c r="I4761" s="6" t="str">
        <f>IFERROR(VLOOKUP('Customer Info'!A4753,'Customer Info'!A4753:E5252,5,FALSE),"Not Found")</f>
        <v>Not Found</v>
      </c>
      <c r="J4761" s="2">
        <v>129</v>
      </c>
      <c r="K4761" s="2">
        <v>118</v>
      </c>
      <c r="L4761" s="2">
        <v>2</v>
      </c>
      <c r="M4761" s="7">
        <f t="shared" si="370"/>
        <v>236</v>
      </c>
      <c r="N4761" s="7">
        <f t="shared" si="371"/>
        <v>258</v>
      </c>
      <c r="O4761" s="2">
        <v>30</v>
      </c>
      <c r="P4761" s="8">
        <f t="shared" si="372"/>
        <v>288</v>
      </c>
      <c r="Q4761" s="8">
        <f t="shared" si="373"/>
        <v>140</v>
      </c>
      <c r="R4761" s="2" t="s">
        <v>28</v>
      </c>
      <c r="S4761" s="9">
        <f t="shared" si="374"/>
        <v>5.76</v>
      </c>
    </row>
    <row r="4762" spans="1:19" x14ac:dyDescent="0.3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str">
        <f>IFERROR(VLOOKUP('Customer Info'!A4754,'Customer Info'!A4754:C5253,2,FALSE),"Not Found")</f>
        <v>Not Found</v>
      </c>
      <c r="H4762" s="6" t="str">
        <f>IFERROR(VLOOKUP('Customer Info'!A4754,'Customer Info'!A4754:C5253,3,FALSE),"Not Found")</f>
        <v>Not Found</v>
      </c>
      <c r="I4762" s="6" t="str">
        <f>IFERROR(VLOOKUP('Customer Info'!A4754,'Customer Info'!A4754:E5253,5,FALSE),"Not Found")</f>
        <v>Not Found</v>
      </c>
      <c r="J4762" s="2">
        <v>222</v>
      </c>
      <c r="K4762" s="2">
        <v>208</v>
      </c>
      <c r="L4762" s="2">
        <v>6</v>
      </c>
      <c r="M4762" s="7">
        <f t="shared" si="370"/>
        <v>1248</v>
      </c>
      <c r="N4762" s="7">
        <f t="shared" si="371"/>
        <v>1332</v>
      </c>
      <c r="O4762" s="2">
        <v>30</v>
      </c>
      <c r="P4762" s="8">
        <f t="shared" si="372"/>
        <v>1362</v>
      </c>
      <c r="Q4762" s="8">
        <f t="shared" si="373"/>
        <v>1124</v>
      </c>
      <c r="R4762" s="2" t="s">
        <v>50</v>
      </c>
      <c r="S4762" s="9">
        <f t="shared" si="374"/>
        <v>27.240000000000002</v>
      </c>
    </row>
    <row r="4763" spans="1:19" x14ac:dyDescent="0.3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str">
        <f>IFERROR(VLOOKUP('Customer Info'!A4755,'Customer Info'!A4755:C5254,2,FALSE),"Not Found")</f>
        <v>Not Found</v>
      </c>
      <c r="H4763" s="6" t="str">
        <f>IFERROR(VLOOKUP('Customer Info'!A4755,'Customer Info'!A4755:C5254,3,FALSE),"Not Found")</f>
        <v>Not Found</v>
      </c>
      <c r="I4763" s="6" t="str">
        <f>IFERROR(VLOOKUP('Customer Info'!A4755,'Customer Info'!A4755:E5254,5,FALSE),"Not Found")</f>
        <v>Not Found</v>
      </c>
      <c r="J4763" s="2">
        <v>1103</v>
      </c>
      <c r="K4763" s="2">
        <v>1030</v>
      </c>
      <c r="L4763" s="2">
        <v>2</v>
      </c>
      <c r="M4763" s="7">
        <f t="shared" si="370"/>
        <v>2060</v>
      </c>
      <c r="N4763" s="7">
        <f t="shared" si="371"/>
        <v>2206</v>
      </c>
      <c r="O4763" s="2">
        <v>55</v>
      </c>
      <c r="P4763" s="8">
        <f t="shared" si="372"/>
        <v>2261</v>
      </c>
      <c r="Q4763" s="8">
        <f t="shared" si="373"/>
        <v>1176</v>
      </c>
      <c r="R4763" s="2" t="s">
        <v>28</v>
      </c>
      <c r="S4763" s="9">
        <f t="shared" si="374"/>
        <v>45.22</v>
      </c>
    </row>
    <row r="4764" spans="1:19" x14ac:dyDescent="0.3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str">
        <f>IFERROR(VLOOKUP('Customer Info'!A4756,'Customer Info'!A4756:C5255,2,FALSE),"Not Found")</f>
        <v>Not Found</v>
      </c>
      <c r="H4764" s="6" t="str">
        <f>IFERROR(VLOOKUP('Customer Info'!A4756,'Customer Info'!A4756:C5255,3,FALSE),"Not Found")</f>
        <v>Not Found</v>
      </c>
      <c r="I4764" s="6" t="str">
        <f>IFERROR(VLOOKUP('Customer Info'!A4756,'Customer Info'!A4756:E5255,5,FALSE),"Not Found")</f>
        <v>Not Found</v>
      </c>
      <c r="J4764" s="2">
        <v>6481</v>
      </c>
      <c r="K4764" s="2">
        <v>5884</v>
      </c>
      <c r="L4764" s="2">
        <v>5</v>
      </c>
      <c r="M4764" s="7">
        <f t="shared" si="370"/>
        <v>29420</v>
      </c>
      <c r="N4764" s="7">
        <f t="shared" si="371"/>
        <v>32405</v>
      </c>
      <c r="O4764" s="2">
        <v>91</v>
      </c>
      <c r="P4764" s="8">
        <f t="shared" si="372"/>
        <v>32496</v>
      </c>
      <c r="Q4764" s="8">
        <f t="shared" si="373"/>
        <v>26521</v>
      </c>
      <c r="R4764" s="2" t="s">
        <v>56</v>
      </c>
      <c r="S4764" s="9">
        <f t="shared" si="374"/>
        <v>2274.7200000000003</v>
      </c>
    </row>
    <row r="4765" spans="1:19" x14ac:dyDescent="0.3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str">
        <f>IFERROR(VLOOKUP('Customer Info'!A4757,'Customer Info'!A4757:C5256,2,FALSE),"Not Found")</f>
        <v>Not Found</v>
      </c>
      <c r="H4765" s="6" t="str">
        <f>IFERROR(VLOOKUP('Customer Info'!A4757,'Customer Info'!A4757:C5256,3,FALSE),"Not Found")</f>
        <v>Not Found</v>
      </c>
      <c r="I4765" s="6" t="str">
        <f>IFERROR(VLOOKUP('Customer Info'!A4757,'Customer Info'!A4757:E5256,5,FALSE),"Not Found")</f>
        <v>Not Found</v>
      </c>
      <c r="J4765" s="2">
        <v>63</v>
      </c>
      <c r="K4765" s="2">
        <v>59</v>
      </c>
      <c r="L4765" s="2">
        <v>5</v>
      </c>
      <c r="M4765" s="7">
        <f t="shared" si="370"/>
        <v>295</v>
      </c>
      <c r="N4765" s="7">
        <f t="shared" si="371"/>
        <v>315</v>
      </c>
      <c r="O4765" s="2">
        <v>10</v>
      </c>
      <c r="P4765" s="8">
        <f t="shared" si="372"/>
        <v>325</v>
      </c>
      <c r="Q4765" s="8">
        <f t="shared" si="373"/>
        <v>256</v>
      </c>
      <c r="R4765" s="2" t="s">
        <v>28</v>
      </c>
      <c r="S4765" s="9">
        <f t="shared" si="374"/>
        <v>6.5</v>
      </c>
    </row>
    <row r="4766" spans="1:19" x14ac:dyDescent="0.3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str">
        <f>IFERROR(VLOOKUP('Customer Info'!A4758,'Customer Info'!A4758:C5257,2,FALSE),"Not Found")</f>
        <v>Not Found</v>
      </c>
      <c r="H4766" s="6" t="str">
        <f>IFERROR(VLOOKUP('Customer Info'!A4758,'Customer Info'!A4758:C5257,3,FALSE),"Not Found")</f>
        <v>Not Found</v>
      </c>
      <c r="I4766" s="6" t="str">
        <f>IFERROR(VLOOKUP('Customer Info'!A4758,'Customer Info'!A4758:E5257,5,FALSE),"Not Found")</f>
        <v>Not Found</v>
      </c>
      <c r="J4766" s="2">
        <v>187</v>
      </c>
      <c r="K4766" s="2">
        <v>176</v>
      </c>
      <c r="L4766" s="2">
        <v>5</v>
      </c>
      <c r="M4766" s="7">
        <f t="shared" si="370"/>
        <v>880</v>
      </c>
      <c r="N4766" s="7">
        <f t="shared" si="371"/>
        <v>935</v>
      </c>
      <c r="O4766" s="2">
        <v>30</v>
      </c>
      <c r="P4766" s="8">
        <f t="shared" si="372"/>
        <v>965</v>
      </c>
      <c r="Q4766" s="8">
        <f t="shared" si="373"/>
        <v>759</v>
      </c>
      <c r="R4766" s="2" t="s">
        <v>28</v>
      </c>
      <c r="S4766" s="9">
        <f t="shared" si="374"/>
        <v>19.3</v>
      </c>
    </row>
    <row r="4767" spans="1:19" x14ac:dyDescent="0.3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str">
        <f>IFERROR(VLOOKUP('Customer Info'!A4759,'Customer Info'!A4759:C5258,2,FALSE),"Not Found")</f>
        <v>Not Found</v>
      </c>
      <c r="H4767" s="6" t="str">
        <f>IFERROR(VLOOKUP('Customer Info'!A4759,'Customer Info'!A4759:C5258,3,FALSE),"Not Found")</f>
        <v>Not Found</v>
      </c>
      <c r="I4767" s="6" t="str">
        <f>IFERROR(VLOOKUP('Customer Info'!A4759,'Customer Info'!A4759:E5258,5,FALSE),"Not Found")</f>
        <v>Not Found</v>
      </c>
      <c r="J4767" s="2">
        <v>1169</v>
      </c>
      <c r="K4767" s="2">
        <v>1072</v>
      </c>
      <c r="L4767" s="2">
        <v>4</v>
      </c>
      <c r="M4767" s="7">
        <f t="shared" si="370"/>
        <v>4288</v>
      </c>
      <c r="N4767" s="7">
        <f t="shared" si="371"/>
        <v>4676</v>
      </c>
      <c r="O4767" s="2">
        <v>69</v>
      </c>
      <c r="P4767" s="8">
        <f t="shared" si="372"/>
        <v>4745</v>
      </c>
      <c r="Q4767" s="8">
        <f t="shared" si="373"/>
        <v>3604</v>
      </c>
      <c r="R4767" s="2" t="s">
        <v>50</v>
      </c>
      <c r="S4767" s="9">
        <f t="shared" si="374"/>
        <v>94.9</v>
      </c>
    </row>
    <row r="4768" spans="1:19" x14ac:dyDescent="0.3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str">
        <f>IFERROR(VLOOKUP('Customer Info'!A4760,'Customer Info'!A4760:C5259,2,FALSE),"Not Found")</f>
        <v>Not Found</v>
      </c>
      <c r="H4768" s="6" t="str">
        <f>IFERROR(VLOOKUP('Customer Info'!A4760,'Customer Info'!A4760:C5259,3,FALSE),"Not Found")</f>
        <v>Not Found</v>
      </c>
      <c r="I4768" s="6" t="str">
        <f>IFERROR(VLOOKUP('Customer Info'!A4760,'Customer Info'!A4760:E5259,5,FALSE),"Not Found")</f>
        <v>Not Found</v>
      </c>
      <c r="J4768" s="2">
        <v>173</v>
      </c>
      <c r="K4768" s="2">
        <v>155</v>
      </c>
      <c r="L4768" s="2">
        <v>3</v>
      </c>
      <c r="M4768" s="7">
        <f t="shared" si="370"/>
        <v>465</v>
      </c>
      <c r="N4768" s="7">
        <f t="shared" si="371"/>
        <v>519</v>
      </c>
      <c r="O4768" s="2">
        <v>30</v>
      </c>
      <c r="P4768" s="8">
        <f t="shared" si="372"/>
        <v>549</v>
      </c>
      <c r="Q4768" s="8">
        <f t="shared" si="373"/>
        <v>364</v>
      </c>
      <c r="R4768" s="2" t="s">
        <v>50</v>
      </c>
      <c r="S4768" s="9">
        <f t="shared" si="374"/>
        <v>10.98</v>
      </c>
    </row>
    <row r="4769" spans="1:19" x14ac:dyDescent="0.3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str">
        <f>IFERROR(VLOOKUP('Customer Info'!A4761,'Customer Info'!A4761:C5260,2,FALSE),"Not Found")</f>
        <v>Not Found</v>
      </c>
      <c r="H4769" s="6" t="str">
        <f>IFERROR(VLOOKUP('Customer Info'!A4761,'Customer Info'!A4761:C5260,3,FALSE),"Not Found")</f>
        <v>Not Found</v>
      </c>
      <c r="I4769" s="6" t="str">
        <f>IFERROR(VLOOKUP('Customer Info'!A4761,'Customer Info'!A4761:E5260,5,FALSE),"Not Found")</f>
        <v>Not Found</v>
      </c>
      <c r="J4769" s="2">
        <v>1017</v>
      </c>
      <c r="K4769" s="2">
        <v>950</v>
      </c>
      <c r="L4769" s="2">
        <v>7</v>
      </c>
      <c r="M4769" s="7">
        <f t="shared" si="370"/>
        <v>6650</v>
      </c>
      <c r="N4769" s="7">
        <f t="shared" si="371"/>
        <v>7119</v>
      </c>
      <c r="O4769" s="2">
        <v>67</v>
      </c>
      <c r="P4769" s="8">
        <f t="shared" si="372"/>
        <v>7186</v>
      </c>
      <c r="Q4769" s="8">
        <f t="shared" si="373"/>
        <v>6169</v>
      </c>
      <c r="R4769" s="2" t="s">
        <v>50</v>
      </c>
      <c r="S4769" s="9">
        <f t="shared" si="374"/>
        <v>359.3</v>
      </c>
    </row>
    <row r="4770" spans="1:19" x14ac:dyDescent="0.3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str">
        <f>IFERROR(VLOOKUP('Customer Info'!A4762,'Customer Info'!A4762:C5261,2,FALSE),"Not Found")</f>
        <v>Not Found</v>
      </c>
      <c r="H4770" s="6" t="str">
        <f>IFERROR(VLOOKUP('Customer Info'!A4762,'Customer Info'!A4762:C5261,3,FALSE),"Not Found")</f>
        <v>Not Found</v>
      </c>
      <c r="I4770" s="6" t="str">
        <f>IFERROR(VLOOKUP('Customer Info'!A4762,'Customer Info'!A4762:E5261,5,FALSE),"Not Found")</f>
        <v>Not Found</v>
      </c>
      <c r="J4770" s="2">
        <v>175</v>
      </c>
      <c r="K4770" s="2">
        <v>158</v>
      </c>
      <c r="L4770" s="2">
        <v>2</v>
      </c>
      <c r="M4770" s="7">
        <f t="shared" si="370"/>
        <v>316</v>
      </c>
      <c r="N4770" s="7">
        <f t="shared" si="371"/>
        <v>350</v>
      </c>
      <c r="O4770" s="2">
        <v>30</v>
      </c>
      <c r="P4770" s="8">
        <f t="shared" si="372"/>
        <v>380</v>
      </c>
      <c r="Q4770" s="8">
        <f t="shared" si="373"/>
        <v>192</v>
      </c>
      <c r="R4770" s="2" t="s">
        <v>50</v>
      </c>
      <c r="S4770" s="9">
        <f t="shared" si="374"/>
        <v>7.6000000000000005</v>
      </c>
    </row>
    <row r="4771" spans="1:19" x14ac:dyDescent="0.3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str">
        <f>IFERROR(VLOOKUP('Customer Info'!A4763,'Customer Info'!A4763:C5262,2,FALSE),"Not Found")</f>
        <v>Not Found</v>
      </c>
      <c r="H4771" s="6" t="str">
        <f>IFERROR(VLOOKUP('Customer Info'!A4763,'Customer Info'!A4763:C5262,3,FALSE),"Not Found")</f>
        <v>Not Found</v>
      </c>
      <c r="I4771" s="6" t="str">
        <f>IFERROR(VLOOKUP('Customer Info'!A4763,'Customer Info'!A4763:E5262,5,FALSE),"Not Found")</f>
        <v>Not Found</v>
      </c>
      <c r="J4771" s="2">
        <v>166</v>
      </c>
      <c r="K4771" s="2">
        <v>157</v>
      </c>
      <c r="L4771" s="2">
        <v>1</v>
      </c>
      <c r="M4771" s="7">
        <f t="shared" si="370"/>
        <v>157</v>
      </c>
      <c r="N4771" s="7">
        <f t="shared" si="371"/>
        <v>166</v>
      </c>
      <c r="O4771" s="2">
        <v>30</v>
      </c>
      <c r="P4771" s="8">
        <f t="shared" si="372"/>
        <v>196</v>
      </c>
      <c r="Q4771" s="8">
        <f t="shared" si="373"/>
        <v>9</v>
      </c>
      <c r="R4771" s="2" t="s">
        <v>50</v>
      </c>
      <c r="S4771" s="9">
        <f t="shared" si="374"/>
        <v>3.92</v>
      </c>
    </row>
    <row r="4772" spans="1:19" x14ac:dyDescent="0.3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str">
        <f>IFERROR(VLOOKUP('Customer Info'!A4764,'Customer Info'!A4764:C5263,2,FALSE),"Not Found")</f>
        <v>Not Found</v>
      </c>
      <c r="H4772" s="6" t="str">
        <f>IFERROR(VLOOKUP('Customer Info'!A4764,'Customer Info'!A4764:C5263,3,FALSE),"Not Found")</f>
        <v>Not Found</v>
      </c>
      <c r="I4772" s="6" t="str">
        <f>IFERROR(VLOOKUP('Customer Info'!A4764,'Customer Info'!A4764:E5263,5,FALSE),"Not Found")</f>
        <v>Not Found</v>
      </c>
      <c r="J4772" s="2">
        <v>8026</v>
      </c>
      <c r="K4772" s="2">
        <v>7572</v>
      </c>
      <c r="L4772" s="2">
        <v>3</v>
      </c>
      <c r="M4772" s="7">
        <f t="shared" si="370"/>
        <v>22716</v>
      </c>
      <c r="N4772" s="7">
        <f t="shared" si="371"/>
        <v>24078</v>
      </c>
      <c r="O4772" s="2">
        <v>82</v>
      </c>
      <c r="P4772" s="8">
        <f t="shared" si="372"/>
        <v>24160</v>
      </c>
      <c r="Q4772" s="8">
        <f t="shared" si="373"/>
        <v>16506</v>
      </c>
      <c r="R4772" s="2" t="s">
        <v>56</v>
      </c>
      <c r="S4772" s="9">
        <f t="shared" si="374"/>
        <v>1208</v>
      </c>
    </row>
    <row r="4773" spans="1:19" x14ac:dyDescent="0.3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str">
        <f>IFERROR(VLOOKUP('Customer Info'!A4765,'Customer Info'!A4765:C5264,2,FALSE),"Not Found")</f>
        <v>Not Found</v>
      </c>
      <c r="H4773" s="6" t="str">
        <f>IFERROR(VLOOKUP('Customer Info'!A4765,'Customer Info'!A4765:C5264,3,FALSE),"Not Found")</f>
        <v>Not Found</v>
      </c>
      <c r="I4773" s="6" t="str">
        <f>IFERROR(VLOOKUP('Customer Info'!A4765,'Customer Info'!A4765:E5264,5,FALSE),"Not Found")</f>
        <v>Not Found</v>
      </c>
      <c r="J4773" s="2">
        <v>79</v>
      </c>
      <c r="K4773" s="2">
        <v>75</v>
      </c>
      <c r="L4773" s="2">
        <v>1</v>
      </c>
      <c r="M4773" s="7">
        <f t="shared" si="370"/>
        <v>75</v>
      </c>
      <c r="N4773" s="7">
        <f t="shared" si="371"/>
        <v>79</v>
      </c>
      <c r="O4773" s="2">
        <v>10</v>
      </c>
      <c r="P4773" s="8">
        <f t="shared" si="372"/>
        <v>89</v>
      </c>
      <c r="Q4773" s="8">
        <f t="shared" si="373"/>
        <v>4</v>
      </c>
      <c r="R4773" s="2" t="s">
        <v>50</v>
      </c>
      <c r="S4773" s="9">
        <f t="shared" si="374"/>
        <v>1.78</v>
      </c>
    </row>
    <row r="4774" spans="1:19" x14ac:dyDescent="0.3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str">
        <f>IFERROR(VLOOKUP('Customer Info'!A4766,'Customer Info'!A4766:C5265,2,FALSE),"Not Found")</f>
        <v>Not Found</v>
      </c>
      <c r="H4774" s="6" t="str">
        <f>IFERROR(VLOOKUP('Customer Info'!A4766,'Customer Info'!A4766:C5265,3,FALSE),"Not Found")</f>
        <v>Not Found</v>
      </c>
      <c r="I4774" s="6" t="str">
        <f>IFERROR(VLOOKUP('Customer Info'!A4766,'Customer Info'!A4766:E5265,5,FALSE),"Not Found")</f>
        <v>Not Found</v>
      </c>
      <c r="J4774" s="2">
        <v>6585</v>
      </c>
      <c r="K4774" s="2">
        <v>6105</v>
      </c>
      <c r="L4774" s="2">
        <v>1</v>
      </c>
      <c r="M4774" s="7">
        <f t="shared" si="370"/>
        <v>6105</v>
      </c>
      <c r="N4774" s="7">
        <f t="shared" si="371"/>
        <v>6585</v>
      </c>
      <c r="O4774" s="2">
        <v>87</v>
      </c>
      <c r="P4774" s="8">
        <f t="shared" si="372"/>
        <v>6672</v>
      </c>
      <c r="Q4774" s="8">
        <f t="shared" si="373"/>
        <v>480</v>
      </c>
      <c r="R4774" s="2" t="s">
        <v>50</v>
      </c>
      <c r="S4774" s="9">
        <f t="shared" si="374"/>
        <v>333.6</v>
      </c>
    </row>
    <row r="4775" spans="1:19" x14ac:dyDescent="0.3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str">
        <f>IFERROR(VLOOKUP('Customer Info'!A4767,'Customer Info'!A4767:C5266,2,FALSE),"Not Found")</f>
        <v>Not Found</v>
      </c>
      <c r="H4775" s="6" t="str">
        <f>IFERROR(VLOOKUP('Customer Info'!A4767,'Customer Info'!A4767:C5266,3,FALSE),"Not Found")</f>
        <v>Not Found</v>
      </c>
      <c r="I4775" s="6" t="str">
        <f>IFERROR(VLOOKUP('Customer Info'!A4767,'Customer Info'!A4767:E5266,5,FALSE),"Not Found")</f>
        <v>Not Found</v>
      </c>
      <c r="J4775" s="2">
        <v>2981</v>
      </c>
      <c r="K4775" s="2">
        <v>2870</v>
      </c>
      <c r="L4775" s="2">
        <v>4</v>
      </c>
      <c r="M4775" s="7">
        <f t="shared" si="370"/>
        <v>11480</v>
      </c>
      <c r="N4775" s="7">
        <f t="shared" si="371"/>
        <v>11924</v>
      </c>
      <c r="O4775" s="2">
        <v>54</v>
      </c>
      <c r="P4775" s="8">
        <f t="shared" si="372"/>
        <v>11978</v>
      </c>
      <c r="Q4775" s="8">
        <f t="shared" si="373"/>
        <v>9054</v>
      </c>
      <c r="R4775" s="2" t="s">
        <v>28</v>
      </c>
      <c r="S4775" s="9">
        <f t="shared" si="374"/>
        <v>598.9</v>
      </c>
    </row>
    <row r="4776" spans="1:19" x14ac:dyDescent="0.3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str">
        <f>IFERROR(VLOOKUP('Customer Info'!A4768,'Customer Info'!A4768:C5267,2,FALSE),"Not Found")</f>
        <v>Not Found</v>
      </c>
      <c r="H4776" s="6" t="str">
        <f>IFERROR(VLOOKUP('Customer Info'!A4768,'Customer Info'!A4768:C5267,3,FALSE),"Not Found")</f>
        <v>Not Found</v>
      </c>
      <c r="I4776" s="6" t="str">
        <f>IFERROR(VLOOKUP('Customer Info'!A4768,'Customer Info'!A4768:E5267,5,FALSE),"Not Found")</f>
        <v>Not Found</v>
      </c>
      <c r="J4776" s="2">
        <v>666</v>
      </c>
      <c r="K4776" s="2">
        <v>641</v>
      </c>
      <c r="L4776" s="2">
        <v>2</v>
      </c>
      <c r="M4776" s="7">
        <f t="shared" si="370"/>
        <v>1282</v>
      </c>
      <c r="N4776" s="7">
        <f t="shared" si="371"/>
        <v>1332</v>
      </c>
      <c r="O4776" s="2">
        <v>76</v>
      </c>
      <c r="P4776" s="8">
        <f t="shared" si="372"/>
        <v>1408</v>
      </c>
      <c r="Q4776" s="8">
        <f t="shared" si="373"/>
        <v>691</v>
      </c>
      <c r="R4776" s="2" t="s">
        <v>28</v>
      </c>
      <c r="S4776" s="9">
        <f t="shared" si="374"/>
        <v>28.16</v>
      </c>
    </row>
    <row r="4777" spans="1:19" x14ac:dyDescent="0.3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str">
        <f>IFERROR(VLOOKUP('Customer Info'!A4769,'Customer Info'!A4769:C5268,2,FALSE),"Not Found")</f>
        <v>Not Found</v>
      </c>
      <c r="H4777" s="6" t="str">
        <f>IFERROR(VLOOKUP('Customer Info'!A4769,'Customer Info'!A4769:C5268,3,FALSE),"Not Found")</f>
        <v>Not Found</v>
      </c>
      <c r="I4777" s="6" t="str">
        <f>IFERROR(VLOOKUP('Customer Info'!A4769,'Customer Info'!A4769:E5268,5,FALSE),"Not Found")</f>
        <v>Not Found</v>
      </c>
      <c r="J4777" s="2">
        <v>4737</v>
      </c>
      <c r="K4777" s="2">
        <v>4473</v>
      </c>
      <c r="L4777" s="2">
        <v>3</v>
      </c>
      <c r="M4777" s="7">
        <f t="shared" si="370"/>
        <v>13419</v>
      </c>
      <c r="N4777" s="7">
        <f t="shared" si="371"/>
        <v>14211</v>
      </c>
      <c r="O4777" s="2">
        <v>47</v>
      </c>
      <c r="P4777" s="8">
        <f t="shared" si="372"/>
        <v>14258</v>
      </c>
      <c r="Q4777" s="8">
        <f t="shared" si="373"/>
        <v>9738</v>
      </c>
      <c r="R4777" s="2" t="s">
        <v>28</v>
      </c>
      <c r="S4777" s="9">
        <f t="shared" si="374"/>
        <v>712.90000000000009</v>
      </c>
    </row>
    <row r="4778" spans="1:19" x14ac:dyDescent="0.3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str">
        <f>IFERROR(VLOOKUP('Customer Info'!A4770,'Customer Info'!A4770:C5269,2,FALSE),"Not Found")</f>
        <v>Not Found</v>
      </c>
      <c r="H4778" s="6" t="str">
        <f>IFERROR(VLOOKUP('Customer Info'!A4770,'Customer Info'!A4770:C5269,3,FALSE),"Not Found")</f>
        <v>Not Found</v>
      </c>
      <c r="I4778" s="6" t="str">
        <f>IFERROR(VLOOKUP('Customer Info'!A4770,'Customer Info'!A4770:E5269,5,FALSE),"Not Found")</f>
        <v>Not Found</v>
      </c>
      <c r="J4778" s="2">
        <v>193</v>
      </c>
      <c r="K4778" s="2">
        <v>173</v>
      </c>
      <c r="L4778" s="2">
        <v>4</v>
      </c>
      <c r="M4778" s="7">
        <f t="shared" si="370"/>
        <v>692</v>
      </c>
      <c r="N4778" s="7">
        <f t="shared" si="371"/>
        <v>772</v>
      </c>
      <c r="O4778" s="2">
        <v>30</v>
      </c>
      <c r="P4778" s="8">
        <f t="shared" si="372"/>
        <v>802</v>
      </c>
      <c r="Q4778" s="8">
        <f t="shared" si="373"/>
        <v>599</v>
      </c>
      <c r="R4778" s="2" t="s">
        <v>50</v>
      </c>
      <c r="S4778" s="9">
        <f t="shared" si="374"/>
        <v>16.04</v>
      </c>
    </row>
    <row r="4779" spans="1:19" x14ac:dyDescent="0.3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str">
        <f>IFERROR(VLOOKUP('Customer Info'!A4771,'Customer Info'!A4771:C5270,2,FALSE),"Not Found")</f>
        <v>Not Found</v>
      </c>
      <c r="H4779" s="6" t="str">
        <f>IFERROR(VLOOKUP('Customer Info'!A4771,'Customer Info'!A4771:C5270,3,FALSE),"Not Found")</f>
        <v>Not Found</v>
      </c>
      <c r="I4779" s="6" t="str">
        <f>IFERROR(VLOOKUP('Customer Info'!A4771,'Customer Info'!A4771:E5270,5,FALSE),"Not Found")</f>
        <v>Not Found</v>
      </c>
      <c r="J4779" s="2">
        <v>3354</v>
      </c>
      <c r="K4779" s="2">
        <v>3102</v>
      </c>
      <c r="L4779" s="2">
        <v>8</v>
      </c>
      <c r="M4779" s="7">
        <f t="shared" si="370"/>
        <v>24816</v>
      </c>
      <c r="N4779" s="7">
        <f t="shared" si="371"/>
        <v>26832</v>
      </c>
      <c r="O4779" s="2">
        <v>29</v>
      </c>
      <c r="P4779" s="8">
        <f t="shared" si="372"/>
        <v>26861</v>
      </c>
      <c r="Q4779" s="8">
        <f t="shared" si="373"/>
        <v>23730</v>
      </c>
      <c r="R4779" s="2" t="s">
        <v>50</v>
      </c>
      <c r="S4779" s="9">
        <f t="shared" si="374"/>
        <v>1880.2700000000002</v>
      </c>
    </row>
    <row r="4780" spans="1:19" x14ac:dyDescent="0.3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str">
        <f>IFERROR(VLOOKUP('Customer Info'!A4772,'Customer Info'!A4772:C5271,2,FALSE),"Not Found")</f>
        <v>Not Found</v>
      </c>
      <c r="H4780" s="6" t="str">
        <f>IFERROR(VLOOKUP('Customer Info'!A4772,'Customer Info'!A4772:C5271,3,FALSE),"Not Found")</f>
        <v>Not Found</v>
      </c>
      <c r="I4780" s="6" t="str">
        <f>IFERROR(VLOOKUP('Customer Info'!A4772,'Customer Info'!A4772:E5271,5,FALSE),"Not Found")</f>
        <v>Not Found</v>
      </c>
      <c r="J4780" s="2">
        <v>6027</v>
      </c>
      <c r="K4780" s="2">
        <v>5694</v>
      </c>
      <c r="L4780" s="2">
        <v>3</v>
      </c>
      <c r="M4780" s="7">
        <f t="shared" si="370"/>
        <v>17082</v>
      </c>
      <c r="N4780" s="7">
        <f t="shared" si="371"/>
        <v>18081</v>
      </c>
      <c r="O4780" s="2">
        <v>29</v>
      </c>
      <c r="P4780" s="8">
        <f t="shared" si="372"/>
        <v>18110</v>
      </c>
      <c r="Q4780" s="8">
        <f t="shared" si="373"/>
        <v>12387</v>
      </c>
      <c r="R4780" s="2" t="s">
        <v>28</v>
      </c>
      <c r="S4780" s="9">
        <f t="shared" si="374"/>
        <v>905.5</v>
      </c>
    </row>
    <row r="4781" spans="1:19" x14ac:dyDescent="0.3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str">
        <f>IFERROR(VLOOKUP('Customer Info'!A4773,'Customer Info'!A4773:C5272,2,FALSE),"Not Found")</f>
        <v>Not Found</v>
      </c>
      <c r="H4781" s="6" t="str">
        <f>IFERROR(VLOOKUP('Customer Info'!A4773,'Customer Info'!A4773:C5272,3,FALSE),"Not Found")</f>
        <v>Not Found</v>
      </c>
      <c r="I4781" s="6" t="str">
        <f>IFERROR(VLOOKUP('Customer Info'!A4773,'Customer Info'!A4773:E5272,5,FALSE),"Not Found")</f>
        <v>Not Found</v>
      </c>
      <c r="J4781" s="2">
        <v>188</v>
      </c>
      <c r="K4781" s="2">
        <v>173</v>
      </c>
      <c r="L4781" s="2">
        <v>3</v>
      </c>
      <c r="M4781" s="7">
        <f t="shared" si="370"/>
        <v>519</v>
      </c>
      <c r="N4781" s="7">
        <f t="shared" si="371"/>
        <v>564</v>
      </c>
      <c r="O4781" s="2">
        <v>30</v>
      </c>
      <c r="P4781" s="8">
        <f t="shared" si="372"/>
        <v>594</v>
      </c>
      <c r="Q4781" s="8">
        <f t="shared" si="373"/>
        <v>391</v>
      </c>
      <c r="R4781" s="2" t="s">
        <v>50</v>
      </c>
      <c r="S4781" s="9">
        <f t="shared" si="374"/>
        <v>11.88</v>
      </c>
    </row>
    <row r="4782" spans="1:19" x14ac:dyDescent="0.3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str">
        <f>IFERROR(VLOOKUP('Customer Info'!A4774,'Customer Info'!A4774:C5273,2,FALSE),"Not Found")</f>
        <v>Not Found</v>
      </c>
      <c r="H4782" s="6" t="str">
        <f>IFERROR(VLOOKUP('Customer Info'!A4774,'Customer Info'!A4774:C5273,3,FALSE),"Not Found")</f>
        <v>Not Found</v>
      </c>
      <c r="I4782" s="6" t="str">
        <f>IFERROR(VLOOKUP('Customer Info'!A4774,'Customer Info'!A4774:E5273,5,FALSE),"Not Found")</f>
        <v>Not Found</v>
      </c>
      <c r="J4782" s="2">
        <v>129</v>
      </c>
      <c r="K4782" s="2">
        <v>118</v>
      </c>
      <c r="L4782" s="2">
        <v>7</v>
      </c>
      <c r="M4782" s="7">
        <f t="shared" si="370"/>
        <v>826</v>
      </c>
      <c r="N4782" s="7">
        <f t="shared" si="371"/>
        <v>903</v>
      </c>
      <c r="O4782" s="2">
        <v>30</v>
      </c>
      <c r="P4782" s="8">
        <f t="shared" si="372"/>
        <v>933</v>
      </c>
      <c r="Q4782" s="8">
        <f t="shared" si="373"/>
        <v>785</v>
      </c>
      <c r="R4782" s="2" t="s">
        <v>50</v>
      </c>
      <c r="S4782" s="9">
        <f t="shared" si="374"/>
        <v>18.66</v>
      </c>
    </row>
    <row r="4783" spans="1:19" x14ac:dyDescent="0.3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str">
        <f>IFERROR(VLOOKUP('Customer Info'!A4775,'Customer Info'!A4775:C5274,2,FALSE),"Not Found")</f>
        <v>Not Found</v>
      </c>
      <c r="H4783" s="6" t="str">
        <f>IFERROR(VLOOKUP('Customer Info'!A4775,'Customer Info'!A4775:C5274,3,FALSE),"Not Found")</f>
        <v>Not Found</v>
      </c>
      <c r="I4783" s="6" t="str">
        <f>IFERROR(VLOOKUP('Customer Info'!A4775,'Customer Info'!A4775:E5274,5,FALSE),"Not Found")</f>
        <v>Not Found</v>
      </c>
      <c r="J4783" s="2">
        <v>8160</v>
      </c>
      <c r="K4783" s="2">
        <v>7475</v>
      </c>
      <c r="L4783" s="2">
        <v>3</v>
      </c>
      <c r="M4783" s="7">
        <f t="shared" si="370"/>
        <v>22425</v>
      </c>
      <c r="N4783" s="7">
        <f t="shared" si="371"/>
        <v>24480</v>
      </c>
      <c r="O4783" s="2">
        <v>35</v>
      </c>
      <c r="P4783" s="8">
        <f t="shared" si="372"/>
        <v>24515</v>
      </c>
      <c r="Q4783" s="8">
        <f t="shared" si="373"/>
        <v>17005</v>
      </c>
      <c r="R4783" s="2" t="s">
        <v>28</v>
      </c>
      <c r="S4783" s="9">
        <f t="shared" si="374"/>
        <v>1225.75</v>
      </c>
    </row>
    <row r="4784" spans="1:19" x14ac:dyDescent="0.3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str">
        <f>IFERROR(VLOOKUP('Customer Info'!A4776,'Customer Info'!A4776:C5275,2,FALSE),"Not Found")</f>
        <v>Not Found</v>
      </c>
      <c r="H4784" s="6" t="str">
        <f>IFERROR(VLOOKUP('Customer Info'!A4776,'Customer Info'!A4776:C5275,3,FALSE),"Not Found")</f>
        <v>Not Found</v>
      </c>
      <c r="I4784" s="6" t="str">
        <f>IFERROR(VLOOKUP('Customer Info'!A4776,'Customer Info'!A4776:E5275,5,FALSE),"Not Found")</f>
        <v>Not Found</v>
      </c>
      <c r="J4784" s="2">
        <v>1081</v>
      </c>
      <c r="K4784" s="2">
        <v>983</v>
      </c>
      <c r="L4784" s="2">
        <v>5</v>
      </c>
      <c r="M4784" s="7">
        <f t="shared" si="370"/>
        <v>4915</v>
      </c>
      <c r="N4784" s="7">
        <f t="shared" si="371"/>
        <v>5405</v>
      </c>
      <c r="O4784" s="2">
        <v>75</v>
      </c>
      <c r="P4784" s="8">
        <f t="shared" si="372"/>
        <v>5480</v>
      </c>
      <c r="Q4784" s="8">
        <f t="shared" si="373"/>
        <v>4422</v>
      </c>
      <c r="R4784" s="2" t="s">
        <v>28</v>
      </c>
      <c r="S4784" s="9">
        <f t="shared" si="374"/>
        <v>274</v>
      </c>
    </row>
    <row r="4785" spans="1:19" x14ac:dyDescent="0.3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str">
        <f>IFERROR(VLOOKUP('Customer Info'!A4777,'Customer Info'!A4777:C5276,2,FALSE),"Not Found")</f>
        <v>Not Found</v>
      </c>
      <c r="H4785" s="6" t="str">
        <f>IFERROR(VLOOKUP('Customer Info'!A4777,'Customer Info'!A4777:C5276,3,FALSE),"Not Found")</f>
        <v>Not Found</v>
      </c>
      <c r="I4785" s="6" t="str">
        <f>IFERROR(VLOOKUP('Customer Info'!A4777,'Customer Info'!A4777:E5276,5,FALSE),"Not Found")</f>
        <v>Not Found</v>
      </c>
      <c r="J4785" s="2">
        <v>1169</v>
      </c>
      <c r="K4785" s="2">
        <v>1103</v>
      </c>
      <c r="L4785" s="2">
        <v>2</v>
      </c>
      <c r="M4785" s="7">
        <f t="shared" si="370"/>
        <v>2206</v>
      </c>
      <c r="N4785" s="7">
        <f t="shared" si="371"/>
        <v>2338</v>
      </c>
      <c r="O4785" s="2">
        <v>66</v>
      </c>
      <c r="P4785" s="8">
        <f t="shared" si="372"/>
        <v>2404</v>
      </c>
      <c r="Q4785" s="8">
        <f t="shared" si="373"/>
        <v>1235</v>
      </c>
      <c r="R4785" s="2" t="s">
        <v>50</v>
      </c>
      <c r="S4785" s="9">
        <f t="shared" si="374"/>
        <v>48.08</v>
      </c>
    </row>
    <row r="4786" spans="1:19" x14ac:dyDescent="0.3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str">
        <f>IFERROR(VLOOKUP('Customer Info'!A4778,'Customer Info'!A4778:C5277,2,FALSE),"Not Found")</f>
        <v>Not Found</v>
      </c>
      <c r="H4786" s="6" t="str">
        <f>IFERROR(VLOOKUP('Customer Info'!A4778,'Customer Info'!A4778:C5277,3,FALSE),"Not Found")</f>
        <v>Not Found</v>
      </c>
      <c r="I4786" s="6" t="str">
        <f>IFERROR(VLOOKUP('Customer Info'!A4778,'Customer Info'!A4778:E5277,5,FALSE),"Not Found")</f>
        <v>Not Found</v>
      </c>
      <c r="J4786" s="2">
        <v>148</v>
      </c>
      <c r="K4786" s="2">
        <v>136</v>
      </c>
      <c r="L4786" s="2">
        <v>4</v>
      </c>
      <c r="M4786" s="7">
        <f t="shared" si="370"/>
        <v>544</v>
      </c>
      <c r="N4786" s="7">
        <f t="shared" si="371"/>
        <v>592</v>
      </c>
      <c r="O4786" s="2">
        <v>30</v>
      </c>
      <c r="P4786" s="8">
        <f t="shared" si="372"/>
        <v>622</v>
      </c>
      <c r="Q4786" s="8">
        <f t="shared" si="373"/>
        <v>456</v>
      </c>
      <c r="R4786" s="2" t="s">
        <v>28</v>
      </c>
      <c r="S4786" s="9">
        <f t="shared" si="374"/>
        <v>12.44</v>
      </c>
    </row>
    <row r="4787" spans="1:19" x14ac:dyDescent="0.3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str">
        <f>IFERROR(VLOOKUP('Customer Info'!A4779,'Customer Info'!A4779:C5278,2,FALSE),"Not Found")</f>
        <v>Not Found</v>
      </c>
      <c r="H4787" s="6" t="str">
        <f>IFERROR(VLOOKUP('Customer Info'!A4779,'Customer Info'!A4779:C5278,3,FALSE),"Not Found")</f>
        <v>Not Found</v>
      </c>
      <c r="I4787" s="6" t="str">
        <f>IFERROR(VLOOKUP('Customer Info'!A4779,'Customer Info'!A4779:E5278,5,FALSE),"Not Found")</f>
        <v>Not Found</v>
      </c>
      <c r="J4787" s="2">
        <v>404</v>
      </c>
      <c r="K4787" s="2">
        <v>371</v>
      </c>
      <c r="L4787" s="2">
        <v>2</v>
      </c>
      <c r="M4787" s="7">
        <f t="shared" si="370"/>
        <v>742</v>
      </c>
      <c r="N4787" s="7">
        <f t="shared" si="371"/>
        <v>808</v>
      </c>
      <c r="O4787" s="2">
        <v>51</v>
      </c>
      <c r="P4787" s="8">
        <f t="shared" si="372"/>
        <v>859</v>
      </c>
      <c r="Q4787" s="8">
        <f t="shared" si="373"/>
        <v>437</v>
      </c>
      <c r="R4787" s="2" t="s">
        <v>50</v>
      </c>
      <c r="S4787" s="9">
        <f t="shared" si="374"/>
        <v>17.18</v>
      </c>
    </row>
    <row r="4788" spans="1:19" x14ac:dyDescent="0.3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str">
        <f>IFERROR(VLOOKUP('Customer Info'!A4780,'Customer Info'!A4780:C5279,2,FALSE),"Not Found")</f>
        <v>Not Found</v>
      </c>
      <c r="H4788" s="6" t="str">
        <f>IFERROR(VLOOKUP('Customer Info'!A4780,'Customer Info'!A4780:C5279,3,FALSE),"Not Found")</f>
        <v>Not Found</v>
      </c>
      <c r="I4788" s="6" t="str">
        <f>IFERROR(VLOOKUP('Customer Info'!A4780,'Customer Info'!A4780:E5279,5,FALSE),"Not Found")</f>
        <v>Not Found</v>
      </c>
      <c r="J4788" s="2">
        <v>8379</v>
      </c>
      <c r="K4788" s="2">
        <v>8061</v>
      </c>
      <c r="L4788" s="2">
        <v>4</v>
      </c>
      <c r="M4788" s="7">
        <f t="shared" si="370"/>
        <v>32244</v>
      </c>
      <c r="N4788" s="7">
        <f t="shared" si="371"/>
        <v>33516</v>
      </c>
      <c r="O4788" s="2">
        <v>82</v>
      </c>
      <c r="P4788" s="8">
        <f t="shared" si="372"/>
        <v>33598</v>
      </c>
      <c r="Q4788" s="8">
        <f t="shared" si="373"/>
        <v>25455</v>
      </c>
      <c r="R4788" s="2" t="s">
        <v>50</v>
      </c>
      <c r="S4788" s="9">
        <f t="shared" si="374"/>
        <v>2351.86</v>
      </c>
    </row>
    <row r="4789" spans="1:19" x14ac:dyDescent="0.3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str">
        <f>IFERROR(VLOOKUP('Customer Info'!A4781,'Customer Info'!A4781:C5280,2,FALSE),"Not Found")</f>
        <v>Not Found</v>
      </c>
      <c r="H4789" s="6" t="str">
        <f>IFERROR(VLOOKUP('Customer Info'!A4781,'Customer Info'!A4781:C5280,3,FALSE),"Not Found")</f>
        <v>Not Found</v>
      </c>
      <c r="I4789" s="6" t="str">
        <f>IFERROR(VLOOKUP('Customer Info'!A4781,'Customer Info'!A4781:E5280,5,FALSE),"Not Found")</f>
        <v>Not Found</v>
      </c>
      <c r="J4789" s="2">
        <v>1359</v>
      </c>
      <c r="K4789" s="2">
        <v>1221</v>
      </c>
      <c r="L4789" s="2">
        <v>4</v>
      </c>
      <c r="M4789" s="7">
        <f t="shared" si="370"/>
        <v>4884</v>
      </c>
      <c r="N4789" s="7">
        <f t="shared" si="371"/>
        <v>5436</v>
      </c>
      <c r="O4789" s="2">
        <v>58</v>
      </c>
      <c r="P4789" s="8">
        <f t="shared" si="372"/>
        <v>5494</v>
      </c>
      <c r="Q4789" s="8">
        <f t="shared" si="373"/>
        <v>4215</v>
      </c>
      <c r="R4789" s="2" t="s">
        <v>28</v>
      </c>
      <c r="S4789" s="9">
        <f t="shared" si="374"/>
        <v>274.7</v>
      </c>
    </row>
    <row r="4790" spans="1:19" x14ac:dyDescent="0.3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str">
        <f>IFERROR(VLOOKUP('Customer Info'!A4782,'Customer Info'!A4782:C5281,2,FALSE),"Not Found")</f>
        <v>Not Found</v>
      </c>
      <c r="H4790" s="6" t="str">
        <f>IFERROR(VLOOKUP('Customer Info'!A4782,'Customer Info'!A4782:C5281,3,FALSE),"Not Found")</f>
        <v>Not Found</v>
      </c>
      <c r="I4790" s="6" t="str">
        <f>IFERROR(VLOOKUP('Customer Info'!A4782,'Customer Info'!A4782:E5281,5,FALSE),"Not Found")</f>
        <v>Not Found</v>
      </c>
      <c r="J4790" s="2">
        <v>128</v>
      </c>
      <c r="K4790" s="2">
        <v>115</v>
      </c>
      <c r="L4790" s="2">
        <v>3</v>
      </c>
      <c r="M4790" s="7">
        <f t="shared" si="370"/>
        <v>345</v>
      </c>
      <c r="N4790" s="7">
        <f t="shared" si="371"/>
        <v>384</v>
      </c>
      <c r="O4790" s="2">
        <v>30</v>
      </c>
      <c r="P4790" s="8">
        <f t="shared" si="372"/>
        <v>414</v>
      </c>
      <c r="Q4790" s="8">
        <f t="shared" si="373"/>
        <v>269</v>
      </c>
      <c r="R4790" s="2" t="s">
        <v>26</v>
      </c>
      <c r="S4790" s="9">
        <f t="shared" si="374"/>
        <v>8.2799999999999994</v>
      </c>
    </row>
    <row r="4791" spans="1:19" x14ac:dyDescent="0.3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str">
        <f>IFERROR(VLOOKUP('Customer Info'!A4783,'Customer Info'!A4783:C5282,2,FALSE),"Not Found")</f>
        <v>Not Found</v>
      </c>
      <c r="H4791" s="6" t="str">
        <f>IFERROR(VLOOKUP('Customer Info'!A4783,'Customer Info'!A4783:C5282,3,FALSE),"Not Found")</f>
        <v>Not Found</v>
      </c>
      <c r="I4791" s="6" t="str">
        <f>IFERROR(VLOOKUP('Customer Info'!A4783,'Customer Info'!A4783:E5282,5,FALSE),"Not Found")</f>
        <v>Not Found</v>
      </c>
      <c r="J4791" s="2">
        <v>1399</v>
      </c>
      <c r="K4791" s="2">
        <v>1333</v>
      </c>
      <c r="L4791" s="2">
        <v>4</v>
      </c>
      <c r="M4791" s="7">
        <f t="shared" si="370"/>
        <v>5332</v>
      </c>
      <c r="N4791" s="7">
        <f t="shared" si="371"/>
        <v>5596</v>
      </c>
      <c r="O4791" s="2">
        <v>38</v>
      </c>
      <c r="P4791" s="8">
        <f t="shared" si="372"/>
        <v>5634</v>
      </c>
      <c r="Q4791" s="8">
        <f t="shared" si="373"/>
        <v>4263</v>
      </c>
      <c r="R4791" s="2" t="s">
        <v>26</v>
      </c>
      <c r="S4791" s="9">
        <f t="shared" si="374"/>
        <v>281.7</v>
      </c>
    </row>
    <row r="4792" spans="1:19" x14ac:dyDescent="0.3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str">
        <f>IFERROR(VLOOKUP('Customer Info'!A4784,'Customer Info'!A4784:C5283,2,FALSE),"Not Found")</f>
        <v>Not Found</v>
      </c>
      <c r="H4792" s="6" t="str">
        <f>IFERROR(VLOOKUP('Customer Info'!A4784,'Customer Info'!A4784:C5283,3,FALSE),"Not Found")</f>
        <v>Not Found</v>
      </c>
      <c r="I4792" s="6" t="str">
        <f>IFERROR(VLOOKUP('Customer Info'!A4784,'Customer Info'!A4784:E5283,5,FALSE),"Not Found")</f>
        <v>Not Found</v>
      </c>
      <c r="J4792" s="2">
        <v>90</v>
      </c>
      <c r="K4792" s="2">
        <v>81</v>
      </c>
      <c r="L4792" s="2">
        <v>5</v>
      </c>
      <c r="M4792" s="7">
        <f t="shared" si="370"/>
        <v>405</v>
      </c>
      <c r="N4792" s="7">
        <f t="shared" si="371"/>
        <v>450</v>
      </c>
      <c r="O4792" s="2">
        <v>10</v>
      </c>
      <c r="P4792" s="8">
        <f t="shared" si="372"/>
        <v>460</v>
      </c>
      <c r="Q4792" s="8">
        <f t="shared" si="373"/>
        <v>369</v>
      </c>
      <c r="R4792" s="2" t="s">
        <v>28</v>
      </c>
      <c r="S4792" s="9">
        <f t="shared" si="374"/>
        <v>9.2000000000000011</v>
      </c>
    </row>
    <row r="4793" spans="1:19" x14ac:dyDescent="0.3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str">
        <f>IFERROR(VLOOKUP('Customer Info'!A4785,'Customer Info'!A4785:C5284,2,FALSE),"Not Found")</f>
        <v>Not Found</v>
      </c>
      <c r="H4793" s="6" t="str">
        <f>IFERROR(VLOOKUP('Customer Info'!A4785,'Customer Info'!A4785:C5284,3,FALSE),"Not Found")</f>
        <v>Not Found</v>
      </c>
      <c r="I4793" s="6" t="str">
        <f>IFERROR(VLOOKUP('Customer Info'!A4785,'Customer Info'!A4785:E5284,5,FALSE),"Not Found")</f>
        <v>Not Found</v>
      </c>
      <c r="J4793" s="2">
        <v>1686</v>
      </c>
      <c r="K4793" s="2">
        <v>1591</v>
      </c>
      <c r="L4793" s="2">
        <v>2</v>
      </c>
      <c r="M4793" s="7">
        <f t="shared" si="370"/>
        <v>3182</v>
      </c>
      <c r="N4793" s="7">
        <f t="shared" si="371"/>
        <v>3372</v>
      </c>
      <c r="O4793" s="2">
        <v>97</v>
      </c>
      <c r="P4793" s="8">
        <f t="shared" si="372"/>
        <v>3469</v>
      </c>
      <c r="Q4793" s="8">
        <f t="shared" si="373"/>
        <v>1781</v>
      </c>
      <c r="R4793" s="2" t="s">
        <v>28</v>
      </c>
      <c r="S4793" s="9">
        <f t="shared" si="374"/>
        <v>69.38</v>
      </c>
    </row>
    <row r="4794" spans="1:19" x14ac:dyDescent="0.3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str">
        <f>IFERROR(VLOOKUP('Customer Info'!A4786,'Customer Info'!A4786:C5285,2,FALSE),"Not Found")</f>
        <v>Not Found</v>
      </c>
      <c r="H4794" s="6" t="str">
        <f>IFERROR(VLOOKUP('Customer Info'!A4786,'Customer Info'!A4786:C5285,3,FALSE),"Not Found")</f>
        <v>Not Found</v>
      </c>
      <c r="I4794" s="6" t="str">
        <f>IFERROR(VLOOKUP('Customer Info'!A4786,'Customer Info'!A4786:E5285,5,FALSE),"Not Found")</f>
        <v>Not Found</v>
      </c>
      <c r="J4794" s="2">
        <v>8878</v>
      </c>
      <c r="K4794" s="2">
        <v>7914</v>
      </c>
      <c r="L4794" s="2">
        <v>2</v>
      </c>
      <c r="M4794" s="7">
        <f t="shared" si="370"/>
        <v>15828</v>
      </c>
      <c r="N4794" s="7">
        <f t="shared" si="371"/>
        <v>17756</v>
      </c>
      <c r="O4794" s="2">
        <v>34</v>
      </c>
      <c r="P4794" s="8">
        <f t="shared" si="372"/>
        <v>17790</v>
      </c>
      <c r="Q4794" s="8">
        <f t="shared" si="373"/>
        <v>9842</v>
      </c>
      <c r="R4794" s="2" t="s">
        <v>50</v>
      </c>
      <c r="S4794" s="9">
        <f t="shared" si="374"/>
        <v>889.5</v>
      </c>
    </row>
    <row r="4795" spans="1:19" x14ac:dyDescent="0.3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str">
        <f>IFERROR(VLOOKUP('Customer Info'!A4787,'Customer Info'!A4787:C5286,2,FALSE),"Not Found")</f>
        <v>Not Found</v>
      </c>
      <c r="H4795" s="6" t="str">
        <f>IFERROR(VLOOKUP('Customer Info'!A4787,'Customer Info'!A4787:C5286,3,FALSE),"Not Found")</f>
        <v>Not Found</v>
      </c>
      <c r="I4795" s="6" t="str">
        <f>IFERROR(VLOOKUP('Customer Info'!A4787,'Customer Info'!A4787:E5286,5,FALSE),"Not Found")</f>
        <v>Not Found</v>
      </c>
      <c r="J4795" s="2">
        <v>2960</v>
      </c>
      <c r="K4795" s="2">
        <v>2635</v>
      </c>
      <c r="L4795" s="2">
        <v>2</v>
      </c>
      <c r="M4795" s="7">
        <f t="shared" si="370"/>
        <v>5270</v>
      </c>
      <c r="N4795" s="7">
        <f t="shared" si="371"/>
        <v>5920</v>
      </c>
      <c r="O4795" s="2">
        <v>97</v>
      </c>
      <c r="P4795" s="8">
        <f t="shared" si="372"/>
        <v>6017</v>
      </c>
      <c r="Q4795" s="8">
        <f t="shared" si="373"/>
        <v>3285</v>
      </c>
      <c r="R4795" s="2" t="s">
        <v>28</v>
      </c>
      <c r="S4795" s="9">
        <f t="shared" si="374"/>
        <v>300.85000000000002</v>
      </c>
    </row>
    <row r="4796" spans="1:19" x14ac:dyDescent="0.3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str">
        <f>IFERROR(VLOOKUP('Customer Info'!A4788,'Customer Info'!A4788:C5287,2,FALSE),"Not Found")</f>
        <v>Not Found</v>
      </c>
      <c r="H4796" s="6" t="str">
        <f>IFERROR(VLOOKUP('Customer Info'!A4788,'Customer Info'!A4788:C5287,3,FALSE),"Not Found")</f>
        <v>Not Found</v>
      </c>
      <c r="I4796" s="6" t="str">
        <f>IFERROR(VLOOKUP('Customer Info'!A4788,'Customer Info'!A4788:E5287,5,FALSE),"Not Found")</f>
        <v>Not Found</v>
      </c>
      <c r="J4796" s="2">
        <v>8967</v>
      </c>
      <c r="K4796" s="2">
        <v>8151</v>
      </c>
      <c r="L4796" s="2">
        <v>2</v>
      </c>
      <c r="M4796" s="7">
        <f t="shared" si="370"/>
        <v>16302</v>
      </c>
      <c r="N4796" s="7">
        <f t="shared" si="371"/>
        <v>17934</v>
      </c>
      <c r="O4796" s="2">
        <v>49</v>
      </c>
      <c r="P4796" s="8">
        <f t="shared" si="372"/>
        <v>17983</v>
      </c>
      <c r="Q4796" s="8">
        <f t="shared" si="373"/>
        <v>9783</v>
      </c>
      <c r="R4796" s="2" t="s">
        <v>50</v>
      </c>
      <c r="S4796" s="9">
        <f t="shared" si="374"/>
        <v>899.15000000000009</v>
      </c>
    </row>
    <row r="4797" spans="1:19" x14ac:dyDescent="0.3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str">
        <f>IFERROR(VLOOKUP('Customer Info'!A4789,'Customer Info'!A4789:C5288,2,FALSE),"Not Found")</f>
        <v>Not Found</v>
      </c>
      <c r="H4797" s="6" t="str">
        <f>IFERROR(VLOOKUP('Customer Info'!A4789,'Customer Info'!A4789:C5288,3,FALSE),"Not Found")</f>
        <v>Not Found</v>
      </c>
      <c r="I4797" s="6" t="str">
        <f>IFERROR(VLOOKUP('Customer Info'!A4789,'Customer Info'!A4789:E5288,5,FALSE),"Not Found")</f>
        <v>Not Found</v>
      </c>
      <c r="J4797" s="2">
        <v>4761</v>
      </c>
      <c r="K4797" s="2">
        <v>4368</v>
      </c>
      <c r="L4797" s="2">
        <v>1</v>
      </c>
      <c r="M4797" s="7">
        <f t="shared" si="370"/>
        <v>4368</v>
      </c>
      <c r="N4797" s="7">
        <f t="shared" si="371"/>
        <v>4761</v>
      </c>
      <c r="O4797" s="2">
        <v>53</v>
      </c>
      <c r="P4797" s="8">
        <f t="shared" si="372"/>
        <v>4814</v>
      </c>
      <c r="Q4797" s="8">
        <f t="shared" si="373"/>
        <v>393</v>
      </c>
      <c r="R4797" s="2" t="s">
        <v>28</v>
      </c>
      <c r="S4797" s="9">
        <f t="shared" si="374"/>
        <v>96.28</v>
      </c>
    </row>
    <row r="4798" spans="1:19" x14ac:dyDescent="0.3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str">
        <f>IFERROR(VLOOKUP('Customer Info'!A4790,'Customer Info'!A4790:C5289,2,FALSE),"Not Found")</f>
        <v>Not Found</v>
      </c>
      <c r="H4798" s="6" t="str">
        <f>IFERROR(VLOOKUP('Customer Info'!A4790,'Customer Info'!A4790:C5289,3,FALSE),"Not Found")</f>
        <v>Not Found</v>
      </c>
      <c r="I4798" s="6" t="str">
        <f>IFERROR(VLOOKUP('Customer Info'!A4790,'Customer Info'!A4790:E5289,5,FALSE),"Not Found")</f>
        <v>Not Found</v>
      </c>
      <c r="J4798" s="2">
        <v>1060</v>
      </c>
      <c r="K4798" s="2">
        <v>964</v>
      </c>
      <c r="L4798" s="2">
        <v>7</v>
      </c>
      <c r="M4798" s="7">
        <f t="shared" si="370"/>
        <v>6748</v>
      </c>
      <c r="N4798" s="7">
        <f t="shared" si="371"/>
        <v>7420</v>
      </c>
      <c r="O4798" s="2">
        <v>80</v>
      </c>
      <c r="P4798" s="8">
        <f t="shared" si="372"/>
        <v>7500</v>
      </c>
      <c r="Q4798" s="8">
        <f t="shared" si="373"/>
        <v>6456</v>
      </c>
      <c r="R4798" s="2" t="s">
        <v>28</v>
      </c>
      <c r="S4798" s="9">
        <f t="shared" si="374"/>
        <v>375</v>
      </c>
    </row>
    <row r="4799" spans="1:19" x14ac:dyDescent="0.3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str">
        <f>IFERROR(VLOOKUP('Customer Info'!A4791,'Customer Info'!A4791:C5290,2,FALSE),"Not Found")</f>
        <v>Not Found</v>
      </c>
      <c r="H4799" s="6" t="str">
        <f>IFERROR(VLOOKUP('Customer Info'!A4791,'Customer Info'!A4791:C5290,3,FALSE),"Not Found")</f>
        <v>Not Found</v>
      </c>
      <c r="I4799" s="6" t="str">
        <f>IFERROR(VLOOKUP('Customer Info'!A4791,'Customer Info'!A4791:E5290,5,FALSE),"Not Found")</f>
        <v>Not Found</v>
      </c>
      <c r="J4799" s="2">
        <v>681</v>
      </c>
      <c r="K4799" s="2">
        <v>642</v>
      </c>
      <c r="L4799" s="2">
        <v>4</v>
      </c>
      <c r="M4799" s="7">
        <f t="shared" si="370"/>
        <v>2568</v>
      </c>
      <c r="N4799" s="7">
        <f t="shared" si="371"/>
        <v>2724</v>
      </c>
      <c r="O4799" s="2">
        <v>50</v>
      </c>
      <c r="P4799" s="8">
        <f t="shared" si="372"/>
        <v>2774</v>
      </c>
      <c r="Q4799" s="8">
        <f t="shared" si="373"/>
        <v>2082</v>
      </c>
      <c r="R4799" s="2" t="s">
        <v>28</v>
      </c>
      <c r="S4799" s="9">
        <f t="shared" si="374"/>
        <v>55.480000000000004</v>
      </c>
    </row>
    <row r="4800" spans="1:19" x14ac:dyDescent="0.3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str">
        <f>IFERROR(VLOOKUP('Customer Info'!A4792,'Customer Info'!A4792:C5291,2,FALSE),"Not Found")</f>
        <v>Not Found</v>
      </c>
      <c r="H4800" s="6" t="str">
        <f>IFERROR(VLOOKUP('Customer Info'!A4792,'Customer Info'!A4792:C5291,3,FALSE),"Not Found")</f>
        <v>Not Found</v>
      </c>
      <c r="I4800" s="6" t="str">
        <f>IFERROR(VLOOKUP('Customer Info'!A4792,'Customer Info'!A4792:E5291,5,FALSE),"Not Found")</f>
        <v>Not Found</v>
      </c>
      <c r="J4800" s="2">
        <v>8281</v>
      </c>
      <c r="K4800" s="2">
        <v>7673</v>
      </c>
      <c r="L4800" s="2">
        <v>2</v>
      </c>
      <c r="M4800" s="7">
        <f t="shared" si="370"/>
        <v>15346</v>
      </c>
      <c r="N4800" s="7">
        <f t="shared" si="371"/>
        <v>16562</v>
      </c>
      <c r="O4800" s="2">
        <v>82</v>
      </c>
      <c r="P4800" s="8">
        <f t="shared" si="372"/>
        <v>16644</v>
      </c>
      <c r="Q4800" s="8">
        <f t="shared" si="373"/>
        <v>8889</v>
      </c>
      <c r="R4800" s="2" t="s">
        <v>28</v>
      </c>
      <c r="S4800" s="9">
        <f t="shared" si="374"/>
        <v>832.2</v>
      </c>
    </row>
    <row r="4801" spans="1:19" x14ac:dyDescent="0.3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str">
        <f>IFERROR(VLOOKUP('Customer Info'!A4793,'Customer Info'!A4793:C5292,2,FALSE),"Not Found")</f>
        <v>Not Found</v>
      </c>
      <c r="H4801" s="6" t="str">
        <f>IFERROR(VLOOKUP('Customer Info'!A4793,'Customer Info'!A4793:C5292,3,FALSE),"Not Found")</f>
        <v>Not Found</v>
      </c>
      <c r="I4801" s="6" t="str">
        <f>IFERROR(VLOOKUP('Customer Info'!A4793,'Customer Info'!A4793:E5292,5,FALSE),"Not Found")</f>
        <v>Not Found</v>
      </c>
      <c r="J4801" s="2">
        <v>2042</v>
      </c>
      <c r="K4801" s="2">
        <v>1965</v>
      </c>
      <c r="L4801" s="2">
        <v>6</v>
      </c>
      <c r="M4801" s="7">
        <f t="shared" si="370"/>
        <v>11790</v>
      </c>
      <c r="N4801" s="7">
        <f t="shared" si="371"/>
        <v>12252</v>
      </c>
      <c r="O4801" s="2">
        <v>73</v>
      </c>
      <c r="P4801" s="8">
        <f t="shared" si="372"/>
        <v>12325</v>
      </c>
      <c r="Q4801" s="8">
        <f t="shared" si="373"/>
        <v>10287</v>
      </c>
      <c r="R4801" s="2" t="s">
        <v>28</v>
      </c>
      <c r="S4801" s="9">
        <f t="shared" si="374"/>
        <v>616.25</v>
      </c>
    </row>
    <row r="4802" spans="1:19" x14ac:dyDescent="0.3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str">
        <f>IFERROR(VLOOKUP('Customer Info'!A4794,'Customer Info'!A4794:C5293,2,FALSE),"Not Found")</f>
        <v>Not Found</v>
      </c>
      <c r="H4802" s="6" t="str">
        <f>IFERROR(VLOOKUP('Customer Info'!A4794,'Customer Info'!A4794:C5293,3,FALSE),"Not Found")</f>
        <v>Not Found</v>
      </c>
      <c r="I4802" s="6" t="str">
        <f>IFERROR(VLOOKUP('Customer Info'!A4794,'Customer Info'!A4794:E5293,5,FALSE),"Not Found")</f>
        <v>Not Found</v>
      </c>
      <c r="J4802" s="2">
        <v>2733</v>
      </c>
      <c r="K4802" s="2">
        <v>2579</v>
      </c>
      <c r="L4802" s="2">
        <v>3</v>
      </c>
      <c r="M4802" s="7">
        <f t="shared" si="370"/>
        <v>7737</v>
      </c>
      <c r="N4802" s="7">
        <f t="shared" si="371"/>
        <v>8199</v>
      </c>
      <c r="O4802" s="2">
        <v>100</v>
      </c>
      <c r="P4802" s="8">
        <f t="shared" si="372"/>
        <v>8299</v>
      </c>
      <c r="Q4802" s="8">
        <f t="shared" si="373"/>
        <v>5620</v>
      </c>
      <c r="R4802" s="2" t="s">
        <v>28</v>
      </c>
      <c r="S4802" s="9">
        <f t="shared" si="374"/>
        <v>414.95000000000005</v>
      </c>
    </row>
    <row r="4803" spans="1:19" x14ac:dyDescent="0.3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str">
        <f>IFERROR(VLOOKUP('Customer Info'!A4795,'Customer Info'!A4795:C5294,2,FALSE),"Not Found")</f>
        <v>Not Found</v>
      </c>
      <c r="H4803" s="6" t="str">
        <f>IFERROR(VLOOKUP('Customer Info'!A4795,'Customer Info'!A4795:C5294,3,FALSE),"Not Found")</f>
        <v>Not Found</v>
      </c>
      <c r="I4803" s="6" t="str">
        <f>IFERROR(VLOOKUP('Customer Info'!A4795,'Customer Info'!A4795:E5294,5,FALSE),"Not Found")</f>
        <v>Not Found</v>
      </c>
      <c r="J4803" s="2">
        <v>27691</v>
      </c>
      <c r="K4803" s="2">
        <v>25616</v>
      </c>
      <c r="L4803" s="2">
        <v>1</v>
      </c>
      <c r="M4803" s="7">
        <f t="shared" si="370"/>
        <v>25616</v>
      </c>
      <c r="N4803" s="7">
        <f t="shared" si="371"/>
        <v>27691</v>
      </c>
      <c r="O4803" s="2">
        <v>28</v>
      </c>
      <c r="P4803" s="8">
        <f t="shared" si="372"/>
        <v>27719</v>
      </c>
      <c r="Q4803" s="8">
        <f t="shared" si="373"/>
        <v>2075</v>
      </c>
      <c r="R4803" s="2" t="s">
        <v>28</v>
      </c>
      <c r="S4803" s="9">
        <f t="shared" si="374"/>
        <v>1940.3300000000002</v>
      </c>
    </row>
    <row r="4804" spans="1:19" x14ac:dyDescent="0.3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str">
        <f>IFERROR(VLOOKUP('Customer Info'!A4796,'Customer Info'!A4796:C5295,2,FALSE),"Not Found")</f>
        <v>Not Found</v>
      </c>
      <c r="H4804" s="6" t="str">
        <f>IFERROR(VLOOKUP('Customer Info'!A4796,'Customer Info'!A4796:C5295,3,FALSE),"Not Found")</f>
        <v>Not Found</v>
      </c>
      <c r="I4804" s="6" t="str">
        <f>IFERROR(VLOOKUP('Customer Info'!A4796,'Customer Info'!A4796:E5295,5,FALSE),"Not Found")</f>
        <v>Not Found</v>
      </c>
      <c r="J4804" s="2">
        <v>2155</v>
      </c>
      <c r="K4804" s="2">
        <v>2014</v>
      </c>
      <c r="L4804" s="2">
        <v>1</v>
      </c>
      <c r="M4804" s="7">
        <f t="shared" si="370"/>
        <v>2014</v>
      </c>
      <c r="N4804" s="7">
        <f t="shared" si="371"/>
        <v>2155</v>
      </c>
      <c r="O4804" s="2">
        <v>52</v>
      </c>
      <c r="P4804" s="8">
        <f t="shared" si="372"/>
        <v>2207</v>
      </c>
      <c r="Q4804" s="8">
        <f t="shared" si="373"/>
        <v>141</v>
      </c>
      <c r="R4804" s="2" t="s">
        <v>28</v>
      </c>
      <c r="S4804" s="9">
        <f t="shared" si="374"/>
        <v>44.14</v>
      </c>
    </row>
    <row r="4805" spans="1:19" x14ac:dyDescent="0.3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str">
        <f>IFERROR(VLOOKUP('Customer Info'!A4797,'Customer Info'!A4797:C5296,2,FALSE),"Not Found")</f>
        <v>Not Found</v>
      </c>
      <c r="H4805" s="6" t="str">
        <f>IFERROR(VLOOKUP('Customer Info'!A4797,'Customer Info'!A4797:C5296,3,FALSE),"Not Found")</f>
        <v>Not Found</v>
      </c>
      <c r="I4805" s="6" t="str">
        <f>IFERROR(VLOOKUP('Customer Info'!A4797,'Customer Info'!A4797:E5296,5,FALSE),"Not Found")</f>
        <v>Not Found</v>
      </c>
      <c r="J4805" s="2">
        <v>2958</v>
      </c>
      <c r="K4805" s="2">
        <v>2743</v>
      </c>
      <c r="L4805" s="2">
        <v>3</v>
      </c>
      <c r="M4805" s="7">
        <f t="shared" si="370"/>
        <v>8229</v>
      </c>
      <c r="N4805" s="7">
        <f t="shared" si="371"/>
        <v>8874</v>
      </c>
      <c r="O4805" s="2">
        <v>32</v>
      </c>
      <c r="P4805" s="8">
        <f t="shared" si="372"/>
        <v>8906</v>
      </c>
      <c r="Q4805" s="8">
        <f t="shared" si="373"/>
        <v>6131</v>
      </c>
      <c r="R4805" s="2" t="s">
        <v>28</v>
      </c>
      <c r="S4805" s="9">
        <f t="shared" si="374"/>
        <v>445.3</v>
      </c>
    </row>
    <row r="4806" spans="1:19" x14ac:dyDescent="0.3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str">
        <f>IFERROR(VLOOKUP('Customer Info'!A4798,'Customer Info'!A4798:C5297,2,FALSE),"Not Found")</f>
        <v>Not Found</v>
      </c>
      <c r="H4806" s="6" t="str">
        <f>IFERROR(VLOOKUP('Customer Info'!A4798,'Customer Info'!A4798:C5297,3,FALSE),"Not Found")</f>
        <v>Not Found</v>
      </c>
      <c r="I4806" s="6" t="str">
        <f>IFERROR(VLOOKUP('Customer Info'!A4798,'Customer Info'!A4798:E5297,5,FALSE),"Not Found")</f>
        <v>Not Found</v>
      </c>
      <c r="J4806" s="2">
        <v>2442</v>
      </c>
      <c r="K4806" s="2">
        <v>2304</v>
      </c>
      <c r="L4806" s="2">
        <v>5</v>
      </c>
      <c r="M4806" s="7">
        <f t="shared" si="370"/>
        <v>11520</v>
      </c>
      <c r="N4806" s="7">
        <f t="shared" si="371"/>
        <v>12210</v>
      </c>
      <c r="O4806" s="2">
        <v>94</v>
      </c>
      <c r="P4806" s="8">
        <f t="shared" si="372"/>
        <v>12304</v>
      </c>
      <c r="Q4806" s="8">
        <f t="shared" si="373"/>
        <v>9906</v>
      </c>
      <c r="R4806" s="2" t="s">
        <v>50</v>
      </c>
      <c r="S4806" s="9">
        <f t="shared" si="374"/>
        <v>615.20000000000005</v>
      </c>
    </row>
    <row r="4807" spans="1:19" x14ac:dyDescent="0.3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str">
        <f>IFERROR(VLOOKUP('Customer Info'!A4799,'Customer Info'!A4799:C5298,2,FALSE),"Not Found")</f>
        <v>Not Found</v>
      </c>
      <c r="H4807" s="6" t="str">
        <f>IFERROR(VLOOKUP('Customer Info'!A4799,'Customer Info'!A4799:C5298,3,FALSE),"Not Found")</f>
        <v>Not Found</v>
      </c>
      <c r="I4807" s="6" t="str">
        <f>IFERROR(VLOOKUP('Customer Info'!A4799,'Customer Info'!A4799:E5298,5,FALSE),"Not Found")</f>
        <v>Not Found</v>
      </c>
      <c r="J4807" s="2">
        <v>6768</v>
      </c>
      <c r="K4807" s="2">
        <v>6512</v>
      </c>
      <c r="L4807" s="2">
        <v>1</v>
      </c>
      <c r="M4807" s="7">
        <f t="shared" si="370"/>
        <v>6512</v>
      </c>
      <c r="N4807" s="7">
        <f t="shared" si="371"/>
        <v>6768</v>
      </c>
      <c r="O4807" s="2">
        <v>60</v>
      </c>
      <c r="P4807" s="8">
        <f t="shared" si="372"/>
        <v>6828</v>
      </c>
      <c r="Q4807" s="8">
        <f t="shared" si="373"/>
        <v>256</v>
      </c>
      <c r="R4807" s="2" t="s">
        <v>50</v>
      </c>
      <c r="S4807" s="9">
        <f t="shared" si="374"/>
        <v>341.40000000000003</v>
      </c>
    </row>
    <row r="4808" spans="1:19" x14ac:dyDescent="0.3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str">
        <f>IFERROR(VLOOKUP('Customer Info'!A4800,'Customer Info'!A4800:C5299,2,FALSE),"Not Found")</f>
        <v>Not Found</v>
      </c>
      <c r="H4808" s="6" t="str">
        <f>IFERROR(VLOOKUP('Customer Info'!A4800,'Customer Info'!A4800:C5299,3,FALSE),"Not Found")</f>
        <v>Not Found</v>
      </c>
      <c r="I4808" s="6" t="str">
        <f>IFERROR(VLOOKUP('Customer Info'!A4800,'Customer Info'!A4800:E5299,5,FALSE),"Not Found")</f>
        <v>Not Found</v>
      </c>
      <c r="J4808" s="2">
        <v>1186</v>
      </c>
      <c r="K4808" s="2">
        <v>1141</v>
      </c>
      <c r="L4808" s="2">
        <v>1</v>
      </c>
      <c r="M4808" s="7">
        <f t="shared" si="370"/>
        <v>1141</v>
      </c>
      <c r="N4808" s="7">
        <f t="shared" si="371"/>
        <v>1186</v>
      </c>
      <c r="O4808" s="2">
        <v>42</v>
      </c>
      <c r="P4808" s="8">
        <f t="shared" si="372"/>
        <v>1228</v>
      </c>
      <c r="Q4808" s="8">
        <f t="shared" si="373"/>
        <v>45</v>
      </c>
      <c r="R4808" s="2" t="s">
        <v>50</v>
      </c>
      <c r="S4808" s="9">
        <f t="shared" si="374"/>
        <v>24.560000000000002</v>
      </c>
    </row>
    <row r="4809" spans="1:19" x14ac:dyDescent="0.3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str">
        <f>IFERROR(VLOOKUP('Customer Info'!A4801,'Customer Info'!A4801:C5300,2,FALSE),"Not Found")</f>
        <v>Not Found</v>
      </c>
      <c r="H4809" s="6" t="str">
        <f>IFERROR(VLOOKUP('Customer Info'!A4801,'Customer Info'!A4801:C5300,3,FALSE),"Not Found")</f>
        <v>Not Found</v>
      </c>
      <c r="I4809" s="6" t="str">
        <f>IFERROR(VLOOKUP('Customer Info'!A4801,'Customer Info'!A4801:E5300,5,FALSE),"Not Found")</f>
        <v>Not Found</v>
      </c>
      <c r="J4809" s="2">
        <v>1060</v>
      </c>
      <c r="K4809" s="2">
        <v>964</v>
      </c>
      <c r="L4809" s="2">
        <v>6</v>
      </c>
      <c r="M4809" s="7">
        <f t="shared" si="370"/>
        <v>5784</v>
      </c>
      <c r="N4809" s="7">
        <f t="shared" si="371"/>
        <v>6360</v>
      </c>
      <c r="O4809" s="2">
        <v>82</v>
      </c>
      <c r="P4809" s="8">
        <f t="shared" si="372"/>
        <v>6442</v>
      </c>
      <c r="Q4809" s="8">
        <f t="shared" si="373"/>
        <v>5396</v>
      </c>
      <c r="R4809" s="2" t="s">
        <v>26</v>
      </c>
      <c r="S4809" s="9">
        <f t="shared" si="374"/>
        <v>322.10000000000002</v>
      </c>
    </row>
    <row r="4810" spans="1:19" x14ac:dyDescent="0.3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str">
        <f>IFERROR(VLOOKUP('Customer Info'!A4802,'Customer Info'!A4802:C5301,2,FALSE),"Not Found")</f>
        <v>Not Found</v>
      </c>
      <c r="H4810" s="6" t="str">
        <f>IFERROR(VLOOKUP('Customer Info'!A4802,'Customer Info'!A4802:C5301,3,FALSE),"Not Found")</f>
        <v>Not Found</v>
      </c>
      <c r="I4810" s="6" t="str">
        <f>IFERROR(VLOOKUP('Customer Info'!A4802,'Customer Info'!A4802:E5301,5,FALSE),"Not Found")</f>
        <v>Not Found</v>
      </c>
      <c r="J4810" s="2">
        <v>8351</v>
      </c>
      <c r="K4810" s="2">
        <v>8033</v>
      </c>
      <c r="L4810" s="2">
        <v>3</v>
      </c>
      <c r="M4810" s="7">
        <f t="shared" si="370"/>
        <v>24099</v>
      </c>
      <c r="N4810" s="7">
        <f t="shared" si="371"/>
        <v>25053</v>
      </c>
      <c r="O4810" s="2">
        <v>68</v>
      </c>
      <c r="P4810" s="8">
        <f t="shared" si="372"/>
        <v>25121</v>
      </c>
      <c r="Q4810" s="8">
        <f t="shared" si="373"/>
        <v>17020</v>
      </c>
      <c r="R4810" s="2" t="s">
        <v>28</v>
      </c>
      <c r="S4810" s="9">
        <f t="shared" si="374"/>
        <v>1758.4700000000003</v>
      </c>
    </row>
    <row r="4811" spans="1:19" x14ac:dyDescent="0.3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str">
        <f>IFERROR(VLOOKUP('Customer Info'!A4803,'Customer Info'!A4803:C5302,2,FALSE),"Not Found")</f>
        <v>Not Found</v>
      </c>
      <c r="H4811" s="6" t="str">
        <f>IFERROR(VLOOKUP('Customer Info'!A4803,'Customer Info'!A4803:C5302,3,FALSE),"Not Found")</f>
        <v>Not Found</v>
      </c>
      <c r="I4811" s="6" t="str">
        <f>IFERROR(VLOOKUP('Customer Info'!A4803,'Customer Info'!A4803:E5302,5,FALSE),"Not Found")</f>
        <v>Not Found</v>
      </c>
      <c r="J4811" s="2">
        <v>63</v>
      </c>
      <c r="K4811" s="2">
        <v>59</v>
      </c>
      <c r="L4811" s="2">
        <v>9</v>
      </c>
      <c r="M4811" s="7">
        <f t="shared" ref="M4811:M4815" si="375">$K4811*$L4811</f>
        <v>531</v>
      </c>
      <c r="N4811" s="7">
        <f t="shared" ref="N4811:N4815" si="376">$J4811*$L4811</f>
        <v>567</v>
      </c>
      <c r="O4811" s="2">
        <v>10</v>
      </c>
      <c r="P4811" s="8">
        <f t="shared" ref="P4811:P4815" si="377">$N4811+$O4811</f>
        <v>577</v>
      </c>
      <c r="Q4811" s="8">
        <f t="shared" ref="Q4811:Q4815" si="378">$N4811-$K4811</f>
        <v>508</v>
      </c>
      <c r="R4811" s="2" t="s">
        <v>28</v>
      </c>
      <c r="S4811" s="9">
        <f t="shared" ref="S4811:S4815" si="379" xml:space="preserve"> P4811 * VLOOKUP(P4811, $T$2:$U$6, 2, TRUE)</f>
        <v>11.540000000000001</v>
      </c>
    </row>
    <row r="4812" spans="1:19" x14ac:dyDescent="0.3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str">
        <f>IFERROR(VLOOKUP('Customer Info'!A4804,'Customer Info'!A4804:C5303,2,FALSE),"Not Found")</f>
        <v>Not Found</v>
      </c>
      <c r="H4812" s="6" t="str">
        <f>IFERROR(VLOOKUP('Customer Info'!A4804,'Customer Info'!A4804:C5303,3,FALSE),"Not Found")</f>
        <v>Not Found</v>
      </c>
      <c r="I4812" s="6" t="str">
        <f>IFERROR(VLOOKUP('Customer Info'!A4804,'Customer Info'!A4804:E5303,5,FALSE),"Not Found")</f>
        <v>Not Found</v>
      </c>
      <c r="J4812" s="2">
        <v>7327</v>
      </c>
      <c r="K4812" s="2">
        <v>6658</v>
      </c>
      <c r="L4812" s="2">
        <v>5</v>
      </c>
      <c r="M4812" s="7">
        <f t="shared" si="375"/>
        <v>33290</v>
      </c>
      <c r="N4812" s="7">
        <f t="shared" si="376"/>
        <v>36635</v>
      </c>
      <c r="O4812" s="2">
        <v>25</v>
      </c>
      <c r="P4812" s="8">
        <f t="shared" si="377"/>
        <v>36660</v>
      </c>
      <c r="Q4812" s="8">
        <f t="shared" si="378"/>
        <v>29977</v>
      </c>
      <c r="R4812" s="2" t="s">
        <v>50</v>
      </c>
      <c r="S4812" s="9">
        <f t="shared" si="379"/>
        <v>2566.2000000000003</v>
      </c>
    </row>
    <row r="4813" spans="1:19" x14ac:dyDescent="0.3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str">
        <f>IFERROR(VLOOKUP('Customer Info'!A4805,'Customer Info'!A4805:C5304,2,FALSE),"Not Found")</f>
        <v>Not Found</v>
      </c>
      <c r="H4813" s="6" t="str">
        <f>IFERROR(VLOOKUP('Customer Info'!A4805,'Customer Info'!A4805:C5304,3,FALSE),"Not Found")</f>
        <v>Not Found</v>
      </c>
      <c r="I4813" s="6" t="str">
        <f>IFERROR(VLOOKUP('Customer Info'!A4805,'Customer Info'!A4805:E5304,5,FALSE),"Not Found")</f>
        <v>Not Found</v>
      </c>
      <c r="J4813" s="2">
        <v>61</v>
      </c>
      <c r="K4813" s="2">
        <v>57</v>
      </c>
      <c r="L4813" s="2">
        <v>1</v>
      </c>
      <c r="M4813" s="7">
        <f t="shared" si="375"/>
        <v>57</v>
      </c>
      <c r="N4813" s="7">
        <f t="shared" si="376"/>
        <v>61</v>
      </c>
      <c r="O4813" s="2">
        <v>10</v>
      </c>
      <c r="P4813" s="8">
        <f t="shared" si="377"/>
        <v>71</v>
      </c>
      <c r="Q4813" s="8">
        <f t="shared" si="378"/>
        <v>4</v>
      </c>
      <c r="R4813" s="2" t="s">
        <v>28</v>
      </c>
      <c r="S4813" s="9">
        <f t="shared" si="379"/>
        <v>1.42</v>
      </c>
    </row>
    <row r="4814" spans="1:19" x14ac:dyDescent="0.3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str">
        <f>IFERROR(VLOOKUP('Customer Info'!A4806,'Customer Info'!A4806:C5305,2,FALSE),"Not Found")</f>
        <v>Not Found</v>
      </c>
      <c r="H4814" s="6" t="str">
        <f>IFERROR(VLOOKUP('Customer Info'!A4806,'Customer Info'!A4806:C5305,3,FALSE),"Not Found")</f>
        <v>Not Found</v>
      </c>
      <c r="I4814" s="6" t="str">
        <f>IFERROR(VLOOKUP('Customer Info'!A4806,'Customer Info'!A4806:E5305,5,FALSE),"Not Found")</f>
        <v>Not Found</v>
      </c>
      <c r="J4814" s="2">
        <v>56</v>
      </c>
      <c r="K4814" s="2">
        <v>54</v>
      </c>
      <c r="L4814" s="2">
        <v>4</v>
      </c>
      <c r="M4814" s="7">
        <f t="shared" si="375"/>
        <v>216</v>
      </c>
      <c r="N4814" s="7">
        <f t="shared" si="376"/>
        <v>224</v>
      </c>
      <c r="O4814" s="2">
        <v>10</v>
      </c>
      <c r="P4814" s="8">
        <f t="shared" si="377"/>
        <v>234</v>
      </c>
      <c r="Q4814" s="8">
        <f t="shared" si="378"/>
        <v>170</v>
      </c>
      <c r="R4814" s="2" t="s">
        <v>28</v>
      </c>
      <c r="S4814" s="9">
        <f t="shared" si="379"/>
        <v>4.68</v>
      </c>
    </row>
    <row r="4815" spans="1:19" x14ac:dyDescent="0.3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str">
        <f>IFERROR(VLOOKUP('Customer Info'!A4807,'Customer Info'!A4807:C5306,2,FALSE),"Not Found")</f>
        <v>Not Found</v>
      </c>
      <c r="H4815" s="6" t="str">
        <f>IFERROR(VLOOKUP('Customer Info'!A4807,'Customer Info'!A4807:C5306,3,FALSE),"Not Found")</f>
        <v>Not Found</v>
      </c>
      <c r="I4815" s="6" t="str">
        <f>IFERROR(VLOOKUP('Customer Info'!A4807,'Customer Info'!A4807:E5306,5,FALSE),"Not Found")</f>
        <v>Not Found</v>
      </c>
      <c r="J4815" s="2">
        <v>851</v>
      </c>
      <c r="K4815" s="2">
        <v>773</v>
      </c>
      <c r="L4815" s="2">
        <v>2</v>
      </c>
      <c r="M4815" s="7">
        <f t="shared" si="375"/>
        <v>1546</v>
      </c>
      <c r="N4815" s="7">
        <f t="shared" si="376"/>
        <v>1702</v>
      </c>
      <c r="O4815" s="2">
        <v>98</v>
      </c>
      <c r="P4815" s="8">
        <f t="shared" si="377"/>
        <v>1800</v>
      </c>
      <c r="Q4815" s="8">
        <f t="shared" si="378"/>
        <v>929</v>
      </c>
      <c r="R4815" s="2" t="s">
        <v>26</v>
      </c>
      <c r="S4815" s="9">
        <f t="shared" si="379"/>
        <v>36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topLeftCell="C1" workbookViewId="0">
      <selection activeCell="R5" sqref="R5"/>
    </sheetView>
  </sheetViews>
  <sheetFormatPr defaultRowHeight="14.4" x14ac:dyDescent="0.3"/>
  <cols>
    <col min="1" max="1" width="14.109375" bestFit="1" customWidth="1"/>
    <col min="2" max="2" width="22.109375" bestFit="1" customWidth="1"/>
    <col min="3" max="3" width="21" bestFit="1" customWidth="1"/>
    <col min="4" max="4" width="12.109375" bestFit="1" customWidth="1"/>
    <col min="5" max="5" width="24.33203125" bestFit="1" customWidth="1"/>
    <col min="6" max="6" width="25.109375" bestFit="1" customWidth="1"/>
    <col min="7" max="7" width="10.33203125" bestFit="1" customWidth="1"/>
    <col min="8" max="8" width="14.109375" bestFit="1" customWidth="1"/>
    <col min="9" max="9" width="6.6640625" bestFit="1" customWidth="1"/>
  </cols>
  <sheetData>
    <row r="1" spans="1:18" x14ac:dyDescent="0.3">
      <c r="A1" s="10" t="s">
        <v>5333</v>
      </c>
      <c r="B1" s="11" t="s">
        <v>6</v>
      </c>
      <c r="C1" s="11" t="s">
        <v>7</v>
      </c>
      <c r="D1" s="11" t="s">
        <v>5334</v>
      </c>
      <c r="E1" s="11" t="s">
        <v>8</v>
      </c>
      <c r="F1" s="11" t="s">
        <v>5335</v>
      </c>
      <c r="G1" s="11" t="s">
        <v>5336</v>
      </c>
      <c r="H1" s="11" t="s">
        <v>5337</v>
      </c>
      <c r="I1" s="12" t="s">
        <v>5338</v>
      </c>
    </row>
    <row r="2" spans="1:18" x14ac:dyDescent="0.3">
      <c r="A2" s="13" t="s">
        <v>525</v>
      </c>
      <c r="B2" s="14" t="s">
        <v>5339</v>
      </c>
      <c r="C2" s="14" t="s">
        <v>5340</v>
      </c>
      <c r="D2" s="14" t="s">
        <v>5341</v>
      </c>
      <c r="E2" s="14" t="s">
        <v>5342</v>
      </c>
      <c r="F2" s="14" t="s">
        <v>5343</v>
      </c>
      <c r="G2" s="14" t="s">
        <v>5344</v>
      </c>
      <c r="H2" s="14" t="s">
        <v>5345</v>
      </c>
      <c r="I2" s="15">
        <v>57</v>
      </c>
    </row>
    <row r="3" spans="1:18" x14ac:dyDescent="0.3">
      <c r="A3" s="13" t="s">
        <v>884</v>
      </c>
      <c r="B3" s="14" t="s">
        <v>5339</v>
      </c>
      <c r="C3" s="14" t="s">
        <v>5346</v>
      </c>
      <c r="D3" s="14" t="s">
        <v>5341</v>
      </c>
      <c r="E3" s="14" t="s">
        <v>5347</v>
      </c>
      <c r="F3" s="14" t="s">
        <v>5348</v>
      </c>
      <c r="G3" s="14" t="s">
        <v>5344</v>
      </c>
      <c r="H3" s="14" t="s">
        <v>5345</v>
      </c>
      <c r="I3" s="15">
        <v>61</v>
      </c>
      <c r="Q3" s="16" t="s">
        <v>5349</v>
      </c>
      <c r="R3" s="16" t="s">
        <v>5339</v>
      </c>
    </row>
    <row r="4" spans="1:18" x14ac:dyDescent="0.3">
      <c r="A4" s="17" t="s">
        <v>1576</v>
      </c>
      <c r="B4" s="18" t="s">
        <v>5339</v>
      </c>
      <c r="C4" s="18" t="s">
        <v>5346</v>
      </c>
      <c r="D4" s="18" t="s">
        <v>5350</v>
      </c>
      <c r="E4" s="18" t="s">
        <v>5351</v>
      </c>
      <c r="F4" s="18" t="s">
        <v>5352</v>
      </c>
      <c r="G4" s="18" t="s">
        <v>5353</v>
      </c>
      <c r="H4" s="18" t="s">
        <v>5354</v>
      </c>
      <c r="I4" s="19">
        <v>72</v>
      </c>
      <c r="Q4" t="s">
        <v>5355</v>
      </c>
      <c r="R4" t="s">
        <v>5356</v>
      </c>
    </row>
    <row r="5" spans="1:18" x14ac:dyDescent="0.3">
      <c r="A5" s="13" t="s">
        <v>548</v>
      </c>
      <c r="B5" s="14" t="s">
        <v>5339</v>
      </c>
      <c r="C5" s="14" t="s">
        <v>5356</v>
      </c>
      <c r="D5" s="14" t="s">
        <v>5357</v>
      </c>
      <c r="E5" s="14" t="s">
        <v>5358</v>
      </c>
      <c r="F5" s="14" t="s">
        <v>5359</v>
      </c>
      <c r="G5" s="14" t="s">
        <v>5344</v>
      </c>
      <c r="H5" s="14" t="s">
        <v>5345</v>
      </c>
      <c r="I5" s="15">
        <v>72</v>
      </c>
      <c r="Q5" s="16" t="s">
        <v>8</v>
      </c>
      <c r="R5" t="str" cm="1">
        <f t="array" ref="R5">INDEX(E1:E501,MATCH(R3&amp;R4,B1:B501&amp;C1:C501,0))</f>
        <v>Minden</v>
      </c>
    </row>
    <row r="6" spans="1:18" x14ac:dyDescent="0.3">
      <c r="A6" s="13" t="s">
        <v>139</v>
      </c>
      <c r="B6" s="14" t="s">
        <v>5360</v>
      </c>
      <c r="C6" s="14" t="s">
        <v>5361</v>
      </c>
      <c r="D6" s="14" t="s">
        <v>5341</v>
      </c>
      <c r="E6" s="14" t="s">
        <v>5362</v>
      </c>
      <c r="F6" s="14" t="s">
        <v>5363</v>
      </c>
      <c r="G6" s="14" t="s">
        <v>5353</v>
      </c>
      <c r="H6" s="14" t="s">
        <v>5354</v>
      </c>
      <c r="I6" s="15">
        <v>57</v>
      </c>
    </row>
    <row r="7" spans="1:18" x14ac:dyDescent="0.3">
      <c r="A7" s="17" t="s">
        <v>114</v>
      </c>
      <c r="B7" s="18" t="s">
        <v>5360</v>
      </c>
      <c r="C7" s="18" t="s">
        <v>5361</v>
      </c>
      <c r="D7" s="18" t="s">
        <v>5341</v>
      </c>
      <c r="E7" s="18" t="s">
        <v>5364</v>
      </c>
      <c r="F7" s="18" t="s">
        <v>5365</v>
      </c>
      <c r="G7" s="18" t="s">
        <v>5366</v>
      </c>
      <c r="H7" s="18" t="s">
        <v>5367</v>
      </c>
      <c r="I7" s="19">
        <v>79</v>
      </c>
    </row>
    <row r="8" spans="1:18" x14ac:dyDescent="0.3">
      <c r="A8" s="17" t="s">
        <v>64</v>
      </c>
      <c r="B8" s="18" t="s">
        <v>5360</v>
      </c>
      <c r="C8" s="18" t="s">
        <v>5361</v>
      </c>
      <c r="D8" s="18" t="s">
        <v>5357</v>
      </c>
      <c r="E8" s="18" t="s">
        <v>5368</v>
      </c>
      <c r="F8" s="18" t="s">
        <v>5369</v>
      </c>
      <c r="G8" s="18" t="s">
        <v>5370</v>
      </c>
      <c r="H8" s="18" t="s">
        <v>5371</v>
      </c>
      <c r="I8" s="19">
        <v>64</v>
      </c>
    </row>
    <row r="9" spans="1:18" x14ac:dyDescent="0.3">
      <c r="A9" s="17" t="s">
        <v>564</v>
      </c>
      <c r="B9" s="18" t="s">
        <v>5372</v>
      </c>
      <c r="C9" s="18" t="s">
        <v>5373</v>
      </c>
      <c r="D9" s="18" t="s">
        <v>5341</v>
      </c>
      <c r="E9" s="18" t="s">
        <v>5374</v>
      </c>
      <c r="F9" s="18" t="s">
        <v>5375</v>
      </c>
      <c r="G9" s="18" t="s">
        <v>5344</v>
      </c>
      <c r="H9" s="18" t="s">
        <v>5345</v>
      </c>
      <c r="I9" s="19">
        <v>78</v>
      </c>
    </row>
    <row r="10" spans="1:18" x14ac:dyDescent="0.3">
      <c r="A10" s="17" t="s">
        <v>654</v>
      </c>
      <c r="B10" s="18" t="s">
        <v>5372</v>
      </c>
      <c r="C10" s="18" t="s">
        <v>5373</v>
      </c>
      <c r="D10" s="18" t="s">
        <v>5357</v>
      </c>
      <c r="E10" s="18" t="s">
        <v>5376</v>
      </c>
      <c r="F10" s="18" t="s">
        <v>5377</v>
      </c>
      <c r="G10" s="18" t="s">
        <v>5366</v>
      </c>
      <c r="H10" s="18" t="s">
        <v>5367</v>
      </c>
      <c r="I10" s="19">
        <v>30</v>
      </c>
    </row>
    <row r="11" spans="1:18" x14ac:dyDescent="0.3">
      <c r="A11" s="13" t="s">
        <v>1266</v>
      </c>
      <c r="B11" s="14" t="s">
        <v>5378</v>
      </c>
      <c r="C11" s="14" t="s">
        <v>5379</v>
      </c>
      <c r="D11" s="14" t="s">
        <v>5341</v>
      </c>
      <c r="E11" s="14" t="s">
        <v>5380</v>
      </c>
      <c r="F11" s="14" t="s">
        <v>5381</v>
      </c>
      <c r="G11" s="14" t="s">
        <v>5353</v>
      </c>
      <c r="H11" s="14" t="s">
        <v>5354</v>
      </c>
      <c r="I11" s="15">
        <v>57</v>
      </c>
    </row>
    <row r="12" spans="1:18" x14ac:dyDescent="0.3">
      <c r="A12" s="13" t="s">
        <v>1109</v>
      </c>
      <c r="B12" s="14" t="s">
        <v>5378</v>
      </c>
      <c r="C12" s="14" t="s">
        <v>5382</v>
      </c>
      <c r="D12" s="14" t="s">
        <v>5350</v>
      </c>
      <c r="E12" s="14" t="s">
        <v>5383</v>
      </c>
      <c r="F12" s="14" t="s">
        <v>5365</v>
      </c>
      <c r="G12" s="14" t="s">
        <v>5366</v>
      </c>
      <c r="H12" s="14" t="s">
        <v>5367</v>
      </c>
      <c r="I12" s="15">
        <v>40</v>
      </c>
    </row>
    <row r="13" spans="1:18" x14ac:dyDescent="0.3">
      <c r="A13" s="13" t="s">
        <v>1800</v>
      </c>
      <c r="B13" s="14" t="s">
        <v>5384</v>
      </c>
      <c r="C13" s="14" t="s">
        <v>5385</v>
      </c>
      <c r="D13" s="14" t="s">
        <v>5357</v>
      </c>
      <c r="E13" s="14" t="s">
        <v>5386</v>
      </c>
      <c r="F13" s="14" t="s">
        <v>5387</v>
      </c>
      <c r="G13" s="14" t="s">
        <v>5344</v>
      </c>
      <c r="H13" s="14" t="s">
        <v>5345</v>
      </c>
      <c r="I13" s="15">
        <v>39</v>
      </c>
    </row>
    <row r="14" spans="1:18" x14ac:dyDescent="0.3">
      <c r="A14" s="17" t="s">
        <v>205</v>
      </c>
      <c r="B14" s="18" t="s">
        <v>5384</v>
      </c>
      <c r="C14" s="18" t="s">
        <v>5388</v>
      </c>
      <c r="D14" s="18" t="s">
        <v>5357</v>
      </c>
      <c r="E14" s="18" t="s">
        <v>5389</v>
      </c>
      <c r="F14" s="18" t="s">
        <v>5390</v>
      </c>
      <c r="G14" s="18" t="s">
        <v>5353</v>
      </c>
      <c r="H14" s="18" t="s">
        <v>5354</v>
      </c>
      <c r="I14" s="19">
        <v>37</v>
      </c>
    </row>
    <row r="15" spans="1:18" x14ac:dyDescent="0.3">
      <c r="A15" s="17" t="s">
        <v>153</v>
      </c>
      <c r="B15" s="18" t="s">
        <v>5391</v>
      </c>
      <c r="C15" s="18" t="s">
        <v>5392</v>
      </c>
      <c r="D15" s="18" t="s">
        <v>5357</v>
      </c>
      <c r="E15" s="18" t="s">
        <v>5393</v>
      </c>
      <c r="F15" s="18" t="s">
        <v>5394</v>
      </c>
      <c r="G15" s="18" t="s">
        <v>5366</v>
      </c>
      <c r="H15" s="18" t="s">
        <v>5367</v>
      </c>
      <c r="I15" s="19">
        <v>60</v>
      </c>
    </row>
    <row r="16" spans="1:18" x14ac:dyDescent="0.3">
      <c r="A16" s="17" t="s">
        <v>345</v>
      </c>
      <c r="B16" s="18" t="s">
        <v>5391</v>
      </c>
      <c r="C16" s="18" t="s">
        <v>5395</v>
      </c>
      <c r="D16" s="18" t="s">
        <v>5357</v>
      </c>
      <c r="E16" s="18" t="s">
        <v>5396</v>
      </c>
      <c r="F16" s="18" t="s">
        <v>5397</v>
      </c>
      <c r="G16" s="18" t="s">
        <v>5398</v>
      </c>
      <c r="H16" s="18" t="s">
        <v>5399</v>
      </c>
      <c r="I16" s="19">
        <v>67</v>
      </c>
    </row>
    <row r="17" spans="1:9" x14ac:dyDescent="0.3">
      <c r="A17" s="17" t="s">
        <v>207</v>
      </c>
      <c r="B17" s="18" t="s">
        <v>5391</v>
      </c>
      <c r="C17" s="18" t="s">
        <v>5395</v>
      </c>
      <c r="D17" s="18" t="s">
        <v>5357</v>
      </c>
      <c r="E17" s="18" t="s">
        <v>5400</v>
      </c>
      <c r="F17" s="18" t="s">
        <v>5400</v>
      </c>
      <c r="G17" s="18" t="s">
        <v>5344</v>
      </c>
      <c r="H17" s="18" t="s">
        <v>5345</v>
      </c>
      <c r="I17" s="19">
        <v>42</v>
      </c>
    </row>
    <row r="18" spans="1:9" x14ac:dyDescent="0.3">
      <c r="A18" s="17" t="s">
        <v>279</v>
      </c>
      <c r="B18" s="18" t="s">
        <v>5391</v>
      </c>
      <c r="C18" s="18" t="s">
        <v>5395</v>
      </c>
      <c r="D18" s="18" t="s">
        <v>5341</v>
      </c>
      <c r="E18" s="18" t="s">
        <v>5401</v>
      </c>
      <c r="F18" s="18" t="s">
        <v>5352</v>
      </c>
      <c r="G18" s="18" t="s">
        <v>5353</v>
      </c>
      <c r="H18" s="18" t="s">
        <v>5354</v>
      </c>
      <c r="I18" s="19">
        <v>66</v>
      </c>
    </row>
    <row r="19" spans="1:9" x14ac:dyDescent="0.3">
      <c r="A19" s="17" t="s">
        <v>1251</v>
      </c>
      <c r="B19" s="18" t="s">
        <v>5402</v>
      </c>
      <c r="C19" s="18" t="s">
        <v>5403</v>
      </c>
      <c r="D19" s="18" t="s">
        <v>5357</v>
      </c>
      <c r="E19" s="18" t="s">
        <v>5400</v>
      </c>
      <c r="F19" s="18" t="s">
        <v>5400</v>
      </c>
      <c r="G19" s="18" t="s">
        <v>5344</v>
      </c>
      <c r="H19" s="18" t="s">
        <v>5345</v>
      </c>
      <c r="I19" s="19">
        <v>30</v>
      </c>
    </row>
    <row r="20" spans="1:9" x14ac:dyDescent="0.3">
      <c r="A20" s="13" t="s">
        <v>454</v>
      </c>
      <c r="B20" s="14" t="s">
        <v>5404</v>
      </c>
      <c r="C20" s="14" t="s">
        <v>5405</v>
      </c>
      <c r="D20" s="14" t="s">
        <v>5357</v>
      </c>
      <c r="E20" s="14" t="s">
        <v>5406</v>
      </c>
      <c r="F20" s="14" t="s">
        <v>5407</v>
      </c>
      <c r="G20" s="14" t="s">
        <v>5366</v>
      </c>
      <c r="H20" s="14" t="s">
        <v>5367</v>
      </c>
      <c r="I20" s="15">
        <v>74</v>
      </c>
    </row>
    <row r="21" spans="1:9" x14ac:dyDescent="0.3">
      <c r="A21" s="13" t="s">
        <v>427</v>
      </c>
      <c r="B21" s="14" t="s">
        <v>5404</v>
      </c>
      <c r="C21" s="14" t="s">
        <v>5408</v>
      </c>
      <c r="D21" s="14" t="s">
        <v>5357</v>
      </c>
      <c r="E21" s="14" t="s">
        <v>5409</v>
      </c>
      <c r="F21" s="14" t="s">
        <v>5407</v>
      </c>
      <c r="G21" s="14" t="s">
        <v>5366</v>
      </c>
      <c r="H21" s="14" t="s">
        <v>5367</v>
      </c>
      <c r="I21" s="15">
        <v>43</v>
      </c>
    </row>
    <row r="22" spans="1:9" x14ac:dyDescent="0.3">
      <c r="A22" s="13" t="s">
        <v>1558</v>
      </c>
      <c r="B22" s="14" t="s">
        <v>5410</v>
      </c>
      <c r="C22" s="14" t="s">
        <v>5411</v>
      </c>
      <c r="D22" s="14" t="s">
        <v>5350</v>
      </c>
      <c r="E22" s="14" t="s">
        <v>5412</v>
      </c>
      <c r="F22" s="14" t="s">
        <v>5365</v>
      </c>
      <c r="G22" s="14" t="s">
        <v>5366</v>
      </c>
      <c r="H22" s="14" t="s">
        <v>5367</v>
      </c>
      <c r="I22" s="15">
        <v>61</v>
      </c>
    </row>
    <row r="23" spans="1:9" x14ac:dyDescent="0.3">
      <c r="A23" s="17" t="s">
        <v>287</v>
      </c>
      <c r="B23" s="18" t="s">
        <v>5413</v>
      </c>
      <c r="C23" s="18" t="s">
        <v>5414</v>
      </c>
      <c r="D23" s="18" t="s">
        <v>5357</v>
      </c>
      <c r="E23" s="18" t="s">
        <v>5415</v>
      </c>
      <c r="F23" s="18" t="s">
        <v>5415</v>
      </c>
      <c r="G23" s="18" t="s">
        <v>5344</v>
      </c>
      <c r="H23" s="18" t="s">
        <v>5345</v>
      </c>
      <c r="I23" s="19">
        <v>56</v>
      </c>
    </row>
    <row r="24" spans="1:9" x14ac:dyDescent="0.3">
      <c r="A24" s="13" t="s">
        <v>2359</v>
      </c>
      <c r="B24" s="14" t="s">
        <v>5416</v>
      </c>
      <c r="C24" s="14" t="s">
        <v>5417</v>
      </c>
      <c r="D24" s="14" t="s">
        <v>5350</v>
      </c>
      <c r="E24" s="14" t="s">
        <v>5418</v>
      </c>
      <c r="F24" s="14" t="s">
        <v>5419</v>
      </c>
      <c r="G24" s="14" t="s">
        <v>5370</v>
      </c>
      <c r="H24" s="14" t="s">
        <v>5371</v>
      </c>
      <c r="I24" s="15">
        <v>32</v>
      </c>
    </row>
    <row r="25" spans="1:9" x14ac:dyDescent="0.3">
      <c r="A25" s="13" t="s">
        <v>708</v>
      </c>
      <c r="B25" s="14" t="s">
        <v>5420</v>
      </c>
      <c r="C25" s="14" t="s">
        <v>5421</v>
      </c>
      <c r="D25" s="14" t="s">
        <v>5357</v>
      </c>
      <c r="E25" s="14" t="s">
        <v>5422</v>
      </c>
      <c r="F25" s="14" t="s">
        <v>5423</v>
      </c>
      <c r="G25" s="14" t="s">
        <v>5398</v>
      </c>
      <c r="H25" s="14" t="s">
        <v>5399</v>
      </c>
      <c r="I25" s="15">
        <v>41</v>
      </c>
    </row>
    <row r="26" spans="1:9" x14ac:dyDescent="0.3">
      <c r="A26" s="13" t="s">
        <v>1584</v>
      </c>
      <c r="B26" s="14" t="s">
        <v>5420</v>
      </c>
      <c r="C26" s="14" t="s">
        <v>5421</v>
      </c>
      <c r="D26" s="14" t="s">
        <v>5357</v>
      </c>
      <c r="E26" s="14" t="s">
        <v>5400</v>
      </c>
      <c r="F26" s="14" t="s">
        <v>5400</v>
      </c>
      <c r="G26" s="14" t="s">
        <v>5344</v>
      </c>
      <c r="H26" s="14" t="s">
        <v>5345</v>
      </c>
      <c r="I26" s="15">
        <v>29</v>
      </c>
    </row>
    <row r="27" spans="1:9" x14ac:dyDescent="0.3">
      <c r="A27" s="17" t="s">
        <v>256</v>
      </c>
      <c r="B27" s="18" t="s">
        <v>5424</v>
      </c>
      <c r="C27" s="18" t="s">
        <v>5425</v>
      </c>
      <c r="D27" s="18" t="s">
        <v>5341</v>
      </c>
      <c r="E27" s="18" t="s">
        <v>5426</v>
      </c>
      <c r="F27" s="18" t="s">
        <v>5352</v>
      </c>
      <c r="G27" s="18" t="s">
        <v>5353</v>
      </c>
      <c r="H27" s="18" t="s">
        <v>5354</v>
      </c>
      <c r="I27" s="19">
        <v>62</v>
      </c>
    </row>
    <row r="28" spans="1:9" x14ac:dyDescent="0.3">
      <c r="A28" s="13" t="s">
        <v>462</v>
      </c>
      <c r="B28" s="14" t="s">
        <v>5427</v>
      </c>
      <c r="C28" s="14" t="s">
        <v>5428</v>
      </c>
      <c r="D28" s="14" t="s">
        <v>5357</v>
      </c>
      <c r="E28" s="14" t="s">
        <v>5429</v>
      </c>
      <c r="F28" s="14" t="s">
        <v>5430</v>
      </c>
      <c r="G28" s="14" t="s">
        <v>5398</v>
      </c>
      <c r="H28" s="14" t="s">
        <v>5399</v>
      </c>
      <c r="I28" s="15">
        <v>26</v>
      </c>
    </row>
    <row r="29" spans="1:9" x14ac:dyDescent="0.3">
      <c r="A29" s="13" t="s">
        <v>633</v>
      </c>
      <c r="B29" s="14" t="s">
        <v>5427</v>
      </c>
      <c r="C29" s="14" t="s">
        <v>5428</v>
      </c>
      <c r="D29" s="14" t="s">
        <v>5357</v>
      </c>
      <c r="E29" s="14" t="s">
        <v>5431</v>
      </c>
      <c r="F29" s="14" t="s">
        <v>5431</v>
      </c>
      <c r="G29" s="14" t="s">
        <v>5370</v>
      </c>
      <c r="H29" s="14" t="s">
        <v>5371</v>
      </c>
      <c r="I29" s="15">
        <v>65</v>
      </c>
    </row>
    <row r="30" spans="1:9" x14ac:dyDescent="0.3">
      <c r="A30" s="17" t="s">
        <v>144</v>
      </c>
      <c r="B30" s="18" t="s">
        <v>5432</v>
      </c>
      <c r="C30" s="18" t="s">
        <v>5433</v>
      </c>
      <c r="D30" s="18" t="s">
        <v>5357</v>
      </c>
      <c r="E30" s="18" t="s">
        <v>5426</v>
      </c>
      <c r="F30" s="18" t="s">
        <v>5352</v>
      </c>
      <c r="G30" s="18" t="s">
        <v>5353</v>
      </c>
      <c r="H30" s="18" t="s">
        <v>5354</v>
      </c>
      <c r="I30" s="19">
        <v>51</v>
      </c>
    </row>
    <row r="31" spans="1:9" x14ac:dyDescent="0.3">
      <c r="A31" s="13" t="s">
        <v>934</v>
      </c>
      <c r="B31" s="14" t="s">
        <v>5432</v>
      </c>
      <c r="C31" s="14" t="s">
        <v>5434</v>
      </c>
      <c r="D31" s="14" t="s">
        <v>5357</v>
      </c>
      <c r="E31" s="14" t="s">
        <v>5435</v>
      </c>
      <c r="F31" s="14" t="s">
        <v>5436</v>
      </c>
      <c r="G31" s="14" t="s">
        <v>5353</v>
      </c>
      <c r="H31" s="14" t="s">
        <v>5354</v>
      </c>
      <c r="I31" s="15">
        <v>26</v>
      </c>
    </row>
    <row r="32" spans="1:9" x14ac:dyDescent="0.3">
      <c r="A32" s="13" t="s">
        <v>233</v>
      </c>
      <c r="B32" s="14" t="s">
        <v>5437</v>
      </c>
      <c r="C32" s="14" t="s">
        <v>5438</v>
      </c>
      <c r="D32" s="14" t="s">
        <v>5341</v>
      </c>
      <c r="E32" s="14" t="s">
        <v>5418</v>
      </c>
      <c r="F32" s="14" t="s">
        <v>5419</v>
      </c>
      <c r="G32" s="14" t="s">
        <v>5370</v>
      </c>
      <c r="H32" s="14" t="s">
        <v>5371</v>
      </c>
      <c r="I32" s="15">
        <v>58</v>
      </c>
    </row>
    <row r="33" spans="1:9" x14ac:dyDescent="0.3">
      <c r="A33" s="17" t="s">
        <v>450</v>
      </c>
      <c r="B33" s="18" t="s">
        <v>5437</v>
      </c>
      <c r="C33" s="18" t="s">
        <v>5439</v>
      </c>
      <c r="D33" s="18" t="s">
        <v>5341</v>
      </c>
      <c r="E33" s="18" t="s">
        <v>5400</v>
      </c>
      <c r="F33" s="18" t="s">
        <v>5400</v>
      </c>
      <c r="G33" s="18" t="s">
        <v>5344</v>
      </c>
      <c r="H33" s="18" t="s">
        <v>5345</v>
      </c>
      <c r="I33" s="19">
        <v>33</v>
      </c>
    </row>
    <row r="34" spans="1:9" x14ac:dyDescent="0.3">
      <c r="A34" s="13" t="s">
        <v>670</v>
      </c>
      <c r="B34" s="14" t="s">
        <v>5437</v>
      </c>
      <c r="C34" s="14" t="s">
        <v>5440</v>
      </c>
      <c r="D34" s="14" t="s">
        <v>5341</v>
      </c>
      <c r="E34" s="14" t="s">
        <v>5441</v>
      </c>
      <c r="F34" s="14" t="s">
        <v>5441</v>
      </c>
      <c r="G34" s="14" t="s">
        <v>5398</v>
      </c>
      <c r="H34" s="14" t="s">
        <v>5399</v>
      </c>
      <c r="I34" s="15">
        <v>44</v>
      </c>
    </row>
    <row r="35" spans="1:9" x14ac:dyDescent="0.3">
      <c r="A35" s="17" t="s">
        <v>943</v>
      </c>
      <c r="B35" s="18" t="s">
        <v>5437</v>
      </c>
      <c r="C35" s="18" t="s">
        <v>5439</v>
      </c>
      <c r="D35" s="18" t="s">
        <v>5357</v>
      </c>
      <c r="E35" s="18" t="s">
        <v>5442</v>
      </c>
      <c r="F35" s="18" t="s">
        <v>5363</v>
      </c>
      <c r="G35" s="18" t="s">
        <v>5353</v>
      </c>
      <c r="H35" s="18" t="s">
        <v>5354</v>
      </c>
      <c r="I35" s="19">
        <v>73</v>
      </c>
    </row>
    <row r="36" spans="1:9" x14ac:dyDescent="0.3">
      <c r="A36" s="17" t="s">
        <v>1117</v>
      </c>
      <c r="B36" s="18" t="s">
        <v>5443</v>
      </c>
      <c r="C36" s="18" t="s">
        <v>5444</v>
      </c>
      <c r="D36" s="18" t="s">
        <v>5357</v>
      </c>
      <c r="E36" s="18" t="s">
        <v>5445</v>
      </c>
      <c r="F36" s="18" t="s">
        <v>5446</v>
      </c>
      <c r="G36" s="18" t="s">
        <v>5353</v>
      </c>
      <c r="H36" s="18" t="s">
        <v>5354</v>
      </c>
      <c r="I36" s="19">
        <v>73</v>
      </c>
    </row>
    <row r="37" spans="1:9" x14ac:dyDescent="0.3">
      <c r="A37" s="17" t="s">
        <v>1745</v>
      </c>
      <c r="B37" s="18" t="s">
        <v>5447</v>
      </c>
      <c r="C37" s="18" t="s">
        <v>5448</v>
      </c>
      <c r="D37" s="18" t="s">
        <v>5357</v>
      </c>
      <c r="E37" s="18" t="s">
        <v>5358</v>
      </c>
      <c r="F37" s="18" t="s">
        <v>5359</v>
      </c>
      <c r="G37" s="18" t="s">
        <v>5344</v>
      </c>
      <c r="H37" s="18" t="s">
        <v>5345</v>
      </c>
      <c r="I37" s="19">
        <v>58</v>
      </c>
    </row>
    <row r="38" spans="1:9" x14ac:dyDescent="0.3">
      <c r="A38" s="13" t="s">
        <v>550</v>
      </c>
      <c r="B38" s="14" t="s">
        <v>5449</v>
      </c>
      <c r="C38" s="14" t="s">
        <v>5450</v>
      </c>
      <c r="D38" s="14" t="s">
        <v>5357</v>
      </c>
      <c r="E38" s="14" t="s">
        <v>5451</v>
      </c>
      <c r="F38" s="14" t="s">
        <v>5436</v>
      </c>
      <c r="G38" s="14" t="s">
        <v>5353</v>
      </c>
      <c r="H38" s="14" t="s">
        <v>5354</v>
      </c>
      <c r="I38" s="15">
        <v>42</v>
      </c>
    </row>
    <row r="39" spans="1:9" x14ac:dyDescent="0.3">
      <c r="A39" s="17" t="s">
        <v>349</v>
      </c>
      <c r="B39" s="18" t="s">
        <v>5449</v>
      </c>
      <c r="C39" s="18" t="s">
        <v>5452</v>
      </c>
      <c r="D39" s="18" t="s">
        <v>5341</v>
      </c>
      <c r="E39" s="18" t="s">
        <v>5453</v>
      </c>
      <c r="F39" s="18" t="s">
        <v>5454</v>
      </c>
      <c r="G39" s="18" t="s">
        <v>5353</v>
      </c>
      <c r="H39" s="18" t="s">
        <v>5354</v>
      </c>
      <c r="I39" s="19">
        <v>64</v>
      </c>
    </row>
    <row r="40" spans="1:9" x14ac:dyDescent="0.3">
      <c r="A40" s="13" t="s">
        <v>771</v>
      </c>
      <c r="B40" s="14" t="s">
        <v>5449</v>
      </c>
      <c r="C40" s="14" t="s">
        <v>5452</v>
      </c>
      <c r="D40" s="14" t="s">
        <v>5357</v>
      </c>
      <c r="E40" s="14" t="s">
        <v>5380</v>
      </c>
      <c r="F40" s="14" t="s">
        <v>5381</v>
      </c>
      <c r="G40" s="14" t="s">
        <v>5353</v>
      </c>
      <c r="H40" s="14" t="s">
        <v>5354</v>
      </c>
      <c r="I40" s="15">
        <v>74</v>
      </c>
    </row>
    <row r="41" spans="1:9" x14ac:dyDescent="0.3">
      <c r="A41" s="17" t="s">
        <v>391</v>
      </c>
      <c r="B41" s="18" t="s">
        <v>5449</v>
      </c>
      <c r="C41" s="18" t="s">
        <v>5450</v>
      </c>
      <c r="D41" s="18" t="s">
        <v>5357</v>
      </c>
      <c r="E41" s="18" t="s">
        <v>5455</v>
      </c>
      <c r="F41" s="18" t="s">
        <v>5436</v>
      </c>
      <c r="G41" s="18" t="s">
        <v>5353</v>
      </c>
      <c r="H41" s="18" t="s">
        <v>5354</v>
      </c>
      <c r="I41" s="19">
        <v>68</v>
      </c>
    </row>
    <row r="42" spans="1:9" x14ac:dyDescent="0.3">
      <c r="A42" s="13" t="s">
        <v>494</v>
      </c>
      <c r="B42" s="14" t="s">
        <v>5456</v>
      </c>
      <c r="C42" s="14" t="s">
        <v>5457</v>
      </c>
      <c r="D42" s="14" t="s">
        <v>5357</v>
      </c>
      <c r="E42" s="14" t="s">
        <v>5458</v>
      </c>
      <c r="F42" s="14" t="s">
        <v>5454</v>
      </c>
      <c r="G42" s="14" t="s">
        <v>5353</v>
      </c>
      <c r="H42" s="14" t="s">
        <v>5354</v>
      </c>
      <c r="I42" s="15">
        <v>42</v>
      </c>
    </row>
    <row r="43" spans="1:9" x14ac:dyDescent="0.3">
      <c r="A43" s="17" t="s">
        <v>1683</v>
      </c>
      <c r="B43" s="18" t="s">
        <v>5459</v>
      </c>
      <c r="C43" s="18" t="s">
        <v>5460</v>
      </c>
      <c r="D43" s="18" t="s">
        <v>5341</v>
      </c>
      <c r="E43" s="18" t="s">
        <v>5400</v>
      </c>
      <c r="F43" s="18" t="s">
        <v>5400</v>
      </c>
      <c r="G43" s="18" t="s">
        <v>5344</v>
      </c>
      <c r="H43" s="18" t="s">
        <v>5345</v>
      </c>
      <c r="I43" s="19">
        <v>42</v>
      </c>
    </row>
    <row r="44" spans="1:9" x14ac:dyDescent="0.3">
      <c r="A44" s="13" t="s">
        <v>379</v>
      </c>
      <c r="B44" s="14" t="s">
        <v>5459</v>
      </c>
      <c r="C44" s="14" t="s">
        <v>5461</v>
      </c>
      <c r="D44" s="14" t="s">
        <v>5341</v>
      </c>
      <c r="E44" s="14" t="s">
        <v>5462</v>
      </c>
      <c r="F44" s="14" t="s">
        <v>5363</v>
      </c>
      <c r="G44" s="14" t="s">
        <v>5353</v>
      </c>
      <c r="H44" s="14" t="s">
        <v>5354</v>
      </c>
      <c r="I44" s="15">
        <v>46</v>
      </c>
    </row>
    <row r="45" spans="1:9" x14ac:dyDescent="0.3">
      <c r="A45" s="13" t="s">
        <v>146</v>
      </c>
      <c r="B45" s="14" t="s">
        <v>5459</v>
      </c>
      <c r="C45" s="14" t="s">
        <v>5461</v>
      </c>
      <c r="D45" s="14" t="s">
        <v>5357</v>
      </c>
      <c r="E45" s="14" t="s">
        <v>5463</v>
      </c>
      <c r="F45" s="14" t="s">
        <v>5454</v>
      </c>
      <c r="G45" s="14" t="s">
        <v>5353</v>
      </c>
      <c r="H45" s="14" t="s">
        <v>5354</v>
      </c>
      <c r="I45" s="15">
        <v>68</v>
      </c>
    </row>
    <row r="46" spans="1:9" x14ac:dyDescent="0.3">
      <c r="A46" s="17" t="s">
        <v>716</v>
      </c>
      <c r="B46" s="18" t="s">
        <v>5464</v>
      </c>
      <c r="C46" s="18" t="s">
        <v>5465</v>
      </c>
      <c r="D46" s="18" t="s">
        <v>5357</v>
      </c>
      <c r="E46" s="18" t="s">
        <v>5466</v>
      </c>
      <c r="F46" s="18" t="s">
        <v>5359</v>
      </c>
      <c r="G46" s="18" t="s">
        <v>5344</v>
      </c>
      <c r="H46" s="18" t="s">
        <v>5345</v>
      </c>
      <c r="I46" s="19">
        <v>48</v>
      </c>
    </row>
    <row r="47" spans="1:9" x14ac:dyDescent="0.3">
      <c r="A47" s="13" t="s">
        <v>363</v>
      </c>
      <c r="B47" s="14" t="s">
        <v>5464</v>
      </c>
      <c r="C47" s="14" t="s">
        <v>5467</v>
      </c>
      <c r="D47" s="14" t="s">
        <v>5350</v>
      </c>
      <c r="E47" s="14" t="s">
        <v>5468</v>
      </c>
      <c r="F47" s="14" t="s">
        <v>5468</v>
      </c>
      <c r="G47" s="14" t="s">
        <v>5366</v>
      </c>
      <c r="H47" s="14" t="s">
        <v>5367</v>
      </c>
      <c r="I47" s="15">
        <v>55</v>
      </c>
    </row>
    <row r="48" spans="1:9" x14ac:dyDescent="0.3">
      <c r="A48" s="13" t="s">
        <v>448</v>
      </c>
      <c r="B48" s="14" t="s">
        <v>5469</v>
      </c>
      <c r="C48" s="14" t="s">
        <v>5470</v>
      </c>
      <c r="D48" s="14" t="s">
        <v>5341</v>
      </c>
      <c r="E48" s="14" t="s">
        <v>5471</v>
      </c>
      <c r="F48" s="14" t="s">
        <v>5352</v>
      </c>
      <c r="G48" s="14" t="s">
        <v>5353</v>
      </c>
      <c r="H48" s="14" t="s">
        <v>5354</v>
      </c>
      <c r="I48" s="15">
        <v>75</v>
      </c>
    </row>
    <row r="49" spans="1:9" x14ac:dyDescent="0.3">
      <c r="A49" s="17" t="s">
        <v>330</v>
      </c>
      <c r="B49" s="18" t="s">
        <v>5469</v>
      </c>
      <c r="C49" s="18" t="s">
        <v>5470</v>
      </c>
      <c r="D49" s="18" t="s">
        <v>5350</v>
      </c>
      <c r="E49" s="18" t="s">
        <v>5472</v>
      </c>
      <c r="F49" s="18" t="s">
        <v>5352</v>
      </c>
      <c r="G49" s="18" t="s">
        <v>5353</v>
      </c>
      <c r="H49" s="18" t="s">
        <v>5354</v>
      </c>
      <c r="I49" s="19">
        <v>45</v>
      </c>
    </row>
    <row r="50" spans="1:9" x14ac:dyDescent="0.3">
      <c r="A50" s="17" t="s">
        <v>254</v>
      </c>
      <c r="B50" s="18" t="s">
        <v>5473</v>
      </c>
      <c r="C50" s="18" t="s">
        <v>5474</v>
      </c>
      <c r="D50" s="18" t="s">
        <v>5341</v>
      </c>
      <c r="E50" s="18" t="s">
        <v>5475</v>
      </c>
      <c r="F50" s="18" t="s">
        <v>5476</v>
      </c>
      <c r="G50" s="18" t="s">
        <v>5344</v>
      </c>
      <c r="H50" s="18" t="s">
        <v>5345</v>
      </c>
      <c r="I50" s="19">
        <v>31</v>
      </c>
    </row>
    <row r="51" spans="1:9" x14ac:dyDescent="0.3">
      <c r="A51" s="17" t="s">
        <v>73</v>
      </c>
      <c r="B51" s="18" t="s">
        <v>5477</v>
      </c>
      <c r="C51" s="18" t="s">
        <v>5478</v>
      </c>
      <c r="D51" s="18" t="s">
        <v>5357</v>
      </c>
      <c r="E51" s="18" t="s">
        <v>5479</v>
      </c>
      <c r="F51" s="18" t="s">
        <v>5480</v>
      </c>
      <c r="G51" s="18" t="s">
        <v>5366</v>
      </c>
      <c r="H51" s="18" t="s">
        <v>5367</v>
      </c>
      <c r="I51" s="19">
        <v>58</v>
      </c>
    </row>
    <row r="52" spans="1:9" x14ac:dyDescent="0.3">
      <c r="A52" s="13" t="s">
        <v>318</v>
      </c>
      <c r="B52" s="14" t="s">
        <v>5477</v>
      </c>
      <c r="C52" s="14" t="s">
        <v>5481</v>
      </c>
      <c r="D52" s="14" t="s">
        <v>5341</v>
      </c>
      <c r="E52" s="14" t="s">
        <v>5401</v>
      </c>
      <c r="F52" s="14" t="s">
        <v>5352</v>
      </c>
      <c r="G52" s="14" t="s">
        <v>5353</v>
      </c>
      <c r="H52" s="14" t="s">
        <v>5354</v>
      </c>
      <c r="I52" s="15">
        <v>71</v>
      </c>
    </row>
    <row r="53" spans="1:9" x14ac:dyDescent="0.3">
      <c r="A53" s="13" t="s">
        <v>311</v>
      </c>
      <c r="B53" s="14" t="s">
        <v>5477</v>
      </c>
      <c r="C53" s="14" t="s">
        <v>5379</v>
      </c>
      <c r="D53" s="14" t="s">
        <v>5350</v>
      </c>
      <c r="E53" s="14" t="s">
        <v>5482</v>
      </c>
      <c r="F53" s="14" t="s">
        <v>5483</v>
      </c>
      <c r="G53" s="14" t="s">
        <v>5366</v>
      </c>
      <c r="H53" s="14" t="s">
        <v>5367</v>
      </c>
      <c r="I53" s="15">
        <v>59</v>
      </c>
    </row>
    <row r="54" spans="1:9" x14ac:dyDescent="0.3">
      <c r="A54" s="17" t="s">
        <v>1059</v>
      </c>
      <c r="B54" s="18" t="s">
        <v>5477</v>
      </c>
      <c r="C54" s="18" t="s">
        <v>5484</v>
      </c>
      <c r="D54" s="18" t="s">
        <v>5341</v>
      </c>
      <c r="E54" s="18" t="s">
        <v>5485</v>
      </c>
      <c r="F54" s="18" t="s">
        <v>5486</v>
      </c>
      <c r="G54" s="18" t="s">
        <v>5398</v>
      </c>
      <c r="H54" s="18" t="s">
        <v>5399</v>
      </c>
      <c r="I54" s="19">
        <v>39</v>
      </c>
    </row>
    <row r="55" spans="1:9" x14ac:dyDescent="0.3">
      <c r="A55" s="17" t="s">
        <v>666</v>
      </c>
      <c r="B55" s="18" t="s">
        <v>5487</v>
      </c>
      <c r="C55" s="18" t="s">
        <v>5488</v>
      </c>
      <c r="D55" s="18" t="s">
        <v>5341</v>
      </c>
      <c r="E55" s="18" t="s">
        <v>5489</v>
      </c>
      <c r="F55" s="18" t="s">
        <v>5390</v>
      </c>
      <c r="G55" s="18" t="s">
        <v>5353</v>
      </c>
      <c r="H55" s="18" t="s">
        <v>5354</v>
      </c>
      <c r="I55" s="19">
        <v>26</v>
      </c>
    </row>
    <row r="56" spans="1:9" x14ac:dyDescent="0.3">
      <c r="A56" s="13" t="s">
        <v>617</v>
      </c>
      <c r="B56" s="14" t="s">
        <v>5490</v>
      </c>
      <c r="C56" s="14" t="s">
        <v>5491</v>
      </c>
      <c r="D56" s="14" t="s">
        <v>5357</v>
      </c>
      <c r="E56" s="14" t="s">
        <v>5492</v>
      </c>
      <c r="F56" s="14" t="s">
        <v>5493</v>
      </c>
      <c r="G56" s="14" t="s">
        <v>5398</v>
      </c>
      <c r="H56" s="14" t="s">
        <v>5399</v>
      </c>
      <c r="I56" s="15">
        <v>30</v>
      </c>
    </row>
    <row r="57" spans="1:9" x14ac:dyDescent="0.3">
      <c r="A57" s="17" t="s">
        <v>1274</v>
      </c>
      <c r="B57" s="18" t="s">
        <v>5490</v>
      </c>
      <c r="C57" s="18" t="s">
        <v>5494</v>
      </c>
      <c r="D57" s="18" t="s">
        <v>5357</v>
      </c>
      <c r="E57" s="18" t="s">
        <v>5495</v>
      </c>
      <c r="F57" s="18" t="s">
        <v>5359</v>
      </c>
      <c r="G57" s="18" t="s">
        <v>5344</v>
      </c>
      <c r="H57" s="18" t="s">
        <v>5345</v>
      </c>
      <c r="I57" s="19">
        <v>78</v>
      </c>
    </row>
    <row r="58" spans="1:9" x14ac:dyDescent="0.3">
      <c r="A58" s="13" t="s">
        <v>854</v>
      </c>
      <c r="B58" s="14" t="s">
        <v>5490</v>
      </c>
      <c r="C58" s="14" t="s">
        <v>5491</v>
      </c>
      <c r="D58" s="14" t="s">
        <v>5350</v>
      </c>
      <c r="E58" s="14" t="s">
        <v>5496</v>
      </c>
      <c r="F58" s="14" t="s">
        <v>5359</v>
      </c>
      <c r="G58" s="14" t="s">
        <v>5344</v>
      </c>
      <c r="H58" s="14" t="s">
        <v>5345</v>
      </c>
      <c r="I58" s="15">
        <v>37</v>
      </c>
    </row>
    <row r="59" spans="1:9" x14ac:dyDescent="0.3">
      <c r="A59" s="13" t="s">
        <v>1276</v>
      </c>
      <c r="B59" s="14" t="s">
        <v>5490</v>
      </c>
      <c r="C59" s="14" t="s">
        <v>5494</v>
      </c>
      <c r="D59" s="14" t="s">
        <v>5341</v>
      </c>
      <c r="E59" s="14" t="s">
        <v>5497</v>
      </c>
      <c r="F59" s="14" t="s">
        <v>5498</v>
      </c>
      <c r="G59" s="14" t="s">
        <v>5370</v>
      </c>
      <c r="H59" s="14" t="s">
        <v>5371</v>
      </c>
      <c r="I59" s="15">
        <v>32</v>
      </c>
    </row>
    <row r="60" spans="1:9" x14ac:dyDescent="0.3">
      <c r="A60" s="13" t="s">
        <v>5499</v>
      </c>
      <c r="B60" s="14" t="s">
        <v>5500</v>
      </c>
      <c r="C60" s="14" t="s">
        <v>5501</v>
      </c>
      <c r="D60" s="14" t="s">
        <v>5341</v>
      </c>
      <c r="E60" s="14" t="s">
        <v>5426</v>
      </c>
      <c r="F60" s="14" t="s">
        <v>5352</v>
      </c>
      <c r="G60" s="14" t="s">
        <v>5353</v>
      </c>
      <c r="H60" s="14" t="s">
        <v>5354</v>
      </c>
      <c r="I60" s="15">
        <v>80</v>
      </c>
    </row>
    <row r="61" spans="1:9" x14ac:dyDescent="0.3">
      <c r="A61" s="13" t="s">
        <v>1322</v>
      </c>
      <c r="B61" s="14" t="s">
        <v>5500</v>
      </c>
      <c r="C61" s="14" t="s">
        <v>5502</v>
      </c>
      <c r="D61" s="14" t="s">
        <v>5341</v>
      </c>
      <c r="E61" s="14" t="s">
        <v>5503</v>
      </c>
      <c r="F61" s="14" t="s">
        <v>5407</v>
      </c>
      <c r="G61" s="14" t="s">
        <v>5366</v>
      </c>
      <c r="H61" s="14" t="s">
        <v>5367</v>
      </c>
      <c r="I61" s="15">
        <v>36</v>
      </c>
    </row>
    <row r="62" spans="1:9" x14ac:dyDescent="0.3">
      <c r="A62" s="17" t="s">
        <v>213</v>
      </c>
      <c r="B62" s="18" t="s">
        <v>5504</v>
      </c>
      <c r="C62" s="18" t="s">
        <v>5505</v>
      </c>
      <c r="D62" s="18" t="s">
        <v>5357</v>
      </c>
      <c r="E62" s="18" t="s">
        <v>5442</v>
      </c>
      <c r="F62" s="18" t="s">
        <v>5363</v>
      </c>
      <c r="G62" s="18" t="s">
        <v>5353</v>
      </c>
      <c r="H62" s="18" t="s">
        <v>5354</v>
      </c>
      <c r="I62" s="19">
        <v>78</v>
      </c>
    </row>
    <row r="63" spans="1:9" x14ac:dyDescent="0.3">
      <c r="A63" s="13" t="s">
        <v>692</v>
      </c>
      <c r="B63" s="14" t="s">
        <v>5506</v>
      </c>
      <c r="C63" s="14" t="s">
        <v>5507</v>
      </c>
      <c r="D63" s="14" t="s">
        <v>5350</v>
      </c>
      <c r="E63" s="14" t="s">
        <v>5508</v>
      </c>
      <c r="F63" s="14" t="s">
        <v>5509</v>
      </c>
      <c r="G63" s="14" t="s">
        <v>5344</v>
      </c>
      <c r="H63" s="14" t="s">
        <v>5345</v>
      </c>
      <c r="I63" s="15">
        <v>65</v>
      </c>
    </row>
    <row r="64" spans="1:9" x14ac:dyDescent="0.3">
      <c r="A64" s="13" t="s">
        <v>275</v>
      </c>
      <c r="B64" s="14" t="s">
        <v>5506</v>
      </c>
      <c r="C64" s="14" t="s">
        <v>5510</v>
      </c>
      <c r="D64" s="14" t="s">
        <v>5341</v>
      </c>
      <c r="E64" s="14" t="s">
        <v>5489</v>
      </c>
      <c r="F64" s="14" t="s">
        <v>5390</v>
      </c>
      <c r="G64" s="14" t="s">
        <v>5353</v>
      </c>
      <c r="H64" s="14" t="s">
        <v>5354</v>
      </c>
      <c r="I64" s="15">
        <v>35</v>
      </c>
    </row>
    <row r="65" spans="1:9" x14ac:dyDescent="0.3">
      <c r="A65" s="13" t="s">
        <v>1429</v>
      </c>
      <c r="B65" s="14" t="s">
        <v>5506</v>
      </c>
      <c r="C65" s="14" t="s">
        <v>5507</v>
      </c>
      <c r="D65" s="14" t="s">
        <v>5350</v>
      </c>
      <c r="E65" s="14" t="s">
        <v>5511</v>
      </c>
      <c r="F65" s="14" t="s">
        <v>5512</v>
      </c>
      <c r="G65" s="14" t="s">
        <v>5398</v>
      </c>
      <c r="H65" s="14" t="s">
        <v>5399</v>
      </c>
      <c r="I65" s="15">
        <v>34</v>
      </c>
    </row>
    <row r="66" spans="1:9" x14ac:dyDescent="0.3">
      <c r="A66" s="17" t="s">
        <v>712</v>
      </c>
      <c r="B66" s="18" t="s">
        <v>5513</v>
      </c>
      <c r="C66" s="18" t="s">
        <v>5514</v>
      </c>
      <c r="D66" s="18" t="s">
        <v>5341</v>
      </c>
      <c r="E66" s="18" t="s">
        <v>5431</v>
      </c>
      <c r="F66" s="18" t="s">
        <v>5431</v>
      </c>
      <c r="G66" s="18" t="s">
        <v>5370</v>
      </c>
      <c r="H66" s="18" t="s">
        <v>5371</v>
      </c>
      <c r="I66" s="19">
        <v>68</v>
      </c>
    </row>
    <row r="67" spans="1:9" x14ac:dyDescent="0.3">
      <c r="A67" s="17" t="s">
        <v>917</v>
      </c>
      <c r="B67" s="18" t="s">
        <v>5513</v>
      </c>
      <c r="C67" s="18" t="s">
        <v>5514</v>
      </c>
      <c r="D67" s="18" t="s">
        <v>5341</v>
      </c>
      <c r="E67" s="18" t="s">
        <v>5431</v>
      </c>
      <c r="F67" s="18" t="s">
        <v>5431</v>
      </c>
      <c r="G67" s="18" t="s">
        <v>5370</v>
      </c>
      <c r="H67" s="18" t="s">
        <v>5371</v>
      </c>
      <c r="I67" s="19">
        <v>29</v>
      </c>
    </row>
    <row r="68" spans="1:9" x14ac:dyDescent="0.3">
      <c r="A68" s="13" t="s">
        <v>1402</v>
      </c>
      <c r="B68" s="14" t="s">
        <v>5513</v>
      </c>
      <c r="C68" s="14" t="s">
        <v>5515</v>
      </c>
      <c r="D68" s="14" t="s">
        <v>5357</v>
      </c>
      <c r="E68" s="14" t="s">
        <v>5516</v>
      </c>
      <c r="F68" s="14" t="s">
        <v>5407</v>
      </c>
      <c r="G68" s="14" t="s">
        <v>5366</v>
      </c>
      <c r="H68" s="14" t="s">
        <v>5367</v>
      </c>
      <c r="I68" s="15">
        <v>43</v>
      </c>
    </row>
    <row r="69" spans="1:9" x14ac:dyDescent="0.3">
      <c r="A69" s="13" t="s">
        <v>566</v>
      </c>
      <c r="B69" s="14" t="s">
        <v>5513</v>
      </c>
      <c r="C69" s="14" t="s">
        <v>5517</v>
      </c>
      <c r="D69" s="14" t="s">
        <v>5350</v>
      </c>
      <c r="E69" s="14" t="s">
        <v>5518</v>
      </c>
      <c r="F69" s="14" t="s">
        <v>5519</v>
      </c>
      <c r="G69" s="14" t="s">
        <v>5370</v>
      </c>
      <c r="H69" s="14" t="s">
        <v>5371</v>
      </c>
      <c r="I69" s="15">
        <v>45</v>
      </c>
    </row>
    <row r="70" spans="1:9" x14ac:dyDescent="0.3">
      <c r="A70" s="13" t="s">
        <v>1218</v>
      </c>
      <c r="B70" s="14" t="s">
        <v>5520</v>
      </c>
      <c r="C70" s="14" t="s">
        <v>5521</v>
      </c>
      <c r="D70" s="14" t="s">
        <v>5341</v>
      </c>
      <c r="E70" s="14" t="s">
        <v>5522</v>
      </c>
      <c r="F70" s="14" t="s">
        <v>5523</v>
      </c>
      <c r="G70" s="14" t="s">
        <v>5398</v>
      </c>
      <c r="H70" s="14" t="s">
        <v>5399</v>
      </c>
      <c r="I70" s="15">
        <v>48</v>
      </c>
    </row>
    <row r="71" spans="1:9" x14ac:dyDescent="0.3">
      <c r="A71" s="17" t="s">
        <v>1926</v>
      </c>
      <c r="B71" s="18" t="s">
        <v>5520</v>
      </c>
      <c r="C71" s="18" t="s">
        <v>5521</v>
      </c>
      <c r="D71" s="18" t="s">
        <v>5350</v>
      </c>
      <c r="E71" s="18" t="s">
        <v>5524</v>
      </c>
      <c r="F71" s="18" t="s">
        <v>5454</v>
      </c>
      <c r="G71" s="18" t="s">
        <v>5353</v>
      </c>
      <c r="H71" s="18" t="s">
        <v>5354</v>
      </c>
      <c r="I71" s="19">
        <v>52</v>
      </c>
    </row>
    <row r="72" spans="1:9" x14ac:dyDescent="0.3">
      <c r="A72" s="13" t="s">
        <v>697</v>
      </c>
      <c r="B72" s="14" t="s">
        <v>5520</v>
      </c>
      <c r="C72" s="14" t="s">
        <v>5521</v>
      </c>
      <c r="D72" s="14" t="s">
        <v>5357</v>
      </c>
      <c r="E72" s="14" t="s">
        <v>5525</v>
      </c>
      <c r="F72" s="14" t="s">
        <v>5363</v>
      </c>
      <c r="G72" s="14" t="s">
        <v>5353</v>
      </c>
      <c r="H72" s="14" t="s">
        <v>5354</v>
      </c>
      <c r="I72" s="15">
        <v>61</v>
      </c>
    </row>
    <row r="73" spans="1:9" x14ac:dyDescent="0.3">
      <c r="A73" s="17" t="s">
        <v>626</v>
      </c>
      <c r="B73" s="18" t="s">
        <v>5520</v>
      </c>
      <c r="C73" s="18" t="s">
        <v>5521</v>
      </c>
      <c r="D73" s="18" t="s">
        <v>5357</v>
      </c>
      <c r="E73" s="18" t="s">
        <v>5526</v>
      </c>
      <c r="F73" s="18" t="s">
        <v>5527</v>
      </c>
      <c r="G73" s="18" t="s">
        <v>5344</v>
      </c>
      <c r="H73" s="18" t="s">
        <v>5345</v>
      </c>
      <c r="I73" s="19">
        <v>31</v>
      </c>
    </row>
    <row r="74" spans="1:9" x14ac:dyDescent="0.3">
      <c r="A74" s="17" t="s">
        <v>1115</v>
      </c>
      <c r="B74" s="18" t="s">
        <v>5528</v>
      </c>
      <c r="C74" s="18" t="s">
        <v>5529</v>
      </c>
      <c r="D74" s="18" t="s">
        <v>5341</v>
      </c>
      <c r="E74" s="18" t="s">
        <v>5471</v>
      </c>
      <c r="F74" s="18" t="s">
        <v>5352</v>
      </c>
      <c r="G74" s="18" t="s">
        <v>5353</v>
      </c>
      <c r="H74" s="18" t="s">
        <v>5354</v>
      </c>
      <c r="I74" s="19">
        <v>29</v>
      </c>
    </row>
    <row r="75" spans="1:9" x14ac:dyDescent="0.3">
      <c r="A75" s="17" t="s">
        <v>1033</v>
      </c>
      <c r="B75" s="18" t="s">
        <v>5530</v>
      </c>
      <c r="C75" s="18" t="s">
        <v>5531</v>
      </c>
      <c r="D75" s="18" t="s">
        <v>5357</v>
      </c>
      <c r="E75" s="18" t="s">
        <v>5532</v>
      </c>
      <c r="F75" s="18" t="s">
        <v>5498</v>
      </c>
      <c r="G75" s="18" t="s">
        <v>5370</v>
      </c>
      <c r="H75" s="18" t="s">
        <v>5371</v>
      </c>
      <c r="I75" s="19">
        <v>64</v>
      </c>
    </row>
    <row r="76" spans="1:9" x14ac:dyDescent="0.3">
      <c r="A76" s="13" t="s">
        <v>948</v>
      </c>
      <c r="B76" s="14" t="s">
        <v>5530</v>
      </c>
      <c r="C76" s="14" t="s">
        <v>5533</v>
      </c>
      <c r="D76" s="14" t="s">
        <v>5341</v>
      </c>
      <c r="E76" s="14" t="s">
        <v>5441</v>
      </c>
      <c r="F76" s="14" t="s">
        <v>5441</v>
      </c>
      <c r="G76" s="14" t="s">
        <v>5398</v>
      </c>
      <c r="H76" s="14" t="s">
        <v>5399</v>
      </c>
      <c r="I76" s="15">
        <v>25</v>
      </c>
    </row>
    <row r="77" spans="1:9" x14ac:dyDescent="0.3">
      <c r="A77" s="17" t="s">
        <v>301</v>
      </c>
      <c r="B77" s="18" t="s">
        <v>5534</v>
      </c>
      <c r="C77" s="18" t="s">
        <v>5535</v>
      </c>
      <c r="D77" s="18" t="s">
        <v>5357</v>
      </c>
      <c r="E77" s="18" t="s">
        <v>5380</v>
      </c>
      <c r="F77" s="18" t="s">
        <v>5381</v>
      </c>
      <c r="G77" s="18" t="s">
        <v>5353</v>
      </c>
      <c r="H77" s="18" t="s">
        <v>5354</v>
      </c>
      <c r="I77" s="19">
        <v>47</v>
      </c>
    </row>
    <row r="78" spans="1:9" x14ac:dyDescent="0.3">
      <c r="A78" s="17" t="s">
        <v>334</v>
      </c>
      <c r="B78" s="18" t="s">
        <v>5536</v>
      </c>
      <c r="C78" s="18" t="s">
        <v>5537</v>
      </c>
      <c r="D78" s="18" t="s">
        <v>5341</v>
      </c>
      <c r="E78" s="18" t="s">
        <v>5538</v>
      </c>
      <c r="F78" s="18" t="s">
        <v>5539</v>
      </c>
      <c r="G78" s="18" t="s">
        <v>5366</v>
      </c>
      <c r="H78" s="18" t="s">
        <v>5367</v>
      </c>
      <c r="I78" s="19">
        <v>64</v>
      </c>
    </row>
    <row r="79" spans="1:9" x14ac:dyDescent="0.3">
      <c r="A79" s="13" t="s">
        <v>3</v>
      </c>
      <c r="B79" s="14" t="s">
        <v>5536</v>
      </c>
      <c r="C79" s="14" t="s">
        <v>5540</v>
      </c>
      <c r="D79" s="14" t="s">
        <v>5341</v>
      </c>
      <c r="E79" s="14" t="s">
        <v>5541</v>
      </c>
      <c r="F79" s="14" t="s">
        <v>5359</v>
      </c>
      <c r="G79" s="14" t="s">
        <v>5344</v>
      </c>
      <c r="H79" s="14" t="s">
        <v>5345</v>
      </c>
      <c r="I79" s="15">
        <v>47</v>
      </c>
    </row>
    <row r="80" spans="1:9" x14ac:dyDescent="0.3">
      <c r="A80" s="17" t="s">
        <v>1354</v>
      </c>
      <c r="B80" s="18" t="s">
        <v>5536</v>
      </c>
      <c r="C80" s="18" t="s">
        <v>5542</v>
      </c>
      <c r="D80" s="18" t="s">
        <v>5350</v>
      </c>
      <c r="E80" s="18" t="s">
        <v>5396</v>
      </c>
      <c r="F80" s="18" t="s">
        <v>5397</v>
      </c>
      <c r="G80" s="18" t="s">
        <v>5398</v>
      </c>
      <c r="H80" s="18" t="s">
        <v>5399</v>
      </c>
      <c r="I80" s="19">
        <v>42</v>
      </c>
    </row>
    <row r="81" spans="1:9" x14ac:dyDescent="0.3">
      <c r="A81" s="13" t="s">
        <v>385</v>
      </c>
      <c r="B81" s="14" t="s">
        <v>5536</v>
      </c>
      <c r="C81" s="14" t="s">
        <v>5537</v>
      </c>
      <c r="D81" s="14" t="s">
        <v>5357</v>
      </c>
      <c r="E81" s="14" t="s">
        <v>5543</v>
      </c>
      <c r="F81" s="14" t="s">
        <v>5387</v>
      </c>
      <c r="G81" s="14" t="s">
        <v>5344</v>
      </c>
      <c r="H81" s="14" t="s">
        <v>5345</v>
      </c>
      <c r="I81" s="15">
        <v>54</v>
      </c>
    </row>
    <row r="82" spans="1:9" x14ac:dyDescent="0.3">
      <c r="A82" s="13" t="s">
        <v>1906</v>
      </c>
      <c r="B82" s="14" t="s">
        <v>5544</v>
      </c>
      <c r="C82" s="14" t="s">
        <v>5545</v>
      </c>
      <c r="D82" s="14" t="s">
        <v>5357</v>
      </c>
      <c r="E82" s="14" t="s">
        <v>5546</v>
      </c>
      <c r="F82" s="14" t="s">
        <v>5546</v>
      </c>
      <c r="G82" s="14" t="s">
        <v>5366</v>
      </c>
      <c r="H82" s="14" t="s">
        <v>5367</v>
      </c>
      <c r="I82" s="15">
        <v>63</v>
      </c>
    </row>
    <row r="83" spans="1:9" x14ac:dyDescent="0.3">
      <c r="A83" s="17" t="s">
        <v>316</v>
      </c>
      <c r="B83" s="18" t="s">
        <v>5544</v>
      </c>
      <c r="C83" s="18" t="s">
        <v>5545</v>
      </c>
      <c r="D83" s="18" t="s">
        <v>5341</v>
      </c>
      <c r="E83" s="18" t="s">
        <v>5441</v>
      </c>
      <c r="F83" s="18" t="s">
        <v>5441</v>
      </c>
      <c r="G83" s="18" t="s">
        <v>5398</v>
      </c>
      <c r="H83" s="18" t="s">
        <v>5399</v>
      </c>
      <c r="I83" s="19">
        <v>65</v>
      </c>
    </row>
    <row r="84" spans="1:9" x14ac:dyDescent="0.3">
      <c r="A84" s="13" t="s">
        <v>511</v>
      </c>
      <c r="B84" s="14" t="s">
        <v>5547</v>
      </c>
      <c r="C84" s="14" t="s">
        <v>5548</v>
      </c>
      <c r="D84" s="14" t="s">
        <v>5350</v>
      </c>
      <c r="E84" s="14" t="s">
        <v>5549</v>
      </c>
      <c r="F84" s="14" t="s">
        <v>5454</v>
      </c>
      <c r="G84" s="14" t="s">
        <v>5353</v>
      </c>
      <c r="H84" s="14" t="s">
        <v>5354</v>
      </c>
      <c r="I84" s="15">
        <v>60</v>
      </c>
    </row>
    <row r="85" spans="1:9" x14ac:dyDescent="0.3">
      <c r="A85" s="13" t="s">
        <v>960</v>
      </c>
      <c r="B85" s="14" t="s">
        <v>5550</v>
      </c>
      <c r="C85" s="14" t="s">
        <v>5551</v>
      </c>
      <c r="D85" s="14" t="s">
        <v>5350</v>
      </c>
      <c r="E85" s="14" t="s">
        <v>5552</v>
      </c>
      <c r="F85" s="14" t="s">
        <v>5486</v>
      </c>
      <c r="G85" s="14" t="s">
        <v>5398</v>
      </c>
      <c r="H85" s="14" t="s">
        <v>5399</v>
      </c>
      <c r="I85" s="15">
        <v>30</v>
      </c>
    </row>
    <row r="86" spans="1:9" x14ac:dyDescent="0.3">
      <c r="A86" s="17" t="s">
        <v>858</v>
      </c>
      <c r="B86" s="18" t="s">
        <v>5550</v>
      </c>
      <c r="C86" s="18" t="s">
        <v>5553</v>
      </c>
      <c r="D86" s="18" t="s">
        <v>5357</v>
      </c>
      <c r="E86" s="18" t="s">
        <v>5554</v>
      </c>
      <c r="F86" s="18" t="s">
        <v>5436</v>
      </c>
      <c r="G86" s="18" t="s">
        <v>5353</v>
      </c>
      <c r="H86" s="18" t="s">
        <v>5354</v>
      </c>
      <c r="I86" s="19">
        <v>59</v>
      </c>
    </row>
    <row r="87" spans="1:9" x14ac:dyDescent="0.3">
      <c r="A87" s="17" t="s">
        <v>1303</v>
      </c>
      <c r="B87" s="18" t="s">
        <v>5555</v>
      </c>
      <c r="C87" s="18" t="s">
        <v>5556</v>
      </c>
      <c r="D87" s="18" t="s">
        <v>5357</v>
      </c>
      <c r="E87" s="18" t="s">
        <v>5557</v>
      </c>
      <c r="F87" s="18" t="s">
        <v>5558</v>
      </c>
      <c r="G87" s="18" t="s">
        <v>5366</v>
      </c>
      <c r="H87" s="18" t="s">
        <v>5367</v>
      </c>
      <c r="I87" s="19">
        <v>61</v>
      </c>
    </row>
    <row r="88" spans="1:9" x14ac:dyDescent="0.3">
      <c r="A88" s="17" t="s">
        <v>180</v>
      </c>
      <c r="B88" s="18" t="s">
        <v>5559</v>
      </c>
      <c r="C88" s="18" t="s">
        <v>5560</v>
      </c>
      <c r="D88" s="18" t="s">
        <v>5350</v>
      </c>
      <c r="E88" s="18" t="s">
        <v>5415</v>
      </c>
      <c r="F88" s="18" t="s">
        <v>5415</v>
      </c>
      <c r="G88" s="18" t="s">
        <v>5344</v>
      </c>
      <c r="H88" s="18" t="s">
        <v>5345</v>
      </c>
      <c r="I88" s="19">
        <v>38</v>
      </c>
    </row>
    <row r="89" spans="1:9" x14ac:dyDescent="0.3">
      <c r="A89" s="17" t="s">
        <v>148</v>
      </c>
      <c r="B89" s="18" t="s">
        <v>5561</v>
      </c>
      <c r="C89" s="18" t="s">
        <v>5562</v>
      </c>
      <c r="D89" s="18" t="s">
        <v>5357</v>
      </c>
      <c r="E89" s="18" t="s">
        <v>5496</v>
      </c>
      <c r="F89" s="18" t="s">
        <v>5359</v>
      </c>
      <c r="G89" s="18" t="s">
        <v>5344</v>
      </c>
      <c r="H89" s="18" t="s">
        <v>5345</v>
      </c>
      <c r="I89" s="19">
        <v>74</v>
      </c>
    </row>
    <row r="90" spans="1:9" x14ac:dyDescent="0.3">
      <c r="A90" s="17" t="s">
        <v>237</v>
      </c>
      <c r="B90" s="18" t="s">
        <v>5563</v>
      </c>
      <c r="C90" s="18" t="s">
        <v>5564</v>
      </c>
      <c r="D90" s="18" t="s">
        <v>5341</v>
      </c>
      <c r="E90" s="18" t="s">
        <v>5565</v>
      </c>
      <c r="F90" s="18" t="s">
        <v>5566</v>
      </c>
      <c r="G90" s="18" t="s">
        <v>5344</v>
      </c>
      <c r="H90" s="18" t="s">
        <v>5345</v>
      </c>
      <c r="I90" s="19">
        <v>56</v>
      </c>
    </row>
    <row r="91" spans="1:9" x14ac:dyDescent="0.3">
      <c r="A91" s="13" t="s">
        <v>314</v>
      </c>
      <c r="B91" s="14" t="s">
        <v>5563</v>
      </c>
      <c r="C91" s="14" t="s">
        <v>5564</v>
      </c>
      <c r="D91" s="14" t="s">
        <v>5357</v>
      </c>
      <c r="E91" s="14" t="s">
        <v>5567</v>
      </c>
      <c r="F91" s="14" t="s">
        <v>5454</v>
      </c>
      <c r="G91" s="14" t="s">
        <v>5353</v>
      </c>
      <c r="H91" s="14" t="s">
        <v>5354</v>
      </c>
      <c r="I91" s="15">
        <v>38</v>
      </c>
    </row>
    <row r="92" spans="1:9" x14ac:dyDescent="0.3">
      <c r="A92" s="13" t="s">
        <v>354</v>
      </c>
      <c r="B92" s="14" t="s">
        <v>5568</v>
      </c>
      <c r="C92" s="14" t="s">
        <v>5569</v>
      </c>
      <c r="D92" s="14" t="s">
        <v>5357</v>
      </c>
      <c r="E92" s="14" t="s">
        <v>5431</v>
      </c>
      <c r="F92" s="14" t="s">
        <v>5431</v>
      </c>
      <c r="G92" s="14" t="s">
        <v>5370</v>
      </c>
      <c r="H92" s="14" t="s">
        <v>5371</v>
      </c>
      <c r="I92" s="15">
        <v>42</v>
      </c>
    </row>
    <row r="93" spans="1:9" x14ac:dyDescent="0.3">
      <c r="A93" s="17" t="s">
        <v>1643</v>
      </c>
      <c r="B93" s="18" t="s">
        <v>5568</v>
      </c>
      <c r="C93" s="18" t="s">
        <v>5569</v>
      </c>
      <c r="D93" s="18" t="s">
        <v>5357</v>
      </c>
      <c r="E93" s="18" t="s">
        <v>5435</v>
      </c>
      <c r="F93" s="18" t="s">
        <v>5436</v>
      </c>
      <c r="G93" s="18" t="s">
        <v>5353</v>
      </c>
      <c r="H93" s="18" t="s">
        <v>5354</v>
      </c>
      <c r="I93" s="19">
        <v>59</v>
      </c>
    </row>
    <row r="94" spans="1:9" x14ac:dyDescent="0.3">
      <c r="A94" s="13" t="s">
        <v>196</v>
      </c>
      <c r="B94" s="14" t="s">
        <v>5570</v>
      </c>
      <c r="C94" s="14" t="s">
        <v>5571</v>
      </c>
      <c r="D94" s="14" t="s">
        <v>5357</v>
      </c>
      <c r="E94" s="14" t="s">
        <v>5380</v>
      </c>
      <c r="F94" s="14" t="s">
        <v>5381</v>
      </c>
      <c r="G94" s="14" t="s">
        <v>5353</v>
      </c>
      <c r="H94" s="14" t="s">
        <v>5354</v>
      </c>
      <c r="I94" s="15">
        <v>38</v>
      </c>
    </row>
    <row r="95" spans="1:9" x14ac:dyDescent="0.3">
      <c r="A95" s="13" t="s">
        <v>192</v>
      </c>
      <c r="B95" s="14" t="s">
        <v>5572</v>
      </c>
      <c r="C95" s="14" t="s">
        <v>5573</v>
      </c>
      <c r="D95" s="14" t="s">
        <v>5341</v>
      </c>
      <c r="E95" s="14" t="s">
        <v>5455</v>
      </c>
      <c r="F95" s="14" t="s">
        <v>5436</v>
      </c>
      <c r="G95" s="14" t="s">
        <v>5353</v>
      </c>
      <c r="H95" s="14" t="s">
        <v>5354</v>
      </c>
      <c r="I95" s="15">
        <v>28</v>
      </c>
    </row>
    <row r="96" spans="1:9" x14ac:dyDescent="0.3">
      <c r="A96" s="17" t="s">
        <v>498</v>
      </c>
      <c r="B96" s="18" t="s">
        <v>5574</v>
      </c>
      <c r="C96" s="18" t="s">
        <v>5575</v>
      </c>
      <c r="D96" s="18" t="s">
        <v>5341</v>
      </c>
      <c r="E96" s="18" t="s">
        <v>5576</v>
      </c>
      <c r="F96" s="18" t="s">
        <v>5423</v>
      </c>
      <c r="G96" s="18" t="s">
        <v>5398</v>
      </c>
      <c r="H96" s="18" t="s">
        <v>5399</v>
      </c>
      <c r="I96" s="19">
        <v>72</v>
      </c>
    </row>
    <row r="97" spans="1:9" x14ac:dyDescent="0.3">
      <c r="A97" s="17" t="s">
        <v>957</v>
      </c>
      <c r="B97" s="18" t="s">
        <v>5577</v>
      </c>
      <c r="C97" s="18" t="s">
        <v>5578</v>
      </c>
      <c r="D97" s="18" t="s">
        <v>5341</v>
      </c>
      <c r="E97" s="18" t="s">
        <v>5579</v>
      </c>
      <c r="F97" s="18" t="s">
        <v>5580</v>
      </c>
      <c r="G97" s="18" t="s">
        <v>5366</v>
      </c>
      <c r="H97" s="18" t="s">
        <v>5367</v>
      </c>
      <c r="I97" s="19">
        <v>78</v>
      </c>
    </row>
    <row r="98" spans="1:9" x14ac:dyDescent="0.3">
      <c r="A98" s="13" t="s">
        <v>955</v>
      </c>
      <c r="B98" s="14" t="s">
        <v>5581</v>
      </c>
      <c r="C98" s="14" t="s">
        <v>5582</v>
      </c>
      <c r="D98" s="14" t="s">
        <v>5357</v>
      </c>
      <c r="E98" s="14" t="s">
        <v>5583</v>
      </c>
      <c r="F98" s="14" t="s">
        <v>5498</v>
      </c>
      <c r="G98" s="14" t="s">
        <v>5370</v>
      </c>
      <c r="H98" s="14" t="s">
        <v>5371</v>
      </c>
      <c r="I98" s="15">
        <v>70</v>
      </c>
    </row>
    <row r="99" spans="1:9" x14ac:dyDescent="0.3">
      <c r="A99" s="17" t="s">
        <v>865</v>
      </c>
      <c r="B99" s="18" t="s">
        <v>5581</v>
      </c>
      <c r="C99" s="18" t="s">
        <v>5582</v>
      </c>
      <c r="D99" s="18" t="s">
        <v>5350</v>
      </c>
      <c r="E99" s="18" t="s">
        <v>5584</v>
      </c>
      <c r="F99" s="18" t="s">
        <v>5585</v>
      </c>
      <c r="G99" s="18" t="s">
        <v>5398</v>
      </c>
      <c r="H99" s="18" t="s">
        <v>5399</v>
      </c>
      <c r="I99" s="19">
        <v>56</v>
      </c>
    </row>
    <row r="100" spans="1:9" x14ac:dyDescent="0.3">
      <c r="A100" s="13" t="s">
        <v>45</v>
      </c>
      <c r="B100" s="14" t="s">
        <v>5586</v>
      </c>
      <c r="C100" s="14" t="s">
        <v>5542</v>
      </c>
      <c r="D100" s="14" t="s">
        <v>5341</v>
      </c>
      <c r="E100" s="14" t="s">
        <v>5587</v>
      </c>
      <c r="F100" s="14" t="s">
        <v>5419</v>
      </c>
      <c r="G100" s="14" t="s">
        <v>5370</v>
      </c>
      <c r="H100" s="14" t="s">
        <v>5371</v>
      </c>
      <c r="I100" s="15">
        <v>43</v>
      </c>
    </row>
    <row r="101" spans="1:9" x14ac:dyDescent="0.3">
      <c r="A101" s="13" t="s">
        <v>1621</v>
      </c>
      <c r="B101" s="14" t="s">
        <v>5588</v>
      </c>
      <c r="C101" s="14" t="s">
        <v>5589</v>
      </c>
      <c r="D101" s="14" t="s">
        <v>5357</v>
      </c>
      <c r="E101" s="14" t="s">
        <v>5503</v>
      </c>
      <c r="F101" s="14" t="s">
        <v>5407</v>
      </c>
      <c r="G101" s="14" t="s">
        <v>5366</v>
      </c>
      <c r="H101" s="14" t="s">
        <v>5367</v>
      </c>
      <c r="I101" s="15">
        <v>57</v>
      </c>
    </row>
    <row r="102" spans="1:9" x14ac:dyDescent="0.3">
      <c r="A102" s="13" t="s">
        <v>763</v>
      </c>
      <c r="B102" s="14" t="s">
        <v>5588</v>
      </c>
      <c r="C102" s="14" t="s">
        <v>5589</v>
      </c>
      <c r="D102" s="14" t="s">
        <v>5350</v>
      </c>
      <c r="E102" s="14" t="s">
        <v>5590</v>
      </c>
      <c r="F102" s="14" t="s">
        <v>5566</v>
      </c>
      <c r="G102" s="14" t="s">
        <v>5344</v>
      </c>
      <c r="H102" s="14" t="s">
        <v>5345</v>
      </c>
      <c r="I102" s="15">
        <v>69</v>
      </c>
    </row>
    <row r="103" spans="1:9" x14ac:dyDescent="0.3">
      <c r="A103" s="13" t="s">
        <v>888</v>
      </c>
      <c r="B103" s="14" t="s">
        <v>5591</v>
      </c>
      <c r="C103" s="14" t="s">
        <v>5592</v>
      </c>
      <c r="D103" s="14" t="s">
        <v>5350</v>
      </c>
      <c r="E103" s="14" t="s">
        <v>5593</v>
      </c>
      <c r="F103" s="14" t="s">
        <v>5594</v>
      </c>
      <c r="G103" s="14" t="s">
        <v>5344</v>
      </c>
      <c r="H103" s="14" t="s">
        <v>5345</v>
      </c>
      <c r="I103" s="15">
        <v>54</v>
      </c>
    </row>
    <row r="104" spans="1:9" x14ac:dyDescent="0.3">
      <c r="A104" s="17" t="s">
        <v>603</v>
      </c>
      <c r="B104" s="18" t="s">
        <v>5595</v>
      </c>
      <c r="C104" s="18" t="s">
        <v>5596</v>
      </c>
      <c r="D104" s="18" t="s">
        <v>5350</v>
      </c>
      <c r="E104" s="18" t="s">
        <v>5543</v>
      </c>
      <c r="F104" s="18" t="s">
        <v>5387</v>
      </c>
      <c r="G104" s="18" t="s">
        <v>5344</v>
      </c>
      <c r="H104" s="18" t="s">
        <v>5345</v>
      </c>
      <c r="I104" s="19">
        <v>59</v>
      </c>
    </row>
    <row r="105" spans="1:9" x14ac:dyDescent="0.3">
      <c r="A105" s="17" t="s">
        <v>66</v>
      </c>
      <c r="B105" s="18" t="s">
        <v>5597</v>
      </c>
      <c r="C105" s="18" t="s">
        <v>5598</v>
      </c>
      <c r="D105" s="18" t="s">
        <v>5341</v>
      </c>
      <c r="E105" s="18" t="s">
        <v>5463</v>
      </c>
      <c r="F105" s="18" t="s">
        <v>5454</v>
      </c>
      <c r="G105" s="18" t="s">
        <v>5353</v>
      </c>
      <c r="H105" s="18" t="s">
        <v>5354</v>
      </c>
      <c r="I105" s="19">
        <v>60</v>
      </c>
    </row>
    <row r="106" spans="1:9" x14ac:dyDescent="0.3">
      <c r="A106" s="17" t="s">
        <v>49</v>
      </c>
      <c r="B106" s="18" t="s">
        <v>5599</v>
      </c>
      <c r="C106" s="18" t="s">
        <v>5600</v>
      </c>
      <c r="D106" s="18" t="s">
        <v>5357</v>
      </c>
      <c r="E106" s="18" t="s">
        <v>5601</v>
      </c>
      <c r="F106" s="18" t="s">
        <v>5594</v>
      </c>
      <c r="G106" s="18" t="s">
        <v>5344</v>
      </c>
      <c r="H106" s="18" t="s">
        <v>5345</v>
      </c>
      <c r="I106" s="19">
        <v>76</v>
      </c>
    </row>
    <row r="107" spans="1:9" x14ac:dyDescent="0.3">
      <c r="A107" s="17" t="s">
        <v>986</v>
      </c>
      <c r="B107" s="18" t="s">
        <v>5602</v>
      </c>
      <c r="C107" s="18" t="s">
        <v>5603</v>
      </c>
      <c r="D107" s="18" t="s">
        <v>5357</v>
      </c>
      <c r="E107" s="18" t="s">
        <v>5374</v>
      </c>
      <c r="F107" s="18" t="s">
        <v>5375</v>
      </c>
      <c r="G107" s="18" t="s">
        <v>5344</v>
      </c>
      <c r="H107" s="18" t="s">
        <v>5345</v>
      </c>
      <c r="I107" s="19">
        <v>42</v>
      </c>
    </row>
    <row r="108" spans="1:9" x14ac:dyDescent="0.3">
      <c r="A108" s="17" t="s">
        <v>1028</v>
      </c>
      <c r="B108" s="18" t="s">
        <v>5602</v>
      </c>
      <c r="C108" s="18" t="s">
        <v>5604</v>
      </c>
      <c r="D108" s="18" t="s">
        <v>5357</v>
      </c>
      <c r="E108" s="18" t="s">
        <v>5538</v>
      </c>
      <c r="F108" s="18" t="s">
        <v>5605</v>
      </c>
      <c r="G108" s="18" t="s">
        <v>5366</v>
      </c>
      <c r="H108" s="18" t="s">
        <v>5367</v>
      </c>
      <c r="I108" s="19">
        <v>44</v>
      </c>
    </row>
    <row r="109" spans="1:9" x14ac:dyDescent="0.3">
      <c r="A109" s="17" t="s">
        <v>2788</v>
      </c>
      <c r="B109" s="18" t="s">
        <v>5602</v>
      </c>
      <c r="C109" s="18" t="s">
        <v>5606</v>
      </c>
      <c r="D109" s="18" t="s">
        <v>5357</v>
      </c>
      <c r="E109" s="18" t="s">
        <v>5607</v>
      </c>
      <c r="F109" s="18" t="s">
        <v>5397</v>
      </c>
      <c r="G109" s="18" t="s">
        <v>5398</v>
      </c>
      <c r="H109" s="18" t="s">
        <v>5399</v>
      </c>
      <c r="I109" s="19">
        <v>29</v>
      </c>
    </row>
    <row r="110" spans="1:9" x14ac:dyDescent="0.3">
      <c r="A110" s="13" t="s">
        <v>79</v>
      </c>
      <c r="B110" s="14" t="s">
        <v>5602</v>
      </c>
      <c r="C110" s="14" t="s">
        <v>5604</v>
      </c>
      <c r="D110" s="14" t="s">
        <v>5357</v>
      </c>
      <c r="E110" s="14" t="s">
        <v>5601</v>
      </c>
      <c r="F110" s="14" t="s">
        <v>5594</v>
      </c>
      <c r="G110" s="14" t="s">
        <v>5344</v>
      </c>
      <c r="H110" s="14" t="s">
        <v>5345</v>
      </c>
      <c r="I110" s="15">
        <v>36</v>
      </c>
    </row>
    <row r="111" spans="1:9" x14ac:dyDescent="0.3">
      <c r="A111" s="13" t="s">
        <v>714</v>
      </c>
      <c r="B111" s="14" t="s">
        <v>5602</v>
      </c>
      <c r="C111" s="14" t="s">
        <v>5608</v>
      </c>
      <c r="D111" s="14" t="s">
        <v>5357</v>
      </c>
      <c r="E111" s="14" t="s">
        <v>5590</v>
      </c>
      <c r="F111" s="14" t="s">
        <v>5566</v>
      </c>
      <c r="G111" s="14" t="s">
        <v>5344</v>
      </c>
      <c r="H111" s="14" t="s">
        <v>5345</v>
      </c>
      <c r="I111" s="15">
        <v>74</v>
      </c>
    </row>
    <row r="112" spans="1:9" x14ac:dyDescent="0.3">
      <c r="A112" s="17" t="s">
        <v>200</v>
      </c>
      <c r="B112" s="18" t="s">
        <v>5609</v>
      </c>
      <c r="C112" s="18" t="s">
        <v>5610</v>
      </c>
      <c r="D112" s="18" t="s">
        <v>5350</v>
      </c>
      <c r="E112" s="18" t="s">
        <v>5549</v>
      </c>
      <c r="F112" s="18" t="s">
        <v>5454</v>
      </c>
      <c r="G112" s="18" t="s">
        <v>5353</v>
      </c>
      <c r="H112" s="18" t="s">
        <v>5354</v>
      </c>
      <c r="I112" s="19">
        <v>65</v>
      </c>
    </row>
    <row r="113" spans="1:9" x14ac:dyDescent="0.3">
      <c r="A113" s="13" t="s">
        <v>3274</v>
      </c>
      <c r="B113" s="14" t="s">
        <v>5609</v>
      </c>
      <c r="C113" s="14" t="s">
        <v>5610</v>
      </c>
      <c r="D113" s="14" t="s">
        <v>5357</v>
      </c>
      <c r="E113" s="14" t="s">
        <v>5455</v>
      </c>
      <c r="F113" s="14" t="s">
        <v>5436</v>
      </c>
      <c r="G113" s="14" t="s">
        <v>5353</v>
      </c>
      <c r="H113" s="14" t="s">
        <v>5354</v>
      </c>
      <c r="I113" s="15">
        <v>37</v>
      </c>
    </row>
    <row r="114" spans="1:9" x14ac:dyDescent="0.3">
      <c r="A114" s="17" t="s">
        <v>239</v>
      </c>
      <c r="B114" s="18" t="s">
        <v>5611</v>
      </c>
      <c r="C114" s="18" t="s">
        <v>5612</v>
      </c>
      <c r="D114" s="18" t="s">
        <v>5357</v>
      </c>
      <c r="E114" s="18" t="s">
        <v>5418</v>
      </c>
      <c r="F114" s="18" t="s">
        <v>5419</v>
      </c>
      <c r="G114" s="18" t="s">
        <v>5370</v>
      </c>
      <c r="H114" s="18" t="s">
        <v>5371</v>
      </c>
      <c r="I114" s="19">
        <v>71</v>
      </c>
    </row>
    <row r="115" spans="1:9" x14ac:dyDescent="0.3">
      <c r="A115" s="17" t="s">
        <v>293</v>
      </c>
      <c r="B115" s="18" t="s">
        <v>5611</v>
      </c>
      <c r="C115" s="18" t="s">
        <v>5612</v>
      </c>
      <c r="D115" s="18" t="s">
        <v>5341</v>
      </c>
      <c r="E115" s="18" t="s">
        <v>5613</v>
      </c>
      <c r="F115" s="18" t="s">
        <v>5614</v>
      </c>
      <c r="G115" s="18" t="s">
        <v>5398</v>
      </c>
      <c r="H115" s="18" t="s">
        <v>5399</v>
      </c>
      <c r="I115" s="19">
        <v>28</v>
      </c>
    </row>
    <row r="116" spans="1:9" x14ac:dyDescent="0.3">
      <c r="A116" s="17" t="s">
        <v>429</v>
      </c>
      <c r="B116" s="18" t="s">
        <v>5615</v>
      </c>
      <c r="C116" s="18" t="s">
        <v>5616</v>
      </c>
      <c r="D116" s="18" t="s">
        <v>5341</v>
      </c>
      <c r="E116" s="18" t="s">
        <v>5400</v>
      </c>
      <c r="F116" s="18" t="s">
        <v>5400</v>
      </c>
      <c r="G116" s="18" t="s">
        <v>5344</v>
      </c>
      <c r="H116" s="18" t="s">
        <v>5345</v>
      </c>
      <c r="I116" s="19">
        <v>57</v>
      </c>
    </row>
    <row r="117" spans="1:9" x14ac:dyDescent="0.3">
      <c r="A117" s="13" t="s">
        <v>686</v>
      </c>
      <c r="B117" s="14" t="s">
        <v>5617</v>
      </c>
      <c r="C117" s="14" t="s">
        <v>5618</v>
      </c>
      <c r="D117" s="14" t="s">
        <v>5341</v>
      </c>
      <c r="E117" s="14" t="s">
        <v>5442</v>
      </c>
      <c r="F117" s="14" t="s">
        <v>5363</v>
      </c>
      <c r="G117" s="14" t="s">
        <v>5353</v>
      </c>
      <c r="H117" s="14" t="s">
        <v>5354</v>
      </c>
      <c r="I117" s="15">
        <v>70</v>
      </c>
    </row>
    <row r="118" spans="1:9" x14ac:dyDescent="0.3">
      <c r="A118" s="13" t="s">
        <v>104</v>
      </c>
      <c r="B118" s="14" t="s">
        <v>5619</v>
      </c>
      <c r="C118" s="14" t="s">
        <v>5620</v>
      </c>
      <c r="D118" s="14" t="s">
        <v>5350</v>
      </c>
      <c r="E118" s="14" t="s">
        <v>5621</v>
      </c>
      <c r="F118" s="14" t="s">
        <v>5622</v>
      </c>
      <c r="G118" s="14" t="s">
        <v>5398</v>
      </c>
      <c r="H118" s="14" t="s">
        <v>5399</v>
      </c>
      <c r="I118" s="15">
        <v>55</v>
      </c>
    </row>
    <row r="119" spans="1:9" x14ac:dyDescent="0.3">
      <c r="A119" s="17" t="s">
        <v>485</v>
      </c>
      <c r="B119" s="18" t="s">
        <v>5623</v>
      </c>
      <c r="C119" s="18" t="s">
        <v>5624</v>
      </c>
      <c r="D119" s="18" t="s">
        <v>5350</v>
      </c>
      <c r="E119" s="18" t="s">
        <v>5455</v>
      </c>
      <c r="F119" s="18" t="s">
        <v>5436</v>
      </c>
      <c r="G119" s="18" t="s">
        <v>5353</v>
      </c>
      <c r="H119" s="18" t="s">
        <v>5354</v>
      </c>
      <c r="I119" s="19">
        <v>69</v>
      </c>
    </row>
    <row r="120" spans="1:9" x14ac:dyDescent="0.3">
      <c r="A120" s="13" t="s">
        <v>1288</v>
      </c>
      <c r="B120" s="14" t="s">
        <v>5625</v>
      </c>
      <c r="C120" s="14" t="s">
        <v>5626</v>
      </c>
      <c r="D120" s="14" t="s">
        <v>5350</v>
      </c>
      <c r="E120" s="14" t="s">
        <v>5422</v>
      </c>
      <c r="F120" s="14" t="s">
        <v>5423</v>
      </c>
      <c r="G120" s="14" t="s">
        <v>5398</v>
      </c>
      <c r="H120" s="14" t="s">
        <v>5399</v>
      </c>
      <c r="I120" s="15">
        <v>47</v>
      </c>
    </row>
    <row r="121" spans="1:9" x14ac:dyDescent="0.3">
      <c r="A121" s="13" t="s">
        <v>1628</v>
      </c>
      <c r="B121" s="14" t="s">
        <v>5625</v>
      </c>
      <c r="C121" s="14" t="s">
        <v>5627</v>
      </c>
      <c r="D121" s="14" t="s">
        <v>5357</v>
      </c>
      <c r="E121" s="14" t="s">
        <v>5431</v>
      </c>
      <c r="F121" s="14" t="s">
        <v>5431</v>
      </c>
      <c r="G121" s="14" t="s">
        <v>5370</v>
      </c>
      <c r="H121" s="14" t="s">
        <v>5371</v>
      </c>
      <c r="I121" s="15">
        <v>73</v>
      </c>
    </row>
    <row r="122" spans="1:9" x14ac:dyDescent="0.3">
      <c r="A122" s="13" t="s">
        <v>438</v>
      </c>
      <c r="B122" s="14" t="s">
        <v>5625</v>
      </c>
      <c r="C122" s="14" t="s">
        <v>5627</v>
      </c>
      <c r="D122" s="14" t="s">
        <v>5341</v>
      </c>
      <c r="E122" s="14" t="s">
        <v>5628</v>
      </c>
      <c r="F122" s="14" t="s">
        <v>5594</v>
      </c>
      <c r="G122" s="14" t="s">
        <v>5344</v>
      </c>
      <c r="H122" s="14" t="s">
        <v>5345</v>
      </c>
      <c r="I122" s="15">
        <v>33</v>
      </c>
    </row>
    <row r="123" spans="1:9" x14ac:dyDescent="0.3">
      <c r="A123" s="17" t="s">
        <v>241</v>
      </c>
      <c r="B123" s="18" t="s">
        <v>5625</v>
      </c>
      <c r="C123" s="18" t="s">
        <v>5629</v>
      </c>
      <c r="D123" s="18" t="s">
        <v>5341</v>
      </c>
      <c r="E123" s="18" t="s">
        <v>5583</v>
      </c>
      <c r="F123" s="18" t="s">
        <v>5498</v>
      </c>
      <c r="G123" s="18" t="s">
        <v>5370</v>
      </c>
      <c r="H123" s="18" t="s">
        <v>5371</v>
      </c>
      <c r="I123" s="19">
        <v>67</v>
      </c>
    </row>
    <row r="124" spans="1:9" x14ac:dyDescent="0.3">
      <c r="A124" s="17" t="s">
        <v>656</v>
      </c>
      <c r="B124" s="18" t="s">
        <v>5625</v>
      </c>
      <c r="C124" s="18" t="s">
        <v>5627</v>
      </c>
      <c r="D124" s="18" t="s">
        <v>5341</v>
      </c>
      <c r="E124" s="18" t="s">
        <v>5442</v>
      </c>
      <c r="F124" s="18" t="s">
        <v>5363</v>
      </c>
      <c r="G124" s="18" t="s">
        <v>5353</v>
      </c>
      <c r="H124" s="18" t="s">
        <v>5354</v>
      </c>
      <c r="I124" s="19">
        <v>53</v>
      </c>
    </row>
    <row r="125" spans="1:9" x14ac:dyDescent="0.3">
      <c r="A125" s="17" t="s">
        <v>2232</v>
      </c>
      <c r="B125" s="18" t="s">
        <v>5630</v>
      </c>
      <c r="C125" s="18" t="s">
        <v>5540</v>
      </c>
      <c r="D125" s="18" t="s">
        <v>5357</v>
      </c>
      <c r="E125" s="18" t="s">
        <v>5631</v>
      </c>
      <c r="F125" s="18" t="s">
        <v>5359</v>
      </c>
      <c r="G125" s="18" t="s">
        <v>5344</v>
      </c>
      <c r="H125" s="18" t="s">
        <v>5345</v>
      </c>
      <c r="I125" s="19">
        <v>42</v>
      </c>
    </row>
    <row r="126" spans="1:9" x14ac:dyDescent="0.3">
      <c r="A126" s="13" t="s">
        <v>431</v>
      </c>
      <c r="B126" s="14" t="s">
        <v>5630</v>
      </c>
      <c r="C126" s="14" t="s">
        <v>5632</v>
      </c>
      <c r="D126" s="14" t="s">
        <v>5341</v>
      </c>
      <c r="E126" s="14" t="s">
        <v>5400</v>
      </c>
      <c r="F126" s="14" t="s">
        <v>5400</v>
      </c>
      <c r="G126" s="14" t="s">
        <v>5344</v>
      </c>
      <c r="H126" s="14" t="s">
        <v>5345</v>
      </c>
      <c r="I126" s="15">
        <v>50</v>
      </c>
    </row>
    <row r="127" spans="1:9" x14ac:dyDescent="0.3">
      <c r="A127" s="13" t="s">
        <v>1774</v>
      </c>
      <c r="B127" s="14" t="s">
        <v>5633</v>
      </c>
      <c r="C127" s="14" t="s">
        <v>5634</v>
      </c>
      <c r="D127" s="14" t="s">
        <v>5341</v>
      </c>
      <c r="E127" s="14" t="s">
        <v>5458</v>
      </c>
      <c r="F127" s="14" t="s">
        <v>5454</v>
      </c>
      <c r="G127" s="14" t="s">
        <v>5353</v>
      </c>
      <c r="H127" s="14" t="s">
        <v>5354</v>
      </c>
      <c r="I127" s="15">
        <v>40</v>
      </c>
    </row>
    <row r="128" spans="1:9" x14ac:dyDescent="0.3">
      <c r="A128" s="13" t="s">
        <v>1572</v>
      </c>
      <c r="B128" s="14" t="s">
        <v>5633</v>
      </c>
      <c r="C128" s="14" t="s">
        <v>5635</v>
      </c>
      <c r="D128" s="14" t="s">
        <v>5341</v>
      </c>
      <c r="E128" s="14" t="s">
        <v>5636</v>
      </c>
      <c r="F128" s="14" t="s">
        <v>5637</v>
      </c>
      <c r="G128" s="14" t="s">
        <v>5366</v>
      </c>
      <c r="H128" s="14" t="s">
        <v>5367</v>
      </c>
      <c r="I128" s="15">
        <v>77</v>
      </c>
    </row>
    <row r="129" spans="1:9" x14ac:dyDescent="0.3">
      <c r="A129" s="17" t="s">
        <v>751</v>
      </c>
      <c r="B129" s="18" t="s">
        <v>5633</v>
      </c>
      <c r="C129" s="18" t="s">
        <v>5635</v>
      </c>
      <c r="D129" s="18" t="s">
        <v>5357</v>
      </c>
      <c r="E129" s="18" t="s">
        <v>5638</v>
      </c>
      <c r="F129" s="18" t="s">
        <v>5639</v>
      </c>
      <c r="G129" s="18" t="s">
        <v>5366</v>
      </c>
      <c r="H129" s="18" t="s">
        <v>5367</v>
      </c>
      <c r="I129" s="19">
        <v>62</v>
      </c>
    </row>
    <row r="130" spans="1:9" x14ac:dyDescent="0.3">
      <c r="A130" s="13" t="s">
        <v>456</v>
      </c>
      <c r="B130" s="14" t="s">
        <v>5633</v>
      </c>
      <c r="C130" s="14" t="s">
        <v>5634</v>
      </c>
      <c r="D130" s="14" t="s">
        <v>5357</v>
      </c>
      <c r="E130" s="14" t="s">
        <v>5640</v>
      </c>
      <c r="F130" s="14" t="s">
        <v>5622</v>
      </c>
      <c r="G130" s="14" t="s">
        <v>5398</v>
      </c>
      <c r="H130" s="14" t="s">
        <v>5399</v>
      </c>
      <c r="I130" s="15">
        <v>68</v>
      </c>
    </row>
    <row r="131" spans="1:9" x14ac:dyDescent="0.3">
      <c r="A131" s="17" t="s">
        <v>724</v>
      </c>
      <c r="B131" s="18" t="s">
        <v>5641</v>
      </c>
      <c r="C131" s="18" t="s">
        <v>5642</v>
      </c>
      <c r="D131" s="18" t="s">
        <v>5357</v>
      </c>
      <c r="E131" s="18" t="s">
        <v>5429</v>
      </c>
      <c r="F131" s="18" t="s">
        <v>5430</v>
      </c>
      <c r="G131" s="18" t="s">
        <v>5398</v>
      </c>
      <c r="H131" s="18" t="s">
        <v>5399</v>
      </c>
      <c r="I131" s="19">
        <v>61</v>
      </c>
    </row>
    <row r="132" spans="1:9" x14ac:dyDescent="0.3">
      <c r="A132" s="13" t="s">
        <v>75</v>
      </c>
      <c r="B132" s="14" t="s">
        <v>5641</v>
      </c>
      <c r="C132" s="14" t="s">
        <v>5643</v>
      </c>
      <c r="D132" s="14" t="s">
        <v>5357</v>
      </c>
      <c r="E132" s="14" t="s">
        <v>5644</v>
      </c>
      <c r="F132" s="14" t="s">
        <v>5645</v>
      </c>
      <c r="G132" s="14" t="s">
        <v>5366</v>
      </c>
      <c r="H132" s="14" t="s">
        <v>5367</v>
      </c>
      <c r="I132" s="15">
        <v>75</v>
      </c>
    </row>
    <row r="133" spans="1:9" x14ac:dyDescent="0.3">
      <c r="A133" s="13" t="s">
        <v>758</v>
      </c>
      <c r="B133" s="14" t="s">
        <v>5641</v>
      </c>
      <c r="C133" s="14" t="s">
        <v>5646</v>
      </c>
      <c r="D133" s="14" t="s">
        <v>5357</v>
      </c>
      <c r="E133" s="14" t="s">
        <v>5415</v>
      </c>
      <c r="F133" s="14" t="s">
        <v>5415</v>
      </c>
      <c r="G133" s="14" t="s">
        <v>5344</v>
      </c>
      <c r="H133" s="14" t="s">
        <v>5345</v>
      </c>
      <c r="I133" s="15">
        <v>38</v>
      </c>
    </row>
    <row r="134" spans="1:9" x14ac:dyDescent="0.3">
      <c r="A134" s="17" t="s">
        <v>133</v>
      </c>
      <c r="B134" s="18" t="s">
        <v>5647</v>
      </c>
      <c r="C134" s="18" t="s">
        <v>5648</v>
      </c>
      <c r="D134" s="18" t="s">
        <v>5357</v>
      </c>
      <c r="E134" s="18" t="s">
        <v>5649</v>
      </c>
      <c r="F134" s="18" t="s">
        <v>5558</v>
      </c>
      <c r="G134" s="18" t="s">
        <v>5366</v>
      </c>
      <c r="H134" s="18" t="s">
        <v>5367</v>
      </c>
      <c r="I134" s="19">
        <v>48</v>
      </c>
    </row>
    <row r="135" spans="1:9" x14ac:dyDescent="0.3">
      <c r="A135" s="13" t="s">
        <v>1074</v>
      </c>
      <c r="B135" s="14" t="s">
        <v>5650</v>
      </c>
      <c r="C135" s="14" t="s">
        <v>5651</v>
      </c>
      <c r="D135" s="14" t="s">
        <v>5341</v>
      </c>
      <c r="E135" s="14" t="s">
        <v>5652</v>
      </c>
      <c r="F135" s="14" t="s">
        <v>5476</v>
      </c>
      <c r="G135" s="14" t="s">
        <v>5344</v>
      </c>
      <c r="H135" s="14" t="s">
        <v>5345</v>
      </c>
      <c r="I135" s="15">
        <v>31</v>
      </c>
    </row>
    <row r="136" spans="1:9" x14ac:dyDescent="0.3">
      <c r="A136" s="17" t="s">
        <v>358</v>
      </c>
      <c r="B136" s="18" t="s">
        <v>5653</v>
      </c>
      <c r="C136" s="18" t="s">
        <v>5654</v>
      </c>
      <c r="D136" s="18" t="s">
        <v>5350</v>
      </c>
      <c r="E136" s="18" t="s">
        <v>5655</v>
      </c>
      <c r="F136" s="18" t="s">
        <v>5394</v>
      </c>
      <c r="G136" s="18" t="s">
        <v>5366</v>
      </c>
      <c r="H136" s="18" t="s">
        <v>5367</v>
      </c>
      <c r="I136" s="19">
        <v>54</v>
      </c>
    </row>
    <row r="137" spans="1:9" x14ac:dyDescent="0.3">
      <c r="A137" s="13" t="s">
        <v>1045</v>
      </c>
      <c r="B137" s="14" t="s">
        <v>5653</v>
      </c>
      <c r="C137" s="14" t="s">
        <v>5654</v>
      </c>
      <c r="D137" s="14" t="s">
        <v>5350</v>
      </c>
      <c r="E137" s="14" t="s">
        <v>5435</v>
      </c>
      <c r="F137" s="14" t="s">
        <v>5436</v>
      </c>
      <c r="G137" s="14" t="s">
        <v>5353</v>
      </c>
      <c r="H137" s="14" t="s">
        <v>5354</v>
      </c>
      <c r="I137" s="15">
        <v>49</v>
      </c>
    </row>
    <row r="138" spans="1:9" x14ac:dyDescent="0.3">
      <c r="A138" s="17" t="s">
        <v>404</v>
      </c>
      <c r="B138" s="18" t="s">
        <v>5656</v>
      </c>
      <c r="C138" s="18" t="s">
        <v>5657</v>
      </c>
      <c r="D138" s="18" t="s">
        <v>5341</v>
      </c>
      <c r="E138" s="18" t="s">
        <v>5442</v>
      </c>
      <c r="F138" s="18" t="s">
        <v>5363</v>
      </c>
      <c r="G138" s="18" t="s">
        <v>5353</v>
      </c>
      <c r="H138" s="18" t="s">
        <v>5354</v>
      </c>
      <c r="I138" s="19">
        <v>28</v>
      </c>
    </row>
    <row r="139" spans="1:9" x14ac:dyDescent="0.3">
      <c r="A139" s="17" t="s">
        <v>610</v>
      </c>
      <c r="B139" s="18" t="s">
        <v>5656</v>
      </c>
      <c r="C139" s="18" t="s">
        <v>5657</v>
      </c>
      <c r="D139" s="18" t="s">
        <v>5341</v>
      </c>
      <c r="E139" s="18" t="s">
        <v>5658</v>
      </c>
      <c r="F139" s="18" t="s">
        <v>5498</v>
      </c>
      <c r="G139" s="18" t="s">
        <v>5370</v>
      </c>
      <c r="H139" s="18" t="s">
        <v>5371</v>
      </c>
      <c r="I139" s="19">
        <v>53</v>
      </c>
    </row>
    <row r="140" spans="1:9" x14ac:dyDescent="0.3">
      <c r="A140" s="13" t="s">
        <v>590</v>
      </c>
      <c r="B140" s="14" t="s">
        <v>5659</v>
      </c>
      <c r="C140" s="14" t="s">
        <v>5660</v>
      </c>
      <c r="D140" s="14" t="s">
        <v>5350</v>
      </c>
      <c r="E140" s="14" t="s">
        <v>5661</v>
      </c>
      <c r="F140" s="14" t="s">
        <v>5661</v>
      </c>
      <c r="G140" s="14" t="s">
        <v>5370</v>
      </c>
      <c r="H140" s="14" t="s">
        <v>5371</v>
      </c>
      <c r="I140" s="15">
        <v>25</v>
      </c>
    </row>
    <row r="141" spans="1:9" x14ac:dyDescent="0.3">
      <c r="A141" s="17" t="s">
        <v>644</v>
      </c>
      <c r="B141" s="18" t="s">
        <v>5662</v>
      </c>
      <c r="C141" s="18" t="s">
        <v>5663</v>
      </c>
      <c r="D141" s="18" t="s">
        <v>5357</v>
      </c>
      <c r="E141" s="18" t="s">
        <v>5664</v>
      </c>
      <c r="F141" s="18" t="s">
        <v>5423</v>
      </c>
      <c r="G141" s="18" t="s">
        <v>5398</v>
      </c>
      <c r="H141" s="18" t="s">
        <v>5399</v>
      </c>
      <c r="I141" s="19">
        <v>57</v>
      </c>
    </row>
    <row r="142" spans="1:9" x14ac:dyDescent="0.3">
      <c r="A142" s="13" t="s">
        <v>68</v>
      </c>
      <c r="B142" s="14" t="s">
        <v>5665</v>
      </c>
      <c r="C142" s="14" t="s">
        <v>5666</v>
      </c>
      <c r="D142" s="14" t="s">
        <v>5341</v>
      </c>
      <c r="E142" s="14" t="s">
        <v>5471</v>
      </c>
      <c r="F142" s="14" t="s">
        <v>5352</v>
      </c>
      <c r="G142" s="14" t="s">
        <v>5353</v>
      </c>
      <c r="H142" s="14" t="s">
        <v>5354</v>
      </c>
      <c r="I142" s="15">
        <v>53</v>
      </c>
    </row>
    <row r="143" spans="1:9" x14ac:dyDescent="0.3">
      <c r="A143" s="13" t="s">
        <v>928</v>
      </c>
      <c r="B143" s="14" t="s">
        <v>5665</v>
      </c>
      <c r="C143" s="14" t="s">
        <v>5666</v>
      </c>
      <c r="D143" s="14" t="s">
        <v>5357</v>
      </c>
      <c r="E143" s="14" t="s">
        <v>5667</v>
      </c>
      <c r="F143" s="14" t="s">
        <v>5436</v>
      </c>
      <c r="G143" s="14" t="s">
        <v>5353</v>
      </c>
      <c r="H143" s="14" t="s">
        <v>5354</v>
      </c>
      <c r="I143" s="15">
        <v>68</v>
      </c>
    </row>
    <row r="144" spans="1:9" x14ac:dyDescent="0.3">
      <c r="A144" s="17" t="s">
        <v>323</v>
      </c>
      <c r="B144" s="18" t="s">
        <v>5665</v>
      </c>
      <c r="C144" s="18" t="s">
        <v>5666</v>
      </c>
      <c r="D144" s="18" t="s">
        <v>5350</v>
      </c>
      <c r="E144" s="18" t="s">
        <v>5668</v>
      </c>
      <c r="F144" s="18" t="s">
        <v>5669</v>
      </c>
      <c r="G144" s="18" t="s">
        <v>5370</v>
      </c>
      <c r="H144" s="18" t="s">
        <v>5371</v>
      </c>
      <c r="I144" s="19">
        <v>77</v>
      </c>
    </row>
    <row r="145" spans="1:9" x14ac:dyDescent="0.3">
      <c r="A145" s="17" t="s">
        <v>341</v>
      </c>
      <c r="B145" s="18" t="s">
        <v>5670</v>
      </c>
      <c r="C145" s="18" t="s">
        <v>5671</v>
      </c>
      <c r="D145" s="18" t="s">
        <v>5357</v>
      </c>
      <c r="E145" s="18" t="s">
        <v>5400</v>
      </c>
      <c r="F145" s="18" t="s">
        <v>5400</v>
      </c>
      <c r="G145" s="18" t="s">
        <v>5344</v>
      </c>
      <c r="H145" s="18" t="s">
        <v>5345</v>
      </c>
      <c r="I145" s="19">
        <v>59</v>
      </c>
    </row>
    <row r="146" spans="1:9" x14ac:dyDescent="0.3">
      <c r="A146" s="17" t="s">
        <v>996</v>
      </c>
      <c r="B146" s="18" t="s">
        <v>5672</v>
      </c>
      <c r="C146" s="18" t="s">
        <v>5673</v>
      </c>
      <c r="D146" s="18" t="s">
        <v>5357</v>
      </c>
      <c r="E146" s="18" t="s">
        <v>5455</v>
      </c>
      <c r="F146" s="18" t="s">
        <v>5436</v>
      </c>
      <c r="G146" s="18" t="s">
        <v>5353</v>
      </c>
      <c r="H146" s="18" t="s">
        <v>5354</v>
      </c>
      <c r="I146" s="19">
        <v>51</v>
      </c>
    </row>
    <row r="147" spans="1:9" x14ac:dyDescent="0.3">
      <c r="A147" s="17" t="s">
        <v>1139</v>
      </c>
      <c r="B147" s="18" t="s">
        <v>5672</v>
      </c>
      <c r="C147" s="18" t="s">
        <v>5674</v>
      </c>
      <c r="D147" s="18" t="s">
        <v>5341</v>
      </c>
      <c r="E147" s="18" t="s">
        <v>5455</v>
      </c>
      <c r="F147" s="18" t="s">
        <v>5436</v>
      </c>
      <c r="G147" s="18" t="s">
        <v>5353</v>
      </c>
      <c r="H147" s="18" t="s">
        <v>5354</v>
      </c>
      <c r="I147" s="19">
        <v>38</v>
      </c>
    </row>
    <row r="148" spans="1:9" x14ac:dyDescent="0.3">
      <c r="A148" s="13" t="s">
        <v>612</v>
      </c>
      <c r="B148" s="14" t="s">
        <v>5672</v>
      </c>
      <c r="C148" s="14" t="s">
        <v>5673</v>
      </c>
      <c r="D148" s="14" t="s">
        <v>5341</v>
      </c>
      <c r="E148" s="14" t="s">
        <v>5675</v>
      </c>
      <c r="F148" s="14" t="s">
        <v>5369</v>
      </c>
      <c r="G148" s="14" t="s">
        <v>5370</v>
      </c>
      <c r="H148" s="14" t="s">
        <v>5371</v>
      </c>
      <c r="I148" s="15">
        <v>60</v>
      </c>
    </row>
    <row r="149" spans="1:9" x14ac:dyDescent="0.3">
      <c r="A149" s="13" t="s">
        <v>722</v>
      </c>
      <c r="B149" s="14" t="s">
        <v>5672</v>
      </c>
      <c r="C149" s="14" t="s">
        <v>5674</v>
      </c>
      <c r="D149" s="14" t="s">
        <v>5341</v>
      </c>
      <c r="E149" s="14" t="s">
        <v>5676</v>
      </c>
      <c r="F149" s="14" t="s">
        <v>5677</v>
      </c>
      <c r="G149" s="14" t="s">
        <v>5344</v>
      </c>
      <c r="H149" s="14" t="s">
        <v>5345</v>
      </c>
      <c r="I149" s="15">
        <v>33</v>
      </c>
    </row>
    <row r="150" spans="1:9" x14ac:dyDescent="0.3">
      <c r="A150" s="13" t="s">
        <v>774</v>
      </c>
      <c r="B150" s="14" t="s">
        <v>5678</v>
      </c>
      <c r="C150" s="14" t="s">
        <v>5679</v>
      </c>
      <c r="D150" s="14" t="s">
        <v>5357</v>
      </c>
      <c r="E150" s="14" t="s">
        <v>5485</v>
      </c>
      <c r="F150" s="14" t="s">
        <v>5486</v>
      </c>
      <c r="G150" s="14" t="s">
        <v>5398</v>
      </c>
      <c r="H150" s="14" t="s">
        <v>5399</v>
      </c>
      <c r="I150" s="15">
        <v>62</v>
      </c>
    </row>
    <row r="151" spans="1:9" x14ac:dyDescent="0.3">
      <c r="A151" s="13" t="s">
        <v>1002</v>
      </c>
      <c r="B151" s="14" t="s">
        <v>5680</v>
      </c>
      <c r="C151" s="14" t="s">
        <v>5545</v>
      </c>
      <c r="D151" s="14" t="s">
        <v>5350</v>
      </c>
      <c r="E151" s="14" t="s">
        <v>5426</v>
      </c>
      <c r="F151" s="14" t="s">
        <v>5352</v>
      </c>
      <c r="G151" s="14" t="s">
        <v>5353</v>
      </c>
      <c r="H151" s="14" t="s">
        <v>5354</v>
      </c>
      <c r="I151" s="15">
        <v>31</v>
      </c>
    </row>
    <row r="152" spans="1:9" x14ac:dyDescent="0.3">
      <c r="A152" s="13" t="s">
        <v>2698</v>
      </c>
      <c r="B152" s="14" t="s">
        <v>5681</v>
      </c>
      <c r="C152" s="14" t="s">
        <v>5682</v>
      </c>
      <c r="D152" s="14" t="s">
        <v>5341</v>
      </c>
      <c r="E152" s="14" t="s">
        <v>5426</v>
      </c>
      <c r="F152" s="14" t="s">
        <v>5352</v>
      </c>
      <c r="G152" s="14" t="s">
        <v>5353</v>
      </c>
      <c r="H152" s="14" t="s">
        <v>5354</v>
      </c>
      <c r="I152" s="15">
        <v>52</v>
      </c>
    </row>
    <row r="153" spans="1:9" x14ac:dyDescent="0.3">
      <c r="A153" s="13" t="s">
        <v>628</v>
      </c>
      <c r="B153" s="14" t="s">
        <v>5681</v>
      </c>
      <c r="C153" s="14" t="s">
        <v>5683</v>
      </c>
      <c r="D153" s="14" t="s">
        <v>5341</v>
      </c>
      <c r="E153" s="14" t="s">
        <v>5684</v>
      </c>
      <c r="F153" s="14" t="s">
        <v>5685</v>
      </c>
      <c r="G153" s="14" t="s">
        <v>5366</v>
      </c>
      <c r="H153" s="14" t="s">
        <v>5367</v>
      </c>
      <c r="I153" s="15">
        <v>55</v>
      </c>
    </row>
    <row r="154" spans="1:9" x14ac:dyDescent="0.3">
      <c r="A154" s="17" t="s">
        <v>635</v>
      </c>
      <c r="B154" s="18" t="s">
        <v>5686</v>
      </c>
      <c r="C154" s="18" t="s">
        <v>5687</v>
      </c>
      <c r="D154" s="18" t="s">
        <v>5357</v>
      </c>
      <c r="E154" s="18" t="s">
        <v>5472</v>
      </c>
      <c r="F154" s="18" t="s">
        <v>5352</v>
      </c>
      <c r="G154" s="18" t="s">
        <v>5353</v>
      </c>
      <c r="H154" s="18" t="s">
        <v>5354</v>
      </c>
      <c r="I154" s="19">
        <v>60</v>
      </c>
    </row>
    <row r="155" spans="1:9" x14ac:dyDescent="0.3">
      <c r="A155" s="13" t="s">
        <v>98</v>
      </c>
      <c r="B155" s="14" t="s">
        <v>5686</v>
      </c>
      <c r="C155" s="14" t="s">
        <v>5688</v>
      </c>
      <c r="D155" s="14" t="s">
        <v>5357</v>
      </c>
      <c r="E155" s="14" t="s">
        <v>5431</v>
      </c>
      <c r="F155" s="14" t="s">
        <v>5431</v>
      </c>
      <c r="G155" s="14" t="s">
        <v>5370</v>
      </c>
      <c r="H155" s="14" t="s">
        <v>5371</v>
      </c>
      <c r="I155" s="15">
        <v>69</v>
      </c>
    </row>
    <row r="156" spans="1:9" x14ac:dyDescent="0.3">
      <c r="A156" s="17" t="s">
        <v>281</v>
      </c>
      <c r="B156" s="18" t="s">
        <v>5686</v>
      </c>
      <c r="C156" s="18" t="s">
        <v>5688</v>
      </c>
      <c r="D156" s="18" t="s">
        <v>5357</v>
      </c>
      <c r="E156" s="18" t="s">
        <v>5442</v>
      </c>
      <c r="F156" s="18" t="s">
        <v>5363</v>
      </c>
      <c r="G156" s="18" t="s">
        <v>5353</v>
      </c>
      <c r="H156" s="18" t="s">
        <v>5354</v>
      </c>
      <c r="I156" s="19">
        <v>68</v>
      </c>
    </row>
    <row r="157" spans="1:9" x14ac:dyDescent="0.3">
      <c r="A157" s="13" t="s">
        <v>1201</v>
      </c>
      <c r="B157" s="14" t="s">
        <v>5686</v>
      </c>
      <c r="C157" s="14" t="s">
        <v>5689</v>
      </c>
      <c r="D157" s="14" t="s">
        <v>5350</v>
      </c>
      <c r="E157" s="14" t="s">
        <v>5690</v>
      </c>
      <c r="F157" s="14" t="s">
        <v>5691</v>
      </c>
      <c r="G157" s="14" t="s">
        <v>5398</v>
      </c>
      <c r="H157" s="14" t="s">
        <v>5399</v>
      </c>
      <c r="I157" s="15">
        <v>35</v>
      </c>
    </row>
    <row r="158" spans="1:9" x14ac:dyDescent="0.3">
      <c r="A158" s="17" t="s">
        <v>1286</v>
      </c>
      <c r="B158" s="18" t="s">
        <v>5692</v>
      </c>
      <c r="C158" s="18" t="s">
        <v>5693</v>
      </c>
      <c r="D158" s="18" t="s">
        <v>5357</v>
      </c>
      <c r="E158" s="18" t="s">
        <v>5694</v>
      </c>
      <c r="F158" s="18" t="s">
        <v>5486</v>
      </c>
      <c r="G158" s="18" t="s">
        <v>5398</v>
      </c>
      <c r="H158" s="18" t="s">
        <v>5399</v>
      </c>
      <c r="I158" s="19">
        <v>70</v>
      </c>
    </row>
    <row r="159" spans="1:9" x14ac:dyDescent="0.3">
      <c r="A159" s="17" t="s">
        <v>120</v>
      </c>
      <c r="B159" s="18" t="s">
        <v>5695</v>
      </c>
      <c r="C159" s="18" t="s">
        <v>5696</v>
      </c>
      <c r="D159" s="18" t="s">
        <v>5357</v>
      </c>
      <c r="E159" s="18" t="s">
        <v>5697</v>
      </c>
      <c r="F159" s="18" t="s">
        <v>5359</v>
      </c>
      <c r="G159" s="18" t="s">
        <v>5344</v>
      </c>
      <c r="H159" s="18" t="s">
        <v>5345</v>
      </c>
      <c r="I159" s="19">
        <v>71</v>
      </c>
    </row>
    <row r="160" spans="1:9" x14ac:dyDescent="0.3">
      <c r="A160" s="17" t="s">
        <v>1233</v>
      </c>
      <c r="B160" s="18" t="s">
        <v>5695</v>
      </c>
      <c r="C160" s="18" t="s">
        <v>5696</v>
      </c>
      <c r="D160" s="18" t="s">
        <v>5357</v>
      </c>
      <c r="E160" s="18" t="s">
        <v>5698</v>
      </c>
      <c r="F160" s="18" t="s">
        <v>5359</v>
      </c>
      <c r="G160" s="18" t="s">
        <v>5344</v>
      </c>
      <c r="H160" s="18" t="s">
        <v>5345</v>
      </c>
      <c r="I160" s="19">
        <v>43</v>
      </c>
    </row>
    <row r="161" spans="1:9" x14ac:dyDescent="0.3">
      <c r="A161" s="17" t="s">
        <v>1198</v>
      </c>
      <c r="B161" s="18" t="s">
        <v>5699</v>
      </c>
      <c r="C161" s="18" t="s">
        <v>5700</v>
      </c>
      <c r="D161" s="18" t="s">
        <v>5341</v>
      </c>
      <c r="E161" s="18" t="s">
        <v>5458</v>
      </c>
      <c r="F161" s="18" t="s">
        <v>5454</v>
      </c>
      <c r="G161" s="18" t="s">
        <v>5353</v>
      </c>
      <c r="H161" s="18" t="s">
        <v>5354</v>
      </c>
      <c r="I161" s="19">
        <v>76</v>
      </c>
    </row>
    <row r="162" spans="1:9" x14ac:dyDescent="0.3">
      <c r="A162" s="17" t="s">
        <v>81</v>
      </c>
      <c r="B162" s="18" t="s">
        <v>5701</v>
      </c>
      <c r="C162" s="18" t="s">
        <v>5702</v>
      </c>
      <c r="D162" s="18" t="s">
        <v>5341</v>
      </c>
      <c r="E162" s="18" t="s">
        <v>5489</v>
      </c>
      <c r="F162" s="18" t="s">
        <v>5390</v>
      </c>
      <c r="G162" s="18" t="s">
        <v>5353</v>
      </c>
      <c r="H162" s="18" t="s">
        <v>5354</v>
      </c>
      <c r="I162" s="19">
        <v>52</v>
      </c>
    </row>
    <row r="163" spans="1:9" x14ac:dyDescent="0.3">
      <c r="A163" s="13" t="s">
        <v>1984</v>
      </c>
      <c r="B163" s="14" t="s">
        <v>5701</v>
      </c>
      <c r="C163" s="14" t="s">
        <v>5703</v>
      </c>
      <c r="D163" s="14" t="s">
        <v>5357</v>
      </c>
      <c r="E163" s="14" t="s">
        <v>5475</v>
      </c>
      <c r="F163" s="14" t="s">
        <v>5476</v>
      </c>
      <c r="G163" s="14" t="s">
        <v>5344</v>
      </c>
      <c r="H163" s="14" t="s">
        <v>5345</v>
      </c>
      <c r="I163" s="15">
        <v>33</v>
      </c>
    </row>
    <row r="164" spans="1:9" x14ac:dyDescent="0.3">
      <c r="A164" s="13" t="s">
        <v>1956</v>
      </c>
      <c r="B164" s="14" t="s">
        <v>5701</v>
      </c>
      <c r="C164" s="14" t="s">
        <v>5704</v>
      </c>
      <c r="D164" s="14" t="s">
        <v>5350</v>
      </c>
      <c r="E164" s="14" t="s">
        <v>5705</v>
      </c>
      <c r="F164" s="14" t="s">
        <v>5423</v>
      </c>
      <c r="G164" s="14" t="s">
        <v>5398</v>
      </c>
      <c r="H164" s="14" t="s">
        <v>5399</v>
      </c>
      <c r="I164" s="15">
        <v>33</v>
      </c>
    </row>
    <row r="165" spans="1:9" x14ac:dyDescent="0.3">
      <c r="A165" s="13" t="s">
        <v>1549</v>
      </c>
      <c r="B165" s="14" t="s">
        <v>5701</v>
      </c>
      <c r="C165" s="14" t="s">
        <v>5702</v>
      </c>
      <c r="D165" s="14" t="s">
        <v>5357</v>
      </c>
      <c r="E165" s="14" t="s">
        <v>5576</v>
      </c>
      <c r="F165" s="14" t="s">
        <v>5423</v>
      </c>
      <c r="G165" s="14" t="s">
        <v>5398</v>
      </c>
      <c r="H165" s="14" t="s">
        <v>5399</v>
      </c>
      <c r="I165" s="15">
        <v>39</v>
      </c>
    </row>
    <row r="166" spans="1:9" x14ac:dyDescent="0.3">
      <c r="A166" s="17" t="s">
        <v>607</v>
      </c>
      <c r="B166" s="18" t="s">
        <v>5701</v>
      </c>
      <c r="C166" s="18" t="s">
        <v>5702</v>
      </c>
      <c r="D166" s="18" t="s">
        <v>5357</v>
      </c>
      <c r="E166" s="18" t="s">
        <v>5706</v>
      </c>
      <c r="F166" s="18" t="s">
        <v>5622</v>
      </c>
      <c r="G166" s="18" t="s">
        <v>5398</v>
      </c>
      <c r="H166" s="18" t="s">
        <v>5399</v>
      </c>
      <c r="I166" s="19">
        <v>60</v>
      </c>
    </row>
    <row r="167" spans="1:9" x14ac:dyDescent="0.3">
      <c r="A167" s="13" t="s">
        <v>560</v>
      </c>
      <c r="B167" s="14" t="s">
        <v>5707</v>
      </c>
      <c r="C167" s="14" t="s">
        <v>5708</v>
      </c>
      <c r="D167" s="14" t="s">
        <v>5357</v>
      </c>
      <c r="E167" s="14" t="s">
        <v>5709</v>
      </c>
      <c r="F167" s="14" t="s">
        <v>5365</v>
      </c>
      <c r="G167" s="14" t="s">
        <v>5366</v>
      </c>
      <c r="H167" s="14" t="s">
        <v>5367</v>
      </c>
      <c r="I167" s="15">
        <v>67</v>
      </c>
    </row>
    <row r="168" spans="1:9" x14ac:dyDescent="0.3">
      <c r="A168" s="13" t="s">
        <v>83</v>
      </c>
      <c r="B168" s="14" t="s">
        <v>5710</v>
      </c>
      <c r="C168" s="14" t="s">
        <v>5642</v>
      </c>
      <c r="D168" s="14" t="s">
        <v>5341</v>
      </c>
      <c r="E168" s="14" t="s">
        <v>5342</v>
      </c>
      <c r="F168" s="14" t="s">
        <v>5343</v>
      </c>
      <c r="G168" s="14" t="s">
        <v>5344</v>
      </c>
      <c r="H168" s="14" t="s">
        <v>5345</v>
      </c>
      <c r="I168" s="15">
        <v>54</v>
      </c>
    </row>
    <row r="169" spans="1:9" x14ac:dyDescent="0.3">
      <c r="A169" s="17" t="s">
        <v>2153</v>
      </c>
      <c r="B169" s="18" t="s">
        <v>5710</v>
      </c>
      <c r="C169" s="18" t="s">
        <v>5711</v>
      </c>
      <c r="D169" s="18" t="s">
        <v>5357</v>
      </c>
      <c r="E169" s="18" t="s">
        <v>5489</v>
      </c>
      <c r="F169" s="18" t="s">
        <v>5390</v>
      </c>
      <c r="G169" s="18" t="s">
        <v>5353</v>
      </c>
      <c r="H169" s="18" t="s">
        <v>5354</v>
      </c>
      <c r="I169" s="19">
        <v>29</v>
      </c>
    </row>
    <row r="170" spans="1:9" x14ac:dyDescent="0.3">
      <c r="A170" s="13" t="s">
        <v>305</v>
      </c>
      <c r="B170" s="14" t="s">
        <v>5710</v>
      </c>
      <c r="C170" s="14" t="s">
        <v>5712</v>
      </c>
      <c r="D170" s="14" t="s">
        <v>5357</v>
      </c>
      <c r="E170" s="14" t="s">
        <v>5455</v>
      </c>
      <c r="F170" s="14" t="s">
        <v>5436</v>
      </c>
      <c r="G170" s="14" t="s">
        <v>5353</v>
      </c>
      <c r="H170" s="14" t="s">
        <v>5354</v>
      </c>
      <c r="I170" s="15">
        <v>56</v>
      </c>
    </row>
    <row r="171" spans="1:9" x14ac:dyDescent="0.3">
      <c r="A171" s="13" t="s">
        <v>1080</v>
      </c>
      <c r="B171" s="14" t="s">
        <v>5710</v>
      </c>
      <c r="C171" s="14" t="s">
        <v>5711</v>
      </c>
      <c r="D171" s="14" t="s">
        <v>5357</v>
      </c>
      <c r="E171" s="14" t="s">
        <v>5442</v>
      </c>
      <c r="F171" s="14" t="s">
        <v>5363</v>
      </c>
      <c r="G171" s="14" t="s">
        <v>5353</v>
      </c>
      <c r="H171" s="14" t="s">
        <v>5354</v>
      </c>
      <c r="I171" s="15">
        <v>40</v>
      </c>
    </row>
    <row r="172" spans="1:9" x14ac:dyDescent="0.3">
      <c r="A172" s="13" t="s">
        <v>176</v>
      </c>
      <c r="B172" s="14" t="s">
        <v>5713</v>
      </c>
      <c r="C172" s="14" t="s">
        <v>5642</v>
      </c>
      <c r="D172" s="14" t="s">
        <v>5350</v>
      </c>
      <c r="E172" s="14" t="s">
        <v>5714</v>
      </c>
      <c r="F172" s="14" t="s">
        <v>5715</v>
      </c>
      <c r="G172" s="14" t="s">
        <v>5366</v>
      </c>
      <c r="H172" s="14" t="s">
        <v>5367</v>
      </c>
      <c r="I172" s="15">
        <v>37</v>
      </c>
    </row>
    <row r="173" spans="1:9" x14ac:dyDescent="0.3">
      <c r="A173" s="13" t="s">
        <v>780</v>
      </c>
      <c r="B173" s="14" t="s">
        <v>5713</v>
      </c>
      <c r="C173" s="14" t="s">
        <v>5642</v>
      </c>
      <c r="D173" s="14" t="s">
        <v>5341</v>
      </c>
      <c r="E173" s="14" t="s">
        <v>5716</v>
      </c>
      <c r="F173" s="14" t="s">
        <v>5716</v>
      </c>
      <c r="G173" s="14" t="s">
        <v>5344</v>
      </c>
      <c r="H173" s="14" t="s">
        <v>5345</v>
      </c>
      <c r="I173" s="15">
        <v>27</v>
      </c>
    </row>
    <row r="174" spans="1:9" x14ac:dyDescent="0.3">
      <c r="A174" s="17" t="s">
        <v>343</v>
      </c>
      <c r="B174" s="18" t="s">
        <v>5717</v>
      </c>
      <c r="C174" s="18" t="s">
        <v>5718</v>
      </c>
      <c r="D174" s="18" t="s">
        <v>5357</v>
      </c>
      <c r="E174" s="18" t="s">
        <v>5719</v>
      </c>
      <c r="F174" s="18" t="s">
        <v>5720</v>
      </c>
      <c r="G174" s="18" t="s">
        <v>5398</v>
      </c>
      <c r="H174" s="18" t="s">
        <v>5399</v>
      </c>
      <c r="I174" s="19">
        <v>69</v>
      </c>
    </row>
    <row r="175" spans="1:9" x14ac:dyDescent="0.3">
      <c r="A175" s="17" t="s">
        <v>194</v>
      </c>
      <c r="B175" s="18" t="s">
        <v>5717</v>
      </c>
      <c r="C175" s="18" t="s">
        <v>5721</v>
      </c>
      <c r="D175" s="18" t="s">
        <v>5350</v>
      </c>
      <c r="E175" s="18" t="s">
        <v>5722</v>
      </c>
      <c r="F175" s="18" t="s">
        <v>5580</v>
      </c>
      <c r="G175" s="18" t="s">
        <v>5366</v>
      </c>
      <c r="H175" s="18" t="s">
        <v>5367</v>
      </c>
      <c r="I175" s="19">
        <v>47</v>
      </c>
    </row>
    <row r="176" spans="1:9" x14ac:dyDescent="0.3">
      <c r="A176" s="13" t="s">
        <v>871</v>
      </c>
      <c r="B176" s="14" t="s">
        <v>5717</v>
      </c>
      <c r="C176" s="14" t="s">
        <v>5721</v>
      </c>
      <c r="D176" s="14" t="s">
        <v>5357</v>
      </c>
      <c r="E176" s="14" t="s">
        <v>5723</v>
      </c>
      <c r="F176" s="14" t="s">
        <v>5352</v>
      </c>
      <c r="G176" s="14" t="s">
        <v>5353</v>
      </c>
      <c r="H176" s="14" t="s">
        <v>5354</v>
      </c>
      <c r="I176" s="15">
        <v>42</v>
      </c>
    </row>
    <row r="177" spans="1:9" x14ac:dyDescent="0.3">
      <c r="A177" s="17" t="s">
        <v>1726</v>
      </c>
      <c r="B177" s="18" t="s">
        <v>5717</v>
      </c>
      <c r="C177" s="18" t="s">
        <v>5724</v>
      </c>
      <c r="D177" s="18" t="s">
        <v>5357</v>
      </c>
      <c r="E177" s="18" t="s">
        <v>5725</v>
      </c>
      <c r="F177" s="18" t="s">
        <v>5726</v>
      </c>
      <c r="G177" s="18" t="s">
        <v>5366</v>
      </c>
      <c r="H177" s="18" t="s">
        <v>5367</v>
      </c>
      <c r="I177" s="19">
        <v>44</v>
      </c>
    </row>
    <row r="178" spans="1:9" x14ac:dyDescent="0.3">
      <c r="A178" s="17" t="s">
        <v>1193</v>
      </c>
      <c r="B178" s="18" t="s">
        <v>5717</v>
      </c>
      <c r="C178" s="18" t="s">
        <v>5721</v>
      </c>
      <c r="D178" s="18" t="s">
        <v>5341</v>
      </c>
      <c r="E178" s="18" t="s">
        <v>5727</v>
      </c>
      <c r="F178" s="18" t="s">
        <v>5387</v>
      </c>
      <c r="G178" s="18" t="s">
        <v>5344</v>
      </c>
      <c r="H178" s="18" t="s">
        <v>5345</v>
      </c>
      <c r="I178" s="19">
        <v>46</v>
      </c>
    </row>
    <row r="179" spans="1:9" x14ac:dyDescent="0.3">
      <c r="A179" s="17" t="s">
        <v>734</v>
      </c>
      <c r="B179" s="18" t="s">
        <v>5728</v>
      </c>
      <c r="C179" s="18" t="s">
        <v>5729</v>
      </c>
      <c r="D179" s="18" t="s">
        <v>5357</v>
      </c>
      <c r="E179" s="18" t="s">
        <v>5435</v>
      </c>
      <c r="F179" s="18" t="s">
        <v>5436</v>
      </c>
      <c r="G179" s="18" t="s">
        <v>5353</v>
      </c>
      <c r="H179" s="18" t="s">
        <v>5354</v>
      </c>
      <c r="I179" s="19">
        <v>52</v>
      </c>
    </row>
    <row r="180" spans="1:9" x14ac:dyDescent="0.3">
      <c r="A180" s="13" t="s">
        <v>630</v>
      </c>
      <c r="B180" s="14" t="s">
        <v>5728</v>
      </c>
      <c r="C180" s="14" t="s">
        <v>5729</v>
      </c>
      <c r="D180" s="14" t="s">
        <v>5341</v>
      </c>
      <c r="E180" s="14" t="s">
        <v>5426</v>
      </c>
      <c r="F180" s="14" t="s">
        <v>5352</v>
      </c>
      <c r="G180" s="14" t="s">
        <v>5353</v>
      </c>
      <c r="H180" s="14" t="s">
        <v>5354</v>
      </c>
      <c r="I180" s="15">
        <v>69</v>
      </c>
    </row>
    <row r="181" spans="1:9" x14ac:dyDescent="0.3">
      <c r="A181" s="13" t="s">
        <v>3016</v>
      </c>
      <c r="B181" s="14" t="s">
        <v>5728</v>
      </c>
      <c r="C181" s="14" t="s">
        <v>5730</v>
      </c>
      <c r="D181" s="14" t="s">
        <v>5350</v>
      </c>
      <c r="E181" s="14" t="s">
        <v>5731</v>
      </c>
      <c r="F181" s="14" t="s">
        <v>5394</v>
      </c>
      <c r="G181" s="14" t="s">
        <v>5366</v>
      </c>
      <c r="H181" s="14" t="s">
        <v>5367</v>
      </c>
      <c r="I181" s="15">
        <v>66</v>
      </c>
    </row>
    <row r="182" spans="1:9" x14ac:dyDescent="0.3">
      <c r="A182" s="17" t="s">
        <v>2127</v>
      </c>
      <c r="B182" s="18" t="s">
        <v>5732</v>
      </c>
      <c r="C182" s="18" t="s">
        <v>5733</v>
      </c>
      <c r="D182" s="18" t="s">
        <v>5357</v>
      </c>
      <c r="E182" s="18" t="s">
        <v>5734</v>
      </c>
      <c r="F182" s="18" t="s">
        <v>5397</v>
      </c>
      <c r="G182" s="18" t="s">
        <v>5398</v>
      </c>
      <c r="H182" s="18" t="s">
        <v>5399</v>
      </c>
      <c r="I182" s="19">
        <v>70</v>
      </c>
    </row>
    <row r="183" spans="1:9" x14ac:dyDescent="0.3">
      <c r="A183" s="13" t="s">
        <v>94</v>
      </c>
      <c r="B183" s="14" t="s">
        <v>5735</v>
      </c>
      <c r="C183" s="14" t="s">
        <v>5736</v>
      </c>
      <c r="D183" s="14" t="s">
        <v>5341</v>
      </c>
      <c r="E183" s="14" t="s">
        <v>5455</v>
      </c>
      <c r="F183" s="14" t="s">
        <v>5436</v>
      </c>
      <c r="G183" s="14" t="s">
        <v>5353</v>
      </c>
      <c r="H183" s="14" t="s">
        <v>5354</v>
      </c>
      <c r="I183" s="15">
        <v>70</v>
      </c>
    </row>
    <row r="184" spans="1:9" x14ac:dyDescent="0.3">
      <c r="A184" s="13" t="s">
        <v>761</v>
      </c>
      <c r="B184" s="14" t="s">
        <v>5737</v>
      </c>
      <c r="C184" s="14" t="s">
        <v>5738</v>
      </c>
      <c r="D184" s="14" t="s">
        <v>5341</v>
      </c>
      <c r="E184" s="14" t="s">
        <v>5426</v>
      </c>
      <c r="F184" s="14" t="s">
        <v>5352</v>
      </c>
      <c r="G184" s="14" t="s">
        <v>5353</v>
      </c>
      <c r="H184" s="14" t="s">
        <v>5354</v>
      </c>
      <c r="I184" s="15">
        <v>32</v>
      </c>
    </row>
    <row r="185" spans="1:9" x14ac:dyDescent="0.3">
      <c r="A185" s="13" t="s">
        <v>460</v>
      </c>
      <c r="B185" s="14" t="s">
        <v>5737</v>
      </c>
      <c r="C185" s="14" t="s">
        <v>5739</v>
      </c>
      <c r="D185" s="14" t="s">
        <v>5357</v>
      </c>
      <c r="E185" s="14" t="s">
        <v>5740</v>
      </c>
      <c r="F185" s="14" t="s">
        <v>5359</v>
      </c>
      <c r="G185" s="14" t="s">
        <v>5344</v>
      </c>
      <c r="H185" s="14" t="s">
        <v>5345</v>
      </c>
      <c r="I185" s="15">
        <v>39</v>
      </c>
    </row>
    <row r="186" spans="1:9" x14ac:dyDescent="0.3">
      <c r="A186" s="13" t="s">
        <v>137</v>
      </c>
      <c r="B186" s="14" t="s">
        <v>5741</v>
      </c>
      <c r="C186" s="14" t="s">
        <v>5742</v>
      </c>
      <c r="D186" s="14" t="s">
        <v>5357</v>
      </c>
      <c r="E186" s="14" t="s">
        <v>5743</v>
      </c>
      <c r="F186" s="14" t="s">
        <v>5744</v>
      </c>
      <c r="G186" s="14" t="s">
        <v>5398</v>
      </c>
      <c r="H186" s="14" t="s">
        <v>5399</v>
      </c>
      <c r="I186" s="15">
        <v>53</v>
      </c>
    </row>
    <row r="187" spans="1:9" x14ac:dyDescent="0.3">
      <c r="A187" s="17" t="s">
        <v>531</v>
      </c>
      <c r="B187" s="18" t="s">
        <v>5741</v>
      </c>
      <c r="C187" s="18" t="s">
        <v>5745</v>
      </c>
      <c r="D187" s="18" t="s">
        <v>5357</v>
      </c>
      <c r="E187" s="18" t="s">
        <v>5607</v>
      </c>
      <c r="F187" s="18" t="s">
        <v>5397</v>
      </c>
      <c r="G187" s="18" t="s">
        <v>5398</v>
      </c>
      <c r="H187" s="18" t="s">
        <v>5399</v>
      </c>
      <c r="I187" s="19">
        <v>69</v>
      </c>
    </row>
    <row r="188" spans="1:9" x14ac:dyDescent="0.3">
      <c r="A188" s="17" t="s">
        <v>458</v>
      </c>
      <c r="B188" s="18" t="s">
        <v>5741</v>
      </c>
      <c r="C188" s="18" t="s">
        <v>5745</v>
      </c>
      <c r="D188" s="18" t="s">
        <v>5357</v>
      </c>
      <c r="E188" s="18" t="s">
        <v>5455</v>
      </c>
      <c r="F188" s="18" t="s">
        <v>5436</v>
      </c>
      <c r="G188" s="18" t="s">
        <v>5353</v>
      </c>
      <c r="H188" s="18" t="s">
        <v>5354</v>
      </c>
      <c r="I188" s="19">
        <v>54</v>
      </c>
    </row>
    <row r="189" spans="1:9" x14ac:dyDescent="0.3">
      <c r="A189" s="13" t="s">
        <v>1292</v>
      </c>
      <c r="B189" s="14" t="s">
        <v>5741</v>
      </c>
      <c r="C189" s="14" t="s">
        <v>5746</v>
      </c>
      <c r="D189" s="14" t="s">
        <v>5357</v>
      </c>
      <c r="E189" s="14" t="s">
        <v>5747</v>
      </c>
      <c r="F189" s="14" t="s">
        <v>5454</v>
      </c>
      <c r="G189" s="14" t="s">
        <v>5353</v>
      </c>
      <c r="H189" s="14" t="s">
        <v>5354</v>
      </c>
      <c r="I189" s="15">
        <v>30</v>
      </c>
    </row>
    <row r="190" spans="1:9" x14ac:dyDescent="0.3">
      <c r="A190" s="13" t="s">
        <v>595</v>
      </c>
      <c r="B190" s="14" t="s">
        <v>5748</v>
      </c>
      <c r="C190" s="14" t="s">
        <v>5749</v>
      </c>
      <c r="D190" s="14" t="s">
        <v>5357</v>
      </c>
      <c r="E190" s="14" t="s">
        <v>5431</v>
      </c>
      <c r="F190" s="14" t="s">
        <v>5431</v>
      </c>
      <c r="G190" s="14" t="s">
        <v>5370</v>
      </c>
      <c r="H190" s="14" t="s">
        <v>5371</v>
      </c>
      <c r="I190" s="15">
        <v>39</v>
      </c>
    </row>
    <row r="191" spans="1:9" x14ac:dyDescent="0.3">
      <c r="A191" s="13" t="s">
        <v>562</v>
      </c>
      <c r="B191" s="14" t="s">
        <v>5750</v>
      </c>
      <c r="C191" s="14" t="s">
        <v>5751</v>
      </c>
      <c r="D191" s="14" t="s">
        <v>5357</v>
      </c>
      <c r="E191" s="14" t="s">
        <v>5613</v>
      </c>
      <c r="F191" s="14" t="s">
        <v>5614</v>
      </c>
      <c r="G191" s="14" t="s">
        <v>5398</v>
      </c>
      <c r="H191" s="14" t="s">
        <v>5399</v>
      </c>
      <c r="I191" s="15">
        <v>53</v>
      </c>
    </row>
    <row r="192" spans="1:9" x14ac:dyDescent="0.3">
      <c r="A192" s="17" t="s">
        <v>1539</v>
      </c>
      <c r="B192" s="18" t="s">
        <v>5752</v>
      </c>
      <c r="C192" s="18" t="s">
        <v>5753</v>
      </c>
      <c r="D192" s="18" t="s">
        <v>5357</v>
      </c>
      <c r="E192" s="18" t="s">
        <v>5754</v>
      </c>
      <c r="F192" s="18" t="s">
        <v>5755</v>
      </c>
      <c r="G192" s="18" t="s">
        <v>5366</v>
      </c>
      <c r="H192" s="18" t="s">
        <v>5367</v>
      </c>
      <c r="I192" s="19">
        <v>72</v>
      </c>
    </row>
    <row r="193" spans="1:9" x14ac:dyDescent="0.3">
      <c r="A193" s="13" t="s">
        <v>1053</v>
      </c>
      <c r="B193" s="14" t="s">
        <v>5756</v>
      </c>
      <c r="C193" s="14" t="s">
        <v>5757</v>
      </c>
      <c r="D193" s="14" t="s">
        <v>5341</v>
      </c>
      <c r="E193" s="14" t="s">
        <v>5541</v>
      </c>
      <c r="F193" s="14" t="s">
        <v>5359</v>
      </c>
      <c r="G193" s="14" t="s">
        <v>5344</v>
      </c>
      <c r="H193" s="14" t="s">
        <v>5345</v>
      </c>
      <c r="I193" s="15">
        <v>52</v>
      </c>
    </row>
    <row r="194" spans="1:9" x14ac:dyDescent="0.3">
      <c r="A194" s="17" t="s">
        <v>142</v>
      </c>
      <c r="B194" s="18" t="s">
        <v>5756</v>
      </c>
      <c r="C194" s="18" t="s">
        <v>5742</v>
      </c>
      <c r="D194" s="18" t="s">
        <v>5357</v>
      </c>
      <c r="E194" s="18" t="s">
        <v>5380</v>
      </c>
      <c r="F194" s="18" t="s">
        <v>5381</v>
      </c>
      <c r="G194" s="18" t="s">
        <v>5353</v>
      </c>
      <c r="H194" s="18" t="s">
        <v>5354</v>
      </c>
      <c r="I194" s="19">
        <v>57</v>
      </c>
    </row>
    <row r="195" spans="1:9" x14ac:dyDescent="0.3">
      <c r="A195" s="17" t="s">
        <v>328</v>
      </c>
      <c r="B195" s="18" t="s">
        <v>5758</v>
      </c>
      <c r="C195" s="18" t="s">
        <v>5759</v>
      </c>
      <c r="D195" s="18" t="s">
        <v>5350</v>
      </c>
      <c r="E195" s="18" t="s">
        <v>5760</v>
      </c>
      <c r="F195" s="18" t="s">
        <v>5585</v>
      </c>
      <c r="G195" s="18" t="s">
        <v>5398</v>
      </c>
      <c r="H195" s="18" t="s">
        <v>5399</v>
      </c>
      <c r="I195" s="19">
        <v>43</v>
      </c>
    </row>
    <row r="196" spans="1:9" x14ac:dyDescent="0.3">
      <c r="A196" s="17" t="s">
        <v>440</v>
      </c>
      <c r="B196" s="18" t="s">
        <v>5761</v>
      </c>
      <c r="C196" s="18" t="s">
        <v>5762</v>
      </c>
      <c r="D196" s="18" t="s">
        <v>5350</v>
      </c>
      <c r="E196" s="18" t="s">
        <v>5763</v>
      </c>
      <c r="F196" s="18" t="s">
        <v>5436</v>
      </c>
      <c r="G196" s="18" t="s">
        <v>5353</v>
      </c>
      <c r="H196" s="18" t="s">
        <v>5354</v>
      </c>
      <c r="I196" s="19">
        <v>35</v>
      </c>
    </row>
    <row r="197" spans="1:9" x14ac:dyDescent="0.3">
      <c r="A197" s="17" t="s">
        <v>921</v>
      </c>
      <c r="B197" s="18" t="s">
        <v>5764</v>
      </c>
      <c r="C197" s="18" t="s">
        <v>5765</v>
      </c>
      <c r="D197" s="18" t="s">
        <v>5357</v>
      </c>
      <c r="E197" s="18" t="s">
        <v>5766</v>
      </c>
      <c r="F197" s="18" t="s">
        <v>5767</v>
      </c>
      <c r="G197" s="18" t="s">
        <v>5370</v>
      </c>
      <c r="H197" s="18" t="s">
        <v>5371</v>
      </c>
      <c r="I197" s="19">
        <v>34</v>
      </c>
    </row>
    <row r="198" spans="1:9" x14ac:dyDescent="0.3">
      <c r="A198" s="13" t="s">
        <v>356</v>
      </c>
      <c r="B198" s="14" t="s">
        <v>5764</v>
      </c>
      <c r="C198" s="14" t="s">
        <v>5515</v>
      </c>
      <c r="D198" s="14" t="s">
        <v>5357</v>
      </c>
      <c r="E198" s="14" t="s">
        <v>5458</v>
      </c>
      <c r="F198" s="14" t="s">
        <v>5454</v>
      </c>
      <c r="G198" s="14" t="s">
        <v>5353</v>
      </c>
      <c r="H198" s="14" t="s">
        <v>5354</v>
      </c>
      <c r="I198" s="15">
        <v>55</v>
      </c>
    </row>
    <row r="199" spans="1:9" x14ac:dyDescent="0.3">
      <c r="A199" s="13" t="s">
        <v>718</v>
      </c>
      <c r="B199" s="14" t="s">
        <v>5764</v>
      </c>
      <c r="C199" s="14" t="s">
        <v>5768</v>
      </c>
      <c r="D199" s="14" t="s">
        <v>5350</v>
      </c>
      <c r="E199" s="14" t="s">
        <v>5706</v>
      </c>
      <c r="F199" s="14" t="s">
        <v>5622</v>
      </c>
      <c r="G199" s="14" t="s">
        <v>5398</v>
      </c>
      <c r="H199" s="14" t="s">
        <v>5399</v>
      </c>
      <c r="I199" s="15">
        <v>70</v>
      </c>
    </row>
    <row r="200" spans="1:9" x14ac:dyDescent="0.3">
      <c r="A200" s="13" t="s">
        <v>706</v>
      </c>
      <c r="B200" s="14" t="s">
        <v>5764</v>
      </c>
      <c r="C200" s="14" t="s">
        <v>5515</v>
      </c>
      <c r="D200" s="14" t="s">
        <v>5341</v>
      </c>
      <c r="E200" s="14" t="s">
        <v>5431</v>
      </c>
      <c r="F200" s="14" t="s">
        <v>5431</v>
      </c>
      <c r="G200" s="14" t="s">
        <v>5370</v>
      </c>
      <c r="H200" s="14" t="s">
        <v>5371</v>
      </c>
      <c r="I200" s="15">
        <v>74</v>
      </c>
    </row>
    <row r="201" spans="1:9" x14ac:dyDescent="0.3">
      <c r="A201" s="17" t="s">
        <v>1569</v>
      </c>
      <c r="B201" s="18" t="s">
        <v>5769</v>
      </c>
      <c r="C201" s="18" t="s">
        <v>5770</v>
      </c>
      <c r="D201" s="18" t="s">
        <v>5341</v>
      </c>
      <c r="E201" s="18" t="s">
        <v>5771</v>
      </c>
      <c r="F201" s="18" t="s">
        <v>5359</v>
      </c>
      <c r="G201" s="18" t="s">
        <v>5344</v>
      </c>
      <c r="H201" s="18" t="s">
        <v>5345</v>
      </c>
      <c r="I201" s="19">
        <v>54</v>
      </c>
    </row>
    <row r="202" spans="1:9" x14ac:dyDescent="0.3">
      <c r="A202" s="13" t="s">
        <v>1102</v>
      </c>
      <c r="B202" s="14" t="s">
        <v>5769</v>
      </c>
      <c r="C202" s="14" t="s">
        <v>5770</v>
      </c>
      <c r="D202" s="14" t="s">
        <v>5357</v>
      </c>
      <c r="E202" s="14" t="s">
        <v>5772</v>
      </c>
      <c r="F202" s="14" t="s">
        <v>5773</v>
      </c>
      <c r="G202" s="14" t="s">
        <v>5370</v>
      </c>
      <c r="H202" s="14" t="s">
        <v>5371</v>
      </c>
      <c r="I202" s="15">
        <v>75</v>
      </c>
    </row>
    <row r="203" spans="1:9" x14ac:dyDescent="0.3">
      <c r="A203" s="17" t="s">
        <v>90</v>
      </c>
      <c r="B203" s="18" t="s">
        <v>5774</v>
      </c>
      <c r="C203" s="18" t="s">
        <v>5775</v>
      </c>
      <c r="D203" s="18" t="s">
        <v>5357</v>
      </c>
      <c r="E203" s="18" t="s">
        <v>5667</v>
      </c>
      <c r="F203" s="18" t="s">
        <v>5436</v>
      </c>
      <c r="G203" s="18" t="s">
        <v>5353</v>
      </c>
      <c r="H203" s="18" t="s">
        <v>5354</v>
      </c>
      <c r="I203" s="19">
        <v>77</v>
      </c>
    </row>
    <row r="204" spans="1:9" x14ac:dyDescent="0.3">
      <c r="A204" s="13" t="s">
        <v>1096</v>
      </c>
      <c r="B204" s="14" t="s">
        <v>5774</v>
      </c>
      <c r="C204" s="14" t="s">
        <v>5775</v>
      </c>
      <c r="D204" s="14" t="s">
        <v>5357</v>
      </c>
      <c r="E204" s="14" t="s">
        <v>5776</v>
      </c>
      <c r="F204" s="14" t="s">
        <v>5407</v>
      </c>
      <c r="G204" s="14" t="s">
        <v>5366</v>
      </c>
      <c r="H204" s="14" t="s">
        <v>5367</v>
      </c>
      <c r="I204" s="15">
        <v>45</v>
      </c>
    </row>
    <row r="205" spans="1:9" x14ac:dyDescent="0.3">
      <c r="A205" s="13" t="s">
        <v>513</v>
      </c>
      <c r="B205" s="14" t="s">
        <v>5777</v>
      </c>
      <c r="C205" s="14" t="s">
        <v>5575</v>
      </c>
      <c r="D205" s="14" t="s">
        <v>5341</v>
      </c>
      <c r="E205" s="14" t="s">
        <v>5400</v>
      </c>
      <c r="F205" s="14" t="s">
        <v>5400</v>
      </c>
      <c r="G205" s="14" t="s">
        <v>5344</v>
      </c>
      <c r="H205" s="14" t="s">
        <v>5345</v>
      </c>
      <c r="I205" s="15">
        <v>79</v>
      </c>
    </row>
    <row r="206" spans="1:9" x14ac:dyDescent="0.3">
      <c r="A206" s="13" t="s">
        <v>1566</v>
      </c>
      <c r="B206" s="14" t="s">
        <v>5777</v>
      </c>
      <c r="C206" s="14" t="s">
        <v>5575</v>
      </c>
      <c r="D206" s="14" t="s">
        <v>5357</v>
      </c>
      <c r="E206" s="14" t="s">
        <v>5778</v>
      </c>
      <c r="F206" s="14" t="s">
        <v>5594</v>
      </c>
      <c r="G206" s="14" t="s">
        <v>5344</v>
      </c>
      <c r="H206" s="14" t="s">
        <v>5345</v>
      </c>
      <c r="I206" s="15">
        <v>49</v>
      </c>
    </row>
    <row r="207" spans="1:9" x14ac:dyDescent="0.3">
      <c r="A207" s="17" t="s">
        <v>668</v>
      </c>
      <c r="B207" s="18" t="s">
        <v>5777</v>
      </c>
      <c r="C207" s="18" t="s">
        <v>5575</v>
      </c>
      <c r="D207" s="18" t="s">
        <v>5350</v>
      </c>
      <c r="E207" s="18" t="s">
        <v>5779</v>
      </c>
      <c r="F207" s="18" t="s">
        <v>5523</v>
      </c>
      <c r="G207" s="18" t="s">
        <v>5398</v>
      </c>
      <c r="H207" s="18" t="s">
        <v>5399</v>
      </c>
      <c r="I207" s="19">
        <v>44</v>
      </c>
    </row>
    <row r="208" spans="1:9" x14ac:dyDescent="0.3">
      <c r="A208" s="13" t="s">
        <v>593</v>
      </c>
      <c r="B208" s="14" t="s">
        <v>5780</v>
      </c>
      <c r="C208" s="14" t="s">
        <v>5781</v>
      </c>
      <c r="D208" s="14" t="s">
        <v>5341</v>
      </c>
      <c r="E208" s="14" t="s">
        <v>5522</v>
      </c>
      <c r="F208" s="14" t="s">
        <v>5523</v>
      </c>
      <c r="G208" s="14" t="s">
        <v>5398</v>
      </c>
      <c r="H208" s="14" t="s">
        <v>5399</v>
      </c>
      <c r="I208" s="15">
        <v>79</v>
      </c>
    </row>
    <row r="209" spans="1:9" x14ac:dyDescent="0.3">
      <c r="A209" s="17" t="s">
        <v>816</v>
      </c>
      <c r="B209" s="18" t="s">
        <v>5782</v>
      </c>
      <c r="C209" s="18" t="s">
        <v>5783</v>
      </c>
      <c r="D209" s="18" t="s">
        <v>5350</v>
      </c>
      <c r="E209" s="18" t="s">
        <v>5784</v>
      </c>
      <c r="F209" s="18" t="s">
        <v>5486</v>
      </c>
      <c r="G209" s="18" t="s">
        <v>5398</v>
      </c>
      <c r="H209" s="18" t="s">
        <v>5399</v>
      </c>
      <c r="I209" s="19">
        <v>38</v>
      </c>
    </row>
    <row r="210" spans="1:9" x14ac:dyDescent="0.3">
      <c r="A210" s="13" t="s">
        <v>108</v>
      </c>
      <c r="B210" s="14" t="s">
        <v>5782</v>
      </c>
      <c r="C210" s="14" t="s">
        <v>5785</v>
      </c>
      <c r="D210" s="14" t="s">
        <v>5341</v>
      </c>
      <c r="E210" s="14" t="s">
        <v>5471</v>
      </c>
      <c r="F210" s="14" t="s">
        <v>5352</v>
      </c>
      <c r="G210" s="14" t="s">
        <v>5353</v>
      </c>
      <c r="H210" s="14" t="s">
        <v>5354</v>
      </c>
      <c r="I210" s="15">
        <v>36</v>
      </c>
    </row>
    <row r="211" spans="1:9" x14ac:dyDescent="0.3">
      <c r="A211" s="13" t="s">
        <v>1722</v>
      </c>
      <c r="B211" s="14" t="s">
        <v>5782</v>
      </c>
      <c r="C211" s="14" t="s">
        <v>5785</v>
      </c>
      <c r="D211" s="14" t="s">
        <v>5357</v>
      </c>
      <c r="E211" s="14" t="s">
        <v>5786</v>
      </c>
      <c r="F211" s="14" t="s">
        <v>5512</v>
      </c>
      <c r="G211" s="14" t="s">
        <v>5398</v>
      </c>
      <c r="H211" s="14" t="s">
        <v>5399</v>
      </c>
      <c r="I211" s="15">
        <v>49</v>
      </c>
    </row>
    <row r="212" spans="1:9" x14ac:dyDescent="0.3">
      <c r="A212" s="17" t="s">
        <v>805</v>
      </c>
      <c r="B212" s="18" t="s">
        <v>5782</v>
      </c>
      <c r="C212" s="18" t="s">
        <v>5785</v>
      </c>
      <c r="D212" s="18" t="s">
        <v>5341</v>
      </c>
      <c r="E212" s="18" t="s">
        <v>5787</v>
      </c>
      <c r="F212" s="18" t="s">
        <v>5788</v>
      </c>
      <c r="G212" s="18" t="s">
        <v>5370</v>
      </c>
      <c r="H212" s="18" t="s">
        <v>5371</v>
      </c>
      <c r="I212" s="19">
        <v>74</v>
      </c>
    </row>
    <row r="213" spans="1:9" x14ac:dyDescent="0.3">
      <c r="A213" s="17" t="s">
        <v>1227</v>
      </c>
      <c r="B213" s="18" t="s">
        <v>5789</v>
      </c>
      <c r="C213" s="18" t="s">
        <v>5790</v>
      </c>
      <c r="D213" s="18" t="s">
        <v>5350</v>
      </c>
      <c r="E213" s="18" t="s">
        <v>5791</v>
      </c>
      <c r="F213" s="18" t="s">
        <v>5359</v>
      </c>
      <c r="G213" s="18" t="s">
        <v>5344</v>
      </c>
      <c r="H213" s="18" t="s">
        <v>5345</v>
      </c>
      <c r="I213" s="19">
        <v>42</v>
      </c>
    </row>
    <row r="214" spans="1:9" x14ac:dyDescent="0.3">
      <c r="A214" s="13" t="s">
        <v>1184</v>
      </c>
      <c r="B214" s="14" t="s">
        <v>5792</v>
      </c>
      <c r="C214" s="14" t="s">
        <v>5793</v>
      </c>
      <c r="D214" s="14" t="s">
        <v>5357</v>
      </c>
      <c r="E214" s="14" t="s">
        <v>5794</v>
      </c>
      <c r="F214" s="14" t="s">
        <v>5430</v>
      </c>
      <c r="G214" s="14" t="s">
        <v>5398</v>
      </c>
      <c r="H214" s="14" t="s">
        <v>5399</v>
      </c>
      <c r="I214" s="15">
        <v>28</v>
      </c>
    </row>
    <row r="215" spans="1:9" x14ac:dyDescent="0.3">
      <c r="A215" s="13" t="s">
        <v>505</v>
      </c>
      <c r="B215" s="14" t="s">
        <v>5795</v>
      </c>
      <c r="C215" s="14" t="s">
        <v>5796</v>
      </c>
      <c r="D215" s="14" t="s">
        <v>5341</v>
      </c>
      <c r="E215" s="14" t="s">
        <v>5468</v>
      </c>
      <c r="F215" s="14" t="s">
        <v>5468</v>
      </c>
      <c r="G215" s="14" t="s">
        <v>5366</v>
      </c>
      <c r="H215" s="14" t="s">
        <v>5367</v>
      </c>
      <c r="I215" s="15">
        <v>71</v>
      </c>
    </row>
    <row r="216" spans="1:9" x14ac:dyDescent="0.3">
      <c r="A216" s="17" t="s">
        <v>488</v>
      </c>
      <c r="B216" s="18" t="s">
        <v>5795</v>
      </c>
      <c r="C216" s="18" t="s">
        <v>5796</v>
      </c>
      <c r="D216" s="18" t="s">
        <v>5357</v>
      </c>
      <c r="E216" s="18" t="s">
        <v>5442</v>
      </c>
      <c r="F216" s="18" t="s">
        <v>5363</v>
      </c>
      <c r="G216" s="18" t="s">
        <v>5353</v>
      </c>
      <c r="H216" s="18" t="s">
        <v>5354</v>
      </c>
      <c r="I216" s="19">
        <v>80</v>
      </c>
    </row>
    <row r="217" spans="1:9" x14ac:dyDescent="0.3">
      <c r="A217" s="17" t="s">
        <v>1400</v>
      </c>
      <c r="B217" s="18" t="s">
        <v>5797</v>
      </c>
      <c r="C217" s="18" t="s">
        <v>5798</v>
      </c>
      <c r="D217" s="18" t="s">
        <v>5350</v>
      </c>
      <c r="E217" s="18" t="s">
        <v>5799</v>
      </c>
      <c r="F217" s="18" t="s">
        <v>5715</v>
      </c>
      <c r="G217" s="18" t="s">
        <v>5366</v>
      </c>
      <c r="H217" s="18" t="s">
        <v>5367</v>
      </c>
      <c r="I217" s="19">
        <v>52</v>
      </c>
    </row>
    <row r="218" spans="1:9" x14ac:dyDescent="0.3">
      <c r="A218" s="17" t="s">
        <v>128</v>
      </c>
      <c r="B218" s="18" t="s">
        <v>5797</v>
      </c>
      <c r="C218" s="18" t="s">
        <v>5800</v>
      </c>
      <c r="D218" s="18" t="s">
        <v>5341</v>
      </c>
      <c r="E218" s="18" t="s">
        <v>5801</v>
      </c>
      <c r="F218" s="18" t="s">
        <v>5359</v>
      </c>
      <c r="G218" s="18" t="s">
        <v>5344</v>
      </c>
      <c r="H218" s="18" t="s">
        <v>5345</v>
      </c>
      <c r="I218" s="19">
        <v>52</v>
      </c>
    </row>
    <row r="219" spans="1:9" x14ac:dyDescent="0.3">
      <c r="A219" s="17" t="s">
        <v>1082</v>
      </c>
      <c r="B219" s="18" t="s">
        <v>5797</v>
      </c>
      <c r="C219" s="18" t="s">
        <v>5800</v>
      </c>
      <c r="D219" s="18" t="s">
        <v>5357</v>
      </c>
      <c r="E219" s="18" t="s">
        <v>5716</v>
      </c>
      <c r="F219" s="18" t="s">
        <v>5716</v>
      </c>
      <c r="G219" s="18" t="s">
        <v>5344</v>
      </c>
      <c r="H219" s="18" t="s">
        <v>5345</v>
      </c>
      <c r="I219" s="19">
        <v>37</v>
      </c>
    </row>
    <row r="220" spans="1:9" x14ac:dyDescent="0.3">
      <c r="A220" s="17" t="s">
        <v>443</v>
      </c>
      <c r="B220" s="18" t="s">
        <v>5797</v>
      </c>
      <c r="C220" s="18" t="s">
        <v>5798</v>
      </c>
      <c r="D220" s="18" t="s">
        <v>5341</v>
      </c>
      <c r="E220" s="18" t="s">
        <v>5802</v>
      </c>
      <c r="F220" s="18" t="s">
        <v>5476</v>
      </c>
      <c r="G220" s="18" t="s">
        <v>5344</v>
      </c>
      <c r="H220" s="18" t="s">
        <v>5345</v>
      </c>
      <c r="I220" s="19">
        <v>28</v>
      </c>
    </row>
    <row r="221" spans="1:9" x14ac:dyDescent="0.3">
      <c r="A221" s="17" t="s">
        <v>941</v>
      </c>
      <c r="B221" s="18" t="s">
        <v>5797</v>
      </c>
      <c r="C221" s="18" t="s">
        <v>5803</v>
      </c>
      <c r="D221" s="18" t="s">
        <v>5341</v>
      </c>
      <c r="E221" s="18" t="s">
        <v>5804</v>
      </c>
      <c r="F221" s="18" t="s">
        <v>5614</v>
      </c>
      <c r="G221" s="18" t="s">
        <v>5398</v>
      </c>
      <c r="H221" s="18" t="s">
        <v>5399</v>
      </c>
      <c r="I221" s="19">
        <v>75</v>
      </c>
    </row>
    <row r="222" spans="1:9" x14ac:dyDescent="0.3">
      <c r="A222" s="13" t="s">
        <v>150</v>
      </c>
      <c r="B222" s="14" t="s">
        <v>5805</v>
      </c>
      <c r="C222" s="14" t="s">
        <v>5806</v>
      </c>
      <c r="D222" s="14" t="s">
        <v>5341</v>
      </c>
      <c r="E222" s="14" t="s">
        <v>5771</v>
      </c>
      <c r="F222" s="14" t="s">
        <v>5359</v>
      </c>
      <c r="G222" s="14" t="s">
        <v>5344</v>
      </c>
      <c r="H222" s="14" t="s">
        <v>5345</v>
      </c>
      <c r="I222" s="15">
        <v>51</v>
      </c>
    </row>
    <row r="223" spans="1:9" x14ac:dyDescent="0.3">
      <c r="A223" s="17" t="s">
        <v>43</v>
      </c>
      <c r="B223" s="18" t="s">
        <v>5807</v>
      </c>
      <c r="C223" s="18" t="s">
        <v>5808</v>
      </c>
      <c r="D223" s="18" t="s">
        <v>5341</v>
      </c>
      <c r="E223" s="18" t="s">
        <v>5809</v>
      </c>
      <c r="F223" s="18" t="s">
        <v>5359</v>
      </c>
      <c r="G223" s="18" t="s">
        <v>5344</v>
      </c>
      <c r="H223" s="18" t="s">
        <v>5345</v>
      </c>
      <c r="I223" s="19">
        <v>25</v>
      </c>
    </row>
    <row r="224" spans="1:9" x14ac:dyDescent="0.3">
      <c r="A224" s="13" t="s">
        <v>994</v>
      </c>
      <c r="B224" s="14" t="s">
        <v>5810</v>
      </c>
      <c r="C224" s="14" t="s">
        <v>5811</v>
      </c>
      <c r="D224" s="14" t="s">
        <v>5357</v>
      </c>
      <c r="E224" s="14" t="s">
        <v>5426</v>
      </c>
      <c r="F224" s="14" t="s">
        <v>5352</v>
      </c>
      <c r="G224" s="14" t="s">
        <v>5353</v>
      </c>
      <c r="H224" s="14" t="s">
        <v>5354</v>
      </c>
      <c r="I224" s="15">
        <v>69</v>
      </c>
    </row>
    <row r="225" spans="1:9" x14ac:dyDescent="0.3">
      <c r="A225" s="13" t="s">
        <v>55</v>
      </c>
      <c r="B225" s="14" t="s">
        <v>5812</v>
      </c>
      <c r="C225" s="14" t="s">
        <v>5813</v>
      </c>
      <c r="D225" s="14" t="s">
        <v>5357</v>
      </c>
      <c r="E225" s="14" t="s">
        <v>5814</v>
      </c>
      <c r="F225" s="14" t="s">
        <v>5397</v>
      </c>
      <c r="G225" s="14" t="s">
        <v>5398</v>
      </c>
      <c r="H225" s="14" t="s">
        <v>5399</v>
      </c>
      <c r="I225" s="15">
        <v>76</v>
      </c>
    </row>
    <row r="226" spans="1:9" x14ac:dyDescent="0.3">
      <c r="A226" s="17" t="s">
        <v>309</v>
      </c>
      <c r="B226" s="18" t="s">
        <v>5815</v>
      </c>
      <c r="C226" s="18" t="s">
        <v>5816</v>
      </c>
      <c r="D226" s="18" t="s">
        <v>5350</v>
      </c>
      <c r="E226" s="18" t="s">
        <v>5817</v>
      </c>
      <c r="F226" s="18" t="s">
        <v>5352</v>
      </c>
      <c r="G226" s="18" t="s">
        <v>5353</v>
      </c>
      <c r="H226" s="18" t="s">
        <v>5354</v>
      </c>
      <c r="I226" s="19">
        <v>78</v>
      </c>
    </row>
    <row r="227" spans="1:9" x14ac:dyDescent="0.3">
      <c r="A227" s="17" t="s">
        <v>1357</v>
      </c>
      <c r="B227" s="18" t="s">
        <v>5815</v>
      </c>
      <c r="C227" s="18" t="s">
        <v>5818</v>
      </c>
      <c r="D227" s="18" t="s">
        <v>5357</v>
      </c>
      <c r="E227" s="18" t="s">
        <v>5819</v>
      </c>
      <c r="F227" s="18" t="s">
        <v>5359</v>
      </c>
      <c r="G227" s="18" t="s">
        <v>5344</v>
      </c>
      <c r="H227" s="18" t="s">
        <v>5345</v>
      </c>
      <c r="I227" s="19">
        <v>55</v>
      </c>
    </row>
    <row r="228" spans="1:9" x14ac:dyDescent="0.3">
      <c r="A228" s="13" t="s">
        <v>756</v>
      </c>
      <c r="B228" s="14" t="s">
        <v>5815</v>
      </c>
      <c r="C228" s="14" t="s">
        <v>5818</v>
      </c>
      <c r="D228" s="14" t="s">
        <v>5350</v>
      </c>
      <c r="E228" s="14" t="s">
        <v>5466</v>
      </c>
      <c r="F228" s="14" t="s">
        <v>5359</v>
      </c>
      <c r="G228" s="14" t="s">
        <v>5344</v>
      </c>
      <c r="H228" s="14" t="s">
        <v>5345</v>
      </c>
      <c r="I228" s="15">
        <v>45</v>
      </c>
    </row>
    <row r="229" spans="1:9" x14ac:dyDescent="0.3">
      <c r="A229" s="13" t="s">
        <v>1122</v>
      </c>
      <c r="B229" s="14" t="s">
        <v>5820</v>
      </c>
      <c r="C229" s="14" t="s">
        <v>5821</v>
      </c>
      <c r="D229" s="14" t="s">
        <v>5341</v>
      </c>
      <c r="E229" s="14" t="s">
        <v>5822</v>
      </c>
      <c r="F229" s="14" t="s">
        <v>5823</v>
      </c>
      <c r="G229" s="14" t="s">
        <v>5398</v>
      </c>
      <c r="H229" s="14" t="s">
        <v>5399</v>
      </c>
      <c r="I229" s="15">
        <v>57</v>
      </c>
    </row>
    <row r="230" spans="1:9" x14ac:dyDescent="0.3">
      <c r="A230" s="13" t="s">
        <v>47</v>
      </c>
      <c r="B230" s="14" t="s">
        <v>5820</v>
      </c>
      <c r="C230" s="14" t="s">
        <v>5821</v>
      </c>
      <c r="D230" s="14" t="s">
        <v>5341</v>
      </c>
      <c r="E230" s="14" t="s">
        <v>5804</v>
      </c>
      <c r="F230" s="14" t="s">
        <v>5614</v>
      </c>
      <c r="G230" s="14" t="s">
        <v>5398</v>
      </c>
      <c r="H230" s="14" t="s">
        <v>5399</v>
      </c>
      <c r="I230" s="15">
        <v>48</v>
      </c>
    </row>
    <row r="231" spans="1:9" x14ac:dyDescent="0.3">
      <c r="A231" s="13" t="s">
        <v>412</v>
      </c>
      <c r="B231" s="14" t="s">
        <v>5824</v>
      </c>
      <c r="C231" s="14" t="s">
        <v>5825</v>
      </c>
      <c r="D231" s="14" t="s">
        <v>5357</v>
      </c>
      <c r="E231" s="14" t="s">
        <v>5819</v>
      </c>
      <c r="F231" s="14" t="s">
        <v>5359</v>
      </c>
      <c r="G231" s="14" t="s">
        <v>5344</v>
      </c>
      <c r="H231" s="14" t="s">
        <v>5345</v>
      </c>
      <c r="I231" s="15">
        <v>44</v>
      </c>
    </row>
    <row r="232" spans="1:9" x14ac:dyDescent="0.3">
      <c r="A232" s="17" t="s">
        <v>878</v>
      </c>
      <c r="B232" s="18" t="s">
        <v>5824</v>
      </c>
      <c r="C232" s="18" t="s">
        <v>5825</v>
      </c>
      <c r="D232" s="18" t="s">
        <v>5341</v>
      </c>
      <c r="E232" s="18" t="s">
        <v>5431</v>
      </c>
      <c r="F232" s="18" t="s">
        <v>5431</v>
      </c>
      <c r="G232" s="18" t="s">
        <v>5370</v>
      </c>
      <c r="H232" s="18" t="s">
        <v>5371</v>
      </c>
      <c r="I232" s="19">
        <v>50</v>
      </c>
    </row>
    <row r="233" spans="1:9" x14ac:dyDescent="0.3">
      <c r="A233" s="13" t="s">
        <v>838</v>
      </c>
      <c r="B233" s="14" t="s">
        <v>5826</v>
      </c>
      <c r="C233" s="14" t="s">
        <v>5827</v>
      </c>
      <c r="D233" s="14" t="s">
        <v>5350</v>
      </c>
      <c r="E233" s="14" t="s">
        <v>5828</v>
      </c>
      <c r="F233" s="14" t="s">
        <v>5359</v>
      </c>
      <c r="G233" s="14" t="s">
        <v>5344</v>
      </c>
      <c r="H233" s="14" t="s">
        <v>5345</v>
      </c>
      <c r="I233" s="15">
        <v>70</v>
      </c>
    </row>
    <row r="234" spans="1:9" x14ac:dyDescent="0.3">
      <c r="A234" s="17" t="s">
        <v>795</v>
      </c>
      <c r="B234" s="18" t="s">
        <v>5829</v>
      </c>
      <c r="C234" s="18" t="s">
        <v>5830</v>
      </c>
      <c r="D234" s="18" t="s">
        <v>5357</v>
      </c>
      <c r="E234" s="18" t="s">
        <v>5471</v>
      </c>
      <c r="F234" s="18" t="s">
        <v>5352</v>
      </c>
      <c r="G234" s="18" t="s">
        <v>5353</v>
      </c>
      <c r="H234" s="18" t="s">
        <v>5354</v>
      </c>
      <c r="I234" s="19">
        <v>54</v>
      </c>
    </row>
    <row r="235" spans="1:9" x14ac:dyDescent="0.3">
      <c r="A235" s="17" t="s">
        <v>247</v>
      </c>
      <c r="B235" s="18" t="s">
        <v>5829</v>
      </c>
      <c r="C235" s="18" t="s">
        <v>5831</v>
      </c>
      <c r="D235" s="18" t="s">
        <v>5357</v>
      </c>
      <c r="E235" s="18" t="s">
        <v>5832</v>
      </c>
      <c r="F235" s="18" t="s">
        <v>5539</v>
      </c>
      <c r="G235" s="18" t="s">
        <v>5366</v>
      </c>
      <c r="H235" s="18" t="s">
        <v>5367</v>
      </c>
      <c r="I235" s="19">
        <v>71</v>
      </c>
    </row>
    <row r="236" spans="1:9" x14ac:dyDescent="0.3">
      <c r="A236" s="13" t="s">
        <v>726</v>
      </c>
      <c r="B236" s="14" t="s">
        <v>5833</v>
      </c>
      <c r="C236" s="14" t="s">
        <v>5834</v>
      </c>
      <c r="D236" s="14" t="s">
        <v>5341</v>
      </c>
      <c r="E236" s="14" t="s">
        <v>5579</v>
      </c>
      <c r="F236" s="14" t="s">
        <v>5580</v>
      </c>
      <c r="G236" s="14" t="s">
        <v>5366</v>
      </c>
      <c r="H236" s="14" t="s">
        <v>5367</v>
      </c>
      <c r="I236" s="15">
        <v>32</v>
      </c>
    </row>
    <row r="237" spans="1:9" x14ac:dyDescent="0.3">
      <c r="A237" s="17" t="s">
        <v>372</v>
      </c>
      <c r="B237" s="18" t="s">
        <v>5833</v>
      </c>
      <c r="C237" s="18" t="s">
        <v>5835</v>
      </c>
      <c r="D237" s="18" t="s">
        <v>5357</v>
      </c>
      <c r="E237" s="18" t="s">
        <v>5463</v>
      </c>
      <c r="F237" s="18" t="s">
        <v>5454</v>
      </c>
      <c r="G237" s="18" t="s">
        <v>5353</v>
      </c>
      <c r="H237" s="18" t="s">
        <v>5354</v>
      </c>
      <c r="I237" s="19">
        <v>45</v>
      </c>
    </row>
    <row r="238" spans="1:9" x14ac:dyDescent="0.3">
      <c r="A238" s="17" t="s">
        <v>338</v>
      </c>
      <c r="B238" s="18" t="s">
        <v>5833</v>
      </c>
      <c r="C238" s="18" t="s">
        <v>5834</v>
      </c>
      <c r="D238" s="18" t="s">
        <v>5357</v>
      </c>
      <c r="E238" s="18" t="s">
        <v>5836</v>
      </c>
      <c r="F238" s="18" t="s">
        <v>5637</v>
      </c>
      <c r="G238" s="18" t="s">
        <v>5366</v>
      </c>
      <c r="H238" s="18" t="s">
        <v>5367</v>
      </c>
      <c r="I238" s="19">
        <v>68</v>
      </c>
    </row>
    <row r="239" spans="1:9" x14ac:dyDescent="0.3">
      <c r="A239" s="13" t="s">
        <v>1107</v>
      </c>
      <c r="B239" s="14" t="s">
        <v>5837</v>
      </c>
      <c r="C239" s="14" t="s">
        <v>5838</v>
      </c>
      <c r="D239" s="14" t="s">
        <v>5341</v>
      </c>
      <c r="E239" s="14" t="s">
        <v>5839</v>
      </c>
      <c r="F239" s="14" t="s">
        <v>5594</v>
      </c>
      <c r="G239" s="14" t="s">
        <v>5344</v>
      </c>
      <c r="H239" s="14" t="s">
        <v>5345</v>
      </c>
      <c r="I239" s="15">
        <v>78</v>
      </c>
    </row>
    <row r="240" spans="1:9" x14ac:dyDescent="0.3">
      <c r="A240" s="13" t="s">
        <v>904</v>
      </c>
      <c r="B240" s="14" t="s">
        <v>5840</v>
      </c>
      <c r="C240" s="14" t="s">
        <v>5841</v>
      </c>
      <c r="D240" s="14" t="s">
        <v>5341</v>
      </c>
      <c r="E240" s="14" t="s">
        <v>5842</v>
      </c>
      <c r="F240" s="14" t="s">
        <v>5842</v>
      </c>
      <c r="G240" s="14" t="s">
        <v>5366</v>
      </c>
      <c r="H240" s="14" t="s">
        <v>5367</v>
      </c>
      <c r="I240" s="15">
        <v>66</v>
      </c>
    </row>
    <row r="241" spans="1:9" x14ac:dyDescent="0.3">
      <c r="A241" s="13" t="s">
        <v>1532</v>
      </c>
      <c r="B241" s="14" t="s">
        <v>5840</v>
      </c>
      <c r="C241" s="14" t="s">
        <v>5704</v>
      </c>
      <c r="D241" s="14" t="s">
        <v>5350</v>
      </c>
      <c r="E241" s="14" t="s">
        <v>5843</v>
      </c>
      <c r="F241" s="14" t="s">
        <v>5377</v>
      </c>
      <c r="G241" s="14" t="s">
        <v>5366</v>
      </c>
      <c r="H241" s="14" t="s">
        <v>5367</v>
      </c>
      <c r="I241" s="15">
        <v>26</v>
      </c>
    </row>
    <row r="242" spans="1:9" x14ac:dyDescent="0.3">
      <c r="A242" s="13" t="s">
        <v>765</v>
      </c>
      <c r="B242" s="14" t="s">
        <v>5840</v>
      </c>
      <c r="C242" s="14" t="s">
        <v>5844</v>
      </c>
      <c r="D242" s="14" t="s">
        <v>5341</v>
      </c>
      <c r="E242" s="14" t="s">
        <v>5845</v>
      </c>
      <c r="F242" s="14" t="s">
        <v>5527</v>
      </c>
      <c r="G242" s="14" t="s">
        <v>5344</v>
      </c>
      <c r="H242" s="14" t="s">
        <v>5345</v>
      </c>
      <c r="I242" s="15">
        <v>80</v>
      </c>
    </row>
    <row r="243" spans="1:9" x14ac:dyDescent="0.3">
      <c r="A243" s="17" t="s">
        <v>622</v>
      </c>
      <c r="B243" s="18" t="s">
        <v>5840</v>
      </c>
      <c r="C243" s="18" t="s">
        <v>5460</v>
      </c>
      <c r="D243" s="18" t="s">
        <v>5350</v>
      </c>
      <c r="E243" s="18" t="s">
        <v>5431</v>
      </c>
      <c r="F243" s="18" t="s">
        <v>5431</v>
      </c>
      <c r="G243" s="18" t="s">
        <v>5370</v>
      </c>
      <c r="H243" s="18" t="s">
        <v>5371</v>
      </c>
      <c r="I243" s="19">
        <v>47</v>
      </c>
    </row>
    <row r="244" spans="1:9" x14ac:dyDescent="0.3">
      <c r="A244" s="17" t="s">
        <v>1716</v>
      </c>
      <c r="B244" s="18" t="s">
        <v>5840</v>
      </c>
      <c r="C244" s="18" t="s">
        <v>5704</v>
      </c>
      <c r="D244" s="18" t="s">
        <v>5341</v>
      </c>
      <c r="E244" s="18" t="s">
        <v>5817</v>
      </c>
      <c r="F244" s="18" t="s">
        <v>5352</v>
      </c>
      <c r="G244" s="18" t="s">
        <v>5353</v>
      </c>
      <c r="H244" s="18" t="s">
        <v>5354</v>
      </c>
      <c r="I244" s="19">
        <v>60</v>
      </c>
    </row>
    <row r="245" spans="1:9" x14ac:dyDescent="0.3">
      <c r="A245" s="13" t="s">
        <v>516</v>
      </c>
      <c r="B245" s="14" t="s">
        <v>5846</v>
      </c>
      <c r="C245" s="14" t="s">
        <v>5847</v>
      </c>
      <c r="D245" s="14" t="s">
        <v>5357</v>
      </c>
      <c r="E245" s="14" t="s">
        <v>5848</v>
      </c>
      <c r="F245" s="14" t="s">
        <v>5637</v>
      </c>
      <c r="G245" s="14" t="s">
        <v>5366</v>
      </c>
      <c r="H245" s="14" t="s">
        <v>5367</v>
      </c>
      <c r="I245" s="15">
        <v>59</v>
      </c>
    </row>
    <row r="246" spans="1:9" x14ac:dyDescent="0.3">
      <c r="A246" s="13" t="s">
        <v>414</v>
      </c>
      <c r="B246" s="14" t="s">
        <v>5849</v>
      </c>
      <c r="C246" s="14" t="s">
        <v>5850</v>
      </c>
      <c r="D246" s="14" t="s">
        <v>5341</v>
      </c>
      <c r="E246" s="14" t="s">
        <v>5851</v>
      </c>
      <c r="F246" s="14" t="s">
        <v>5852</v>
      </c>
      <c r="G246" s="14" t="s">
        <v>5366</v>
      </c>
      <c r="H246" s="14" t="s">
        <v>5367</v>
      </c>
      <c r="I246" s="15">
        <v>42</v>
      </c>
    </row>
    <row r="247" spans="1:9" x14ac:dyDescent="0.3">
      <c r="A247" s="17" t="s">
        <v>1640</v>
      </c>
      <c r="B247" s="18" t="s">
        <v>5849</v>
      </c>
      <c r="C247" s="18" t="s">
        <v>5850</v>
      </c>
      <c r="D247" s="18" t="s">
        <v>5341</v>
      </c>
      <c r="E247" s="18" t="s">
        <v>5853</v>
      </c>
      <c r="F247" s="18" t="s">
        <v>5854</v>
      </c>
      <c r="G247" s="18" t="s">
        <v>5398</v>
      </c>
      <c r="H247" s="18" t="s">
        <v>5399</v>
      </c>
      <c r="I247" s="19">
        <v>66</v>
      </c>
    </row>
    <row r="248" spans="1:9" x14ac:dyDescent="0.3">
      <c r="A248" s="13" t="s">
        <v>283</v>
      </c>
      <c r="B248" s="14" t="s">
        <v>5849</v>
      </c>
      <c r="C248" s="14" t="s">
        <v>5855</v>
      </c>
      <c r="D248" s="14" t="s">
        <v>5357</v>
      </c>
      <c r="E248" s="14" t="s">
        <v>5554</v>
      </c>
      <c r="F248" s="14" t="s">
        <v>5436</v>
      </c>
      <c r="G248" s="14" t="s">
        <v>5353</v>
      </c>
      <c r="H248" s="14" t="s">
        <v>5354</v>
      </c>
      <c r="I248" s="15">
        <v>49</v>
      </c>
    </row>
    <row r="249" spans="1:9" x14ac:dyDescent="0.3">
      <c r="A249" s="17" t="s">
        <v>273</v>
      </c>
      <c r="B249" s="18" t="s">
        <v>5856</v>
      </c>
      <c r="C249" s="18" t="s">
        <v>5857</v>
      </c>
      <c r="D249" s="18" t="s">
        <v>5350</v>
      </c>
      <c r="E249" s="18" t="s">
        <v>5858</v>
      </c>
      <c r="F249" s="18" t="s">
        <v>5407</v>
      </c>
      <c r="G249" s="18" t="s">
        <v>5366</v>
      </c>
      <c r="H249" s="18" t="s">
        <v>5367</v>
      </c>
      <c r="I249" s="19">
        <v>71</v>
      </c>
    </row>
    <row r="250" spans="1:9" x14ac:dyDescent="0.3">
      <c r="A250" s="17" t="s">
        <v>1129</v>
      </c>
      <c r="B250" s="18" t="s">
        <v>5856</v>
      </c>
      <c r="C250" s="18" t="s">
        <v>5859</v>
      </c>
      <c r="D250" s="18" t="s">
        <v>5350</v>
      </c>
      <c r="E250" s="18" t="s">
        <v>5458</v>
      </c>
      <c r="F250" s="18" t="s">
        <v>5454</v>
      </c>
      <c r="G250" s="18" t="s">
        <v>5353</v>
      </c>
      <c r="H250" s="18" t="s">
        <v>5354</v>
      </c>
      <c r="I250" s="19">
        <v>27</v>
      </c>
    </row>
    <row r="251" spans="1:9" x14ac:dyDescent="0.3">
      <c r="A251" s="13" t="s">
        <v>2181</v>
      </c>
      <c r="B251" s="14" t="s">
        <v>5856</v>
      </c>
      <c r="C251" s="14" t="s">
        <v>5859</v>
      </c>
      <c r="D251" s="14" t="s">
        <v>5341</v>
      </c>
      <c r="E251" s="14" t="s">
        <v>5698</v>
      </c>
      <c r="F251" s="14" t="s">
        <v>5359</v>
      </c>
      <c r="G251" s="14" t="s">
        <v>5344</v>
      </c>
      <c r="H251" s="14" t="s">
        <v>5345</v>
      </c>
      <c r="I251" s="15">
        <v>75</v>
      </c>
    </row>
    <row r="252" spans="1:9" x14ac:dyDescent="0.3">
      <c r="A252" s="17" t="s">
        <v>1482</v>
      </c>
      <c r="B252" s="18" t="s">
        <v>5860</v>
      </c>
      <c r="C252" s="18" t="s">
        <v>5861</v>
      </c>
      <c r="D252" s="18" t="s">
        <v>5357</v>
      </c>
      <c r="E252" s="18" t="s">
        <v>5862</v>
      </c>
      <c r="F252" s="18" t="s">
        <v>5863</v>
      </c>
      <c r="G252" s="18" t="s">
        <v>5344</v>
      </c>
      <c r="H252" s="18" t="s">
        <v>5345</v>
      </c>
      <c r="I252" s="19">
        <v>63</v>
      </c>
    </row>
    <row r="253" spans="1:9" x14ac:dyDescent="0.3">
      <c r="A253" s="17" t="s">
        <v>387</v>
      </c>
      <c r="B253" s="18" t="s">
        <v>5860</v>
      </c>
      <c r="C253" s="18" t="s">
        <v>5864</v>
      </c>
      <c r="D253" s="18" t="s">
        <v>5357</v>
      </c>
      <c r="E253" s="18" t="s">
        <v>5567</v>
      </c>
      <c r="F253" s="18" t="s">
        <v>5454</v>
      </c>
      <c r="G253" s="18" t="s">
        <v>5353</v>
      </c>
      <c r="H253" s="18" t="s">
        <v>5354</v>
      </c>
      <c r="I253" s="19">
        <v>70</v>
      </c>
    </row>
    <row r="254" spans="1:9" x14ac:dyDescent="0.3">
      <c r="A254" s="13" t="s">
        <v>377</v>
      </c>
      <c r="B254" s="14" t="s">
        <v>5860</v>
      </c>
      <c r="C254" s="14" t="s">
        <v>5864</v>
      </c>
      <c r="D254" s="14" t="s">
        <v>5357</v>
      </c>
      <c r="E254" s="14" t="s">
        <v>5658</v>
      </c>
      <c r="F254" s="14" t="s">
        <v>5498</v>
      </c>
      <c r="G254" s="14" t="s">
        <v>5370</v>
      </c>
      <c r="H254" s="14" t="s">
        <v>5371</v>
      </c>
      <c r="I254" s="15">
        <v>53</v>
      </c>
    </row>
    <row r="255" spans="1:9" x14ac:dyDescent="0.3">
      <c r="A255" s="17" t="s">
        <v>842</v>
      </c>
      <c r="B255" s="18" t="s">
        <v>5865</v>
      </c>
      <c r="C255" s="18" t="s">
        <v>5866</v>
      </c>
      <c r="D255" s="18" t="s">
        <v>5357</v>
      </c>
      <c r="E255" s="18" t="s">
        <v>5867</v>
      </c>
      <c r="F255" s="18" t="s">
        <v>5390</v>
      </c>
      <c r="G255" s="18" t="s">
        <v>5353</v>
      </c>
      <c r="H255" s="18" t="s">
        <v>5354</v>
      </c>
      <c r="I255" s="19">
        <v>71</v>
      </c>
    </row>
    <row r="256" spans="1:9" x14ac:dyDescent="0.3">
      <c r="A256" s="17" t="s">
        <v>87</v>
      </c>
      <c r="B256" s="18" t="s">
        <v>5865</v>
      </c>
      <c r="C256" s="18" t="s">
        <v>5868</v>
      </c>
      <c r="D256" s="18" t="s">
        <v>5350</v>
      </c>
      <c r="E256" s="18" t="s">
        <v>5869</v>
      </c>
      <c r="F256" s="18" t="s">
        <v>5669</v>
      </c>
      <c r="G256" s="18" t="s">
        <v>5370</v>
      </c>
      <c r="H256" s="18" t="s">
        <v>5371</v>
      </c>
      <c r="I256" s="19">
        <v>64</v>
      </c>
    </row>
    <row r="257" spans="1:9" x14ac:dyDescent="0.3">
      <c r="A257" s="17" t="s">
        <v>2022</v>
      </c>
      <c r="B257" s="18" t="s">
        <v>5865</v>
      </c>
      <c r="C257" s="18" t="s">
        <v>5868</v>
      </c>
      <c r="D257" s="18" t="s">
        <v>5350</v>
      </c>
      <c r="E257" s="18" t="s">
        <v>5870</v>
      </c>
      <c r="F257" s="18" t="s">
        <v>5755</v>
      </c>
      <c r="G257" s="18" t="s">
        <v>5366</v>
      </c>
      <c r="H257" s="18" t="s">
        <v>5367</v>
      </c>
      <c r="I257" s="19">
        <v>45</v>
      </c>
    </row>
    <row r="258" spans="1:9" x14ac:dyDescent="0.3">
      <c r="A258" s="13" t="s">
        <v>720</v>
      </c>
      <c r="B258" s="14" t="s">
        <v>5871</v>
      </c>
      <c r="C258" s="14" t="s">
        <v>5855</v>
      </c>
      <c r="D258" s="14" t="s">
        <v>5341</v>
      </c>
      <c r="E258" s="14" t="s">
        <v>5872</v>
      </c>
      <c r="F258" s="14" t="s">
        <v>5639</v>
      </c>
      <c r="G258" s="14" t="s">
        <v>5366</v>
      </c>
      <c r="H258" s="14" t="s">
        <v>5367</v>
      </c>
      <c r="I258" s="15">
        <v>35</v>
      </c>
    </row>
    <row r="259" spans="1:9" x14ac:dyDescent="0.3">
      <c r="A259" s="13" t="s">
        <v>1475</v>
      </c>
      <c r="B259" s="14" t="s">
        <v>5873</v>
      </c>
      <c r="C259" s="14" t="s">
        <v>5874</v>
      </c>
      <c r="D259" s="14" t="s">
        <v>5357</v>
      </c>
      <c r="E259" s="14" t="s">
        <v>5426</v>
      </c>
      <c r="F259" s="14" t="s">
        <v>5352</v>
      </c>
      <c r="G259" s="14" t="s">
        <v>5353</v>
      </c>
      <c r="H259" s="14" t="s">
        <v>5354</v>
      </c>
      <c r="I259" s="15">
        <v>69</v>
      </c>
    </row>
    <row r="260" spans="1:9" x14ac:dyDescent="0.3">
      <c r="A260" s="13" t="s">
        <v>845</v>
      </c>
      <c r="B260" s="14" t="s">
        <v>5875</v>
      </c>
      <c r="C260" s="14" t="s">
        <v>5876</v>
      </c>
      <c r="D260" s="14" t="s">
        <v>5357</v>
      </c>
      <c r="E260" s="14" t="s">
        <v>5458</v>
      </c>
      <c r="F260" s="14" t="s">
        <v>5454</v>
      </c>
      <c r="G260" s="14" t="s">
        <v>5353</v>
      </c>
      <c r="H260" s="14" t="s">
        <v>5354</v>
      </c>
      <c r="I260" s="15">
        <v>50</v>
      </c>
    </row>
    <row r="261" spans="1:9" x14ac:dyDescent="0.3">
      <c r="A261" s="17" t="s">
        <v>1308</v>
      </c>
      <c r="B261" s="18" t="s">
        <v>5877</v>
      </c>
      <c r="C261" s="18" t="s">
        <v>5878</v>
      </c>
      <c r="D261" s="18" t="s">
        <v>5357</v>
      </c>
      <c r="E261" s="18" t="s">
        <v>5458</v>
      </c>
      <c r="F261" s="18" t="s">
        <v>5454</v>
      </c>
      <c r="G261" s="18" t="s">
        <v>5353</v>
      </c>
      <c r="H261" s="18" t="s">
        <v>5354</v>
      </c>
      <c r="I261" s="19">
        <v>73</v>
      </c>
    </row>
    <row r="262" spans="1:9" x14ac:dyDescent="0.3">
      <c r="A262" s="13" t="s">
        <v>351</v>
      </c>
      <c r="B262" s="14" t="s">
        <v>5877</v>
      </c>
      <c r="C262" s="14" t="s">
        <v>5879</v>
      </c>
      <c r="D262" s="14" t="s">
        <v>5350</v>
      </c>
      <c r="E262" s="14" t="s">
        <v>5431</v>
      </c>
      <c r="F262" s="14" t="s">
        <v>5431</v>
      </c>
      <c r="G262" s="14" t="s">
        <v>5370</v>
      </c>
      <c r="H262" s="14" t="s">
        <v>5371</v>
      </c>
      <c r="I262" s="15">
        <v>38</v>
      </c>
    </row>
    <row r="263" spans="1:9" x14ac:dyDescent="0.3">
      <c r="A263" s="17" t="s">
        <v>814</v>
      </c>
      <c r="B263" s="18" t="s">
        <v>5877</v>
      </c>
      <c r="C263" s="18" t="s">
        <v>5878</v>
      </c>
      <c r="D263" s="18" t="s">
        <v>5341</v>
      </c>
      <c r="E263" s="18" t="s">
        <v>5435</v>
      </c>
      <c r="F263" s="18" t="s">
        <v>5436</v>
      </c>
      <c r="G263" s="18" t="s">
        <v>5353</v>
      </c>
      <c r="H263" s="18" t="s">
        <v>5354</v>
      </c>
      <c r="I263" s="19">
        <v>44</v>
      </c>
    </row>
    <row r="264" spans="1:9" x14ac:dyDescent="0.3">
      <c r="A264" s="17" t="s">
        <v>389</v>
      </c>
      <c r="B264" s="18" t="s">
        <v>5880</v>
      </c>
      <c r="C264" s="18" t="s">
        <v>5881</v>
      </c>
      <c r="D264" s="18" t="s">
        <v>5357</v>
      </c>
      <c r="E264" s="18" t="s">
        <v>5431</v>
      </c>
      <c r="F264" s="18" t="s">
        <v>5431</v>
      </c>
      <c r="G264" s="18" t="s">
        <v>5370</v>
      </c>
      <c r="H264" s="18" t="s">
        <v>5371</v>
      </c>
      <c r="I264" s="19">
        <v>60</v>
      </c>
    </row>
    <row r="265" spans="1:9" x14ac:dyDescent="0.3">
      <c r="A265" s="13" t="s">
        <v>962</v>
      </c>
      <c r="B265" s="14" t="s">
        <v>5882</v>
      </c>
      <c r="C265" s="14" t="s">
        <v>5883</v>
      </c>
      <c r="D265" s="14" t="s">
        <v>5341</v>
      </c>
      <c r="E265" s="14" t="s">
        <v>5426</v>
      </c>
      <c r="F265" s="14" t="s">
        <v>5352</v>
      </c>
      <c r="G265" s="14" t="s">
        <v>5353</v>
      </c>
      <c r="H265" s="14" t="s">
        <v>5354</v>
      </c>
      <c r="I265" s="15">
        <v>27</v>
      </c>
    </row>
    <row r="266" spans="1:9" x14ac:dyDescent="0.3">
      <c r="A266" s="13" t="s">
        <v>847</v>
      </c>
      <c r="B266" s="14" t="s">
        <v>5882</v>
      </c>
      <c r="C266" s="14" t="s">
        <v>5884</v>
      </c>
      <c r="D266" s="14" t="s">
        <v>5357</v>
      </c>
      <c r="E266" s="14" t="s">
        <v>5885</v>
      </c>
      <c r="F266" s="14" t="s">
        <v>5886</v>
      </c>
      <c r="G266" s="14" t="s">
        <v>5370</v>
      </c>
      <c r="H266" s="14" t="s">
        <v>5371</v>
      </c>
      <c r="I266" s="15">
        <v>55</v>
      </c>
    </row>
    <row r="267" spans="1:9" x14ac:dyDescent="0.3">
      <c r="A267" s="13" t="s">
        <v>1182</v>
      </c>
      <c r="B267" s="14" t="s">
        <v>5882</v>
      </c>
      <c r="C267" s="14" t="s">
        <v>5884</v>
      </c>
      <c r="D267" s="14" t="s">
        <v>5341</v>
      </c>
      <c r="E267" s="14" t="s">
        <v>5426</v>
      </c>
      <c r="F267" s="14" t="s">
        <v>5352</v>
      </c>
      <c r="G267" s="14" t="s">
        <v>5353</v>
      </c>
      <c r="H267" s="14" t="s">
        <v>5354</v>
      </c>
      <c r="I267" s="15">
        <v>73</v>
      </c>
    </row>
    <row r="268" spans="1:9" x14ac:dyDescent="0.3">
      <c r="A268" s="17" t="s">
        <v>62</v>
      </c>
      <c r="B268" s="18" t="s">
        <v>5882</v>
      </c>
      <c r="C268" s="18" t="s">
        <v>5883</v>
      </c>
      <c r="D268" s="18" t="s">
        <v>5341</v>
      </c>
      <c r="E268" s="18" t="s">
        <v>5887</v>
      </c>
      <c r="F268" s="18" t="s">
        <v>5888</v>
      </c>
      <c r="G268" s="18" t="s">
        <v>5366</v>
      </c>
      <c r="H268" s="18" t="s">
        <v>5367</v>
      </c>
      <c r="I268" s="19">
        <v>70</v>
      </c>
    </row>
    <row r="269" spans="1:9" x14ac:dyDescent="0.3">
      <c r="A269" s="13" t="s">
        <v>652</v>
      </c>
      <c r="B269" s="14" t="s">
        <v>5889</v>
      </c>
      <c r="C269" s="14" t="s">
        <v>5890</v>
      </c>
      <c r="D269" s="14" t="s">
        <v>5357</v>
      </c>
      <c r="E269" s="14" t="s">
        <v>5891</v>
      </c>
      <c r="F269" s="14" t="s">
        <v>5669</v>
      </c>
      <c r="G269" s="14" t="s">
        <v>5370</v>
      </c>
      <c r="H269" s="14" t="s">
        <v>5371</v>
      </c>
      <c r="I269" s="15">
        <v>60</v>
      </c>
    </row>
    <row r="270" spans="1:9" x14ac:dyDescent="0.3">
      <c r="A270" s="13" t="s">
        <v>792</v>
      </c>
      <c r="B270" s="14" t="s">
        <v>5892</v>
      </c>
      <c r="C270" s="14" t="s">
        <v>5893</v>
      </c>
      <c r="D270" s="14" t="s">
        <v>5341</v>
      </c>
      <c r="E270" s="14" t="s">
        <v>5894</v>
      </c>
      <c r="F270" s="14" t="s">
        <v>5726</v>
      </c>
      <c r="G270" s="14" t="s">
        <v>5366</v>
      </c>
      <c r="H270" s="14" t="s">
        <v>5367</v>
      </c>
      <c r="I270" s="15">
        <v>43</v>
      </c>
    </row>
    <row r="271" spans="1:9" x14ac:dyDescent="0.3">
      <c r="A271" s="17" t="s">
        <v>178</v>
      </c>
      <c r="B271" s="18" t="s">
        <v>5895</v>
      </c>
      <c r="C271" s="18" t="s">
        <v>5896</v>
      </c>
      <c r="D271" s="18" t="s">
        <v>5341</v>
      </c>
      <c r="E271" s="18" t="s">
        <v>5431</v>
      </c>
      <c r="F271" s="18" t="s">
        <v>5431</v>
      </c>
      <c r="G271" s="18" t="s">
        <v>5370</v>
      </c>
      <c r="H271" s="18" t="s">
        <v>5371</v>
      </c>
      <c r="I271" s="19">
        <v>47</v>
      </c>
    </row>
    <row r="272" spans="1:9" x14ac:dyDescent="0.3">
      <c r="A272" s="17" t="s">
        <v>482</v>
      </c>
      <c r="B272" s="18" t="s">
        <v>5895</v>
      </c>
      <c r="C272" s="18" t="s">
        <v>5896</v>
      </c>
      <c r="D272" s="18" t="s">
        <v>5357</v>
      </c>
      <c r="E272" s="18" t="s">
        <v>5426</v>
      </c>
      <c r="F272" s="18" t="s">
        <v>5352</v>
      </c>
      <c r="G272" s="18" t="s">
        <v>5353</v>
      </c>
      <c r="H272" s="18" t="s">
        <v>5354</v>
      </c>
      <c r="I272" s="19">
        <v>45</v>
      </c>
    </row>
    <row r="273" spans="1:9" x14ac:dyDescent="0.3">
      <c r="A273" s="17" t="s">
        <v>1889</v>
      </c>
      <c r="B273" s="18" t="s">
        <v>5897</v>
      </c>
      <c r="C273" s="18" t="s">
        <v>5898</v>
      </c>
      <c r="D273" s="18" t="s">
        <v>5350</v>
      </c>
      <c r="E273" s="18" t="s">
        <v>5431</v>
      </c>
      <c r="F273" s="18" t="s">
        <v>5431</v>
      </c>
      <c r="G273" s="18" t="s">
        <v>5370</v>
      </c>
      <c r="H273" s="18" t="s">
        <v>5371</v>
      </c>
      <c r="I273" s="19">
        <v>45</v>
      </c>
    </row>
    <row r="274" spans="1:9" x14ac:dyDescent="0.3">
      <c r="A274" s="13" t="s">
        <v>116</v>
      </c>
      <c r="B274" s="14" t="s">
        <v>5899</v>
      </c>
      <c r="C274" s="14" t="s">
        <v>5900</v>
      </c>
      <c r="D274" s="14" t="s">
        <v>5357</v>
      </c>
      <c r="E274" s="14" t="s">
        <v>5901</v>
      </c>
      <c r="F274" s="14" t="s">
        <v>5480</v>
      </c>
      <c r="G274" s="14" t="s">
        <v>5366</v>
      </c>
      <c r="H274" s="14" t="s">
        <v>5367</v>
      </c>
      <c r="I274" s="15">
        <v>47</v>
      </c>
    </row>
    <row r="275" spans="1:9" x14ac:dyDescent="0.3">
      <c r="A275" s="17" t="s">
        <v>538</v>
      </c>
      <c r="B275" s="18" t="s">
        <v>5902</v>
      </c>
      <c r="C275" s="18" t="s">
        <v>5903</v>
      </c>
      <c r="D275" s="18" t="s">
        <v>5357</v>
      </c>
      <c r="E275" s="18" t="s">
        <v>5904</v>
      </c>
      <c r="F275" s="18" t="s">
        <v>5436</v>
      </c>
      <c r="G275" s="18" t="s">
        <v>5353</v>
      </c>
      <c r="H275" s="18" t="s">
        <v>5354</v>
      </c>
      <c r="I275" s="19">
        <v>80</v>
      </c>
    </row>
    <row r="276" spans="1:9" x14ac:dyDescent="0.3">
      <c r="A276" s="17" t="s">
        <v>184</v>
      </c>
      <c r="B276" s="18" t="s">
        <v>5905</v>
      </c>
      <c r="C276" s="18" t="s">
        <v>5906</v>
      </c>
      <c r="D276" s="18" t="s">
        <v>5357</v>
      </c>
      <c r="E276" s="18" t="s">
        <v>5828</v>
      </c>
      <c r="F276" s="18" t="s">
        <v>5359</v>
      </c>
      <c r="G276" s="18" t="s">
        <v>5344</v>
      </c>
      <c r="H276" s="18" t="s">
        <v>5345</v>
      </c>
      <c r="I276" s="19">
        <v>49</v>
      </c>
    </row>
    <row r="277" spans="1:9" x14ac:dyDescent="0.3">
      <c r="A277" s="13" t="s">
        <v>131</v>
      </c>
      <c r="B277" s="14" t="s">
        <v>5905</v>
      </c>
      <c r="C277" s="14" t="s">
        <v>5907</v>
      </c>
      <c r="D277" s="14" t="s">
        <v>5357</v>
      </c>
      <c r="E277" s="14" t="s">
        <v>5908</v>
      </c>
      <c r="F277" s="14" t="s">
        <v>5407</v>
      </c>
      <c r="G277" s="14" t="s">
        <v>5366</v>
      </c>
      <c r="H277" s="14" t="s">
        <v>5367</v>
      </c>
      <c r="I277" s="15">
        <v>71</v>
      </c>
    </row>
    <row r="278" spans="1:9" x14ac:dyDescent="0.3">
      <c r="A278" s="17" t="s">
        <v>642</v>
      </c>
      <c r="B278" s="18" t="s">
        <v>5905</v>
      </c>
      <c r="C278" s="18" t="s">
        <v>5909</v>
      </c>
      <c r="D278" s="18" t="s">
        <v>5341</v>
      </c>
      <c r="E278" s="18" t="s">
        <v>5458</v>
      </c>
      <c r="F278" s="18" t="s">
        <v>5454</v>
      </c>
      <c r="G278" s="18" t="s">
        <v>5353</v>
      </c>
      <c r="H278" s="18" t="s">
        <v>5354</v>
      </c>
      <c r="I278" s="19">
        <v>43</v>
      </c>
    </row>
    <row r="279" spans="1:9" x14ac:dyDescent="0.3">
      <c r="A279" s="17" t="s">
        <v>162</v>
      </c>
      <c r="B279" s="18" t="s">
        <v>5905</v>
      </c>
      <c r="C279" s="18" t="s">
        <v>5909</v>
      </c>
      <c r="D279" s="18" t="s">
        <v>5357</v>
      </c>
      <c r="E279" s="18" t="s">
        <v>5910</v>
      </c>
      <c r="F279" s="18" t="s">
        <v>5359</v>
      </c>
      <c r="G279" s="18" t="s">
        <v>5344</v>
      </c>
      <c r="H279" s="18" t="s">
        <v>5345</v>
      </c>
      <c r="I279" s="19">
        <v>38</v>
      </c>
    </row>
    <row r="280" spans="1:9" x14ac:dyDescent="0.3">
      <c r="A280" s="17" t="s">
        <v>452</v>
      </c>
      <c r="B280" s="18" t="s">
        <v>5905</v>
      </c>
      <c r="C280" s="18" t="s">
        <v>5906</v>
      </c>
      <c r="D280" s="18" t="s">
        <v>5341</v>
      </c>
      <c r="E280" s="18" t="s">
        <v>5911</v>
      </c>
      <c r="F280" s="18" t="s">
        <v>5498</v>
      </c>
      <c r="G280" s="18" t="s">
        <v>5370</v>
      </c>
      <c r="H280" s="18" t="s">
        <v>5371</v>
      </c>
      <c r="I280" s="19">
        <v>33</v>
      </c>
    </row>
    <row r="281" spans="1:9" x14ac:dyDescent="0.3">
      <c r="A281" s="17" t="s">
        <v>1339</v>
      </c>
      <c r="B281" s="18" t="s">
        <v>5905</v>
      </c>
      <c r="C281" s="18" t="s">
        <v>5909</v>
      </c>
      <c r="D281" s="18" t="s">
        <v>5357</v>
      </c>
      <c r="E281" s="18" t="s">
        <v>5912</v>
      </c>
      <c r="F281" s="18" t="s">
        <v>5359</v>
      </c>
      <c r="G281" s="18" t="s">
        <v>5344</v>
      </c>
      <c r="H281" s="18" t="s">
        <v>5345</v>
      </c>
      <c r="I281" s="19">
        <v>51</v>
      </c>
    </row>
    <row r="282" spans="1:9" x14ac:dyDescent="0.3">
      <c r="A282" s="13" t="s">
        <v>77</v>
      </c>
      <c r="B282" s="14" t="s">
        <v>5905</v>
      </c>
      <c r="C282" s="14" t="s">
        <v>5907</v>
      </c>
      <c r="D282" s="14" t="s">
        <v>5341</v>
      </c>
      <c r="E282" s="14" t="s">
        <v>5913</v>
      </c>
      <c r="F282" s="14" t="s">
        <v>5348</v>
      </c>
      <c r="G282" s="14" t="s">
        <v>5344</v>
      </c>
      <c r="H282" s="14" t="s">
        <v>5345</v>
      </c>
      <c r="I282" s="15">
        <v>64</v>
      </c>
    </row>
    <row r="283" spans="1:9" x14ac:dyDescent="0.3">
      <c r="A283" s="17" t="s">
        <v>1615</v>
      </c>
      <c r="B283" s="18" t="s">
        <v>5914</v>
      </c>
      <c r="C283" s="18" t="s">
        <v>5915</v>
      </c>
      <c r="D283" s="18" t="s">
        <v>5357</v>
      </c>
      <c r="E283" s="18" t="s">
        <v>5435</v>
      </c>
      <c r="F283" s="18" t="s">
        <v>5436</v>
      </c>
      <c r="G283" s="18" t="s">
        <v>5353</v>
      </c>
      <c r="H283" s="18" t="s">
        <v>5354</v>
      </c>
      <c r="I283" s="19">
        <v>26</v>
      </c>
    </row>
    <row r="284" spans="1:9" x14ac:dyDescent="0.3">
      <c r="A284" s="17" t="s">
        <v>1148</v>
      </c>
      <c r="B284" s="18" t="s">
        <v>5916</v>
      </c>
      <c r="C284" s="18" t="s">
        <v>5460</v>
      </c>
      <c r="D284" s="18" t="s">
        <v>5341</v>
      </c>
      <c r="E284" s="18" t="s">
        <v>5583</v>
      </c>
      <c r="F284" s="18" t="s">
        <v>5661</v>
      </c>
      <c r="G284" s="18" t="s">
        <v>5370</v>
      </c>
      <c r="H284" s="18" t="s">
        <v>5371</v>
      </c>
      <c r="I284" s="19">
        <v>36</v>
      </c>
    </row>
    <row r="285" spans="1:9" x14ac:dyDescent="0.3">
      <c r="A285" s="17" t="s">
        <v>620</v>
      </c>
      <c r="B285" s="18" t="s">
        <v>5916</v>
      </c>
      <c r="C285" s="18" t="s">
        <v>5884</v>
      </c>
      <c r="D285" s="18" t="s">
        <v>5341</v>
      </c>
      <c r="E285" s="18" t="s">
        <v>5917</v>
      </c>
      <c r="F285" s="18" t="s">
        <v>5423</v>
      </c>
      <c r="G285" s="18" t="s">
        <v>5398</v>
      </c>
      <c r="H285" s="18" t="s">
        <v>5399</v>
      </c>
      <c r="I285" s="19">
        <v>69</v>
      </c>
    </row>
    <row r="286" spans="1:9" x14ac:dyDescent="0.3">
      <c r="A286" s="13" t="s">
        <v>787</v>
      </c>
      <c r="B286" s="14" t="s">
        <v>5916</v>
      </c>
      <c r="C286" s="14" t="s">
        <v>5918</v>
      </c>
      <c r="D286" s="14" t="s">
        <v>5341</v>
      </c>
      <c r="E286" s="14" t="s">
        <v>5380</v>
      </c>
      <c r="F286" s="14" t="s">
        <v>5381</v>
      </c>
      <c r="G286" s="14" t="s">
        <v>5353</v>
      </c>
      <c r="H286" s="14" t="s">
        <v>5354</v>
      </c>
      <c r="I286" s="15">
        <v>74</v>
      </c>
    </row>
    <row r="287" spans="1:9" x14ac:dyDescent="0.3">
      <c r="A287" s="17" t="s">
        <v>110</v>
      </c>
      <c r="B287" s="18" t="s">
        <v>5919</v>
      </c>
      <c r="C287" s="18" t="s">
        <v>5920</v>
      </c>
      <c r="D287" s="18" t="s">
        <v>5341</v>
      </c>
      <c r="E287" s="18" t="s">
        <v>5400</v>
      </c>
      <c r="F287" s="18" t="s">
        <v>5400</v>
      </c>
      <c r="G287" s="18" t="s">
        <v>5344</v>
      </c>
      <c r="H287" s="18" t="s">
        <v>5345</v>
      </c>
      <c r="I287" s="19">
        <v>60</v>
      </c>
    </row>
    <row r="288" spans="1:9" x14ac:dyDescent="0.3">
      <c r="A288" s="17" t="s">
        <v>1087</v>
      </c>
      <c r="B288" s="18" t="s">
        <v>5919</v>
      </c>
      <c r="C288" s="18" t="s">
        <v>5920</v>
      </c>
      <c r="D288" s="18" t="s">
        <v>5350</v>
      </c>
      <c r="E288" s="18" t="s">
        <v>5667</v>
      </c>
      <c r="F288" s="18" t="s">
        <v>5436</v>
      </c>
      <c r="G288" s="18" t="s">
        <v>5353</v>
      </c>
      <c r="H288" s="18" t="s">
        <v>5354</v>
      </c>
      <c r="I288" s="19">
        <v>67</v>
      </c>
    </row>
    <row r="289" spans="1:9" x14ac:dyDescent="0.3">
      <c r="A289" s="13" t="s">
        <v>336</v>
      </c>
      <c r="B289" s="14" t="s">
        <v>5919</v>
      </c>
      <c r="C289" s="14" t="s">
        <v>5517</v>
      </c>
      <c r="D289" s="14" t="s">
        <v>5350</v>
      </c>
      <c r="E289" s="14" t="s">
        <v>5921</v>
      </c>
      <c r="F289" s="14" t="s">
        <v>5480</v>
      </c>
      <c r="G289" s="14" t="s">
        <v>5366</v>
      </c>
      <c r="H289" s="14" t="s">
        <v>5367</v>
      </c>
      <c r="I289" s="15">
        <v>70</v>
      </c>
    </row>
    <row r="290" spans="1:9" x14ac:dyDescent="0.3">
      <c r="A290" s="17" t="s">
        <v>71</v>
      </c>
      <c r="B290" s="18" t="s">
        <v>5919</v>
      </c>
      <c r="C290" s="18" t="s">
        <v>5517</v>
      </c>
      <c r="D290" s="18" t="s">
        <v>5350</v>
      </c>
      <c r="E290" s="18" t="s">
        <v>5426</v>
      </c>
      <c r="F290" s="18" t="s">
        <v>5352</v>
      </c>
      <c r="G290" s="18" t="s">
        <v>5353</v>
      </c>
      <c r="H290" s="18" t="s">
        <v>5354</v>
      </c>
      <c r="I290" s="19">
        <v>80</v>
      </c>
    </row>
    <row r="291" spans="1:9" x14ac:dyDescent="0.3">
      <c r="A291" s="17" t="s">
        <v>802</v>
      </c>
      <c r="B291" s="18" t="s">
        <v>5922</v>
      </c>
      <c r="C291" s="18" t="s">
        <v>5923</v>
      </c>
      <c r="D291" s="18" t="s">
        <v>5357</v>
      </c>
      <c r="E291" s="18" t="s">
        <v>5376</v>
      </c>
      <c r="F291" s="18" t="s">
        <v>5377</v>
      </c>
      <c r="G291" s="18" t="s">
        <v>5366</v>
      </c>
      <c r="H291" s="18" t="s">
        <v>5367</v>
      </c>
      <c r="I291" s="19">
        <v>61</v>
      </c>
    </row>
    <row r="292" spans="1:9" x14ac:dyDescent="0.3">
      <c r="A292" s="17" t="s">
        <v>1066</v>
      </c>
      <c r="B292" s="18" t="s">
        <v>5922</v>
      </c>
      <c r="C292" s="18" t="s">
        <v>5924</v>
      </c>
      <c r="D292" s="18" t="s">
        <v>5341</v>
      </c>
      <c r="E292" s="18" t="s">
        <v>5776</v>
      </c>
      <c r="F292" s="18" t="s">
        <v>5483</v>
      </c>
      <c r="G292" s="18" t="s">
        <v>5366</v>
      </c>
      <c r="H292" s="18" t="s">
        <v>5367</v>
      </c>
      <c r="I292" s="19">
        <v>57</v>
      </c>
    </row>
    <row r="293" spans="1:9" x14ac:dyDescent="0.3">
      <c r="A293" s="17" t="s">
        <v>490</v>
      </c>
      <c r="B293" s="18" t="s">
        <v>5925</v>
      </c>
      <c r="C293" s="18" t="s">
        <v>5926</v>
      </c>
      <c r="D293" s="18" t="s">
        <v>5357</v>
      </c>
      <c r="E293" s="18" t="s">
        <v>5380</v>
      </c>
      <c r="F293" s="18" t="s">
        <v>5381</v>
      </c>
      <c r="G293" s="18" t="s">
        <v>5353</v>
      </c>
      <c r="H293" s="18" t="s">
        <v>5354</v>
      </c>
      <c r="I293" s="19">
        <v>31</v>
      </c>
    </row>
    <row r="294" spans="1:9" x14ac:dyDescent="0.3">
      <c r="A294" s="13" t="s">
        <v>886</v>
      </c>
      <c r="B294" s="14" t="s">
        <v>5925</v>
      </c>
      <c r="C294" s="14" t="s">
        <v>5927</v>
      </c>
      <c r="D294" s="14" t="s">
        <v>5350</v>
      </c>
      <c r="E294" s="14" t="s">
        <v>5455</v>
      </c>
      <c r="F294" s="14" t="s">
        <v>5436</v>
      </c>
      <c r="G294" s="14" t="s">
        <v>5353</v>
      </c>
      <c r="H294" s="14" t="s">
        <v>5354</v>
      </c>
      <c r="I294" s="15">
        <v>30</v>
      </c>
    </row>
    <row r="295" spans="1:9" x14ac:dyDescent="0.3">
      <c r="A295" s="17" t="s">
        <v>307</v>
      </c>
      <c r="B295" s="18" t="s">
        <v>5925</v>
      </c>
      <c r="C295" s="18" t="s">
        <v>5927</v>
      </c>
      <c r="D295" s="18" t="s">
        <v>5341</v>
      </c>
      <c r="E295" s="18" t="s">
        <v>5928</v>
      </c>
      <c r="F295" s="18" t="s">
        <v>5423</v>
      </c>
      <c r="G295" s="18" t="s">
        <v>5398</v>
      </c>
      <c r="H295" s="18" t="s">
        <v>5399</v>
      </c>
      <c r="I295" s="19">
        <v>77</v>
      </c>
    </row>
    <row r="296" spans="1:9" x14ac:dyDescent="0.3">
      <c r="A296" s="13" t="s">
        <v>840</v>
      </c>
      <c r="B296" s="14" t="s">
        <v>5925</v>
      </c>
      <c r="C296" s="14" t="s">
        <v>5927</v>
      </c>
      <c r="D296" s="14" t="s">
        <v>5357</v>
      </c>
      <c r="E296" s="14" t="s">
        <v>5383</v>
      </c>
      <c r="F296" s="14" t="s">
        <v>5365</v>
      </c>
      <c r="G296" s="14" t="s">
        <v>5366</v>
      </c>
      <c r="H296" s="14" t="s">
        <v>5367</v>
      </c>
      <c r="I296" s="15">
        <v>52</v>
      </c>
    </row>
    <row r="297" spans="1:9" x14ac:dyDescent="0.3">
      <c r="A297" s="17" t="s">
        <v>2037</v>
      </c>
      <c r="B297" s="18" t="s">
        <v>5929</v>
      </c>
      <c r="C297" s="18" t="s">
        <v>5642</v>
      </c>
      <c r="D297" s="18" t="s">
        <v>5357</v>
      </c>
      <c r="E297" s="18" t="s">
        <v>5814</v>
      </c>
      <c r="F297" s="18" t="s">
        <v>5397</v>
      </c>
      <c r="G297" s="18" t="s">
        <v>5398</v>
      </c>
      <c r="H297" s="18" t="s">
        <v>5399</v>
      </c>
      <c r="I297" s="19">
        <v>67</v>
      </c>
    </row>
    <row r="298" spans="1:9" x14ac:dyDescent="0.3">
      <c r="A298" s="17" t="s">
        <v>299</v>
      </c>
      <c r="B298" s="18" t="s">
        <v>5929</v>
      </c>
      <c r="C298" s="18" t="s">
        <v>5642</v>
      </c>
      <c r="D298" s="18" t="s">
        <v>5341</v>
      </c>
      <c r="E298" s="18" t="s">
        <v>5930</v>
      </c>
      <c r="F298" s="18" t="s">
        <v>5685</v>
      </c>
      <c r="G298" s="18" t="s">
        <v>5366</v>
      </c>
      <c r="H298" s="18" t="s">
        <v>5367</v>
      </c>
      <c r="I298" s="19">
        <v>36</v>
      </c>
    </row>
    <row r="299" spans="1:9" x14ac:dyDescent="0.3">
      <c r="A299" s="17" t="s">
        <v>520</v>
      </c>
      <c r="B299" s="18" t="s">
        <v>5931</v>
      </c>
      <c r="C299" s="18" t="s">
        <v>5932</v>
      </c>
      <c r="D299" s="18" t="s">
        <v>5350</v>
      </c>
      <c r="E299" s="18" t="s">
        <v>5400</v>
      </c>
      <c r="F299" s="18" t="s">
        <v>5400</v>
      </c>
      <c r="G299" s="18" t="s">
        <v>5344</v>
      </c>
      <c r="H299" s="18" t="s">
        <v>5345</v>
      </c>
      <c r="I299" s="19">
        <v>38</v>
      </c>
    </row>
    <row r="300" spans="1:9" x14ac:dyDescent="0.3">
      <c r="A300" s="17" t="s">
        <v>2558</v>
      </c>
      <c r="B300" s="18" t="s">
        <v>5933</v>
      </c>
      <c r="C300" s="18" t="s">
        <v>5934</v>
      </c>
      <c r="D300" s="18" t="s">
        <v>5341</v>
      </c>
      <c r="E300" s="18" t="s">
        <v>5497</v>
      </c>
      <c r="F300" s="18" t="s">
        <v>5498</v>
      </c>
      <c r="G300" s="18" t="s">
        <v>5370</v>
      </c>
      <c r="H300" s="18" t="s">
        <v>5371</v>
      </c>
      <c r="I300" s="19">
        <v>36</v>
      </c>
    </row>
    <row r="301" spans="1:9" x14ac:dyDescent="0.3">
      <c r="A301" s="17" t="s">
        <v>1373</v>
      </c>
      <c r="B301" s="18" t="s">
        <v>5935</v>
      </c>
      <c r="C301" s="18" t="s">
        <v>5936</v>
      </c>
      <c r="D301" s="18" t="s">
        <v>5341</v>
      </c>
      <c r="E301" s="18" t="s">
        <v>5489</v>
      </c>
      <c r="F301" s="18" t="s">
        <v>5390</v>
      </c>
      <c r="G301" s="18" t="s">
        <v>5353</v>
      </c>
      <c r="H301" s="18" t="s">
        <v>5354</v>
      </c>
      <c r="I301" s="19">
        <v>36</v>
      </c>
    </row>
    <row r="302" spans="1:9" x14ac:dyDescent="0.3">
      <c r="A302" s="13" t="s">
        <v>1522</v>
      </c>
      <c r="B302" s="14" t="s">
        <v>5937</v>
      </c>
      <c r="C302" s="14" t="s">
        <v>5938</v>
      </c>
      <c r="D302" s="14" t="s">
        <v>5350</v>
      </c>
      <c r="E302" s="14" t="s">
        <v>5939</v>
      </c>
      <c r="F302" s="14" t="s">
        <v>5940</v>
      </c>
      <c r="G302" s="14" t="s">
        <v>5370</v>
      </c>
      <c r="H302" s="14" t="s">
        <v>5371</v>
      </c>
      <c r="I302" s="15">
        <v>62</v>
      </c>
    </row>
    <row r="303" spans="1:9" x14ac:dyDescent="0.3">
      <c r="A303" s="13" t="s">
        <v>124</v>
      </c>
      <c r="B303" s="14" t="s">
        <v>5941</v>
      </c>
      <c r="C303" s="14" t="s">
        <v>5942</v>
      </c>
      <c r="D303" s="14" t="s">
        <v>5357</v>
      </c>
      <c r="E303" s="14" t="s">
        <v>5442</v>
      </c>
      <c r="F303" s="14" t="s">
        <v>5363</v>
      </c>
      <c r="G303" s="14" t="s">
        <v>5353</v>
      </c>
      <c r="H303" s="14" t="s">
        <v>5354</v>
      </c>
      <c r="I303" s="15">
        <v>41</v>
      </c>
    </row>
    <row r="304" spans="1:9" x14ac:dyDescent="0.3">
      <c r="A304" s="13" t="s">
        <v>1006</v>
      </c>
      <c r="B304" s="14" t="s">
        <v>5941</v>
      </c>
      <c r="C304" s="14" t="s">
        <v>5943</v>
      </c>
      <c r="D304" s="14" t="s">
        <v>5357</v>
      </c>
      <c r="E304" s="14" t="s">
        <v>5944</v>
      </c>
      <c r="F304" s="14" t="s">
        <v>5945</v>
      </c>
      <c r="G304" s="14" t="s">
        <v>5398</v>
      </c>
      <c r="H304" s="14" t="s">
        <v>5399</v>
      </c>
      <c r="I304" s="15">
        <v>74</v>
      </c>
    </row>
    <row r="305" spans="1:9" x14ac:dyDescent="0.3">
      <c r="A305" s="13" t="s">
        <v>366</v>
      </c>
      <c r="B305" s="14" t="s">
        <v>5946</v>
      </c>
      <c r="C305" s="14" t="s">
        <v>5947</v>
      </c>
      <c r="D305" s="14" t="s">
        <v>5341</v>
      </c>
      <c r="E305" s="14" t="s">
        <v>5948</v>
      </c>
      <c r="F305" s="14" t="s">
        <v>5407</v>
      </c>
      <c r="G305" s="14" t="s">
        <v>5366</v>
      </c>
      <c r="H305" s="14" t="s">
        <v>5367</v>
      </c>
      <c r="I305" s="15">
        <v>37</v>
      </c>
    </row>
    <row r="306" spans="1:9" x14ac:dyDescent="0.3">
      <c r="A306" s="13" t="s">
        <v>1495</v>
      </c>
      <c r="B306" s="14" t="s">
        <v>5949</v>
      </c>
      <c r="C306" s="14" t="s">
        <v>5950</v>
      </c>
      <c r="D306" s="14" t="s">
        <v>5341</v>
      </c>
      <c r="E306" s="14" t="s">
        <v>5951</v>
      </c>
      <c r="F306" s="14" t="s">
        <v>5423</v>
      </c>
      <c r="G306" s="14" t="s">
        <v>5398</v>
      </c>
      <c r="H306" s="14" t="s">
        <v>5399</v>
      </c>
      <c r="I306" s="15">
        <v>75</v>
      </c>
    </row>
    <row r="307" spans="1:9" x14ac:dyDescent="0.3">
      <c r="A307" s="17" t="s">
        <v>472</v>
      </c>
      <c r="B307" s="18" t="s">
        <v>5952</v>
      </c>
      <c r="C307" s="18" t="s">
        <v>5953</v>
      </c>
      <c r="D307" s="18" t="s">
        <v>5341</v>
      </c>
      <c r="E307" s="18" t="s">
        <v>5571</v>
      </c>
      <c r="F307" s="18" t="s">
        <v>5454</v>
      </c>
      <c r="G307" s="18" t="s">
        <v>5353</v>
      </c>
      <c r="H307" s="18" t="s">
        <v>5354</v>
      </c>
      <c r="I307" s="19">
        <v>67</v>
      </c>
    </row>
    <row r="308" spans="1:9" x14ac:dyDescent="0.3">
      <c r="A308" s="17" t="s">
        <v>251</v>
      </c>
      <c r="B308" s="18" t="s">
        <v>5952</v>
      </c>
      <c r="C308" s="18" t="s">
        <v>5954</v>
      </c>
      <c r="D308" s="18" t="s">
        <v>5357</v>
      </c>
      <c r="E308" s="18" t="s">
        <v>5955</v>
      </c>
      <c r="F308" s="18" t="s">
        <v>5387</v>
      </c>
      <c r="G308" s="18" t="s">
        <v>5344</v>
      </c>
      <c r="H308" s="18" t="s">
        <v>5345</v>
      </c>
      <c r="I308" s="19">
        <v>30</v>
      </c>
    </row>
    <row r="309" spans="1:9" x14ac:dyDescent="0.3">
      <c r="A309" s="17" t="s">
        <v>1404</v>
      </c>
      <c r="B309" s="18" t="s">
        <v>5956</v>
      </c>
      <c r="C309" s="18" t="s">
        <v>5957</v>
      </c>
      <c r="D309" s="18" t="s">
        <v>5350</v>
      </c>
      <c r="E309" s="18" t="s">
        <v>5958</v>
      </c>
      <c r="F309" s="18" t="s">
        <v>5498</v>
      </c>
      <c r="G309" s="18" t="s">
        <v>5370</v>
      </c>
      <c r="H309" s="18" t="s">
        <v>5371</v>
      </c>
      <c r="I309" s="19">
        <v>51</v>
      </c>
    </row>
    <row r="310" spans="1:9" x14ac:dyDescent="0.3">
      <c r="A310" s="17" t="s">
        <v>182</v>
      </c>
      <c r="B310" s="18" t="s">
        <v>5956</v>
      </c>
      <c r="C310" s="18" t="s">
        <v>5957</v>
      </c>
      <c r="D310" s="18" t="s">
        <v>5357</v>
      </c>
      <c r="E310" s="18" t="s">
        <v>5401</v>
      </c>
      <c r="F310" s="18" t="s">
        <v>5352</v>
      </c>
      <c r="G310" s="18" t="s">
        <v>5353</v>
      </c>
      <c r="H310" s="18" t="s">
        <v>5354</v>
      </c>
      <c r="I310" s="19">
        <v>77</v>
      </c>
    </row>
    <row r="311" spans="1:9" x14ac:dyDescent="0.3">
      <c r="A311" s="13" t="s">
        <v>1248</v>
      </c>
      <c r="B311" s="14" t="s">
        <v>5956</v>
      </c>
      <c r="C311" s="14" t="s">
        <v>5959</v>
      </c>
      <c r="D311" s="14" t="s">
        <v>5350</v>
      </c>
      <c r="E311" s="14" t="s">
        <v>5960</v>
      </c>
      <c r="F311" s="14" t="s">
        <v>5715</v>
      </c>
      <c r="G311" s="14" t="s">
        <v>5366</v>
      </c>
      <c r="H311" s="14" t="s">
        <v>5367</v>
      </c>
      <c r="I311" s="15">
        <v>64</v>
      </c>
    </row>
    <row r="312" spans="1:9" x14ac:dyDescent="0.3">
      <c r="A312" s="17" t="s">
        <v>673</v>
      </c>
      <c r="B312" s="18" t="s">
        <v>5961</v>
      </c>
      <c r="C312" s="18" t="s">
        <v>5962</v>
      </c>
      <c r="D312" s="18" t="s">
        <v>5357</v>
      </c>
      <c r="E312" s="18" t="s">
        <v>5458</v>
      </c>
      <c r="F312" s="18" t="s">
        <v>5454</v>
      </c>
      <c r="G312" s="18" t="s">
        <v>5353</v>
      </c>
      <c r="H312" s="18" t="s">
        <v>5354</v>
      </c>
      <c r="I312" s="19">
        <v>28</v>
      </c>
    </row>
    <row r="313" spans="1:9" x14ac:dyDescent="0.3">
      <c r="A313" s="13" t="s">
        <v>160</v>
      </c>
      <c r="B313" s="14" t="s">
        <v>5961</v>
      </c>
      <c r="C313" s="14" t="s">
        <v>5962</v>
      </c>
      <c r="D313" s="14" t="s">
        <v>5341</v>
      </c>
      <c r="E313" s="14" t="s">
        <v>5963</v>
      </c>
      <c r="F313" s="14" t="s">
        <v>5523</v>
      </c>
      <c r="G313" s="14" t="s">
        <v>5398</v>
      </c>
      <c r="H313" s="14" t="s">
        <v>5399</v>
      </c>
      <c r="I313" s="15">
        <v>34</v>
      </c>
    </row>
    <row r="314" spans="1:9" x14ac:dyDescent="0.3">
      <c r="A314" s="17" t="s">
        <v>235</v>
      </c>
      <c r="B314" s="18" t="s">
        <v>5964</v>
      </c>
      <c r="C314" s="18" t="s">
        <v>5965</v>
      </c>
      <c r="D314" s="18" t="s">
        <v>5341</v>
      </c>
      <c r="E314" s="18" t="s">
        <v>5966</v>
      </c>
      <c r="F314" s="18" t="s">
        <v>5967</v>
      </c>
      <c r="G314" s="18" t="s">
        <v>5366</v>
      </c>
      <c r="H314" s="18" t="s">
        <v>5367</v>
      </c>
      <c r="I314" s="19">
        <v>51</v>
      </c>
    </row>
    <row r="315" spans="1:9" x14ac:dyDescent="0.3">
      <c r="A315" s="13" t="s">
        <v>27</v>
      </c>
      <c r="B315" s="14" t="s">
        <v>5968</v>
      </c>
      <c r="C315" s="14" t="s">
        <v>5969</v>
      </c>
      <c r="D315" s="14" t="s">
        <v>5350</v>
      </c>
      <c r="E315" s="14" t="s">
        <v>5426</v>
      </c>
      <c r="F315" s="14" t="s">
        <v>5352</v>
      </c>
      <c r="G315" s="14" t="s">
        <v>5353</v>
      </c>
      <c r="H315" s="14" t="s">
        <v>5354</v>
      </c>
      <c r="I315" s="15">
        <v>53</v>
      </c>
    </row>
    <row r="316" spans="1:9" x14ac:dyDescent="0.3">
      <c r="A316" s="17" t="s">
        <v>1164</v>
      </c>
      <c r="B316" s="18" t="s">
        <v>5968</v>
      </c>
      <c r="C316" s="18" t="s">
        <v>5970</v>
      </c>
      <c r="D316" s="18" t="s">
        <v>5357</v>
      </c>
      <c r="E316" s="18" t="s">
        <v>5463</v>
      </c>
      <c r="F316" s="18" t="s">
        <v>5454</v>
      </c>
      <c r="G316" s="18" t="s">
        <v>5353</v>
      </c>
      <c r="H316" s="18" t="s">
        <v>5354</v>
      </c>
      <c r="I316" s="19">
        <v>42</v>
      </c>
    </row>
    <row r="317" spans="1:9" x14ac:dyDescent="0.3">
      <c r="A317" s="17" t="s">
        <v>710</v>
      </c>
      <c r="B317" s="18" t="s">
        <v>5968</v>
      </c>
      <c r="C317" s="18" t="s">
        <v>5502</v>
      </c>
      <c r="D317" s="18" t="s">
        <v>5357</v>
      </c>
      <c r="E317" s="18" t="s">
        <v>5400</v>
      </c>
      <c r="F317" s="18" t="s">
        <v>5400</v>
      </c>
      <c r="G317" s="18" t="s">
        <v>5344</v>
      </c>
      <c r="H317" s="18" t="s">
        <v>5345</v>
      </c>
      <c r="I317" s="19">
        <v>80</v>
      </c>
    </row>
    <row r="318" spans="1:9" x14ac:dyDescent="0.3">
      <c r="A318" s="13" t="s">
        <v>1026</v>
      </c>
      <c r="B318" s="14" t="s">
        <v>5968</v>
      </c>
      <c r="C318" s="14" t="s">
        <v>5971</v>
      </c>
      <c r="D318" s="14" t="s">
        <v>5357</v>
      </c>
      <c r="E318" s="14" t="s">
        <v>5431</v>
      </c>
      <c r="F318" s="14" t="s">
        <v>5431</v>
      </c>
      <c r="G318" s="14" t="s">
        <v>5370</v>
      </c>
      <c r="H318" s="14" t="s">
        <v>5371</v>
      </c>
      <c r="I318" s="15">
        <v>50</v>
      </c>
    </row>
    <row r="319" spans="1:9" x14ac:dyDescent="0.3">
      <c r="A319" s="13" t="s">
        <v>41</v>
      </c>
      <c r="B319" s="14" t="s">
        <v>5968</v>
      </c>
      <c r="C319" s="14" t="s">
        <v>5970</v>
      </c>
      <c r="D319" s="14" t="s">
        <v>5357</v>
      </c>
      <c r="E319" s="14" t="s">
        <v>5458</v>
      </c>
      <c r="F319" s="14" t="s">
        <v>5454</v>
      </c>
      <c r="G319" s="14" t="s">
        <v>5353</v>
      </c>
      <c r="H319" s="14" t="s">
        <v>5354</v>
      </c>
      <c r="I319" s="15">
        <v>66</v>
      </c>
    </row>
    <row r="320" spans="1:9" x14ac:dyDescent="0.3">
      <c r="A320" s="13" t="s">
        <v>703</v>
      </c>
      <c r="B320" s="14" t="s">
        <v>5968</v>
      </c>
      <c r="C320" s="14" t="s">
        <v>5970</v>
      </c>
      <c r="D320" s="14" t="s">
        <v>5357</v>
      </c>
      <c r="E320" s="14" t="s">
        <v>5368</v>
      </c>
      <c r="F320" s="14" t="s">
        <v>5369</v>
      </c>
      <c r="G320" s="14" t="s">
        <v>5370</v>
      </c>
      <c r="H320" s="14" t="s">
        <v>5371</v>
      </c>
      <c r="I320" s="15">
        <v>62</v>
      </c>
    </row>
    <row r="321" spans="1:9" x14ac:dyDescent="0.3">
      <c r="A321" s="17" t="s">
        <v>1017</v>
      </c>
      <c r="B321" s="18" t="s">
        <v>5968</v>
      </c>
      <c r="C321" s="18" t="s">
        <v>5970</v>
      </c>
      <c r="D321" s="18" t="s">
        <v>5341</v>
      </c>
      <c r="E321" s="18" t="s">
        <v>5972</v>
      </c>
      <c r="F321" s="18" t="s">
        <v>5430</v>
      </c>
      <c r="G321" s="18" t="s">
        <v>5398</v>
      </c>
      <c r="H321" s="18" t="s">
        <v>5399</v>
      </c>
      <c r="I321" s="19">
        <v>52</v>
      </c>
    </row>
    <row r="322" spans="1:9" x14ac:dyDescent="0.3">
      <c r="A322" s="13" t="s">
        <v>700</v>
      </c>
      <c r="B322" s="14" t="s">
        <v>5973</v>
      </c>
      <c r="C322" s="14" t="s">
        <v>5757</v>
      </c>
      <c r="D322" s="14" t="s">
        <v>5350</v>
      </c>
      <c r="E322" s="14" t="s">
        <v>5974</v>
      </c>
      <c r="F322" s="14" t="s">
        <v>5390</v>
      </c>
      <c r="G322" s="14" t="s">
        <v>5353</v>
      </c>
      <c r="H322" s="14" t="s">
        <v>5354</v>
      </c>
      <c r="I322" s="15">
        <v>37</v>
      </c>
    </row>
    <row r="323" spans="1:9" x14ac:dyDescent="0.3">
      <c r="A323" s="17" t="s">
        <v>469</v>
      </c>
      <c r="B323" s="18" t="s">
        <v>5973</v>
      </c>
      <c r="C323" s="18" t="s">
        <v>5975</v>
      </c>
      <c r="D323" s="18" t="s">
        <v>5357</v>
      </c>
      <c r="E323" s="18" t="s">
        <v>5976</v>
      </c>
      <c r="F323" s="18" t="s">
        <v>5977</v>
      </c>
      <c r="G323" s="18" t="s">
        <v>5370</v>
      </c>
      <c r="H323" s="18" t="s">
        <v>5371</v>
      </c>
      <c r="I323" s="19">
        <v>70</v>
      </c>
    </row>
    <row r="324" spans="1:9" x14ac:dyDescent="0.3">
      <c r="A324" s="17" t="s">
        <v>225</v>
      </c>
      <c r="B324" s="18" t="s">
        <v>5973</v>
      </c>
      <c r="C324" s="18" t="s">
        <v>5975</v>
      </c>
      <c r="D324" s="18" t="s">
        <v>5341</v>
      </c>
      <c r="E324" s="18" t="s">
        <v>5978</v>
      </c>
      <c r="F324" s="18" t="s">
        <v>5558</v>
      </c>
      <c r="G324" s="18" t="s">
        <v>5366</v>
      </c>
      <c r="H324" s="18" t="s">
        <v>5367</v>
      </c>
      <c r="I324" s="19">
        <v>79</v>
      </c>
    </row>
    <row r="325" spans="1:9" x14ac:dyDescent="0.3">
      <c r="A325" s="13" t="s">
        <v>1145</v>
      </c>
      <c r="B325" s="14" t="s">
        <v>5979</v>
      </c>
      <c r="C325" s="14" t="s">
        <v>5980</v>
      </c>
      <c r="D325" s="14" t="s">
        <v>5341</v>
      </c>
      <c r="E325" s="14" t="s">
        <v>5503</v>
      </c>
      <c r="F325" s="14" t="s">
        <v>5407</v>
      </c>
      <c r="G325" s="14" t="s">
        <v>5366</v>
      </c>
      <c r="H325" s="14" t="s">
        <v>5367</v>
      </c>
      <c r="I325" s="15">
        <v>76</v>
      </c>
    </row>
    <row r="326" spans="1:9" x14ac:dyDescent="0.3">
      <c r="A326" s="17" t="s">
        <v>245</v>
      </c>
      <c r="B326" s="18" t="s">
        <v>5979</v>
      </c>
      <c r="C326" s="18" t="s">
        <v>5981</v>
      </c>
      <c r="D326" s="18" t="s">
        <v>5357</v>
      </c>
      <c r="E326" s="18" t="s">
        <v>5982</v>
      </c>
      <c r="F326" s="18" t="s">
        <v>5983</v>
      </c>
      <c r="G326" s="18" t="s">
        <v>5370</v>
      </c>
      <c r="H326" s="18" t="s">
        <v>5371</v>
      </c>
      <c r="I326" s="19">
        <v>28</v>
      </c>
    </row>
    <row r="327" spans="1:9" x14ac:dyDescent="0.3">
      <c r="A327" s="17" t="s">
        <v>223</v>
      </c>
      <c r="B327" s="18" t="s">
        <v>5979</v>
      </c>
      <c r="C327" s="18" t="s">
        <v>5980</v>
      </c>
      <c r="D327" s="18" t="s">
        <v>5350</v>
      </c>
      <c r="E327" s="18" t="s">
        <v>5984</v>
      </c>
      <c r="F327" s="18" t="s">
        <v>5375</v>
      </c>
      <c r="G327" s="18" t="s">
        <v>5344</v>
      </c>
      <c r="H327" s="18" t="s">
        <v>5345</v>
      </c>
      <c r="I327" s="19">
        <v>63</v>
      </c>
    </row>
    <row r="328" spans="1:9" x14ac:dyDescent="0.3">
      <c r="A328" s="13" t="s">
        <v>1119</v>
      </c>
      <c r="B328" s="14" t="s">
        <v>5985</v>
      </c>
      <c r="C328" s="14" t="s">
        <v>5674</v>
      </c>
      <c r="D328" s="14" t="s">
        <v>5357</v>
      </c>
      <c r="E328" s="14" t="s">
        <v>5986</v>
      </c>
      <c r="F328" s="14" t="s">
        <v>5486</v>
      </c>
      <c r="G328" s="14" t="s">
        <v>5398</v>
      </c>
      <c r="H328" s="14" t="s">
        <v>5399</v>
      </c>
      <c r="I328" s="15">
        <v>67</v>
      </c>
    </row>
    <row r="329" spans="1:9" x14ac:dyDescent="0.3">
      <c r="A329" s="13" t="s">
        <v>436</v>
      </c>
      <c r="B329" s="14" t="s">
        <v>5985</v>
      </c>
      <c r="C329" s="14" t="s">
        <v>5923</v>
      </c>
      <c r="D329" s="14" t="s">
        <v>5357</v>
      </c>
      <c r="E329" s="14" t="s">
        <v>5987</v>
      </c>
      <c r="F329" s="14" t="s">
        <v>5823</v>
      </c>
      <c r="G329" s="14" t="s">
        <v>5398</v>
      </c>
      <c r="H329" s="14" t="s">
        <v>5399</v>
      </c>
      <c r="I329" s="15">
        <v>34</v>
      </c>
    </row>
    <row r="330" spans="1:9" x14ac:dyDescent="0.3">
      <c r="A330" s="13" t="s">
        <v>1037</v>
      </c>
      <c r="B330" s="14" t="s">
        <v>5985</v>
      </c>
      <c r="C330" s="14" t="s">
        <v>5988</v>
      </c>
      <c r="D330" s="14" t="s">
        <v>5341</v>
      </c>
      <c r="E330" s="14" t="s">
        <v>5763</v>
      </c>
      <c r="F330" s="14" t="s">
        <v>5436</v>
      </c>
      <c r="G330" s="14" t="s">
        <v>5353</v>
      </c>
      <c r="H330" s="14" t="s">
        <v>5354</v>
      </c>
      <c r="I330" s="15">
        <v>48</v>
      </c>
    </row>
    <row r="331" spans="1:9" x14ac:dyDescent="0.3">
      <c r="A331" s="17" t="s">
        <v>1341</v>
      </c>
      <c r="B331" s="18" t="s">
        <v>5985</v>
      </c>
      <c r="C331" s="18" t="s">
        <v>5923</v>
      </c>
      <c r="D331" s="18" t="s">
        <v>5350</v>
      </c>
      <c r="E331" s="18" t="s">
        <v>5431</v>
      </c>
      <c r="F331" s="18" t="s">
        <v>5431</v>
      </c>
      <c r="G331" s="18" t="s">
        <v>5370</v>
      </c>
      <c r="H331" s="18" t="s">
        <v>5371</v>
      </c>
      <c r="I331" s="19">
        <v>75</v>
      </c>
    </row>
    <row r="332" spans="1:9" x14ac:dyDescent="0.3">
      <c r="A332" s="13" t="s">
        <v>810</v>
      </c>
      <c r="B332" s="14" t="s">
        <v>5989</v>
      </c>
      <c r="C332" s="14" t="s">
        <v>5990</v>
      </c>
      <c r="D332" s="14" t="s">
        <v>5357</v>
      </c>
      <c r="E332" s="14" t="s">
        <v>5400</v>
      </c>
      <c r="F332" s="14" t="s">
        <v>5400</v>
      </c>
      <c r="G332" s="14" t="s">
        <v>5344</v>
      </c>
      <c r="H332" s="14" t="s">
        <v>5345</v>
      </c>
      <c r="I332" s="15">
        <v>52</v>
      </c>
    </row>
    <row r="333" spans="1:9" x14ac:dyDescent="0.3">
      <c r="A333" s="17" t="s">
        <v>1594</v>
      </c>
      <c r="B333" s="18" t="s">
        <v>5989</v>
      </c>
      <c r="C333" s="18" t="s">
        <v>5990</v>
      </c>
      <c r="D333" s="18" t="s">
        <v>5341</v>
      </c>
      <c r="E333" s="18" t="s">
        <v>5869</v>
      </c>
      <c r="F333" s="18" t="s">
        <v>5669</v>
      </c>
      <c r="G333" s="18" t="s">
        <v>5370</v>
      </c>
      <c r="H333" s="18" t="s">
        <v>5371</v>
      </c>
      <c r="I333" s="19">
        <v>25</v>
      </c>
    </row>
    <row r="334" spans="1:9" x14ac:dyDescent="0.3">
      <c r="A334" s="17" t="s">
        <v>1462</v>
      </c>
      <c r="B334" s="18" t="s">
        <v>5991</v>
      </c>
      <c r="C334" s="18" t="s">
        <v>5992</v>
      </c>
      <c r="D334" s="18" t="s">
        <v>5341</v>
      </c>
      <c r="E334" s="18" t="s">
        <v>5993</v>
      </c>
      <c r="F334" s="18" t="s">
        <v>5352</v>
      </c>
      <c r="G334" s="18" t="s">
        <v>5353</v>
      </c>
      <c r="H334" s="18" t="s">
        <v>5354</v>
      </c>
      <c r="I334" s="19">
        <v>38</v>
      </c>
    </row>
    <row r="335" spans="1:9" x14ac:dyDescent="0.3">
      <c r="A335" s="13" t="s">
        <v>32</v>
      </c>
      <c r="B335" s="14" t="s">
        <v>5994</v>
      </c>
      <c r="C335" s="14" t="s">
        <v>5995</v>
      </c>
      <c r="D335" s="14" t="s">
        <v>5357</v>
      </c>
      <c r="E335" s="14" t="s">
        <v>5996</v>
      </c>
      <c r="F335" s="14" t="s">
        <v>5854</v>
      </c>
      <c r="G335" s="14" t="s">
        <v>5398</v>
      </c>
      <c r="H335" s="14" t="s">
        <v>5399</v>
      </c>
      <c r="I335" s="15">
        <v>42</v>
      </c>
    </row>
    <row r="336" spans="1:9" x14ac:dyDescent="0.3">
      <c r="A336" s="13" t="s">
        <v>892</v>
      </c>
      <c r="B336" s="14" t="s">
        <v>5994</v>
      </c>
      <c r="C336" s="14" t="s">
        <v>5537</v>
      </c>
      <c r="D336" s="14" t="s">
        <v>5357</v>
      </c>
      <c r="E336" s="14" t="s">
        <v>5475</v>
      </c>
      <c r="F336" s="14" t="s">
        <v>5476</v>
      </c>
      <c r="G336" s="14" t="s">
        <v>5344</v>
      </c>
      <c r="H336" s="14" t="s">
        <v>5345</v>
      </c>
      <c r="I336" s="15">
        <v>62</v>
      </c>
    </row>
    <row r="337" spans="1:9" x14ac:dyDescent="0.3">
      <c r="A337" s="13" t="s">
        <v>202</v>
      </c>
      <c r="B337" s="14" t="s">
        <v>5997</v>
      </c>
      <c r="C337" s="14" t="s">
        <v>5998</v>
      </c>
      <c r="D337" s="14" t="s">
        <v>5357</v>
      </c>
      <c r="E337" s="14" t="s">
        <v>5999</v>
      </c>
      <c r="F337" s="14" t="s">
        <v>5580</v>
      </c>
      <c r="G337" s="14" t="s">
        <v>5366</v>
      </c>
      <c r="H337" s="14" t="s">
        <v>5367</v>
      </c>
      <c r="I337" s="15">
        <v>51</v>
      </c>
    </row>
    <row r="338" spans="1:9" x14ac:dyDescent="0.3">
      <c r="A338" s="17" t="s">
        <v>476</v>
      </c>
      <c r="B338" s="18" t="s">
        <v>6000</v>
      </c>
      <c r="C338" s="18" t="s">
        <v>5604</v>
      </c>
      <c r="D338" s="18" t="s">
        <v>5357</v>
      </c>
      <c r="E338" s="18" t="s">
        <v>5468</v>
      </c>
      <c r="F338" s="18" t="s">
        <v>5468</v>
      </c>
      <c r="G338" s="18" t="s">
        <v>5366</v>
      </c>
      <c r="H338" s="18" t="s">
        <v>5367</v>
      </c>
      <c r="I338" s="19">
        <v>75</v>
      </c>
    </row>
    <row r="339" spans="1:9" x14ac:dyDescent="0.3">
      <c r="A339" s="17" t="s">
        <v>967</v>
      </c>
      <c r="B339" s="18" t="s">
        <v>6001</v>
      </c>
      <c r="C339" s="18" t="s">
        <v>5517</v>
      </c>
      <c r="D339" s="18" t="s">
        <v>5357</v>
      </c>
      <c r="E339" s="18" t="s">
        <v>6002</v>
      </c>
      <c r="F339" s="18" t="s">
        <v>5539</v>
      </c>
      <c r="G339" s="18" t="s">
        <v>5366</v>
      </c>
      <c r="H339" s="18" t="s">
        <v>5367</v>
      </c>
      <c r="I339" s="19">
        <v>69</v>
      </c>
    </row>
    <row r="340" spans="1:9" x14ac:dyDescent="0.3">
      <c r="A340" s="17" t="s">
        <v>615</v>
      </c>
      <c r="B340" s="18" t="s">
        <v>6001</v>
      </c>
      <c r="C340" s="18" t="s">
        <v>6003</v>
      </c>
      <c r="D340" s="18" t="s">
        <v>5341</v>
      </c>
      <c r="E340" s="18" t="s">
        <v>5921</v>
      </c>
      <c r="F340" s="18" t="s">
        <v>5480</v>
      </c>
      <c r="G340" s="18" t="s">
        <v>5366</v>
      </c>
      <c r="H340" s="18" t="s">
        <v>5367</v>
      </c>
      <c r="I340" s="19">
        <v>78</v>
      </c>
    </row>
    <row r="341" spans="1:9" x14ac:dyDescent="0.3">
      <c r="A341" s="13" t="s">
        <v>198</v>
      </c>
      <c r="B341" s="14" t="s">
        <v>6004</v>
      </c>
      <c r="C341" s="14" t="s">
        <v>6005</v>
      </c>
      <c r="D341" s="14" t="s">
        <v>5341</v>
      </c>
      <c r="E341" s="14" t="s">
        <v>5583</v>
      </c>
      <c r="F341" s="14" t="s">
        <v>5498</v>
      </c>
      <c r="G341" s="14" t="s">
        <v>5370</v>
      </c>
      <c r="H341" s="14" t="s">
        <v>5371</v>
      </c>
      <c r="I341" s="15">
        <v>67</v>
      </c>
    </row>
    <row r="342" spans="1:9" x14ac:dyDescent="0.3">
      <c r="A342" s="13" t="s">
        <v>790</v>
      </c>
      <c r="B342" s="14" t="s">
        <v>6006</v>
      </c>
      <c r="C342" s="14" t="s">
        <v>5452</v>
      </c>
      <c r="D342" s="14" t="s">
        <v>5341</v>
      </c>
      <c r="E342" s="14" t="s">
        <v>6007</v>
      </c>
      <c r="F342" s="14" t="s">
        <v>5436</v>
      </c>
      <c r="G342" s="14" t="s">
        <v>5353</v>
      </c>
      <c r="H342" s="14" t="s">
        <v>5354</v>
      </c>
      <c r="I342" s="15">
        <v>45</v>
      </c>
    </row>
    <row r="343" spans="1:9" x14ac:dyDescent="0.3">
      <c r="A343" s="13" t="s">
        <v>112</v>
      </c>
      <c r="B343" s="14" t="s">
        <v>6006</v>
      </c>
      <c r="C343" s="14" t="s">
        <v>6008</v>
      </c>
      <c r="D343" s="14" t="s">
        <v>5350</v>
      </c>
      <c r="E343" s="14" t="s">
        <v>6009</v>
      </c>
      <c r="F343" s="14" t="s">
        <v>6010</v>
      </c>
      <c r="G343" s="14" t="s">
        <v>5370</v>
      </c>
      <c r="H343" s="14" t="s">
        <v>5371</v>
      </c>
      <c r="I343" s="15">
        <v>61</v>
      </c>
    </row>
    <row r="344" spans="1:9" x14ac:dyDescent="0.3">
      <c r="A344" s="13" t="s">
        <v>1220</v>
      </c>
      <c r="B344" s="14" t="s">
        <v>6011</v>
      </c>
      <c r="C344" s="14" t="s">
        <v>5874</v>
      </c>
      <c r="D344" s="14" t="s">
        <v>5350</v>
      </c>
      <c r="E344" s="14" t="s">
        <v>6012</v>
      </c>
      <c r="F344" s="14" t="s">
        <v>6013</v>
      </c>
      <c r="G344" s="14" t="s">
        <v>5398</v>
      </c>
      <c r="H344" s="14" t="s">
        <v>5399</v>
      </c>
      <c r="I344" s="15">
        <v>74</v>
      </c>
    </row>
    <row r="345" spans="1:9" x14ac:dyDescent="0.3">
      <c r="A345" s="13" t="s">
        <v>231</v>
      </c>
      <c r="B345" s="14" t="s">
        <v>6014</v>
      </c>
      <c r="C345" s="14" t="s">
        <v>6015</v>
      </c>
      <c r="D345" s="14" t="s">
        <v>5350</v>
      </c>
      <c r="E345" s="14" t="s">
        <v>5734</v>
      </c>
      <c r="F345" s="14" t="s">
        <v>5397</v>
      </c>
      <c r="G345" s="14" t="s">
        <v>5398</v>
      </c>
      <c r="H345" s="14" t="s">
        <v>5399</v>
      </c>
      <c r="I345" s="15">
        <v>39</v>
      </c>
    </row>
    <row r="346" spans="1:9" x14ac:dyDescent="0.3">
      <c r="A346" s="17" t="s">
        <v>264</v>
      </c>
      <c r="B346" s="18" t="s">
        <v>6014</v>
      </c>
      <c r="C346" s="18" t="s">
        <v>5745</v>
      </c>
      <c r="D346" s="18" t="s">
        <v>5357</v>
      </c>
      <c r="E346" s="18" t="s">
        <v>6016</v>
      </c>
      <c r="F346" s="18" t="s">
        <v>6010</v>
      </c>
      <c r="G346" s="18" t="s">
        <v>5370</v>
      </c>
      <c r="H346" s="18" t="s">
        <v>5371</v>
      </c>
      <c r="I346" s="19">
        <v>27</v>
      </c>
    </row>
    <row r="347" spans="1:9" x14ac:dyDescent="0.3">
      <c r="A347" s="13" t="s">
        <v>402</v>
      </c>
      <c r="B347" s="14" t="s">
        <v>6017</v>
      </c>
      <c r="C347" s="14" t="s">
        <v>5830</v>
      </c>
      <c r="D347" s="14" t="s">
        <v>5357</v>
      </c>
      <c r="E347" s="14" t="s">
        <v>5400</v>
      </c>
      <c r="F347" s="14" t="s">
        <v>5400</v>
      </c>
      <c r="G347" s="14" t="s">
        <v>5344</v>
      </c>
      <c r="H347" s="14" t="s">
        <v>5345</v>
      </c>
      <c r="I347" s="15">
        <v>38</v>
      </c>
    </row>
    <row r="348" spans="1:9" x14ac:dyDescent="0.3">
      <c r="A348" s="13" t="s">
        <v>1011</v>
      </c>
      <c r="B348" s="14" t="s">
        <v>6018</v>
      </c>
      <c r="C348" s="14" t="s">
        <v>6019</v>
      </c>
      <c r="D348" s="14" t="s">
        <v>5341</v>
      </c>
      <c r="E348" s="14" t="s">
        <v>6020</v>
      </c>
      <c r="F348" s="14" t="s">
        <v>5509</v>
      </c>
      <c r="G348" s="14" t="s">
        <v>5344</v>
      </c>
      <c r="H348" s="14" t="s">
        <v>5345</v>
      </c>
      <c r="I348" s="15">
        <v>66</v>
      </c>
    </row>
    <row r="349" spans="1:9" x14ac:dyDescent="0.3">
      <c r="A349" s="13" t="s">
        <v>1015</v>
      </c>
      <c r="B349" s="14" t="s">
        <v>6018</v>
      </c>
      <c r="C349" s="14" t="s">
        <v>6019</v>
      </c>
      <c r="D349" s="14" t="s">
        <v>5357</v>
      </c>
      <c r="E349" s="14" t="s">
        <v>5471</v>
      </c>
      <c r="F349" s="14" t="s">
        <v>5352</v>
      </c>
      <c r="G349" s="14" t="s">
        <v>5353</v>
      </c>
      <c r="H349" s="14" t="s">
        <v>5354</v>
      </c>
      <c r="I349" s="15">
        <v>31</v>
      </c>
    </row>
    <row r="350" spans="1:9" x14ac:dyDescent="0.3">
      <c r="A350" s="17" t="s">
        <v>155</v>
      </c>
      <c r="B350" s="18" t="s">
        <v>6021</v>
      </c>
      <c r="C350" s="18" t="s">
        <v>6022</v>
      </c>
      <c r="D350" s="18" t="s">
        <v>5357</v>
      </c>
      <c r="E350" s="18" t="s">
        <v>5400</v>
      </c>
      <c r="F350" s="18" t="s">
        <v>5400</v>
      </c>
      <c r="G350" s="18" t="s">
        <v>5344</v>
      </c>
      <c r="H350" s="18" t="s">
        <v>5345</v>
      </c>
      <c r="I350" s="19">
        <v>31</v>
      </c>
    </row>
    <row r="351" spans="1:9" x14ac:dyDescent="0.3">
      <c r="A351" s="17" t="s">
        <v>186</v>
      </c>
      <c r="B351" s="18" t="s">
        <v>6021</v>
      </c>
      <c r="C351" s="18" t="s">
        <v>6023</v>
      </c>
      <c r="D351" s="18" t="s">
        <v>5357</v>
      </c>
      <c r="E351" s="18" t="s">
        <v>5431</v>
      </c>
      <c r="F351" s="18" t="s">
        <v>5431</v>
      </c>
      <c r="G351" s="18" t="s">
        <v>5370</v>
      </c>
      <c r="H351" s="18" t="s">
        <v>5371</v>
      </c>
      <c r="I351" s="19">
        <v>70</v>
      </c>
    </row>
    <row r="352" spans="1:9" x14ac:dyDescent="0.3">
      <c r="A352" s="17" t="s">
        <v>1424</v>
      </c>
      <c r="B352" s="18" t="s">
        <v>6021</v>
      </c>
      <c r="C352" s="18" t="s">
        <v>6022</v>
      </c>
      <c r="D352" s="18" t="s">
        <v>5357</v>
      </c>
      <c r="E352" s="18" t="s">
        <v>5716</v>
      </c>
      <c r="F352" s="18" t="s">
        <v>5716</v>
      </c>
      <c r="G352" s="18" t="s">
        <v>5344</v>
      </c>
      <c r="H352" s="18" t="s">
        <v>5345</v>
      </c>
      <c r="I352" s="19">
        <v>58</v>
      </c>
    </row>
    <row r="353" spans="1:9" x14ac:dyDescent="0.3">
      <c r="A353" s="17" t="s">
        <v>1398</v>
      </c>
      <c r="B353" s="18" t="s">
        <v>6024</v>
      </c>
      <c r="C353" s="18" t="s">
        <v>6025</v>
      </c>
      <c r="D353" s="18" t="s">
        <v>5357</v>
      </c>
      <c r="E353" s="18" t="s">
        <v>5658</v>
      </c>
      <c r="F353" s="18" t="s">
        <v>5498</v>
      </c>
      <c r="G353" s="18" t="s">
        <v>5370</v>
      </c>
      <c r="H353" s="18" t="s">
        <v>5371</v>
      </c>
      <c r="I353" s="19">
        <v>63</v>
      </c>
    </row>
    <row r="354" spans="1:9" x14ac:dyDescent="0.3">
      <c r="A354" s="13" t="s">
        <v>190</v>
      </c>
      <c r="B354" s="14" t="s">
        <v>6026</v>
      </c>
      <c r="C354" s="14" t="s">
        <v>6027</v>
      </c>
      <c r="D354" s="14" t="s">
        <v>5357</v>
      </c>
      <c r="E354" s="14" t="s">
        <v>5705</v>
      </c>
      <c r="F354" s="14" t="s">
        <v>5423</v>
      </c>
      <c r="G354" s="14" t="s">
        <v>5398</v>
      </c>
      <c r="H354" s="14" t="s">
        <v>5399</v>
      </c>
      <c r="I354" s="15">
        <v>50</v>
      </c>
    </row>
    <row r="355" spans="1:9" x14ac:dyDescent="0.3">
      <c r="A355" s="13" t="s">
        <v>1534</v>
      </c>
      <c r="B355" s="14" t="s">
        <v>6028</v>
      </c>
      <c r="C355" s="14" t="s">
        <v>5439</v>
      </c>
      <c r="D355" s="14" t="s">
        <v>5357</v>
      </c>
      <c r="E355" s="14" t="s">
        <v>5426</v>
      </c>
      <c r="F355" s="14" t="s">
        <v>5352</v>
      </c>
      <c r="G355" s="14" t="s">
        <v>5353</v>
      </c>
      <c r="H355" s="14" t="s">
        <v>5354</v>
      </c>
      <c r="I355" s="15">
        <v>41</v>
      </c>
    </row>
    <row r="356" spans="1:9" x14ac:dyDescent="0.3">
      <c r="A356" s="17" t="s">
        <v>571</v>
      </c>
      <c r="B356" s="18" t="s">
        <v>6028</v>
      </c>
      <c r="C356" s="18" t="s">
        <v>6029</v>
      </c>
      <c r="D356" s="18" t="s">
        <v>5341</v>
      </c>
      <c r="E356" s="18" t="s">
        <v>5435</v>
      </c>
      <c r="F356" s="18" t="s">
        <v>5436</v>
      </c>
      <c r="G356" s="18" t="s">
        <v>5353</v>
      </c>
      <c r="H356" s="18" t="s">
        <v>5354</v>
      </c>
      <c r="I356" s="19">
        <v>80</v>
      </c>
    </row>
    <row r="357" spans="1:9" x14ac:dyDescent="0.3">
      <c r="A357" s="17" t="s">
        <v>118</v>
      </c>
      <c r="B357" s="18" t="s">
        <v>6028</v>
      </c>
      <c r="C357" s="18" t="s">
        <v>6029</v>
      </c>
      <c r="D357" s="18" t="s">
        <v>5357</v>
      </c>
      <c r="E357" s="18" t="s">
        <v>5819</v>
      </c>
      <c r="F357" s="18" t="s">
        <v>5359</v>
      </c>
      <c r="G357" s="18" t="s">
        <v>5344</v>
      </c>
      <c r="H357" s="18" t="s">
        <v>5345</v>
      </c>
      <c r="I357" s="19">
        <v>25</v>
      </c>
    </row>
    <row r="358" spans="1:9" x14ac:dyDescent="0.3">
      <c r="A358" s="17" t="s">
        <v>268</v>
      </c>
      <c r="B358" s="18" t="s">
        <v>6030</v>
      </c>
      <c r="C358" s="18" t="s">
        <v>6031</v>
      </c>
      <c r="D358" s="18" t="s">
        <v>5341</v>
      </c>
      <c r="E358" s="18" t="s">
        <v>5552</v>
      </c>
      <c r="F358" s="18" t="s">
        <v>5423</v>
      </c>
      <c r="G358" s="18" t="s">
        <v>5398</v>
      </c>
      <c r="H358" s="18" t="s">
        <v>5399</v>
      </c>
      <c r="I358" s="19">
        <v>65</v>
      </c>
    </row>
    <row r="359" spans="1:9" x14ac:dyDescent="0.3">
      <c r="A359" s="17" t="s">
        <v>58</v>
      </c>
      <c r="B359" s="18" t="s">
        <v>6030</v>
      </c>
      <c r="C359" s="18" t="s">
        <v>6032</v>
      </c>
      <c r="D359" s="18" t="s">
        <v>5350</v>
      </c>
      <c r="E359" s="18" t="s">
        <v>5455</v>
      </c>
      <c r="F359" s="18" t="s">
        <v>5436</v>
      </c>
      <c r="G359" s="18" t="s">
        <v>5353</v>
      </c>
      <c r="H359" s="18" t="s">
        <v>5354</v>
      </c>
      <c r="I359" s="19">
        <v>73</v>
      </c>
    </row>
    <row r="360" spans="1:9" x14ac:dyDescent="0.3">
      <c r="A360" s="17" t="s">
        <v>1230</v>
      </c>
      <c r="B360" s="18" t="s">
        <v>6030</v>
      </c>
      <c r="C360" s="18" t="s">
        <v>5831</v>
      </c>
      <c r="D360" s="18" t="s">
        <v>5357</v>
      </c>
      <c r="E360" s="18" t="s">
        <v>5362</v>
      </c>
      <c r="F360" s="18" t="s">
        <v>5363</v>
      </c>
      <c r="G360" s="18" t="s">
        <v>5353</v>
      </c>
      <c r="H360" s="18" t="s">
        <v>5354</v>
      </c>
      <c r="I360" s="19">
        <v>66</v>
      </c>
    </row>
    <row r="361" spans="1:9" x14ac:dyDescent="0.3">
      <c r="A361" s="13" t="s">
        <v>422</v>
      </c>
      <c r="B361" s="14" t="s">
        <v>6033</v>
      </c>
      <c r="C361" s="14" t="s">
        <v>6034</v>
      </c>
      <c r="D361" s="14" t="s">
        <v>5357</v>
      </c>
      <c r="E361" s="14" t="s">
        <v>5442</v>
      </c>
      <c r="F361" s="14" t="s">
        <v>5363</v>
      </c>
      <c r="G361" s="14" t="s">
        <v>5353</v>
      </c>
      <c r="H361" s="14" t="s">
        <v>5354</v>
      </c>
      <c r="I361" s="15">
        <v>70</v>
      </c>
    </row>
    <row r="362" spans="1:9" x14ac:dyDescent="0.3">
      <c r="A362" s="17" t="s">
        <v>1660</v>
      </c>
      <c r="B362" s="18" t="s">
        <v>6035</v>
      </c>
      <c r="C362" s="18" t="s">
        <v>6036</v>
      </c>
      <c r="D362" s="18" t="s">
        <v>5357</v>
      </c>
      <c r="E362" s="18" t="s">
        <v>5347</v>
      </c>
      <c r="F362" s="18" t="s">
        <v>5348</v>
      </c>
      <c r="G362" s="18" t="s">
        <v>5344</v>
      </c>
      <c r="H362" s="18" t="s">
        <v>5345</v>
      </c>
      <c r="I362" s="19">
        <v>46</v>
      </c>
    </row>
    <row r="363" spans="1:9" x14ac:dyDescent="0.3">
      <c r="A363" s="13" t="s">
        <v>406</v>
      </c>
      <c r="B363" s="14" t="s">
        <v>6035</v>
      </c>
      <c r="C363" s="14" t="s">
        <v>6037</v>
      </c>
      <c r="D363" s="14" t="s">
        <v>5341</v>
      </c>
      <c r="E363" s="14" t="s">
        <v>5415</v>
      </c>
      <c r="F363" s="14" t="s">
        <v>5415</v>
      </c>
      <c r="G363" s="14" t="s">
        <v>5344</v>
      </c>
      <c r="H363" s="14" t="s">
        <v>5345</v>
      </c>
      <c r="I363" s="15">
        <v>67</v>
      </c>
    </row>
    <row r="364" spans="1:9" x14ac:dyDescent="0.3">
      <c r="A364" s="13" t="s">
        <v>1253</v>
      </c>
      <c r="B364" s="14" t="s">
        <v>6035</v>
      </c>
      <c r="C364" s="14" t="s">
        <v>6036</v>
      </c>
      <c r="D364" s="14" t="s">
        <v>5357</v>
      </c>
      <c r="E364" s="14" t="s">
        <v>6038</v>
      </c>
      <c r="F364" s="14" t="s">
        <v>5476</v>
      </c>
      <c r="G364" s="14" t="s">
        <v>5344</v>
      </c>
      <c r="H364" s="14" t="s">
        <v>5345</v>
      </c>
      <c r="I364" s="15">
        <v>45</v>
      </c>
    </row>
    <row r="365" spans="1:9" x14ac:dyDescent="0.3">
      <c r="A365" s="13" t="s">
        <v>1040</v>
      </c>
      <c r="B365" s="14" t="s">
        <v>6039</v>
      </c>
      <c r="C365" s="14" t="s">
        <v>6040</v>
      </c>
      <c r="D365" s="14" t="s">
        <v>5357</v>
      </c>
      <c r="E365" s="14" t="s">
        <v>6007</v>
      </c>
      <c r="F365" s="14" t="s">
        <v>5436</v>
      </c>
      <c r="G365" s="14" t="s">
        <v>5353</v>
      </c>
      <c r="H365" s="14" t="s">
        <v>5354</v>
      </c>
      <c r="I365" s="15">
        <v>36</v>
      </c>
    </row>
    <row r="366" spans="1:9" x14ac:dyDescent="0.3">
      <c r="A366" s="17" t="s">
        <v>361</v>
      </c>
      <c r="B366" s="18" t="s">
        <v>6039</v>
      </c>
      <c r="C366" s="18" t="s">
        <v>5980</v>
      </c>
      <c r="D366" s="18" t="s">
        <v>5341</v>
      </c>
      <c r="E366" s="18" t="s">
        <v>6041</v>
      </c>
      <c r="F366" s="18" t="s">
        <v>5369</v>
      </c>
      <c r="G366" s="18" t="s">
        <v>5370</v>
      </c>
      <c r="H366" s="18" t="s">
        <v>5371</v>
      </c>
      <c r="I366" s="19">
        <v>46</v>
      </c>
    </row>
    <row r="367" spans="1:9" x14ac:dyDescent="0.3">
      <c r="A367" s="17" t="s">
        <v>1150</v>
      </c>
      <c r="B367" s="18" t="s">
        <v>6039</v>
      </c>
      <c r="C367" s="18" t="s">
        <v>6040</v>
      </c>
      <c r="D367" s="18" t="s">
        <v>5357</v>
      </c>
      <c r="E367" s="18" t="s">
        <v>6042</v>
      </c>
      <c r="F367" s="18" t="s">
        <v>5359</v>
      </c>
      <c r="G367" s="18" t="s">
        <v>5344</v>
      </c>
      <c r="H367" s="18" t="s">
        <v>5345</v>
      </c>
      <c r="I367" s="19">
        <v>64</v>
      </c>
    </row>
    <row r="368" spans="1:9" x14ac:dyDescent="0.3">
      <c r="A368" s="17" t="s">
        <v>663</v>
      </c>
      <c r="B368" s="18" t="s">
        <v>6043</v>
      </c>
      <c r="C368" s="18" t="s">
        <v>6044</v>
      </c>
      <c r="D368" s="18" t="s">
        <v>5350</v>
      </c>
      <c r="E368" s="18" t="s">
        <v>5445</v>
      </c>
      <c r="F368" s="18" t="s">
        <v>5446</v>
      </c>
      <c r="G368" s="18" t="s">
        <v>5353</v>
      </c>
      <c r="H368" s="18" t="s">
        <v>5354</v>
      </c>
      <c r="I368" s="19">
        <v>32</v>
      </c>
    </row>
    <row r="369" spans="1:9" x14ac:dyDescent="0.3">
      <c r="A369" s="17" t="s">
        <v>1326</v>
      </c>
      <c r="B369" s="18" t="s">
        <v>6043</v>
      </c>
      <c r="C369" s="18" t="s">
        <v>6044</v>
      </c>
      <c r="D369" s="18" t="s">
        <v>5341</v>
      </c>
      <c r="E369" s="18" t="s">
        <v>6045</v>
      </c>
      <c r="F369" s="18" t="s">
        <v>5677</v>
      </c>
      <c r="G369" s="18" t="s">
        <v>5344</v>
      </c>
      <c r="H369" s="18" t="s">
        <v>5345</v>
      </c>
      <c r="I369" s="19">
        <v>39</v>
      </c>
    </row>
    <row r="370" spans="1:9" x14ac:dyDescent="0.3">
      <c r="A370" s="17" t="s">
        <v>798</v>
      </c>
      <c r="B370" s="18" t="s">
        <v>6046</v>
      </c>
      <c r="C370" s="18" t="s">
        <v>5959</v>
      </c>
      <c r="D370" s="18" t="s">
        <v>5357</v>
      </c>
      <c r="E370" s="18" t="s">
        <v>5455</v>
      </c>
      <c r="F370" s="18" t="s">
        <v>5436</v>
      </c>
      <c r="G370" s="18" t="s">
        <v>5353</v>
      </c>
      <c r="H370" s="18" t="s">
        <v>5354</v>
      </c>
      <c r="I370" s="19">
        <v>43</v>
      </c>
    </row>
    <row r="371" spans="1:9" x14ac:dyDescent="0.3">
      <c r="A371" s="13" t="s">
        <v>975</v>
      </c>
      <c r="B371" s="14" t="s">
        <v>6047</v>
      </c>
      <c r="C371" s="14" t="s">
        <v>6048</v>
      </c>
      <c r="D371" s="14" t="s">
        <v>5341</v>
      </c>
      <c r="E371" s="14" t="s">
        <v>5763</v>
      </c>
      <c r="F371" s="14" t="s">
        <v>5436</v>
      </c>
      <c r="G371" s="14" t="s">
        <v>5353</v>
      </c>
      <c r="H371" s="14" t="s">
        <v>5354</v>
      </c>
      <c r="I371" s="15">
        <v>80</v>
      </c>
    </row>
    <row r="372" spans="1:9" x14ac:dyDescent="0.3">
      <c r="A372" s="13" t="s">
        <v>518</v>
      </c>
      <c r="B372" s="14" t="s">
        <v>6047</v>
      </c>
      <c r="C372" s="14" t="s">
        <v>6048</v>
      </c>
      <c r="D372" s="14" t="s">
        <v>5357</v>
      </c>
      <c r="E372" s="14" t="s">
        <v>5843</v>
      </c>
      <c r="F372" s="14" t="s">
        <v>5377</v>
      </c>
      <c r="G372" s="14" t="s">
        <v>5366</v>
      </c>
      <c r="H372" s="14" t="s">
        <v>5367</v>
      </c>
      <c r="I372" s="15">
        <v>47</v>
      </c>
    </row>
    <row r="373" spans="1:9" x14ac:dyDescent="0.3">
      <c r="A373" s="17" t="s">
        <v>466</v>
      </c>
      <c r="B373" s="18" t="s">
        <v>6047</v>
      </c>
      <c r="C373" s="18" t="s">
        <v>6048</v>
      </c>
      <c r="D373" s="18" t="s">
        <v>5350</v>
      </c>
      <c r="E373" s="18" t="s">
        <v>5621</v>
      </c>
      <c r="F373" s="18" t="s">
        <v>5622</v>
      </c>
      <c r="G373" s="18" t="s">
        <v>5398</v>
      </c>
      <c r="H373" s="18" t="s">
        <v>5399</v>
      </c>
      <c r="I373" s="19">
        <v>77</v>
      </c>
    </row>
    <row r="374" spans="1:9" x14ac:dyDescent="0.3">
      <c r="A374" s="13" t="s">
        <v>2119</v>
      </c>
      <c r="B374" s="14" t="s">
        <v>6047</v>
      </c>
      <c r="C374" s="14" t="s">
        <v>6048</v>
      </c>
      <c r="D374" s="14" t="s">
        <v>5341</v>
      </c>
      <c r="E374" s="14" t="s">
        <v>6049</v>
      </c>
      <c r="F374" s="14" t="s">
        <v>5483</v>
      </c>
      <c r="G374" s="14" t="s">
        <v>5366</v>
      </c>
      <c r="H374" s="14" t="s">
        <v>5367</v>
      </c>
      <c r="I374" s="15">
        <v>47</v>
      </c>
    </row>
    <row r="375" spans="1:9" x14ac:dyDescent="0.3">
      <c r="A375" s="17" t="s">
        <v>325</v>
      </c>
      <c r="B375" s="18" t="s">
        <v>6047</v>
      </c>
      <c r="C375" s="18" t="s">
        <v>6048</v>
      </c>
      <c r="D375" s="18" t="s">
        <v>5357</v>
      </c>
      <c r="E375" s="18" t="s">
        <v>6050</v>
      </c>
      <c r="F375" s="18" t="s">
        <v>6051</v>
      </c>
      <c r="G375" s="18" t="s">
        <v>5398</v>
      </c>
      <c r="H375" s="18" t="s">
        <v>5399</v>
      </c>
      <c r="I375" s="19">
        <v>66</v>
      </c>
    </row>
    <row r="376" spans="1:9" x14ac:dyDescent="0.3">
      <c r="A376" s="17" t="s">
        <v>990</v>
      </c>
      <c r="B376" s="18" t="s">
        <v>6052</v>
      </c>
      <c r="C376" s="18" t="s">
        <v>6053</v>
      </c>
      <c r="D376" s="18" t="s">
        <v>5341</v>
      </c>
      <c r="E376" s="18" t="s">
        <v>5442</v>
      </c>
      <c r="F376" s="18" t="s">
        <v>5363</v>
      </c>
      <c r="G376" s="18" t="s">
        <v>5353</v>
      </c>
      <c r="H376" s="18" t="s">
        <v>5354</v>
      </c>
      <c r="I376" s="19">
        <v>61</v>
      </c>
    </row>
    <row r="377" spans="1:9" x14ac:dyDescent="0.3">
      <c r="A377" s="17" t="s">
        <v>875</v>
      </c>
      <c r="B377" s="18" t="s">
        <v>6052</v>
      </c>
      <c r="C377" s="18" t="s">
        <v>5975</v>
      </c>
      <c r="D377" s="18" t="s">
        <v>5341</v>
      </c>
      <c r="E377" s="18" t="s">
        <v>6054</v>
      </c>
      <c r="F377" s="18" t="s">
        <v>5397</v>
      </c>
      <c r="G377" s="18" t="s">
        <v>5398</v>
      </c>
      <c r="H377" s="18" t="s">
        <v>5399</v>
      </c>
      <c r="I377" s="19">
        <v>48</v>
      </c>
    </row>
    <row r="378" spans="1:9" x14ac:dyDescent="0.3">
      <c r="A378" s="13" t="s">
        <v>1351</v>
      </c>
      <c r="B378" s="14" t="s">
        <v>6052</v>
      </c>
      <c r="C378" s="14" t="s">
        <v>5975</v>
      </c>
      <c r="D378" s="14" t="s">
        <v>5357</v>
      </c>
      <c r="E378" s="14" t="s">
        <v>6055</v>
      </c>
      <c r="F378" s="14" t="s">
        <v>5365</v>
      </c>
      <c r="G378" s="14" t="s">
        <v>5366</v>
      </c>
      <c r="H378" s="14" t="s">
        <v>5367</v>
      </c>
      <c r="I378" s="15">
        <v>64</v>
      </c>
    </row>
    <row r="379" spans="1:9" x14ac:dyDescent="0.3">
      <c r="A379" s="13" t="s">
        <v>1493</v>
      </c>
      <c r="B379" s="14" t="s">
        <v>6052</v>
      </c>
      <c r="C379" s="14" t="s">
        <v>5975</v>
      </c>
      <c r="D379" s="14" t="s">
        <v>5357</v>
      </c>
      <c r="E379" s="14" t="s">
        <v>5538</v>
      </c>
      <c r="F379" s="14" t="s">
        <v>5605</v>
      </c>
      <c r="G379" s="14" t="s">
        <v>5366</v>
      </c>
      <c r="H379" s="14" t="s">
        <v>5367</v>
      </c>
      <c r="I379" s="15">
        <v>69</v>
      </c>
    </row>
    <row r="380" spans="1:9" x14ac:dyDescent="0.3">
      <c r="A380" s="13" t="s">
        <v>988</v>
      </c>
      <c r="B380" s="14" t="s">
        <v>6052</v>
      </c>
      <c r="C380" s="14" t="s">
        <v>5975</v>
      </c>
      <c r="D380" s="14" t="s">
        <v>5350</v>
      </c>
      <c r="E380" s="14" t="s">
        <v>6038</v>
      </c>
      <c r="F380" s="14" t="s">
        <v>5476</v>
      </c>
      <c r="G380" s="14" t="s">
        <v>5344</v>
      </c>
      <c r="H380" s="14" t="s">
        <v>5345</v>
      </c>
      <c r="I380" s="15">
        <v>62</v>
      </c>
    </row>
    <row r="381" spans="1:9" x14ac:dyDescent="0.3">
      <c r="A381" s="13" t="s">
        <v>1131</v>
      </c>
      <c r="B381" s="14" t="s">
        <v>6052</v>
      </c>
      <c r="C381" s="14" t="s">
        <v>6053</v>
      </c>
      <c r="D381" s="14" t="s">
        <v>5341</v>
      </c>
      <c r="E381" s="14" t="s">
        <v>6056</v>
      </c>
      <c r="F381" s="14" t="s">
        <v>5436</v>
      </c>
      <c r="G381" s="14" t="s">
        <v>5353</v>
      </c>
      <c r="H381" s="14" t="s">
        <v>5354</v>
      </c>
      <c r="I381" s="15">
        <v>31</v>
      </c>
    </row>
    <row r="382" spans="1:9" x14ac:dyDescent="0.3">
      <c r="A382" s="13" t="s">
        <v>277</v>
      </c>
      <c r="B382" s="14" t="s">
        <v>6057</v>
      </c>
      <c r="C382" s="14" t="s">
        <v>6058</v>
      </c>
      <c r="D382" s="14" t="s">
        <v>5357</v>
      </c>
      <c r="E382" s="14" t="s">
        <v>5489</v>
      </c>
      <c r="F382" s="14" t="s">
        <v>5390</v>
      </c>
      <c r="G382" s="14" t="s">
        <v>5353</v>
      </c>
      <c r="H382" s="14" t="s">
        <v>5354</v>
      </c>
      <c r="I382" s="15">
        <v>37</v>
      </c>
    </row>
    <row r="383" spans="1:9" x14ac:dyDescent="0.3">
      <c r="A383" s="17" t="s">
        <v>507</v>
      </c>
      <c r="B383" s="18" t="s">
        <v>6057</v>
      </c>
      <c r="C383" s="18" t="s">
        <v>5500</v>
      </c>
      <c r="D383" s="18" t="s">
        <v>5341</v>
      </c>
      <c r="E383" s="18" t="s">
        <v>5471</v>
      </c>
      <c r="F383" s="18" t="s">
        <v>5352</v>
      </c>
      <c r="G383" s="18" t="s">
        <v>5353</v>
      </c>
      <c r="H383" s="18" t="s">
        <v>5354</v>
      </c>
      <c r="I383" s="19">
        <v>29</v>
      </c>
    </row>
    <row r="384" spans="1:9" x14ac:dyDescent="0.3">
      <c r="A384" s="13" t="s">
        <v>740</v>
      </c>
      <c r="B384" s="14" t="s">
        <v>6059</v>
      </c>
      <c r="C384" s="14" t="s">
        <v>6060</v>
      </c>
      <c r="D384" s="14" t="s">
        <v>5350</v>
      </c>
      <c r="E384" s="14" t="s">
        <v>6061</v>
      </c>
      <c r="F384" s="14" t="s">
        <v>5359</v>
      </c>
      <c r="G384" s="14" t="s">
        <v>5344</v>
      </c>
      <c r="H384" s="14" t="s">
        <v>5345</v>
      </c>
      <c r="I384" s="15">
        <v>32</v>
      </c>
    </row>
    <row r="385" spans="1:9" x14ac:dyDescent="0.3">
      <c r="A385" s="17" t="s">
        <v>597</v>
      </c>
      <c r="B385" s="18" t="s">
        <v>6062</v>
      </c>
      <c r="C385" s="18" t="s">
        <v>6063</v>
      </c>
      <c r="D385" s="18" t="s">
        <v>5357</v>
      </c>
      <c r="E385" s="18" t="s">
        <v>5734</v>
      </c>
      <c r="F385" s="18" t="s">
        <v>5397</v>
      </c>
      <c r="G385" s="18" t="s">
        <v>5398</v>
      </c>
      <c r="H385" s="18" t="s">
        <v>5399</v>
      </c>
      <c r="I385" s="19">
        <v>75</v>
      </c>
    </row>
    <row r="386" spans="1:9" x14ac:dyDescent="0.3">
      <c r="A386" s="13" t="s">
        <v>34</v>
      </c>
      <c r="B386" s="14" t="s">
        <v>6062</v>
      </c>
      <c r="C386" s="14" t="s">
        <v>6064</v>
      </c>
      <c r="D386" s="14" t="s">
        <v>5341</v>
      </c>
      <c r="E386" s="14" t="s">
        <v>5664</v>
      </c>
      <c r="F386" s="14" t="s">
        <v>5423</v>
      </c>
      <c r="G386" s="14" t="s">
        <v>5398</v>
      </c>
      <c r="H386" s="14" t="s">
        <v>5399</v>
      </c>
      <c r="I386" s="15">
        <v>40</v>
      </c>
    </row>
    <row r="387" spans="1:9" x14ac:dyDescent="0.3">
      <c r="A387" s="13" t="s">
        <v>492</v>
      </c>
      <c r="B387" s="14" t="s">
        <v>6062</v>
      </c>
      <c r="C387" s="14" t="s">
        <v>6064</v>
      </c>
      <c r="D387" s="14" t="s">
        <v>5357</v>
      </c>
      <c r="E387" s="14" t="s">
        <v>5869</v>
      </c>
      <c r="F387" s="14" t="s">
        <v>5669</v>
      </c>
      <c r="G387" s="14" t="s">
        <v>5370</v>
      </c>
      <c r="H387" s="14" t="s">
        <v>5371</v>
      </c>
      <c r="I387" s="15">
        <v>72</v>
      </c>
    </row>
    <row r="388" spans="1:9" x14ac:dyDescent="0.3">
      <c r="A388" s="17" t="s">
        <v>424</v>
      </c>
      <c r="B388" s="18" t="s">
        <v>6065</v>
      </c>
      <c r="C388" s="18" t="s">
        <v>6066</v>
      </c>
      <c r="D388" s="18" t="s">
        <v>5341</v>
      </c>
      <c r="E388" s="18" t="s">
        <v>5415</v>
      </c>
      <c r="F388" s="18" t="s">
        <v>5415</v>
      </c>
      <c r="G388" s="18" t="s">
        <v>5344</v>
      </c>
      <c r="H388" s="18" t="s">
        <v>5345</v>
      </c>
      <c r="I388" s="19">
        <v>44</v>
      </c>
    </row>
    <row r="389" spans="1:9" x14ac:dyDescent="0.3">
      <c r="A389" s="13" t="s">
        <v>925</v>
      </c>
      <c r="B389" s="14" t="s">
        <v>6065</v>
      </c>
      <c r="C389" s="14" t="s">
        <v>6066</v>
      </c>
      <c r="D389" s="14" t="s">
        <v>5341</v>
      </c>
      <c r="E389" s="14" t="s">
        <v>6067</v>
      </c>
      <c r="F389" s="14" t="s">
        <v>5539</v>
      </c>
      <c r="G389" s="14" t="s">
        <v>5366</v>
      </c>
      <c r="H389" s="14" t="s">
        <v>5367</v>
      </c>
      <c r="I389" s="15">
        <v>75</v>
      </c>
    </row>
    <row r="390" spans="1:9" x14ac:dyDescent="0.3">
      <c r="A390" s="13" t="s">
        <v>416</v>
      </c>
      <c r="B390" s="14" t="s">
        <v>6068</v>
      </c>
      <c r="C390" s="14" t="s">
        <v>5884</v>
      </c>
      <c r="D390" s="14" t="s">
        <v>5357</v>
      </c>
      <c r="E390" s="14" t="s">
        <v>5549</v>
      </c>
      <c r="F390" s="14" t="s">
        <v>5454</v>
      </c>
      <c r="G390" s="14" t="s">
        <v>5353</v>
      </c>
      <c r="H390" s="14" t="s">
        <v>5354</v>
      </c>
      <c r="I390" s="15">
        <v>34</v>
      </c>
    </row>
    <row r="391" spans="1:9" x14ac:dyDescent="0.3">
      <c r="A391" s="13" t="s">
        <v>496</v>
      </c>
      <c r="B391" s="14" t="s">
        <v>6068</v>
      </c>
      <c r="C391" s="14" t="s">
        <v>6069</v>
      </c>
      <c r="D391" s="14" t="s">
        <v>5357</v>
      </c>
      <c r="E391" s="14" t="s">
        <v>6070</v>
      </c>
      <c r="F391" s="14" t="s">
        <v>5755</v>
      </c>
      <c r="G391" s="14" t="s">
        <v>5366</v>
      </c>
      <c r="H391" s="14" t="s">
        <v>5367</v>
      </c>
      <c r="I391" s="15">
        <v>69</v>
      </c>
    </row>
    <row r="392" spans="1:9" x14ac:dyDescent="0.3">
      <c r="A392" s="13" t="s">
        <v>3359</v>
      </c>
      <c r="B392" s="14" t="s">
        <v>6071</v>
      </c>
      <c r="C392" s="14" t="s">
        <v>6072</v>
      </c>
      <c r="D392" s="14" t="s">
        <v>5357</v>
      </c>
      <c r="E392" s="14" t="s">
        <v>5426</v>
      </c>
      <c r="F392" s="14" t="s">
        <v>5352</v>
      </c>
      <c r="G392" s="14" t="s">
        <v>5353</v>
      </c>
      <c r="H392" s="14" t="s">
        <v>5354</v>
      </c>
      <c r="I392" s="15">
        <v>63</v>
      </c>
    </row>
    <row r="393" spans="1:9" x14ac:dyDescent="0.3">
      <c r="A393" s="17" t="s">
        <v>1042</v>
      </c>
      <c r="B393" s="18" t="s">
        <v>6071</v>
      </c>
      <c r="C393" s="18" t="s">
        <v>6072</v>
      </c>
      <c r="D393" s="18" t="s">
        <v>5341</v>
      </c>
      <c r="E393" s="18" t="s">
        <v>6073</v>
      </c>
      <c r="F393" s="18" t="s">
        <v>6074</v>
      </c>
      <c r="G393" s="18" t="s">
        <v>5398</v>
      </c>
      <c r="H393" s="18" t="s">
        <v>5399</v>
      </c>
      <c r="I393" s="19">
        <v>25</v>
      </c>
    </row>
    <row r="394" spans="1:9" x14ac:dyDescent="0.3">
      <c r="A394" s="13" t="s">
        <v>1410</v>
      </c>
      <c r="B394" s="14" t="s">
        <v>6071</v>
      </c>
      <c r="C394" s="14" t="s">
        <v>6072</v>
      </c>
      <c r="D394" s="14" t="s">
        <v>5357</v>
      </c>
      <c r="E394" s="14" t="s">
        <v>5571</v>
      </c>
      <c r="F394" s="14" t="s">
        <v>5454</v>
      </c>
      <c r="G394" s="14" t="s">
        <v>5353</v>
      </c>
      <c r="H394" s="14" t="s">
        <v>5354</v>
      </c>
      <c r="I394" s="15">
        <v>47</v>
      </c>
    </row>
    <row r="395" spans="1:9" x14ac:dyDescent="0.3">
      <c r="A395" s="13" t="s">
        <v>266</v>
      </c>
      <c r="B395" s="14" t="s">
        <v>6071</v>
      </c>
      <c r="C395" s="14" t="s">
        <v>6075</v>
      </c>
      <c r="D395" s="14" t="s">
        <v>5357</v>
      </c>
      <c r="E395" s="14" t="s">
        <v>6076</v>
      </c>
      <c r="F395" s="14" t="s">
        <v>5476</v>
      </c>
      <c r="G395" s="14" t="s">
        <v>5344</v>
      </c>
      <c r="H395" s="14" t="s">
        <v>5345</v>
      </c>
      <c r="I395" s="15">
        <v>36</v>
      </c>
    </row>
    <row r="396" spans="1:9" x14ac:dyDescent="0.3">
      <c r="A396" s="17" t="s">
        <v>395</v>
      </c>
      <c r="B396" s="18" t="s">
        <v>6077</v>
      </c>
      <c r="C396" s="18" t="s">
        <v>6078</v>
      </c>
      <c r="D396" s="18" t="s">
        <v>5357</v>
      </c>
      <c r="E396" s="18" t="s">
        <v>5471</v>
      </c>
      <c r="F396" s="18" t="s">
        <v>5352</v>
      </c>
      <c r="G396" s="18" t="s">
        <v>5353</v>
      </c>
      <c r="H396" s="18" t="s">
        <v>5354</v>
      </c>
      <c r="I396" s="19">
        <v>72</v>
      </c>
    </row>
    <row r="397" spans="1:9" x14ac:dyDescent="0.3">
      <c r="A397" s="17" t="s">
        <v>347</v>
      </c>
      <c r="B397" s="18" t="s">
        <v>6077</v>
      </c>
      <c r="C397" s="18" t="s">
        <v>6079</v>
      </c>
      <c r="D397" s="18" t="s">
        <v>5357</v>
      </c>
      <c r="E397" s="18" t="s">
        <v>5716</v>
      </c>
      <c r="F397" s="18" t="s">
        <v>5716</v>
      </c>
      <c r="G397" s="18" t="s">
        <v>5344</v>
      </c>
      <c r="H397" s="18" t="s">
        <v>5345</v>
      </c>
      <c r="I397" s="19">
        <v>55</v>
      </c>
    </row>
    <row r="398" spans="1:9" x14ac:dyDescent="0.3">
      <c r="A398" s="17" t="s">
        <v>303</v>
      </c>
      <c r="B398" s="18" t="s">
        <v>6077</v>
      </c>
      <c r="C398" s="18" t="s">
        <v>6079</v>
      </c>
      <c r="D398" s="18" t="s">
        <v>5341</v>
      </c>
      <c r="E398" s="18" t="s">
        <v>6080</v>
      </c>
      <c r="F398" s="18" t="s">
        <v>5476</v>
      </c>
      <c r="G398" s="18" t="s">
        <v>5344</v>
      </c>
      <c r="H398" s="18" t="s">
        <v>5345</v>
      </c>
      <c r="I398" s="19">
        <v>72</v>
      </c>
    </row>
    <row r="399" spans="1:9" x14ac:dyDescent="0.3">
      <c r="A399" s="13" t="s">
        <v>908</v>
      </c>
      <c r="B399" s="14" t="s">
        <v>6081</v>
      </c>
      <c r="C399" s="14" t="s">
        <v>5830</v>
      </c>
      <c r="D399" s="14" t="s">
        <v>5350</v>
      </c>
      <c r="E399" s="14" t="s">
        <v>5763</v>
      </c>
      <c r="F399" s="14" t="s">
        <v>5436</v>
      </c>
      <c r="G399" s="14" t="s">
        <v>5353</v>
      </c>
      <c r="H399" s="14" t="s">
        <v>5354</v>
      </c>
      <c r="I399" s="15">
        <v>71</v>
      </c>
    </row>
    <row r="400" spans="1:9" x14ac:dyDescent="0.3">
      <c r="A400" s="17" t="s">
        <v>910</v>
      </c>
      <c r="B400" s="18" t="s">
        <v>6081</v>
      </c>
      <c r="C400" s="18" t="s">
        <v>5874</v>
      </c>
      <c r="D400" s="18" t="s">
        <v>5357</v>
      </c>
      <c r="E400" s="18" t="s">
        <v>5984</v>
      </c>
      <c r="F400" s="18" t="s">
        <v>5375</v>
      </c>
      <c r="G400" s="18" t="s">
        <v>5344</v>
      </c>
      <c r="H400" s="18" t="s">
        <v>5345</v>
      </c>
      <c r="I400" s="19">
        <v>52</v>
      </c>
    </row>
    <row r="401" spans="1:9" x14ac:dyDescent="0.3">
      <c r="A401" s="13" t="s">
        <v>1460</v>
      </c>
      <c r="B401" s="14" t="s">
        <v>6082</v>
      </c>
      <c r="C401" s="14" t="s">
        <v>6083</v>
      </c>
      <c r="D401" s="14" t="s">
        <v>5350</v>
      </c>
      <c r="E401" s="14" t="s">
        <v>5497</v>
      </c>
      <c r="F401" s="14" t="s">
        <v>5498</v>
      </c>
      <c r="G401" s="14" t="s">
        <v>5370</v>
      </c>
      <c r="H401" s="14" t="s">
        <v>5371</v>
      </c>
      <c r="I401" s="15">
        <v>27</v>
      </c>
    </row>
    <row r="402" spans="1:9" x14ac:dyDescent="0.3">
      <c r="A402" s="13" t="s">
        <v>174</v>
      </c>
      <c r="B402" s="14" t="s">
        <v>6082</v>
      </c>
      <c r="C402" s="14" t="s">
        <v>6084</v>
      </c>
      <c r="D402" s="14" t="s">
        <v>5341</v>
      </c>
      <c r="E402" s="14" t="s">
        <v>5458</v>
      </c>
      <c r="F402" s="14" t="s">
        <v>5454</v>
      </c>
      <c r="G402" s="14" t="s">
        <v>5353</v>
      </c>
      <c r="H402" s="14" t="s">
        <v>5354</v>
      </c>
      <c r="I402" s="15">
        <v>75</v>
      </c>
    </row>
    <row r="403" spans="1:9" x14ac:dyDescent="0.3">
      <c r="A403" s="17" t="s">
        <v>397</v>
      </c>
      <c r="B403" s="18" t="s">
        <v>6085</v>
      </c>
      <c r="C403" s="18" t="s">
        <v>6086</v>
      </c>
      <c r="D403" s="18" t="s">
        <v>5357</v>
      </c>
      <c r="E403" s="18" t="s">
        <v>6087</v>
      </c>
      <c r="F403" s="18" t="s">
        <v>5527</v>
      </c>
      <c r="G403" s="18" t="s">
        <v>5344</v>
      </c>
      <c r="H403" s="18" t="s">
        <v>5345</v>
      </c>
      <c r="I403" s="19">
        <v>77</v>
      </c>
    </row>
    <row r="404" spans="1:9" x14ac:dyDescent="0.3">
      <c r="A404" s="13" t="s">
        <v>675</v>
      </c>
      <c r="B404" s="14" t="s">
        <v>6088</v>
      </c>
      <c r="C404" s="14" t="s">
        <v>6089</v>
      </c>
      <c r="D404" s="14" t="s">
        <v>5357</v>
      </c>
      <c r="E404" s="14" t="s">
        <v>5987</v>
      </c>
      <c r="F404" s="14" t="s">
        <v>5823</v>
      </c>
      <c r="G404" s="14" t="s">
        <v>5398</v>
      </c>
      <c r="H404" s="14" t="s">
        <v>5399</v>
      </c>
      <c r="I404" s="15">
        <v>78</v>
      </c>
    </row>
    <row r="405" spans="1:9" x14ac:dyDescent="0.3">
      <c r="A405" s="13" t="s">
        <v>60</v>
      </c>
      <c r="B405" s="14" t="s">
        <v>5920</v>
      </c>
      <c r="C405" s="14" t="s">
        <v>6090</v>
      </c>
      <c r="D405" s="14" t="s">
        <v>5341</v>
      </c>
      <c r="E405" s="14" t="s">
        <v>5814</v>
      </c>
      <c r="F405" s="14" t="s">
        <v>5397</v>
      </c>
      <c r="G405" s="14" t="s">
        <v>5398</v>
      </c>
      <c r="H405" s="14" t="s">
        <v>5399</v>
      </c>
      <c r="I405" s="15">
        <v>69</v>
      </c>
    </row>
    <row r="406" spans="1:9" x14ac:dyDescent="0.3">
      <c r="A406" s="13" t="s">
        <v>381</v>
      </c>
      <c r="B406" s="14" t="s">
        <v>5920</v>
      </c>
      <c r="C406" s="14" t="s">
        <v>6091</v>
      </c>
      <c r="D406" s="14" t="s">
        <v>5350</v>
      </c>
      <c r="E406" s="14" t="s">
        <v>6092</v>
      </c>
      <c r="F406" s="14" t="s">
        <v>5594</v>
      </c>
      <c r="G406" s="14" t="s">
        <v>5344</v>
      </c>
      <c r="H406" s="14" t="s">
        <v>5345</v>
      </c>
      <c r="I406" s="15">
        <v>38</v>
      </c>
    </row>
    <row r="407" spans="1:9" x14ac:dyDescent="0.3">
      <c r="A407" s="17" t="s">
        <v>578</v>
      </c>
      <c r="B407" s="18" t="s">
        <v>6093</v>
      </c>
      <c r="C407" s="18" t="s">
        <v>6094</v>
      </c>
      <c r="D407" s="18" t="s">
        <v>5350</v>
      </c>
      <c r="E407" s="18" t="s">
        <v>5583</v>
      </c>
      <c r="F407" s="18" t="s">
        <v>5661</v>
      </c>
      <c r="G407" s="18" t="s">
        <v>5370</v>
      </c>
      <c r="H407" s="18" t="s">
        <v>5371</v>
      </c>
      <c r="I407" s="19">
        <v>38</v>
      </c>
    </row>
    <row r="408" spans="1:9" x14ac:dyDescent="0.3">
      <c r="A408" s="17" t="s">
        <v>295</v>
      </c>
      <c r="B408" s="18" t="s">
        <v>6093</v>
      </c>
      <c r="C408" s="18" t="s">
        <v>6032</v>
      </c>
      <c r="D408" s="18" t="s">
        <v>5357</v>
      </c>
      <c r="E408" s="18" t="s">
        <v>6095</v>
      </c>
      <c r="F408" s="18" t="s">
        <v>5359</v>
      </c>
      <c r="G408" s="18" t="s">
        <v>5344</v>
      </c>
      <c r="H408" s="18" t="s">
        <v>5345</v>
      </c>
      <c r="I408" s="19">
        <v>77</v>
      </c>
    </row>
    <row r="409" spans="1:9" x14ac:dyDescent="0.3">
      <c r="A409" s="17" t="s">
        <v>914</v>
      </c>
      <c r="B409" s="18" t="s">
        <v>6096</v>
      </c>
      <c r="C409" s="18" t="s">
        <v>6097</v>
      </c>
      <c r="D409" s="18" t="s">
        <v>5357</v>
      </c>
      <c r="E409" s="18" t="s">
        <v>6098</v>
      </c>
      <c r="F409" s="18" t="s">
        <v>5945</v>
      </c>
      <c r="G409" s="18" t="s">
        <v>5398</v>
      </c>
      <c r="H409" s="18" t="s">
        <v>5399</v>
      </c>
      <c r="I409" s="19">
        <v>38</v>
      </c>
    </row>
    <row r="410" spans="1:9" x14ac:dyDescent="0.3">
      <c r="A410" s="13" t="s">
        <v>168</v>
      </c>
      <c r="B410" s="14" t="s">
        <v>6096</v>
      </c>
      <c r="C410" s="14" t="s">
        <v>6099</v>
      </c>
      <c r="D410" s="14" t="s">
        <v>5357</v>
      </c>
      <c r="E410" s="14" t="s">
        <v>6100</v>
      </c>
      <c r="F410" s="14" t="s">
        <v>5639</v>
      </c>
      <c r="G410" s="14" t="s">
        <v>5366</v>
      </c>
      <c r="H410" s="14" t="s">
        <v>5367</v>
      </c>
      <c r="I410" s="15">
        <v>44</v>
      </c>
    </row>
    <row r="411" spans="1:9" x14ac:dyDescent="0.3">
      <c r="A411" s="17" t="s">
        <v>583</v>
      </c>
      <c r="B411" s="18" t="s">
        <v>6101</v>
      </c>
      <c r="C411" s="18" t="s">
        <v>6102</v>
      </c>
      <c r="D411" s="18" t="s">
        <v>5341</v>
      </c>
      <c r="E411" s="18" t="s">
        <v>5778</v>
      </c>
      <c r="F411" s="18" t="s">
        <v>5594</v>
      </c>
      <c r="G411" s="18" t="s">
        <v>5344</v>
      </c>
      <c r="H411" s="18" t="s">
        <v>5345</v>
      </c>
      <c r="I411" s="19">
        <v>48</v>
      </c>
    </row>
    <row r="412" spans="1:9" x14ac:dyDescent="0.3">
      <c r="A412" s="13" t="s">
        <v>188</v>
      </c>
      <c r="B412" s="14" t="s">
        <v>6101</v>
      </c>
      <c r="C412" s="14" t="s">
        <v>6034</v>
      </c>
      <c r="D412" s="14" t="s">
        <v>5341</v>
      </c>
      <c r="E412" s="14" t="s">
        <v>6103</v>
      </c>
      <c r="F412" s="14" t="s">
        <v>6104</v>
      </c>
      <c r="G412" s="14" t="s">
        <v>5398</v>
      </c>
      <c r="H412" s="14" t="s">
        <v>5399</v>
      </c>
      <c r="I412" s="15">
        <v>45</v>
      </c>
    </row>
    <row r="413" spans="1:9" x14ac:dyDescent="0.3">
      <c r="A413" s="13" t="s">
        <v>218</v>
      </c>
      <c r="B413" s="14" t="s">
        <v>6105</v>
      </c>
      <c r="C413" s="14" t="s">
        <v>6106</v>
      </c>
      <c r="D413" s="14" t="s">
        <v>5350</v>
      </c>
      <c r="E413" s="14" t="s">
        <v>5776</v>
      </c>
      <c r="F413" s="14" t="s">
        <v>5483</v>
      </c>
      <c r="G413" s="14" t="s">
        <v>5366</v>
      </c>
      <c r="H413" s="14" t="s">
        <v>5367</v>
      </c>
      <c r="I413" s="15">
        <v>77</v>
      </c>
    </row>
    <row r="414" spans="1:9" x14ac:dyDescent="0.3">
      <c r="A414" s="17" t="s">
        <v>258</v>
      </c>
      <c r="B414" s="18" t="s">
        <v>6107</v>
      </c>
      <c r="C414" s="18" t="s">
        <v>5444</v>
      </c>
      <c r="D414" s="18" t="s">
        <v>5341</v>
      </c>
      <c r="E414" s="18" t="s">
        <v>6108</v>
      </c>
      <c r="F414" s="18" t="s">
        <v>5637</v>
      </c>
      <c r="G414" s="18" t="s">
        <v>5366</v>
      </c>
      <c r="H414" s="18" t="s">
        <v>5367</v>
      </c>
      <c r="I414" s="19">
        <v>33</v>
      </c>
    </row>
    <row r="415" spans="1:9" x14ac:dyDescent="0.3">
      <c r="A415" s="13" t="s">
        <v>321</v>
      </c>
      <c r="B415" s="14" t="s">
        <v>6107</v>
      </c>
      <c r="C415" s="14" t="s">
        <v>6109</v>
      </c>
      <c r="D415" s="14" t="s">
        <v>5357</v>
      </c>
      <c r="E415" s="14" t="s">
        <v>5471</v>
      </c>
      <c r="F415" s="14" t="s">
        <v>5352</v>
      </c>
      <c r="G415" s="14" t="s">
        <v>5353</v>
      </c>
      <c r="H415" s="14" t="s">
        <v>5354</v>
      </c>
      <c r="I415" s="15">
        <v>36</v>
      </c>
    </row>
    <row r="416" spans="1:9" x14ac:dyDescent="0.3">
      <c r="A416" s="17" t="s">
        <v>1484</v>
      </c>
      <c r="B416" s="18" t="s">
        <v>6107</v>
      </c>
      <c r="C416" s="18" t="s">
        <v>5444</v>
      </c>
      <c r="D416" s="18" t="s">
        <v>5341</v>
      </c>
      <c r="E416" s="18" t="s">
        <v>6070</v>
      </c>
      <c r="F416" s="18" t="s">
        <v>5755</v>
      </c>
      <c r="G416" s="18" t="s">
        <v>5366</v>
      </c>
      <c r="H416" s="18" t="s">
        <v>5367</v>
      </c>
      <c r="I416" s="19">
        <v>59</v>
      </c>
    </row>
    <row r="417" spans="1:9" x14ac:dyDescent="0.3">
      <c r="A417" s="13" t="s">
        <v>478</v>
      </c>
      <c r="B417" s="14" t="s">
        <v>6110</v>
      </c>
      <c r="C417" s="14" t="s">
        <v>6111</v>
      </c>
      <c r="D417" s="14" t="s">
        <v>5350</v>
      </c>
      <c r="E417" s="14" t="s">
        <v>5543</v>
      </c>
      <c r="F417" s="14" t="s">
        <v>5387</v>
      </c>
      <c r="G417" s="14" t="s">
        <v>5344</v>
      </c>
      <c r="H417" s="14" t="s">
        <v>5345</v>
      </c>
      <c r="I417" s="15">
        <v>37</v>
      </c>
    </row>
    <row r="418" spans="1:9" x14ac:dyDescent="0.3">
      <c r="A418" s="13" t="s">
        <v>2043</v>
      </c>
      <c r="B418" s="14" t="s">
        <v>6110</v>
      </c>
      <c r="C418" s="14" t="s">
        <v>6112</v>
      </c>
      <c r="D418" s="14" t="s">
        <v>5341</v>
      </c>
      <c r="E418" s="14" t="s">
        <v>6113</v>
      </c>
      <c r="F418" s="14" t="s">
        <v>5446</v>
      </c>
      <c r="G418" s="14" t="s">
        <v>5353</v>
      </c>
      <c r="H418" s="14" t="s">
        <v>5354</v>
      </c>
      <c r="I418" s="15">
        <v>51</v>
      </c>
    </row>
    <row r="419" spans="1:9" x14ac:dyDescent="0.3">
      <c r="A419" s="13" t="s">
        <v>261</v>
      </c>
      <c r="B419" s="14" t="s">
        <v>6114</v>
      </c>
      <c r="C419" s="14" t="s">
        <v>5883</v>
      </c>
      <c r="D419" s="14" t="s">
        <v>5341</v>
      </c>
      <c r="E419" s="14" t="s">
        <v>5913</v>
      </c>
      <c r="F419" s="14" t="s">
        <v>5348</v>
      </c>
      <c r="G419" s="14" t="s">
        <v>5344</v>
      </c>
      <c r="H419" s="14" t="s">
        <v>5345</v>
      </c>
      <c r="I419" s="15">
        <v>65</v>
      </c>
    </row>
    <row r="420" spans="1:9" x14ac:dyDescent="0.3">
      <c r="A420" s="13" t="s">
        <v>474</v>
      </c>
      <c r="B420" s="14" t="s">
        <v>6114</v>
      </c>
      <c r="C420" s="14" t="s">
        <v>5883</v>
      </c>
      <c r="D420" s="14" t="s">
        <v>5357</v>
      </c>
      <c r="E420" s="14" t="s">
        <v>6115</v>
      </c>
      <c r="F420" s="14" t="s">
        <v>5423</v>
      </c>
      <c r="G420" s="14" t="s">
        <v>5398</v>
      </c>
      <c r="H420" s="14" t="s">
        <v>5399</v>
      </c>
      <c r="I420" s="15">
        <v>30</v>
      </c>
    </row>
    <row r="421" spans="1:9" x14ac:dyDescent="0.3">
      <c r="A421" s="13" t="s">
        <v>1334</v>
      </c>
      <c r="B421" s="14" t="s">
        <v>6116</v>
      </c>
      <c r="C421" s="14" t="s">
        <v>6117</v>
      </c>
      <c r="D421" s="14" t="s">
        <v>5357</v>
      </c>
      <c r="E421" s="14" t="s">
        <v>5368</v>
      </c>
      <c r="F421" s="14" t="s">
        <v>5369</v>
      </c>
      <c r="G421" s="14" t="s">
        <v>5370</v>
      </c>
      <c r="H421" s="14" t="s">
        <v>5371</v>
      </c>
      <c r="I421" s="15">
        <v>56</v>
      </c>
    </row>
    <row r="422" spans="1:9" x14ac:dyDescent="0.3">
      <c r="A422" s="13" t="s">
        <v>157</v>
      </c>
      <c r="B422" s="14" t="s">
        <v>6118</v>
      </c>
      <c r="C422" s="14" t="s">
        <v>6119</v>
      </c>
      <c r="D422" s="14" t="s">
        <v>5341</v>
      </c>
      <c r="E422" s="14" t="s">
        <v>5497</v>
      </c>
      <c r="F422" s="14" t="s">
        <v>5498</v>
      </c>
      <c r="G422" s="14" t="s">
        <v>5370</v>
      </c>
      <c r="H422" s="14" t="s">
        <v>5371</v>
      </c>
      <c r="I422" s="15">
        <v>27</v>
      </c>
    </row>
    <row r="423" spans="1:9" x14ac:dyDescent="0.3">
      <c r="A423" s="13" t="s">
        <v>1064</v>
      </c>
      <c r="B423" s="14" t="s">
        <v>6120</v>
      </c>
      <c r="C423" s="14" t="s">
        <v>5816</v>
      </c>
      <c r="D423" s="14" t="s">
        <v>5357</v>
      </c>
      <c r="E423" s="14" t="s">
        <v>5455</v>
      </c>
      <c r="F423" s="14" t="s">
        <v>5436</v>
      </c>
      <c r="G423" s="14" t="s">
        <v>5353</v>
      </c>
      <c r="H423" s="14" t="s">
        <v>5354</v>
      </c>
      <c r="I423" s="15">
        <v>35</v>
      </c>
    </row>
    <row r="424" spans="1:9" x14ac:dyDescent="0.3">
      <c r="A424" s="13" t="s">
        <v>972</v>
      </c>
      <c r="B424" s="14" t="s">
        <v>6120</v>
      </c>
      <c r="C424" s="14" t="s">
        <v>6121</v>
      </c>
      <c r="D424" s="14" t="s">
        <v>5357</v>
      </c>
      <c r="E424" s="14" t="s">
        <v>6122</v>
      </c>
      <c r="F424" s="14" t="s">
        <v>5523</v>
      </c>
      <c r="G424" s="14" t="s">
        <v>5398</v>
      </c>
      <c r="H424" s="14" t="s">
        <v>5399</v>
      </c>
      <c r="I424" s="15">
        <v>60</v>
      </c>
    </row>
    <row r="425" spans="1:9" x14ac:dyDescent="0.3">
      <c r="A425" s="13" t="s">
        <v>832</v>
      </c>
      <c r="B425" s="14" t="s">
        <v>6123</v>
      </c>
      <c r="C425" s="14" t="s">
        <v>6124</v>
      </c>
      <c r="D425" s="14" t="s">
        <v>5357</v>
      </c>
      <c r="E425" s="14" t="s">
        <v>5431</v>
      </c>
      <c r="F425" s="14" t="s">
        <v>5431</v>
      </c>
      <c r="G425" s="14" t="s">
        <v>5370</v>
      </c>
      <c r="H425" s="14" t="s">
        <v>5371</v>
      </c>
      <c r="I425" s="15">
        <v>66</v>
      </c>
    </row>
    <row r="426" spans="1:9" x14ac:dyDescent="0.3">
      <c r="A426" s="17" t="s">
        <v>464</v>
      </c>
      <c r="B426" s="18" t="s">
        <v>6123</v>
      </c>
      <c r="C426" s="18" t="s">
        <v>6124</v>
      </c>
      <c r="D426" s="18" t="s">
        <v>5357</v>
      </c>
      <c r="E426" s="18" t="s">
        <v>5458</v>
      </c>
      <c r="F426" s="18" t="s">
        <v>5454</v>
      </c>
      <c r="G426" s="18" t="s">
        <v>5353</v>
      </c>
      <c r="H426" s="18" t="s">
        <v>5354</v>
      </c>
      <c r="I426" s="19">
        <v>32</v>
      </c>
    </row>
    <row r="427" spans="1:9" x14ac:dyDescent="0.3">
      <c r="A427" s="17" t="s">
        <v>768</v>
      </c>
      <c r="B427" s="18" t="s">
        <v>6125</v>
      </c>
      <c r="C427" s="18" t="s">
        <v>6126</v>
      </c>
      <c r="D427" s="18" t="s">
        <v>5350</v>
      </c>
      <c r="E427" s="18" t="s">
        <v>5380</v>
      </c>
      <c r="F427" s="18" t="s">
        <v>5381</v>
      </c>
      <c r="G427" s="18" t="s">
        <v>5353</v>
      </c>
      <c r="H427" s="18" t="s">
        <v>5354</v>
      </c>
      <c r="I427" s="19">
        <v>65</v>
      </c>
    </row>
    <row r="428" spans="1:9" x14ac:dyDescent="0.3">
      <c r="A428" s="13" t="s">
        <v>1589</v>
      </c>
      <c r="B428" s="14" t="s">
        <v>6127</v>
      </c>
      <c r="C428" s="14" t="s">
        <v>6128</v>
      </c>
      <c r="D428" s="14" t="s">
        <v>5341</v>
      </c>
      <c r="E428" s="14" t="s">
        <v>6129</v>
      </c>
      <c r="F428" s="14" t="s">
        <v>5352</v>
      </c>
      <c r="G428" s="14" t="s">
        <v>5353</v>
      </c>
      <c r="H428" s="14" t="s">
        <v>5354</v>
      </c>
      <c r="I428" s="15">
        <v>74</v>
      </c>
    </row>
    <row r="429" spans="1:9" x14ac:dyDescent="0.3">
      <c r="A429" s="17" t="s">
        <v>637</v>
      </c>
      <c r="B429" s="18" t="s">
        <v>6130</v>
      </c>
      <c r="C429" s="18" t="s">
        <v>6131</v>
      </c>
      <c r="D429" s="18" t="s">
        <v>5350</v>
      </c>
      <c r="E429" s="18" t="s">
        <v>5552</v>
      </c>
      <c r="F429" s="18" t="s">
        <v>5486</v>
      </c>
      <c r="G429" s="18" t="s">
        <v>5398</v>
      </c>
      <c r="H429" s="18" t="s">
        <v>5399</v>
      </c>
      <c r="I429" s="19">
        <v>72</v>
      </c>
    </row>
    <row r="430" spans="1:9" x14ac:dyDescent="0.3">
      <c r="A430" s="17" t="s">
        <v>1047</v>
      </c>
      <c r="B430" s="18" t="s">
        <v>6130</v>
      </c>
      <c r="C430" s="18" t="s">
        <v>6131</v>
      </c>
      <c r="D430" s="18" t="s">
        <v>5357</v>
      </c>
      <c r="E430" s="18" t="s">
        <v>5525</v>
      </c>
      <c r="F430" s="18" t="s">
        <v>5363</v>
      </c>
      <c r="G430" s="18" t="s">
        <v>5353</v>
      </c>
      <c r="H430" s="18" t="s">
        <v>5354</v>
      </c>
      <c r="I430" s="19">
        <v>63</v>
      </c>
    </row>
    <row r="431" spans="1:9" x14ac:dyDescent="0.3">
      <c r="A431" s="17" t="s">
        <v>106</v>
      </c>
      <c r="B431" s="18" t="s">
        <v>6132</v>
      </c>
      <c r="C431" s="18" t="s">
        <v>5604</v>
      </c>
      <c r="D431" s="18" t="s">
        <v>5341</v>
      </c>
      <c r="E431" s="18" t="s">
        <v>5579</v>
      </c>
      <c r="F431" s="18" t="s">
        <v>5580</v>
      </c>
      <c r="G431" s="18" t="s">
        <v>5366</v>
      </c>
      <c r="H431" s="18" t="s">
        <v>5367</v>
      </c>
      <c r="I431" s="19">
        <v>33</v>
      </c>
    </row>
    <row r="432" spans="1:9" x14ac:dyDescent="0.3">
      <c r="A432" s="17" t="s">
        <v>37</v>
      </c>
      <c r="B432" s="18" t="s">
        <v>6132</v>
      </c>
      <c r="C432" s="18" t="s">
        <v>5502</v>
      </c>
      <c r="D432" s="18" t="s">
        <v>5357</v>
      </c>
      <c r="E432" s="18" t="s">
        <v>5441</v>
      </c>
      <c r="F432" s="18" t="s">
        <v>5441</v>
      </c>
      <c r="G432" s="18" t="s">
        <v>5398</v>
      </c>
      <c r="H432" s="18" t="s">
        <v>5399</v>
      </c>
      <c r="I432" s="19">
        <v>51</v>
      </c>
    </row>
    <row r="433" spans="1:9" x14ac:dyDescent="0.3">
      <c r="A433" s="13" t="s">
        <v>445</v>
      </c>
      <c r="B433" s="14" t="s">
        <v>6133</v>
      </c>
      <c r="C433" s="14" t="s">
        <v>6134</v>
      </c>
      <c r="D433" s="14" t="s">
        <v>5357</v>
      </c>
      <c r="E433" s="14" t="s">
        <v>5401</v>
      </c>
      <c r="F433" s="14" t="s">
        <v>5352</v>
      </c>
      <c r="G433" s="14" t="s">
        <v>5353</v>
      </c>
      <c r="H433" s="14" t="s">
        <v>5354</v>
      </c>
      <c r="I433" s="15">
        <v>26</v>
      </c>
    </row>
    <row r="434" spans="1:9" x14ac:dyDescent="0.3">
      <c r="A434" s="17" t="s">
        <v>100</v>
      </c>
      <c r="B434" s="18" t="s">
        <v>6133</v>
      </c>
      <c r="C434" s="18" t="s">
        <v>6135</v>
      </c>
      <c r="D434" s="18" t="s">
        <v>5341</v>
      </c>
      <c r="E434" s="18" t="s">
        <v>5489</v>
      </c>
      <c r="F434" s="18" t="s">
        <v>5390</v>
      </c>
      <c r="G434" s="18" t="s">
        <v>5353</v>
      </c>
      <c r="H434" s="18" t="s">
        <v>5354</v>
      </c>
      <c r="I434" s="19">
        <v>73</v>
      </c>
    </row>
    <row r="435" spans="1:9" x14ac:dyDescent="0.3">
      <c r="A435" s="17" t="s">
        <v>502</v>
      </c>
      <c r="B435" s="18" t="s">
        <v>6133</v>
      </c>
      <c r="C435" s="18" t="s">
        <v>6134</v>
      </c>
      <c r="D435" s="18" t="s">
        <v>5341</v>
      </c>
      <c r="E435" s="18" t="s">
        <v>5401</v>
      </c>
      <c r="F435" s="18" t="s">
        <v>5352</v>
      </c>
      <c r="G435" s="18" t="s">
        <v>5353</v>
      </c>
      <c r="H435" s="18" t="s">
        <v>5354</v>
      </c>
      <c r="I435" s="19">
        <v>55</v>
      </c>
    </row>
    <row r="436" spans="1:9" x14ac:dyDescent="0.3">
      <c r="A436" s="17" t="s">
        <v>1734</v>
      </c>
      <c r="B436" s="18" t="s">
        <v>6133</v>
      </c>
      <c r="C436" s="18" t="s">
        <v>6136</v>
      </c>
      <c r="D436" s="18" t="s">
        <v>5357</v>
      </c>
      <c r="E436" s="18" t="s">
        <v>5910</v>
      </c>
      <c r="F436" s="18" t="s">
        <v>5359</v>
      </c>
      <c r="G436" s="18" t="s">
        <v>5344</v>
      </c>
      <c r="H436" s="18" t="s">
        <v>5345</v>
      </c>
      <c r="I436" s="19">
        <v>43</v>
      </c>
    </row>
    <row r="437" spans="1:9" x14ac:dyDescent="0.3">
      <c r="A437" s="13" t="s">
        <v>688</v>
      </c>
      <c r="B437" s="14" t="s">
        <v>5478</v>
      </c>
      <c r="C437" s="14" t="s">
        <v>6137</v>
      </c>
      <c r="D437" s="14" t="s">
        <v>5341</v>
      </c>
      <c r="E437" s="14" t="s">
        <v>6055</v>
      </c>
      <c r="F437" s="14" t="s">
        <v>5365</v>
      </c>
      <c r="G437" s="14" t="s">
        <v>5366</v>
      </c>
      <c r="H437" s="14" t="s">
        <v>5367</v>
      </c>
      <c r="I437" s="15">
        <v>38</v>
      </c>
    </row>
    <row r="438" spans="1:9" x14ac:dyDescent="0.3">
      <c r="A438" s="17" t="s">
        <v>285</v>
      </c>
      <c r="B438" s="18" t="s">
        <v>6138</v>
      </c>
      <c r="C438" s="18" t="s">
        <v>6139</v>
      </c>
      <c r="D438" s="18" t="s">
        <v>5341</v>
      </c>
      <c r="E438" s="18" t="s">
        <v>6140</v>
      </c>
      <c r="F438" s="18" t="s">
        <v>5387</v>
      </c>
      <c r="G438" s="18" t="s">
        <v>5344</v>
      </c>
      <c r="H438" s="18" t="s">
        <v>5345</v>
      </c>
      <c r="I438" s="19">
        <v>73</v>
      </c>
    </row>
    <row r="439" spans="1:9" x14ac:dyDescent="0.3">
      <c r="A439" s="13" t="s">
        <v>1413</v>
      </c>
      <c r="B439" s="14" t="s">
        <v>6138</v>
      </c>
      <c r="C439" s="14" t="s">
        <v>6139</v>
      </c>
      <c r="D439" s="14" t="s">
        <v>5341</v>
      </c>
      <c r="E439" s="14" t="s">
        <v>6050</v>
      </c>
      <c r="F439" s="14" t="s">
        <v>6051</v>
      </c>
      <c r="G439" s="14" t="s">
        <v>5398</v>
      </c>
      <c r="H439" s="14" t="s">
        <v>5399</v>
      </c>
      <c r="I439" s="15">
        <v>32</v>
      </c>
    </row>
    <row r="440" spans="1:9" x14ac:dyDescent="0.3">
      <c r="A440" s="13" t="s">
        <v>533</v>
      </c>
      <c r="B440" s="14" t="s">
        <v>6138</v>
      </c>
      <c r="C440" s="14" t="s">
        <v>6139</v>
      </c>
      <c r="D440" s="14" t="s">
        <v>5357</v>
      </c>
      <c r="E440" s="14" t="s">
        <v>5496</v>
      </c>
      <c r="F440" s="14" t="s">
        <v>5359</v>
      </c>
      <c r="G440" s="14" t="s">
        <v>5344</v>
      </c>
      <c r="H440" s="14" t="s">
        <v>5345</v>
      </c>
      <c r="I440" s="15">
        <v>47</v>
      </c>
    </row>
    <row r="441" spans="1:9" x14ac:dyDescent="0.3">
      <c r="A441" s="17" t="s">
        <v>777</v>
      </c>
      <c r="B441" s="18" t="s">
        <v>6138</v>
      </c>
      <c r="C441" s="18" t="s">
        <v>6141</v>
      </c>
      <c r="D441" s="18" t="s">
        <v>5350</v>
      </c>
      <c r="E441" s="18" t="s">
        <v>6142</v>
      </c>
      <c r="F441" s="18" t="s">
        <v>5446</v>
      </c>
      <c r="G441" s="18" t="s">
        <v>5353</v>
      </c>
      <c r="H441" s="18" t="s">
        <v>5354</v>
      </c>
      <c r="I441" s="19">
        <v>71</v>
      </c>
    </row>
    <row r="442" spans="1:9" x14ac:dyDescent="0.3">
      <c r="A442" s="17" t="s">
        <v>126</v>
      </c>
      <c r="B442" s="18" t="s">
        <v>6138</v>
      </c>
      <c r="C442" s="18" t="s">
        <v>6139</v>
      </c>
      <c r="D442" s="18" t="s">
        <v>5357</v>
      </c>
      <c r="E442" s="18" t="s">
        <v>6143</v>
      </c>
      <c r="F442" s="18" t="s">
        <v>5352</v>
      </c>
      <c r="G442" s="18" t="s">
        <v>5353</v>
      </c>
      <c r="H442" s="18" t="s">
        <v>5354</v>
      </c>
      <c r="I442" s="19">
        <v>49</v>
      </c>
    </row>
    <row r="443" spans="1:9" x14ac:dyDescent="0.3">
      <c r="A443" s="17" t="s">
        <v>807</v>
      </c>
      <c r="B443" s="18" t="s">
        <v>6144</v>
      </c>
      <c r="C443" s="18" t="s">
        <v>6145</v>
      </c>
      <c r="D443" s="18" t="s">
        <v>5357</v>
      </c>
      <c r="E443" s="18" t="s">
        <v>6115</v>
      </c>
      <c r="F443" s="18" t="s">
        <v>5423</v>
      </c>
      <c r="G443" s="18" t="s">
        <v>5398</v>
      </c>
      <c r="H443" s="18" t="s">
        <v>5399</v>
      </c>
      <c r="I443" s="19">
        <v>52</v>
      </c>
    </row>
    <row r="444" spans="1:9" x14ac:dyDescent="0.3">
      <c r="A444" s="17" t="s">
        <v>1238</v>
      </c>
      <c r="B444" s="18" t="s">
        <v>6144</v>
      </c>
      <c r="C444" s="18" t="s">
        <v>5461</v>
      </c>
      <c r="D444" s="18" t="s">
        <v>5357</v>
      </c>
      <c r="E444" s="18" t="s">
        <v>5406</v>
      </c>
      <c r="F444" s="18" t="s">
        <v>5407</v>
      </c>
      <c r="G444" s="18" t="s">
        <v>5366</v>
      </c>
      <c r="H444" s="18" t="s">
        <v>5367</v>
      </c>
      <c r="I444" s="19">
        <v>41</v>
      </c>
    </row>
    <row r="445" spans="1:9" x14ac:dyDescent="0.3">
      <c r="A445" s="17" t="s">
        <v>1154</v>
      </c>
      <c r="B445" s="18" t="s">
        <v>6146</v>
      </c>
      <c r="C445" s="18" t="s">
        <v>6147</v>
      </c>
      <c r="D445" s="18" t="s">
        <v>5357</v>
      </c>
      <c r="E445" s="18" t="s">
        <v>6148</v>
      </c>
      <c r="F445" s="18" t="s">
        <v>6149</v>
      </c>
      <c r="G445" s="18" t="s">
        <v>5370</v>
      </c>
      <c r="H445" s="18" t="s">
        <v>5371</v>
      </c>
      <c r="I445" s="19">
        <v>37</v>
      </c>
    </row>
    <row r="446" spans="1:9" x14ac:dyDescent="0.3">
      <c r="A446" s="13" t="s">
        <v>1787</v>
      </c>
      <c r="B446" s="14" t="s">
        <v>6146</v>
      </c>
      <c r="C446" s="14" t="s">
        <v>6150</v>
      </c>
      <c r="D446" s="14" t="s">
        <v>5341</v>
      </c>
      <c r="E446" s="14" t="s">
        <v>5435</v>
      </c>
      <c r="F446" s="14" t="s">
        <v>5436</v>
      </c>
      <c r="G446" s="14" t="s">
        <v>5353</v>
      </c>
      <c r="H446" s="14" t="s">
        <v>5354</v>
      </c>
      <c r="I446" s="15">
        <v>60</v>
      </c>
    </row>
    <row r="447" spans="1:9" x14ac:dyDescent="0.3">
      <c r="A447" s="13" t="s">
        <v>297</v>
      </c>
      <c r="B447" s="14" t="s">
        <v>6151</v>
      </c>
      <c r="C447" s="14" t="s">
        <v>6152</v>
      </c>
      <c r="D447" s="14" t="s">
        <v>5357</v>
      </c>
      <c r="E447" s="14" t="s">
        <v>6153</v>
      </c>
      <c r="F447" s="14" t="s">
        <v>5387</v>
      </c>
      <c r="G447" s="14" t="s">
        <v>5344</v>
      </c>
      <c r="H447" s="14" t="s">
        <v>5345</v>
      </c>
      <c r="I447" s="15">
        <v>78</v>
      </c>
    </row>
    <row r="448" spans="1:9" x14ac:dyDescent="0.3">
      <c r="A448" s="13" t="s">
        <v>544</v>
      </c>
      <c r="B448" s="14" t="s">
        <v>6154</v>
      </c>
      <c r="C448" s="14" t="s">
        <v>5990</v>
      </c>
      <c r="D448" s="14" t="s">
        <v>5357</v>
      </c>
      <c r="E448" s="14" t="s">
        <v>5442</v>
      </c>
      <c r="F448" s="14" t="s">
        <v>5363</v>
      </c>
      <c r="G448" s="14" t="s">
        <v>5353</v>
      </c>
      <c r="H448" s="14" t="s">
        <v>5354</v>
      </c>
      <c r="I448" s="15">
        <v>73</v>
      </c>
    </row>
    <row r="449" spans="1:9" x14ac:dyDescent="0.3">
      <c r="A449" s="17" t="s">
        <v>170</v>
      </c>
      <c r="B449" s="18" t="s">
        <v>6154</v>
      </c>
      <c r="C449" s="18" t="s">
        <v>5990</v>
      </c>
      <c r="D449" s="18" t="s">
        <v>5341</v>
      </c>
      <c r="E449" s="18" t="s">
        <v>5727</v>
      </c>
      <c r="F449" s="18" t="s">
        <v>5387</v>
      </c>
      <c r="G449" s="18" t="s">
        <v>5344</v>
      </c>
      <c r="H449" s="18" t="s">
        <v>5345</v>
      </c>
      <c r="I449" s="19">
        <v>33</v>
      </c>
    </row>
    <row r="450" spans="1:9" x14ac:dyDescent="0.3">
      <c r="A450" s="13" t="s">
        <v>648</v>
      </c>
      <c r="B450" s="14" t="s">
        <v>6154</v>
      </c>
      <c r="C450" s="14" t="s">
        <v>6034</v>
      </c>
      <c r="D450" s="14" t="s">
        <v>5341</v>
      </c>
      <c r="E450" s="14" t="s">
        <v>5380</v>
      </c>
      <c r="F450" s="14" t="s">
        <v>5381</v>
      </c>
      <c r="G450" s="14" t="s">
        <v>5353</v>
      </c>
      <c r="H450" s="14" t="s">
        <v>5354</v>
      </c>
      <c r="I450" s="15">
        <v>64</v>
      </c>
    </row>
    <row r="451" spans="1:9" x14ac:dyDescent="0.3">
      <c r="A451" s="13" t="s">
        <v>1525</v>
      </c>
      <c r="B451" s="14" t="s">
        <v>6154</v>
      </c>
      <c r="C451" s="14" t="s">
        <v>6034</v>
      </c>
      <c r="D451" s="14" t="s">
        <v>5341</v>
      </c>
      <c r="E451" s="14" t="s">
        <v>5661</v>
      </c>
      <c r="F451" s="14" t="s">
        <v>5661</v>
      </c>
      <c r="G451" s="14" t="s">
        <v>5370</v>
      </c>
      <c r="H451" s="14" t="s">
        <v>5371</v>
      </c>
      <c r="I451" s="15">
        <v>68</v>
      </c>
    </row>
    <row r="452" spans="1:9" x14ac:dyDescent="0.3">
      <c r="A452" s="17" t="s">
        <v>500</v>
      </c>
      <c r="B452" s="18" t="s">
        <v>6155</v>
      </c>
      <c r="C452" s="18" t="s">
        <v>6156</v>
      </c>
      <c r="D452" s="18" t="s">
        <v>5350</v>
      </c>
      <c r="E452" s="18" t="s">
        <v>5453</v>
      </c>
      <c r="F452" s="18" t="s">
        <v>5454</v>
      </c>
      <c r="G452" s="18" t="s">
        <v>5353</v>
      </c>
      <c r="H452" s="18" t="s">
        <v>5354</v>
      </c>
      <c r="I452" s="19">
        <v>57</v>
      </c>
    </row>
    <row r="453" spans="1:9" x14ac:dyDescent="0.3">
      <c r="A453" s="13" t="s">
        <v>1195</v>
      </c>
      <c r="B453" s="14" t="s">
        <v>6155</v>
      </c>
      <c r="C453" s="14" t="s">
        <v>6156</v>
      </c>
      <c r="D453" s="14" t="s">
        <v>5357</v>
      </c>
      <c r="E453" s="14" t="s">
        <v>5455</v>
      </c>
      <c r="F453" s="14" t="s">
        <v>5436</v>
      </c>
      <c r="G453" s="14" t="s">
        <v>5353</v>
      </c>
      <c r="H453" s="14" t="s">
        <v>5354</v>
      </c>
      <c r="I453" s="15">
        <v>72</v>
      </c>
    </row>
    <row r="454" spans="1:9" x14ac:dyDescent="0.3">
      <c r="A454" s="17" t="s">
        <v>172</v>
      </c>
      <c r="B454" s="18" t="s">
        <v>6157</v>
      </c>
      <c r="C454" s="18" t="s">
        <v>6158</v>
      </c>
      <c r="D454" s="18" t="s">
        <v>5341</v>
      </c>
      <c r="E454" s="18" t="s">
        <v>5809</v>
      </c>
      <c r="F454" s="18" t="s">
        <v>5359</v>
      </c>
      <c r="G454" s="18" t="s">
        <v>5344</v>
      </c>
      <c r="H454" s="18" t="s">
        <v>5345</v>
      </c>
      <c r="I454" s="19">
        <v>63</v>
      </c>
    </row>
    <row r="455" spans="1:9" x14ac:dyDescent="0.3">
      <c r="A455" s="17" t="s">
        <v>2896</v>
      </c>
      <c r="B455" s="18" t="s">
        <v>6159</v>
      </c>
      <c r="C455" s="18" t="s">
        <v>6160</v>
      </c>
      <c r="D455" s="18" t="s">
        <v>5350</v>
      </c>
      <c r="E455" s="18" t="s">
        <v>6161</v>
      </c>
      <c r="F455" s="18" t="s">
        <v>5580</v>
      </c>
      <c r="G455" s="18" t="s">
        <v>5366</v>
      </c>
      <c r="H455" s="18" t="s">
        <v>5367</v>
      </c>
      <c r="I455" s="19">
        <v>34</v>
      </c>
    </row>
    <row r="456" spans="1:9" x14ac:dyDescent="0.3">
      <c r="A456" s="17" t="s">
        <v>2436</v>
      </c>
      <c r="B456" s="18" t="s">
        <v>6159</v>
      </c>
      <c r="C456" s="18" t="s">
        <v>6160</v>
      </c>
      <c r="D456" s="18" t="s">
        <v>5350</v>
      </c>
      <c r="E456" s="18" t="s">
        <v>6162</v>
      </c>
      <c r="F456" s="18" t="s">
        <v>5359</v>
      </c>
      <c r="G456" s="18" t="s">
        <v>5344</v>
      </c>
      <c r="H456" s="18" t="s">
        <v>5345</v>
      </c>
      <c r="I456" s="19">
        <v>39</v>
      </c>
    </row>
    <row r="457" spans="1:9" x14ac:dyDescent="0.3">
      <c r="A457" s="17" t="s">
        <v>249</v>
      </c>
      <c r="B457" s="18" t="s">
        <v>6159</v>
      </c>
      <c r="C457" s="18" t="s">
        <v>6163</v>
      </c>
      <c r="D457" s="18" t="s">
        <v>5357</v>
      </c>
      <c r="E457" s="18" t="s">
        <v>5383</v>
      </c>
      <c r="F457" s="18" t="s">
        <v>5365</v>
      </c>
      <c r="G457" s="18" t="s">
        <v>5366</v>
      </c>
      <c r="H457" s="18" t="s">
        <v>5367</v>
      </c>
      <c r="I457" s="19">
        <v>50</v>
      </c>
    </row>
    <row r="458" spans="1:9" x14ac:dyDescent="0.3">
      <c r="A458" s="13" t="s">
        <v>1104</v>
      </c>
      <c r="B458" s="14" t="s">
        <v>5491</v>
      </c>
      <c r="C458" s="14" t="s">
        <v>6164</v>
      </c>
      <c r="D458" s="14" t="s">
        <v>5357</v>
      </c>
      <c r="E458" s="14" t="s">
        <v>6016</v>
      </c>
      <c r="F458" s="14" t="s">
        <v>6010</v>
      </c>
      <c r="G458" s="14" t="s">
        <v>5370</v>
      </c>
      <c r="H458" s="14" t="s">
        <v>5371</v>
      </c>
      <c r="I458" s="15">
        <v>68</v>
      </c>
    </row>
    <row r="459" spans="1:9" x14ac:dyDescent="0.3">
      <c r="A459" s="13" t="s">
        <v>599</v>
      </c>
      <c r="B459" s="14" t="s">
        <v>5491</v>
      </c>
      <c r="C459" s="14" t="s">
        <v>6165</v>
      </c>
      <c r="D459" s="14" t="s">
        <v>5357</v>
      </c>
      <c r="E459" s="14" t="s">
        <v>6113</v>
      </c>
      <c r="F459" s="14" t="s">
        <v>5446</v>
      </c>
      <c r="G459" s="14" t="s">
        <v>5353</v>
      </c>
      <c r="H459" s="14" t="s">
        <v>5354</v>
      </c>
      <c r="I459" s="15">
        <v>27</v>
      </c>
    </row>
    <row r="460" spans="1:9" x14ac:dyDescent="0.3">
      <c r="A460" s="17" t="s">
        <v>2420</v>
      </c>
      <c r="B460" s="18" t="s">
        <v>5491</v>
      </c>
      <c r="C460" s="18" t="s">
        <v>6164</v>
      </c>
      <c r="D460" s="18" t="s">
        <v>5357</v>
      </c>
      <c r="E460" s="18" t="s">
        <v>5401</v>
      </c>
      <c r="F460" s="18" t="s">
        <v>5352</v>
      </c>
      <c r="G460" s="18" t="s">
        <v>5353</v>
      </c>
      <c r="H460" s="18" t="s">
        <v>5354</v>
      </c>
      <c r="I460" s="19">
        <v>71</v>
      </c>
    </row>
    <row r="461" spans="1:9" x14ac:dyDescent="0.3">
      <c r="A461" s="17" t="s">
        <v>588</v>
      </c>
      <c r="B461" s="18" t="s">
        <v>5491</v>
      </c>
      <c r="C461" s="18" t="s">
        <v>6166</v>
      </c>
      <c r="D461" s="18" t="s">
        <v>5357</v>
      </c>
      <c r="E461" s="18" t="s">
        <v>5458</v>
      </c>
      <c r="F461" s="18" t="s">
        <v>5454</v>
      </c>
      <c r="G461" s="18" t="s">
        <v>5353</v>
      </c>
      <c r="H461" s="18" t="s">
        <v>5354</v>
      </c>
      <c r="I461" s="19">
        <v>51</v>
      </c>
    </row>
    <row r="462" spans="1:9" x14ac:dyDescent="0.3">
      <c r="A462" s="13" t="s">
        <v>85</v>
      </c>
      <c r="B462" s="14" t="s">
        <v>5491</v>
      </c>
      <c r="C462" s="14" t="s">
        <v>6165</v>
      </c>
      <c r="D462" s="14" t="s">
        <v>5341</v>
      </c>
      <c r="E462" s="14" t="s">
        <v>6167</v>
      </c>
      <c r="F462" s="14" t="s">
        <v>5580</v>
      </c>
      <c r="G462" s="14" t="s">
        <v>5366</v>
      </c>
      <c r="H462" s="14" t="s">
        <v>5367</v>
      </c>
      <c r="I462" s="15">
        <v>68</v>
      </c>
    </row>
    <row r="463" spans="1:9" x14ac:dyDescent="0.3">
      <c r="A463" s="17" t="s">
        <v>650</v>
      </c>
      <c r="B463" s="18" t="s">
        <v>6168</v>
      </c>
      <c r="C463" s="18" t="s">
        <v>6169</v>
      </c>
      <c r="D463" s="18" t="s">
        <v>5350</v>
      </c>
      <c r="E463" s="18" t="s">
        <v>5451</v>
      </c>
      <c r="F463" s="18" t="s">
        <v>5436</v>
      </c>
      <c r="G463" s="18" t="s">
        <v>5353</v>
      </c>
      <c r="H463" s="18" t="s">
        <v>5354</v>
      </c>
      <c r="I463" s="19">
        <v>48</v>
      </c>
    </row>
    <row r="464" spans="1:9" x14ac:dyDescent="0.3">
      <c r="A464" s="13" t="s">
        <v>1490</v>
      </c>
      <c r="B464" s="14" t="s">
        <v>6170</v>
      </c>
      <c r="C464" s="14" t="s">
        <v>5924</v>
      </c>
      <c r="D464" s="14" t="s">
        <v>5341</v>
      </c>
      <c r="E464" s="14" t="s">
        <v>5583</v>
      </c>
      <c r="F464" s="14" t="s">
        <v>5661</v>
      </c>
      <c r="G464" s="14" t="s">
        <v>5370</v>
      </c>
      <c r="H464" s="14" t="s">
        <v>5371</v>
      </c>
      <c r="I464" s="15">
        <v>57</v>
      </c>
    </row>
    <row r="465" spans="1:9" x14ac:dyDescent="0.3">
      <c r="A465" s="17" t="s">
        <v>1174</v>
      </c>
      <c r="B465" s="18" t="s">
        <v>6170</v>
      </c>
      <c r="C465" s="18" t="s">
        <v>6171</v>
      </c>
      <c r="D465" s="18" t="s">
        <v>5341</v>
      </c>
      <c r="E465" s="18" t="s">
        <v>6172</v>
      </c>
      <c r="F465" s="18" t="s">
        <v>5580</v>
      </c>
      <c r="G465" s="18" t="s">
        <v>5366</v>
      </c>
      <c r="H465" s="18" t="s">
        <v>5367</v>
      </c>
      <c r="I465" s="19">
        <v>79</v>
      </c>
    </row>
    <row r="466" spans="1:9" x14ac:dyDescent="0.3">
      <c r="A466" s="13" t="s">
        <v>552</v>
      </c>
      <c r="B466" s="14" t="s">
        <v>6170</v>
      </c>
      <c r="C466" s="14" t="s">
        <v>6173</v>
      </c>
      <c r="D466" s="14" t="s">
        <v>5341</v>
      </c>
      <c r="E466" s="14" t="s">
        <v>6174</v>
      </c>
      <c r="F466" s="14" t="s">
        <v>5352</v>
      </c>
      <c r="G466" s="14" t="s">
        <v>5353</v>
      </c>
      <c r="H466" s="14" t="s">
        <v>5354</v>
      </c>
      <c r="I466" s="15">
        <v>50</v>
      </c>
    </row>
    <row r="467" spans="1:9" x14ac:dyDescent="0.3">
      <c r="A467" s="13" t="s">
        <v>1278</v>
      </c>
      <c r="B467" s="14" t="s">
        <v>6170</v>
      </c>
      <c r="C467" s="14" t="s">
        <v>6173</v>
      </c>
      <c r="D467" s="14" t="s">
        <v>5341</v>
      </c>
      <c r="E467" s="14" t="s">
        <v>6175</v>
      </c>
      <c r="F467" s="14" t="s">
        <v>5744</v>
      </c>
      <c r="G467" s="14" t="s">
        <v>5398</v>
      </c>
      <c r="H467" s="14" t="s">
        <v>5399</v>
      </c>
      <c r="I467" s="15">
        <v>54</v>
      </c>
    </row>
    <row r="468" spans="1:9" x14ac:dyDescent="0.3">
      <c r="A468" s="13" t="s">
        <v>164</v>
      </c>
      <c r="B468" s="14" t="s">
        <v>6170</v>
      </c>
      <c r="C468" s="14" t="s">
        <v>6176</v>
      </c>
      <c r="D468" s="14" t="s">
        <v>5357</v>
      </c>
      <c r="E468" s="14" t="s">
        <v>5442</v>
      </c>
      <c r="F468" s="14" t="s">
        <v>5363</v>
      </c>
      <c r="G468" s="14" t="s">
        <v>5353</v>
      </c>
      <c r="H468" s="14" t="s">
        <v>5354</v>
      </c>
      <c r="I468" s="15">
        <v>76</v>
      </c>
    </row>
    <row r="469" spans="1:9" x14ac:dyDescent="0.3">
      <c r="A469" s="17" t="s">
        <v>227</v>
      </c>
      <c r="B469" s="18" t="s">
        <v>6170</v>
      </c>
      <c r="C469" s="18" t="s">
        <v>6176</v>
      </c>
      <c r="D469" s="18" t="s">
        <v>5341</v>
      </c>
      <c r="E469" s="18" t="s">
        <v>6177</v>
      </c>
      <c r="F469" s="18" t="s">
        <v>5558</v>
      </c>
      <c r="G469" s="18" t="s">
        <v>5366</v>
      </c>
      <c r="H469" s="18" t="s">
        <v>5367</v>
      </c>
      <c r="I469" s="19">
        <v>49</v>
      </c>
    </row>
    <row r="470" spans="1:9" x14ac:dyDescent="0.3">
      <c r="A470" s="13" t="s">
        <v>216</v>
      </c>
      <c r="B470" s="14" t="s">
        <v>6178</v>
      </c>
      <c r="C470" s="14" t="s">
        <v>6179</v>
      </c>
      <c r="D470" s="14" t="s">
        <v>5357</v>
      </c>
      <c r="E470" s="14" t="s">
        <v>6180</v>
      </c>
      <c r="F470" s="14" t="s">
        <v>5558</v>
      </c>
      <c r="G470" s="14" t="s">
        <v>5366</v>
      </c>
      <c r="H470" s="14" t="s">
        <v>5367</v>
      </c>
      <c r="I470" s="15">
        <v>37</v>
      </c>
    </row>
    <row r="471" spans="1:9" x14ac:dyDescent="0.3">
      <c r="A471" s="17" t="s">
        <v>661</v>
      </c>
      <c r="B471" s="18" t="s">
        <v>6124</v>
      </c>
      <c r="C471" s="18" t="s">
        <v>5745</v>
      </c>
      <c r="D471" s="18" t="s">
        <v>5357</v>
      </c>
      <c r="E471" s="18" t="s">
        <v>6142</v>
      </c>
      <c r="F471" s="18" t="s">
        <v>5446</v>
      </c>
      <c r="G471" s="18" t="s">
        <v>5353</v>
      </c>
      <c r="H471" s="18" t="s">
        <v>5354</v>
      </c>
      <c r="I471" s="19">
        <v>63</v>
      </c>
    </row>
    <row r="472" spans="1:9" x14ac:dyDescent="0.3">
      <c r="A472" s="17" t="s">
        <v>1451</v>
      </c>
      <c r="B472" s="18" t="s">
        <v>6124</v>
      </c>
      <c r="C472" s="18" t="s">
        <v>6181</v>
      </c>
      <c r="D472" s="18" t="s">
        <v>5357</v>
      </c>
      <c r="E472" s="18" t="s">
        <v>6182</v>
      </c>
      <c r="F472" s="18" t="s">
        <v>5423</v>
      </c>
      <c r="G472" s="18" t="s">
        <v>5398</v>
      </c>
      <c r="H472" s="18" t="s">
        <v>5399</v>
      </c>
      <c r="I472" s="19">
        <v>67</v>
      </c>
    </row>
    <row r="473" spans="1:9" x14ac:dyDescent="0.3">
      <c r="A473" s="17" t="s">
        <v>1856</v>
      </c>
      <c r="B473" s="18" t="s">
        <v>6124</v>
      </c>
      <c r="C473" s="18" t="s">
        <v>5861</v>
      </c>
      <c r="D473" s="18" t="s">
        <v>5341</v>
      </c>
      <c r="E473" s="18" t="s">
        <v>6183</v>
      </c>
      <c r="F473" s="18" t="s">
        <v>6184</v>
      </c>
      <c r="G473" s="18" t="s">
        <v>5398</v>
      </c>
      <c r="H473" s="18" t="s">
        <v>5399</v>
      </c>
      <c r="I473" s="19">
        <v>49</v>
      </c>
    </row>
    <row r="474" spans="1:9" x14ac:dyDescent="0.3">
      <c r="A474" s="13" t="s">
        <v>569</v>
      </c>
      <c r="B474" s="14" t="s">
        <v>6124</v>
      </c>
      <c r="C474" s="14" t="s">
        <v>6185</v>
      </c>
      <c r="D474" s="14" t="s">
        <v>5341</v>
      </c>
      <c r="E474" s="14" t="s">
        <v>6186</v>
      </c>
      <c r="F474" s="14" t="s">
        <v>6187</v>
      </c>
      <c r="G474" s="14" t="s">
        <v>5344</v>
      </c>
      <c r="H474" s="14" t="s">
        <v>5345</v>
      </c>
      <c r="I474" s="15">
        <v>45</v>
      </c>
    </row>
    <row r="475" spans="1:9" x14ac:dyDescent="0.3">
      <c r="A475" s="13" t="s">
        <v>1094</v>
      </c>
      <c r="B475" s="14" t="s">
        <v>6124</v>
      </c>
      <c r="C475" s="14" t="s">
        <v>6181</v>
      </c>
      <c r="D475" s="14" t="s">
        <v>5341</v>
      </c>
      <c r="E475" s="14" t="s">
        <v>6188</v>
      </c>
      <c r="F475" s="14" t="s">
        <v>5407</v>
      </c>
      <c r="G475" s="14" t="s">
        <v>5366</v>
      </c>
      <c r="H475" s="14" t="s">
        <v>5367</v>
      </c>
      <c r="I475" s="15">
        <v>64</v>
      </c>
    </row>
    <row r="476" spans="1:9" x14ac:dyDescent="0.3">
      <c r="A476" s="13" t="s">
        <v>135</v>
      </c>
      <c r="B476" s="14" t="s">
        <v>6189</v>
      </c>
      <c r="C476" s="14" t="s">
        <v>5540</v>
      </c>
      <c r="D476" s="14" t="s">
        <v>5357</v>
      </c>
      <c r="E476" s="14" t="s">
        <v>6190</v>
      </c>
      <c r="F476" s="14" t="s">
        <v>5585</v>
      </c>
      <c r="G476" s="14" t="s">
        <v>5398</v>
      </c>
      <c r="H476" s="14" t="s">
        <v>5399</v>
      </c>
      <c r="I476" s="15">
        <v>43</v>
      </c>
    </row>
    <row r="477" spans="1:9" x14ac:dyDescent="0.3">
      <c r="A477" s="13" t="s">
        <v>624</v>
      </c>
      <c r="B477" s="14" t="s">
        <v>6189</v>
      </c>
      <c r="C477" s="14" t="s">
        <v>5540</v>
      </c>
      <c r="D477" s="14" t="s">
        <v>5350</v>
      </c>
      <c r="E477" s="14" t="s">
        <v>5412</v>
      </c>
      <c r="F477" s="14" t="s">
        <v>5365</v>
      </c>
      <c r="G477" s="14" t="s">
        <v>5366</v>
      </c>
      <c r="H477" s="14" t="s">
        <v>5367</v>
      </c>
      <c r="I477" s="15">
        <v>63</v>
      </c>
    </row>
    <row r="478" spans="1:9" x14ac:dyDescent="0.3">
      <c r="A478" s="17" t="s">
        <v>229</v>
      </c>
      <c r="B478" s="18" t="s">
        <v>6189</v>
      </c>
      <c r="C478" s="18" t="s">
        <v>5540</v>
      </c>
      <c r="D478" s="18" t="s">
        <v>5357</v>
      </c>
      <c r="E478" s="18" t="s">
        <v>5431</v>
      </c>
      <c r="F478" s="18" t="s">
        <v>5431</v>
      </c>
      <c r="G478" s="18" t="s">
        <v>5370</v>
      </c>
      <c r="H478" s="18" t="s">
        <v>5371</v>
      </c>
      <c r="I478" s="19">
        <v>67</v>
      </c>
    </row>
    <row r="479" spans="1:9" x14ac:dyDescent="0.3">
      <c r="A479" s="13" t="s">
        <v>1112</v>
      </c>
      <c r="B479" s="14" t="s">
        <v>6191</v>
      </c>
      <c r="C479" s="14" t="s">
        <v>5450</v>
      </c>
      <c r="D479" s="14" t="s">
        <v>5357</v>
      </c>
      <c r="E479" s="14" t="s">
        <v>6188</v>
      </c>
      <c r="F479" s="14" t="s">
        <v>5407</v>
      </c>
      <c r="G479" s="14" t="s">
        <v>5366</v>
      </c>
      <c r="H479" s="14" t="s">
        <v>5367</v>
      </c>
      <c r="I479" s="15">
        <v>60</v>
      </c>
    </row>
    <row r="480" spans="1:9" x14ac:dyDescent="0.3">
      <c r="A480" s="13" t="s">
        <v>418</v>
      </c>
      <c r="B480" s="14" t="s">
        <v>6192</v>
      </c>
      <c r="C480" s="14" t="s">
        <v>6193</v>
      </c>
      <c r="D480" s="14" t="s">
        <v>5357</v>
      </c>
      <c r="E480" s="14" t="s">
        <v>5917</v>
      </c>
      <c r="F480" s="14" t="s">
        <v>5423</v>
      </c>
      <c r="G480" s="14" t="s">
        <v>5398</v>
      </c>
      <c r="H480" s="14" t="s">
        <v>5399</v>
      </c>
      <c r="I480" s="15">
        <v>72</v>
      </c>
    </row>
    <row r="481" spans="1:9" x14ac:dyDescent="0.3">
      <c r="A481" s="17" t="s">
        <v>1768</v>
      </c>
      <c r="B481" s="18" t="s">
        <v>6192</v>
      </c>
      <c r="C481" s="18" t="s">
        <v>6194</v>
      </c>
      <c r="D481" s="18" t="s">
        <v>5357</v>
      </c>
      <c r="E481" s="18" t="s">
        <v>5583</v>
      </c>
      <c r="F481" s="18" t="s">
        <v>5661</v>
      </c>
      <c r="G481" s="18" t="s">
        <v>5370</v>
      </c>
      <c r="H481" s="18" t="s">
        <v>5371</v>
      </c>
      <c r="I481" s="19">
        <v>62</v>
      </c>
    </row>
    <row r="482" spans="1:9" x14ac:dyDescent="0.3">
      <c r="A482" s="13" t="s">
        <v>970</v>
      </c>
      <c r="B482" s="14" t="s">
        <v>6192</v>
      </c>
      <c r="C482" s="14" t="s">
        <v>6193</v>
      </c>
      <c r="D482" s="14" t="s">
        <v>5350</v>
      </c>
      <c r="E482" s="14" t="s">
        <v>5819</v>
      </c>
      <c r="F482" s="14" t="s">
        <v>5359</v>
      </c>
      <c r="G482" s="14" t="s">
        <v>5344</v>
      </c>
      <c r="H482" s="14" t="s">
        <v>5345</v>
      </c>
      <c r="I482" s="15">
        <v>40</v>
      </c>
    </row>
    <row r="483" spans="1:9" x14ac:dyDescent="0.3">
      <c r="A483" s="17" t="s">
        <v>400</v>
      </c>
      <c r="B483" s="18" t="s">
        <v>6192</v>
      </c>
      <c r="C483" s="18" t="s">
        <v>6194</v>
      </c>
      <c r="D483" s="18" t="s">
        <v>5350</v>
      </c>
      <c r="E483" s="18" t="s">
        <v>5380</v>
      </c>
      <c r="F483" s="18" t="s">
        <v>5381</v>
      </c>
      <c r="G483" s="18" t="s">
        <v>5353</v>
      </c>
      <c r="H483" s="18" t="s">
        <v>5354</v>
      </c>
      <c r="I483" s="19">
        <v>45</v>
      </c>
    </row>
    <row r="484" spans="1:9" x14ac:dyDescent="0.3">
      <c r="A484" s="17" t="s">
        <v>96</v>
      </c>
      <c r="B484" s="18" t="s">
        <v>6195</v>
      </c>
      <c r="C484" s="18" t="s">
        <v>6196</v>
      </c>
      <c r="D484" s="18" t="s">
        <v>5357</v>
      </c>
      <c r="E484" s="18" t="s">
        <v>6197</v>
      </c>
      <c r="F484" s="18" t="s">
        <v>5558</v>
      </c>
      <c r="G484" s="18" t="s">
        <v>5366</v>
      </c>
      <c r="H484" s="18" t="s">
        <v>5367</v>
      </c>
      <c r="I484" s="19">
        <v>67</v>
      </c>
    </row>
    <row r="485" spans="1:9" x14ac:dyDescent="0.3">
      <c r="A485" s="17" t="s">
        <v>122</v>
      </c>
      <c r="B485" s="18" t="s">
        <v>6195</v>
      </c>
      <c r="C485" s="18" t="s">
        <v>6196</v>
      </c>
      <c r="D485" s="18" t="s">
        <v>5357</v>
      </c>
      <c r="E485" s="18" t="s">
        <v>5435</v>
      </c>
      <c r="F485" s="18" t="s">
        <v>5436</v>
      </c>
      <c r="G485" s="18" t="s">
        <v>5353</v>
      </c>
      <c r="H485" s="18" t="s">
        <v>5354</v>
      </c>
      <c r="I485" s="19">
        <v>47</v>
      </c>
    </row>
    <row r="486" spans="1:9" x14ac:dyDescent="0.3">
      <c r="A486" s="17" t="s">
        <v>410</v>
      </c>
      <c r="B486" s="18" t="s">
        <v>6198</v>
      </c>
      <c r="C486" s="18" t="s">
        <v>5746</v>
      </c>
      <c r="D486" s="18" t="s">
        <v>5357</v>
      </c>
      <c r="E486" s="18" t="s">
        <v>6199</v>
      </c>
      <c r="F486" s="18" t="s">
        <v>5377</v>
      </c>
      <c r="G486" s="18" t="s">
        <v>5366</v>
      </c>
      <c r="H486" s="18" t="s">
        <v>5367</v>
      </c>
      <c r="I486" s="19">
        <v>62</v>
      </c>
    </row>
    <row r="487" spans="1:9" x14ac:dyDescent="0.3">
      <c r="A487" s="17" t="s">
        <v>732</v>
      </c>
      <c r="B487" s="18" t="s">
        <v>6198</v>
      </c>
      <c r="C487" s="18" t="s">
        <v>5879</v>
      </c>
      <c r="D487" s="18" t="s">
        <v>5357</v>
      </c>
      <c r="E487" s="18" t="s">
        <v>5429</v>
      </c>
      <c r="F487" s="18" t="s">
        <v>5430</v>
      </c>
      <c r="G487" s="18" t="s">
        <v>5398</v>
      </c>
      <c r="H487" s="18" t="s">
        <v>5399</v>
      </c>
      <c r="I487" s="19">
        <v>77</v>
      </c>
    </row>
    <row r="488" spans="1:9" x14ac:dyDescent="0.3">
      <c r="A488" s="13" t="s">
        <v>52</v>
      </c>
      <c r="B488" s="14" t="s">
        <v>6200</v>
      </c>
      <c r="C488" s="14" t="s">
        <v>6201</v>
      </c>
      <c r="D488" s="14" t="s">
        <v>5350</v>
      </c>
      <c r="E488" s="14" t="s">
        <v>5458</v>
      </c>
      <c r="F488" s="14" t="s">
        <v>5454</v>
      </c>
      <c r="G488" s="14" t="s">
        <v>5353</v>
      </c>
      <c r="H488" s="14" t="s">
        <v>5354</v>
      </c>
      <c r="I488" s="15">
        <v>55</v>
      </c>
    </row>
    <row r="489" spans="1:9" x14ac:dyDescent="0.3">
      <c r="A489" s="17" t="s">
        <v>585</v>
      </c>
      <c r="B489" s="18" t="s">
        <v>5454</v>
      </c>
      <c r="C489" s="18" t="s">
        <v>6202</v>
      </c>
      <c r="D489" s="18" t="s">
        <v>5341</v>
      </c>
      <c r="E489" s="18" t="s">
        <v>5489</v>
      </c>
      <c r="F489" s="18" t="s">
        <v>5390</v>
      </c>
      <c r="G489" s="18" t="s">
        <v>5353</v>
      </c>
      <c r="H489" s="18" t="s">
        <v>5354</v>
      </c>
      <c r="I489" s="19">
        <v>28</v>
      </c>
    </row>
    <row r="490" spans="1:9" x14ac:dyDescent="0.3">
      <c r="A490" s="13" t="s">
        <v>523</v>
      </c>
      <c r="B490" s="14" t="s">
        <v>5454</v>
      </c>
      <c r="C490" s="14" t="s">
        <v>6202</v>
      </c>
      <c r="D490" s="14" t="s">
        <v>5350</v>
      </c>
      <c r="E490" s="14" t="s">
        <v>5380</v>
      </c>
      <c r="F490" s="14" t="s">
        <v>5381</v>
      </c>
      <c r="G490" s="14" t="s">
        <v>5353</v>
      </c>
      <c r="H490" s="14" t="s">
        <v>5354</v>
      </c>
      <c r="I490" s="15">
        <v>55</v>
      </c>
    </row>
    <row r="491" spans="1:9" x14ac:dyDescent="0.3">
      <c r="A491" s="13" t="s">
        <v>166</v>
      </c>
      <c r="B491" s="14" t="s">
        <v>5454</v>
      </c>
      <c r="C491" s="14" t="s">
        <v>5673</v>
      </c>
      <c r="D491" s="14" t="s">
        <v>5350</v>
      </c>
      <c r="E491" s="14" t="s">
        <v>5400</v>
      </c>
      <c r="F491" s="14" t="s">
        <v>5400</v>
      </c>
      <c r="G491" s="14" t="s">
        <v>5344</v>
      </c>
      <c r="H491" s="14" t="s">
        <v>5345</v>
      </c>
      <c r="I491" s="15">
        <v>54</v>
      </c>
    </row>
    <row r="492" spans="1:9" x14ac:dyDescent="0.3">
      <c r="A492" s="13" t="s">
        <v>102</v>
      </c>
      <c r="B492" s="14" t="s">
        <v>5454</v>
      </c>
      <c r="C492" s="14" t="s">
        <v>6203</v>
      </c>
      <c r="D492" s="14" t="s">
        <v>5341</v>
      </c>
      <c r="E492" s="14" t="s">
        <v>6183</v>
      </c>
      <c r="F492" s="14" t="s">
        <v>6184</v>
      </c>
      <c r="G492" s="14" t="s">
        <v>5398</v>
      </c>
      <c r="H492" s="14" t="s">
        <v>5399</v>
      </c>
      <c r="I492" s="15">
        <v>76</v>
      </c>
    </row>
    <row r="493" spans="1:9" x14ac:dyDescent="0.3">
      <c r="A493" s="17" t="s">
        <v>818</v>
      </c>
      <c r="B493" s="18" t="s">
        <v>5454</v>
      </c>
      <c r="C493" s="18" t="s">
        <v>6202</v>
      </c>
      <c r="D493" s="18" t="s">
        <v>5357</v>
      </c>
      <c r="E493" s="18" t="s">
        <v>5779</v>
      </c>
      <c r="F493" s="18" t="s">
        <v>5523</v>
      </c>
      <c r="G493" s="18" t="s">
        <v>5398</v>
      </c>
      <c r="H493" s="18" t="s">
        <v>5399</v>
      </c>
      <c r="I493" s="19">
        <v>69</v>
      </c>
    </row>
    <row r="494" spans="1:9" x14ac:dyDescent="0.3">
      <c r="A494" s="17" t="s">
        <v>536</v>
      </c>
      <c r="B494" s="18" t="s">
        <v>6204</v>
      </c>
      <c r="C494" s="18" t="s">
        <v>6205</v>
      </c>
      <c r="D494" s="18" t="s">
        <v>5357</v>
      </c>
      <c r="E494" s="18" t="s">
        <v>5415</v>
      </c>
      <c r="F494" s="18" t="s">
        <v>5415</v>
      </c>
      <c r="G494" s="18" t="s">
        <v>5344</v>
      </c>
      <c r="H494" s="18" t="s">
        <v>5345</v>
      </c>
      <c r="I494" s="19">
        <v>67</v>
      </c>
    </row>
    <row r="495" spans="1:9" x14ac:dyDescent="0.3">
      <c r="A495" s="17" t="s">
        <v>1055</v>
      </c>
      <c r="B495" s="18" t="s">
        <v>6204</v>
      </c>
      <c r="C495" s="18" t="s">
        <v>5704</v>
      </c>
      <c r="D495" s="18" t="s">
        <v>5341</v>
      </c>
      <c r="E495" s="18" t="s">
        <v>5516</v>
      </c>
      <c r="F495" s="18" t="s">
        <v>5407</v>
      </c>
      <c r="G495" s="18" t="s">
        <v>5366</v>
      </c>
      <c r="H495" s="18" t="s">
        <v>5367</v>
      </c>
      <c r="I495" s="19">
        <v>64</v>
      </c>
    </row>
    <row r="496" spans="1:9" x14ac:dyDescent="0.3">
      <c r="A496" s="13" t="s">
        <v>1152</v>
      </c>
      <c r="B496" s="14" t="s">
        <v>6204</v>
      </c>
      <c r="C496" s="14" t="s">
        <v>6031</v>
      </c>
      <c r="D496" s="14" t="s">
        <v>5357</v>
      </c>
      <c r="E496" s="14" t="s">
        <v>6206</v>
      </c>
      <c r="F496" s="14" t="s">
        <v>5394</v>
      </c>
      <c r="G496" s="14" t="s">
        <v>5366</v>
      </c>
      <c r="H496" s="14" t="s">
        <v>5367</v>
      </c>
      <c r="I496" s="15">
        <v>30</v>
      </c>
    </row>
    <row r="497" spans="1:9" x14ac:dyDescent="0.3">
      <c r="A497" s="17" t="s">
        <v>882</v>
      </c>
      <c r="B497" s="18" t="s">
        <v>6207</v>
      </c>
      <c r="C497" s="18" t="s">
        <v>5980</v>
      </c>
      <c r="D497" s="18" t="s">
        <v>5357</v>
      </c>
      <c r="E497" s="18" t="s">
        <v>5939</v>
      </c>
      <c r="F497" s="18" t="s">
        <v>5940</v>
      </c>
      <c r="G497" s="18" t="s">
        <v>5370</v>
      </c>
      <c r="H497" s="18" t="s">
        <v>5371</v>
      </c>
      <c r="I497" s="19">
        <v>42</v>
      </c>
    </row>
    <row r="498" spans="1:9" x14ac:dyDescent="0.3">
      <c r="A498" s="13" t="s">
        <v>220</v>
      </c>
      <c r="B498" s="14" t="s">
        <v>6208</v>
      </c>
      <c r="C498" s="14" t="s">
        <v>6201</v>
      </c>
      <c r="D498" s="14" t="s">
        <v>5350</v>
      </c>
      <c r="E498" s="14" t="s">
        <v>6209</v>
      </c>
      <c r="F498" s="14" t="s">
        <v>5558</v>
      </c>
      <c r="G498" s="14" t="s">
        <v>5366</v>
      </c>
      <c r="H498" s="14" t="s">
        <v>5367</v>
      </c>
      <c r="I498" s="15">
        <v>72</v>
      </c>
    </row>
    <row r="499" spans="1:9" x14ac:dyDescent="0.3">
      <c r="A499" s="17" t="s">
        <v>210</v>
      </c>
      <c r="B499" s="18" t="s">
        <v>6208</v>
      </c>
      <c r="C499" s="18" t="s">
        <v>6201</v>
      </c>
      <c r="D499" s="18" t="s">
        <v>5341</v>
      </c>
      <c r="E499" s="18" t="s">
        <v>6210</v>
      </c>
      <c r="F499" s="18" t="s">
        <v>5377</v>
      </c>
      <c r="G499" s="18" t="s">
        <v>5366</v>
      </c>
      <c r="H499" s="18" t="s">
        <v>5367</v>
      </c>
      <c r="I499" s="19">
        <v>77</v>
      </c>
    </row>
    <row r="500" spans="1:9" x14ac:dyDescent="0.3">
      <c r="A500" s="17" t="s">
        <v>736</v>
      </c>
      <c r="B500" s="18" t="s">
        <v>6211</v>
      </c>
      <c r="C500" s="18" t="s">
        <v>6212</v>
      </c>
      <c r="D500" s="18" t="s">
        <v>5350</v>
      </c>
      <c r="E500" s="18" t="s">
        <v>6213</v>
      </c>
      <c r="F500" s="18" t="s">
        <v>5480</v>
      </c>
      <c r="G500" s="18" t="s">
        <v>5366</v>
      </c>
      <c r="H500" s="18" t="s">
        <v>5367</v>
      </c>
      <c r="I500" s="19">
        <v>52</v>
      </c>
    </row>
    <row r="501" spans="1:9" x14ac:dyDescent="0.3">
      <c r="A501" s="20" t="s">
        <v>243</v>
      </c>
      <c r="B501" s="21" t="s">
        <v>6211</v>
      </c>
      <c r="C501" s="21" t="s">
        <v>6212</v>
      </c>
      <c r="D501" s="21" t="s">
        <v>5341</v>
      </c>
      <c r="E501" s="21" t="s">
        <v>6214</v>
      </c>
      <c r="F501" s="21" t="s">
        <v>5359</v>
      </c>
      <c r="G501" s="21" t="s">
        <v>5344</v>
      </c>
      <c r="H501" s="21" t="s">
        <v>5345</v>
      </c>
      <c r="I501" s="2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Anuj Gaikwad</cp:lastModifiedBy>
  <dcterms:created xsi:type="dcterms:W3CDTF">2022-11-26T08:10:01Z</dcterms:created>
  <dcterms:modified xsi:type="dcterms:W3CDTF">2025-09-12T19:27:50Z</dcterms:modified>
</cp:coreProperties>
</file>