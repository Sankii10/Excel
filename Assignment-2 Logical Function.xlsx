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My Data\EXCEL\"/>
    </mc:Choice>
  </mc:AlternateContent>
  <xr:revisionPtr revIDLastSave="0" documentId="13_ncr:1_{AE25AFE3-8E40-4CAD-BADD-BAC7B774E65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5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<sst xmlns="http://schemas.openxmlformats.org/spreadsheetml/2006/main" count="1805" uniqueCount="721">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</sst>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11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4" borderId="5" xfId="1" applyNumberFormat="1" applyFont="1" applyFill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0" fontId="9" fillId="5" borderId="6" xfId="1" applyNumberFormat="1" applyFont="1" applyFill="1" applyBorder="1" applyAlignment="1">
      <alignment horizontal="left" vertical="center"/>
    </xf>
    <xf numFmtId="0" fontId="8" fillId="0" borderId="1" xfId="1" applyNumberFormat="1" applyFont="1" applyBorder="1" applyAlignment="1">
      <alignment horizontal="left" vertical="center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D10" sqref="D10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0" t="s">
        <v>0</v>
      </c>
      <c r="B1" s="21"/>
      <c r="C1" s="21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19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19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J1" workbookViewId="0">
      <selection activeCell="U130" sqref="U130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7" width="18.5546875" customWidth="1"/>
    <col min="18" max="19" width="14.6640625" customWidth="1"/>
    <col min="20" max="21" width="19" customWidth="1"/>
    <col min="22" max="22" width="14.6640625" style="29" customWidth="1"/>
    <col min="23" max="33" width="8.6640625" customWidth="1"/>
  </cols>
  <sheetData>
    <row r="1" spans="1:33" ht="36" customHeight="1" x14ac:dyDescent="0.3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8"/>
      <c r="R1" s="8"/>
      <c r="S1" s="8"/>
      <c r="T1" s="8"/>
      <c r="U1" s="8"/>
      <c r="V1" s="25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26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27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>
        <f>IF(OR(N4="Very Poor", N4="Poor", N4="Not Rated"), "TERMINATED", "NOT TERMINATED")</f>
        <v>TERMINATED</v>
      </c>
      <c r="R4" s="18">
        <f>IF(N4="Good",P4+5000,P4)</f>
        <v>82746.990000000005</v>
      </c>
      <c r="S4" s="15" t="str">
        <f>IF(P4&lt;40000,"LOW",IF(AND(P4&gt;=40000,P4&lt;90000),"MEDIUM","HIGH"))</f>
        <v>MEDIUM</v>
      </c>
      <c r="T4" s="15" t="str">
        <f>IF(AND(I4="MUMBAI",L4="HR"),"WFH","WFO")</f>
        <v>WFO</v>
      </c>
      <c r="U4" s="15" t="str">
        <f>IF(L4="FINANCE","WFH",IF(L4="HR", "WFH","WFO"))</f>
        <v>WFH</v>
      </c>
      <c r="V4" s="28" t="str">
        <f>IF(N4="Very Good",R4*1.15,IF(N4="Good",R4*1.12,IF(N4="Average",R4*1.1,"N/A")))</f>
        <v>N/A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f t="shared" ref="Q5:Q68" si="0">IF(OR(N5="Very Poor", N5="Poor", N5="Not Rated"), "TERMINATED", "NOT TERMINATED")</f>
        <v>NOT TERMINATED</v>
      </c>
      <c r="R5" s="18">
        <f>IF(N5="Good",P5+5000,P5)</f>
        <v>41895.949999999997</v>
      </c>
      <c r="S5" s="15" t="str">
        <f t="shared" ref="S5:S68" si="1">IF(P5&lt;40000,"LOW",IF(AND(P5&gt;=40000,P5&lt;90000),"MEDIUM","HIGH"))</f>
        <v>LOW</v>
      </c>
      <c r="T5" s="15" t="str">
        <f t="shared" ref="T5:T68" si="2">IF(AND(I5="MUMBAI",L5="HR"),"WFH","WFO")</f>
        <v>WFO</v>
      </c>
      <c r="U5" s="15" t="str">
        <f t="shared" ref="U5:U68" si="3">IF(L5="FINANCE","WFH",IF(L5="HR", "WFH","WFO"))</f>
        <v>WFH</v>
      </c>
      <c r="V5" s="28">
        <f t="shared" ref="V5:V68" si="4">IF(N5="Very Good",R5*1.15,IF(N5="Good",R5*1.12,IF(N5="Average",R5*1.1,"N/A")))</f>
        <v>46923.464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f t="shared" si="0"/>
        <v>TERMINATED</v>
      </c>
      <c r="R6" s="18">
        <f t="shared" ref="R6:R69" si="5">IF(N6="Good",P6+5000,P6)</f>
        <v>141555.6</v>
      </c>
      <c r="S6" s="15" t="str">
        <f t="shared" si="1"/>
        <v>HIGH</v>
      </c>
      <c r="T6" s="15" t="str">
        <f t="shared" si="2"/>
        <v>WFH</v>
      </c>
      <c r="U6" s="15" t="str">
        <f t="shared" si="3"/>
        <v>WFH</v>
      </c>
      <c r="V6" s="28" t="str">
        <f t="shared" si="4"/>
        <v>N/A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f t="shared" si="0"/>
        <v>NOT TERMINATED</v>
      </c>
      <c r="R7" s="18">
        <f t="shared" si="5"/>
        <v>96631.7</v>
      </c>
      <c r="S7" s="15" t="str">
        <f t="shared" si="1"/>
        <v>HIGH</v>
      </c>
      <c r="T7" s="15" t="str">
        <f t="shared" si="2"/>
        <v>WFO</v>
      </c>
      <c r="U7" s="15" t="str">
        <f t="shared" si="3"/>
        <v>WFH</v>
      </c>
      <c r="V7" s="28">
        <f t="shared" si="4"/>
        <v>108227.504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15" t="str">
        <f t="shared" si="0"/>
        <v>TERMINATED</v>
      </c>
      <c r="R8" s="18">
        <f t="shared" si="5"/>
        <v>25710.120000000003</v>
      </c>
      <c r="S8" s="15" t="str">
        <f t="shared" si="1"/>
        <v>LOW</v>
      </c>
      <c r="T8" s="15" t="str">
        <f t="shared" si="2"/>
        <v>WFO</v>
      </c>
      <c r="U8" s="15" t="str">
        <f t="shared" si="3"/>
        <v>WFO</v>
      </c>
      <c r="V8" s="28" t="str">
        <f t="shared" si="4"/>
        <v>N/A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f t="shared" si="0"/>
        <v>NOT TERMINATED</v>
      </c>
      <c r="R9" s="18">
        <f t="shared" si="5"/>
        <v>116361.09</v>
      </c>
      <c r="S9" s="15" t="str">
        <f t="shared" si="1"/>
        <v>HIGH</v>
      </c>
      <c r="T9" s="15" t="str">
        <f t="shared" si="2"/>
        <v>WFO</v>
      </c>
      <c r="U9" s="15" t="str">
        <f t="shared" si="3"/>
        <v>WFH</v>
      </c>
      <c r="V9" s="28">
        <f t="shared" si="4"/>
        <v>127997.19900000001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f t="shared" si="0"/>
        <v>TERMINATED</v>
      </c>
      <c r="R10" s="18">
        <f t="shared" si="5"/>
        <v>90048.15</v>
      </c>
      <c r="S10" s="15" t="str">
        <f t="shared" si="1"/>
        <v>HIGH</v>
      </c>
      <c r="T10" s="15" t="str">
        <f t="shared" si="2"/>
        <v>WFO</v>
      </c>
      <c r="U10" s="15" t="str">
        <f t="shared" si="3"/>
        <v>WFO</v>
      </c>
      <c r="V10" s="28" t="str">
        <f t="shared" si="4"/>
        <v>N/A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f t="shared" si="0"/>
        <v>NOT TERMINATED</v>
      </c>
      <c r="R11" s="18">
        <f t="shared" si="5"/>
        <v>102552.79999999999</v>
      </c>
      <c r="S11" s="15" t="str">
        <f t="shared" si="1"/>
        <v>HIGH</v>
      </c>
      <c r="T11" s="15" t="str">
        <f t="shared" si="2"/>
        <v>WFO</v>
      </c>
      <c r="U11" s="15" t="str">
        <f t="shared" si="3"/>
        <v>WFO</v>
      </c>
      <c r="V11" s="28">
        <f t="shared" si="4"/>
        <v>114859.136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f t="shared" si="0"/>
        <v>TERMINATED</v>
      </c>
      <c r="R12" s="18">
        <f t="shared" si="5"/>
        <v>51597.719999999994</v>
      </c>
      <c r="S12" s="15" t="str">
        <f t="shared" si="1"/>
        <v>MEDIUM</v>
      </c>
      <c r="T12" s="15" t="str">
        <f t="shared" si="2"/>
        <v>WFO</v>
      </c>
      <c r="U12" s="15" t="str">
        <f t="shared" si="3"/>
        <v>WFO</v>
      </c>
      <c r="V12" s="28" t="str">
        <f t="shared" si="4"/>
        <v>N/A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f t="shared" si="0"/>
        <v>TERMINATED</v>
      </c>
      <c r="R13" s="18">
        <f t="shared" si="5"/>
        <v>105103.35</v>
      </c>
      <c r="S13" s="15" t="str">
        <f t="shared" si="1"/>
        <v>HIGH</v>
      </c>
      <c r="T13" s="15" t="str">
        <f t="shared" si="2"/>
        <v>WFH</v>
      </c>
      <c r="U13" s="15" t="str">
        <f t="shared" si="3"/>
        <v>WFH</v>
      </c>
      <c r="V13" s="28" t="str">
        <f t="shared" si="4"/>
        <v>N/A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f t="shared" si="0"/>
        <v>NOT TERMINATED</v>
      </c>
      <c r="R14" s="18">
        <f t="shared" si="5"/>
        <v>147340.53</v>
      </c>
      <c r="S14" s="15" t="str">
        <f t="shared" si="1"/>
        <v>HIGH</v>
      </c>
      <c r="T14" s="15" t="str">
        <f t="shared" si="2"/>
        <v>WFO</v>
      </c>
      <c r="U14" s="15" t="str">
        <f t="shared" si="3"/>
        <v>WFO</v>
      </c>
      <c r="V14" s="28">
        <f t="shared" si="4"/>
        <v>162074.58300000001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f t="shared" si="0"/>
        <v>TERMINATED</v>
      </c>
      <c r="R15" s="18">
        <f t="shared" si="5"/>
        <v>109783.62000000001</v>
      </c>
      <c r="S15" s="15" t="str">
        <f t="shared" si="1"/>
        <v>HIGH</v>
      </c>
      <c r="T15" s="15" t="str">
        <f t="shared" si="2"/>
        <v>WFO</v>
      </c>
      <c r="U15" s="15" t="str">
        <f t="shared" si="3"/>
        <v>WFO</v>
      </c>
      <c r="V15" s="28" t="str">
        <f t="shared" si="4"/>
        <v>N/A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f t="shared" si="0"/>
        <v>TERMINATED</v>
      </c>
      <c r="R16" s="18">
        <f t="shared" si="5"/>
        <v>132026.76</v>
      </c>
      <c r="S16" s="15" t="str">
        <f t="shared" si="1"/>
        <v>HIGH</v>
      </c>
      <c r="T16" s="15" t="str">
        <f t="shared" si="2"/>
        <v>WFO</v>
      </c>
      <c r="U16" s="15" t="str">
        <f t="shared" si="3"/>
        <v>WFO</v>
      </c>
      <c r="V16" s="28" t="str">
        <f t="shared" si="4"/>
        <v>N/A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f t="shared" si="0"/>
        <v>TERMINATED</v>
      </c>
      <c r="R17" s="18">
        <f t="shared" si="5"/>
        <v>96391.53</v>
      </c>
      <c r="S17" s="15" t="str">
        <f t="shared" si="1"/>
        <v>HIGH</v>
      </c>
      <c r="T17" s="15" t="str">
        <f t="shared" si="2"/>
        <v>WFO</v>
      </c>
      <c r="U17" s="15" t="str">
        <f t="shared" si="3"/>
        <v>WFO</v>
      </c>
      <c r="V17" s="28" t="str">
        <f t="shared" si="4"/>
        <v>N/A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f t="shared" si="0"/>
        <v>NOT TERMINATED</v>
      </c>
      <c r="R18" s="18">
        <f t="shared" si="5"/>
        <v>110615.9</v>
      </c>
      <c r="S18" s="15" t="str">
        <f t="shared" si="1"/>
        <v>HIGH</v>
      </c>
      <c r="T18" s="15" t="str">
        <f t="shared" si="2"/>
        <v>WFO</v>
      </c>
      <c r="U18" s="15" t="str">
        <f t="shared" si="3"/>
        <v>WFO</v>
      </c>
      <c r="V18" s="28">
        <f t="shared" si="4"/>
        <v>123889.808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f t="shared" si="0"/>
        <v>NOT TERMINATED</v>
      </c>
      <c r="R19" s="18">
        <f t="shared" si="5"/>
        <v>115641.99</v>
      </c>
      <c r="S19" s="15" t="str">
        <f t="shared" si="1"/>
        <v>HIGH</v>
      </c>
      <c r="T19" s="15" t="str">
        <f t="shared" si="2"/>
        <v>WFO</v>
      </c>
      <c r="U19" s="15" t="str">
        <f t="shared" si="3"/>
        <v>WFH</v>
      </c>
      <c r="V19" s="28">
        <f t="shared" si="4"/>
        <v>132988.2885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f t="shared" si="0"/>
        <v>TERMINATED</v>
      </c>
      <c r="R20" s="18">
        <f t="shared" si="5"/>
        <v>24798.240000000002</v>
      </c>
      <c r="S20" s="15" t="str">
        <f t="shared" si="1"/>
        <v>LOW</v>
      </c>
      <c r="T20" s="15" t="str">
        <f t="shared" si="2"/>
        <v>WFO</v>
      </c>
      <c r="U20" s="15" t="str">
        <f t="shared" si="3"/>
        <v>WFO</v>
      </c>
      <c r="V20" s="28" t="str">
        <f t="shared" si="4"/>
        <v>N/A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f t="shared" si="0"/>
        <v>NOT TERMINATED</v>
      </c>
      <c r="R21" s="18">
        <f t="shared" si="5"/>
        <v>147049.79</v>
      </c>
      <c r="S21" s="15" t="str">
        <f t="shared" si="1"/>
        <v>HIGH</v>
      </c>
      <c r="T21" s="15" t="str">
        <f t="shared" si="2"/>
        <v>WFO</v>
      </c>
      <c r="U21" s="15" t="str">
        <f t="shared" si="3"/>
        <v>WFH</v>
      </c>
      <c r="V21" s="28">
        <f t="shared" si="4"/>
        <v>164695.76480000003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f t="shared" si="0"/>
        <v>TERMINATED</v>
      </c>
      <c r="R22" s="18">
        <f t="shared" si="5"/>
        <v>140753.88</v>
      </c>
      <c r="S22" s="15" t="str">
        <f t="shared" si="1"/>
        <v>HIGH</v>
      </c>
      <c r="T22" s="15" t="str">
        <f t="shared" si="2"/>
        <v>WFO</v>
      </c>
      <c r="U22" s="15" t="str">
        <f t="shared" si="3"/>
        <v>WFO</v>
      </c>
      <c r="V22" s="28" t="str">
        <f t="shared" si="4"/>
        <v>N/A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f t="shared" si="0"/>
        <v>TERMINATED</v>
      </c>
      <c r="R23" s="18">
        <f t="shared" si="5"/>
        <v>101272.23000000001</v>
      </c>
      <c r="S23" s="15" t="str">
        <f t="shared" si="1"/>
        <v>HIGH</v>
      </c>
      <c r="T23" s="15" t="str">
        <f t="shared" si="2"/>
        <v>WFO</v>
      </c>
      <c r="U23" s="15" t="str">
        <f t="shared" si="3"/>
        <v>WFO</v>
      </c>
      <c r="V23" s="28" t="str">
        <f t="shared" si="4"/>
        <v>N/A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f t="shared" si="0"/>
        <v>TERMINATED</v>
      </c>
      <c r="R24" s="18">
        <f t="shared" si="5"/>
        <v>134451.81</v>
      </c>
      <c r="S24" s="15" t="str">
        <f t="shared" si="1"/>
        <v>HIGH</v>
      </c>
      <c r="T24" s="15" t="str">
        <f t="shared" si="2"/>
        <v>WFO</v>
      </c>
      <c r="U24" s="15" t="str">
        <f t="shared" si="3"/>
        <v>WFO</v>
      </c>
      <c r="V24" s="28" t="str">
        <f t="shared" si="4"/>
        <v>N/A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f t="shared" si="0"/>
        <v>NOT TERMINATED</v>
      </c>
      <c r="R25" s="18">
        <f t="shared" si="5"/>
        <v>25358.18</v>
      </c>
      <c r="S25" s="15" t="str">
        <f t="shared" si="1"/>
        <v>LOW</v>
      </c>
      <c r="T25" s="15" t="str">
        <f t="shared" si="2"/>
        <v>WFO</v>
      </c>
      <c r="U25" s="15" t="str">
        <f t="shared" si="3"/>
        <v>WFO</v>
      </c>
      <c r="V25" s="28">
        <f t="shared" si="4"/>
        <v>28401.161600000003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f t="shared" si="0"/>
        <v>TERMINATED</v>
      </c>
      <c r="R26" s="18">
        <f t="shared" si="5"/>
        <v>22795.47</v>
      </c>
      <c r="S26" s="15" t="str">
        <f t="shared" si="1"/>
        <v>LOW</v>
      </c>
      <c r="T26" s="15" t="str">
        <f t="shared" si="2"/>
        <v>WFO</v>
      </c>
      <c r="U26" s="15" t="str">
        <f t="shared" si="3"/>
        <v>WFO</v>
      </c>
      <c r="V26" s="28" t="str">
        <f t="shared" si="4"/>
        <v>N/A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f t="shared" si="0"/>
        <v>NOT TERMINATED</v>
      </c>
      <c r="R27" s="18">
        <f t="shared" si="5"/>
        <v>29128.1</v>
      </c>
      <c r="S27" s="15" t="str">
        <f t="shared" si="1"/>
        <v>LOW</v>
      </c>
      <c r="T27" s="15" t="str">
        <f t="shared" si="2"/>
        <v>WFO</v>
      </c>
      <c r="U27" s="15" t="str">
        <f t="shared" si="3"/>
        <v>WFO</v>
      </c>
      <c r="V27" s="28">
        <f t="shared" si="4"/>
        <v>32623.472000000002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f t="shared" si="0"/>
        <v>TERMINATED</v>
      </c>
      <c r="R28" s="18">
        <f t="shared" si="5"/>
        <v>35800.47</v>
      </c>
      <c r="S28" s="15" t="str">
        <f t="shared" si="1"/>
        <v>LOW</v>
      </c>
      <c r="T28" s="15" t="str">
        <f t="shared" si="2"/>
        <v>WFO</v>
      </c>
      <c r="U28" s="15" t="str">
        <f t="shared" si="3"/>
        <v>WFO</v>
      </c>
      <c r="V28" s="28" t="str">
        <f t="shared" si="4"/>
        <v>N/A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f t="shared" si="0"/>
        <v>TERMINATED</v>
      </c>
      <c r="R29" s="18">
        <f t="shared" si="5"/>
        <v>67127.22</v>
      </c>
      <c r="S29" s="15" t="str">
        <f t="shared" si="1"/>
        <v>MEDIUM</v>
      </c>
      <c r="T29" s="15" t="str">
        <f t="shared" si="2"/>
        <v>WFO</v>
      </c>
      <c r="U29" s="15" t="str">
        <f t="shared" si="3"/>
        <v>WFO</v>
      </c>
      <c r="V29" s="28" t="str">
        <f t="shared" si="4"/>
        <v>N/A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f t="shared" si="0"/>
        <v>NOT TERMINATED</v>
      </c>
      <c r="R30" s="18">
        <f t="shared" si="5"/>
        <v>85392.360000000015</v>
      </c>
      <c r="S30" s="15" t="str">
        <f t="shared" si="1"/>
        <v>MEDIUM</v>
      </c>
      <c r="T30" s="15" t="str">
        <f t="shared" si="2"/>
        <v>WFO</v>
      </c>
      <c r="U30" s="15" t="str">
        <f t="shared" si="3"/>
        <v>WFH</v>
      </c>
      <c r="V30" s="28">
        <f t="shared" si="4"/>
        <v>93931.59600000002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f t="shared" si="0"/>
        <v>TERMINATED</v>
      </c>
      <c r="R31" s="18">
        <f t="shared" si="5"/>
        <v>77160.959999999992</v>
      </c>
      <c r="S31" s="15" t="str">
        <f t="shared" si="1"/>
        <v>MEDIUM</v>
      </c>
      <c r="T31" s="15" t="str">
        <f t="shared" si="2"/>
        <v>WFH</v>
      </c>
      <c r="U31" s="15" t="str">
        <f t="shared" si="3"/>
        <v>WFH</v>
      </c>
      <c r="V31" s="28" t="str">
        <f t="shared" si="4"/>
        <v>N/A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f t="shared" si="0"/>
        <v>NOT TERMINATED</v>
      </c>
      <c r="R32" s="18">
        <f t="shared" si="5"/>
        <v>96504.75</v>
      </c>
      <c r="S32" s="15" t="str">
        <f t="shared" si="1"/>
        <v>HIGH</v>
      </c>
      <c r="T32" s="15" t="str">
        <f t="shared" si="2"/>
        <v>WFO</v>
      </c>
      <c r="U32" s="15" t="str">
        <f t="shared" si="3"/>
        <v>WFO</v>
      </c>
      <c r="V32" s="28">
        <f t="shared" si="4"/>
        <v>106155.22500000001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f t="shared" si="0"/>
        <v>NOT TERMINATED</v>
      </c>
      <c r="R33" s="18">
        <f t="shared" si="5"/>
        <v>37919.520000000004</v>
      </c>
      <c r="S33" s="15" t="str">
        <f t="shared" si="1"/>
        <v>LOW</v>
      </c>
      <c r="T33" s="15" t="str">
        <f t="shared" si="2"/>
        <v>WFO</v>
      </c>
      <c r="U33" s="15" t="str">
        <f t="shared" si="3"/>
        <v>WFH</v>
      </c>
      <c r="V33" s="28">
        <f t="shared" si="4"/>
        <v>43607.448000000004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f t="shared" si="0"/>
        <v>TERMINATED</v>
      </c>
      <c r="R34" s="18">
        <f t="shared" si="5"/>
        <v>113983.47000000002</v>
      </c>
      <c r="S34" s="15" t="str">
        <f t="shared" si="1"/>
        <v>HIGH</v>
      </c>
      <c r="T34" s="15" t="str">
        <f t="shared" si="2"/>
        <v>WFO</v>
      </c>
      <c r="U34" s="15" t="str">
        <f t="shared" si="3"/>
        <v>WFO</v>
      </c>
      <c r="V34" s="28" t="str">
        <f t="shared" si="4"/>
        <v>N/A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f t="shared" si="0"/>
        <v>NOT TERMINATED</v>
      </c>
      <c r="R35" s="18">
        <f t="shared" si="5"/>
        <v>67928.899999999994</v>
      </c>
      <c r="S35" s="15" t="str">
        <f t="shared" si="1"/>
        <v>MEDIUM</v>
      </c>
      <c r="T35" s="15" t="str">
        <f t="shared" si="2"/>
        <v>WFO</v>
      </c>
      <c r="U35" s="15" t="str">
        <f t="shared" si="3"/>
        <v>WFO</v>
      </c>
      <c r="V35" s="28">
        <f t="shared" si="4"/>
        <v>76080.368000000002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15" t="str">
        <f t="shared" si="0"/>
        <v>NOT TERMINATED</v>
      </c>
      <c r="R36" s="18" t="e">
        <f t="shared" si="5"/>
        <v>#VALUE!</v>
      </c>
      <c r="S36" s="15" t="str">
        <f t="shared" si="1"/>
        <v>HIGH</v>
      </c>
      <c r="T36" s="15" t="str">
        <f t="shared" si="2"/>
        <v>WFO</v>
      </c>
      <c r="U36" s="15" t="str">
        <f t="shared" si="3"/>
        <v>WFO</v>
      </c>
      <c r="V36" s="28" t="e">
        <f t="shared" si="4"/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f t="shared" si="0"/>
        <v>NOT TERMINATED</v>
      </c>
      <c r="R37" s="18">
        <f t="shared" si="5"/>
        <v>135857.88</v>
      </c>
      <c r="S37" s="15" t="str">
        <f t="shared" si="1"/>
        <v>HIGH</v>
      </c>
      <c r="T37" s="15" t="str">
        <f t="shared" si="2"/>
        <v>WFO</v>
      </c>
      <c r="U37" s="15" t="str">
        <f t="shared" si="3"/>
        <v>WFH</v>
      </c>
      <c r="V37" s="28">
        <f t="shared" si="4"/>
        <v>149443.66800000001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f t="shared" si="0"/>
        <v>NOT TERMINATED</v>
      </c>
      <c r="R38" s="18">
        <f t="shared" si="5"/>
        <v>143448.21000000002</v>
      </c>
      <c r="S38" s="15" t="str">
        <f t="shared" si="1"/>
        <v>HIGH</v>
      </c>
      <c r="T38" s="15" t="str">
        <f t="shared" si="2"/>
        <v>WFO</v>
      </c>
      <c r="U38" s="15" t="str">
        <f t="shared" si="3"/>
        <v>WFO</v>
      </c>
      <c r="V38" s="28">
        <f t="shared" si="4"/>
        <v>164965.44150000002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f t="shared" si="0"/>
        <v>TERMINATED</v>
      </c>
      <c r="R39" s="18">
        <f t="shared" si="5"/>
        <v>26964.720000000001</v>
      </c>
      <c r="S39" s="15" t="str">
        <f t="shared" si="1"/>
        <v>LOW</v>
      </c>
      <c r="T39" s="15" t="str">
        <f t="shared" si="2"/>
        <v>WFO</v>
      </c>
      <c r="U39" s="15" t="str">
        <f t="shared" si="3"/>
        <v>WFH</v>
      </c>
      <c r="V39" s="28" t="str">
        <f t="shared" si="4"/>
        <v>N/A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f t="shared" si="0"/>
        <v>NOT TERMINATED</v>
      </c>
      <c r="R40" s="18">
        <f t="shared" si="5"/>
        <v>131960.93</v>
      </c>
      <c r="S40" s="15" t="str">
        <f t="shared" si="1"/>
        <v>HIGH</v>
      </c>
      <c r="T40" s="15" t="str">
        <f t="shared" si="2"/>
        <v>WFO</v>
      </c>
      <c r="U40" s="15" t="str">
        <f t="shared" si="3"/>
        <v>WFH</v>
      </c>
      <c r="V40" s="28">
        <f t="shared" si="4"/>
        <v>147796.24160000001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f t="shared" si="0"/>
        <v>TERMINATED</v>
      </c>
      <c r="R41" s="18">
        <f t="shared" si="5"/>
        <v>18499.23</v>
      </c>
      <c r="S41" s="15" t="str">
        <f t="shared" si="1"/>
        <v>LOW</v>
      </c>
      <c r="T41" s="15" t="str">
        <f t="shared" si="2"/>
        <v>WFO</v>
      </c>
      <c r="U41" s="15" t="str">
        <f t="shared" si="3"/>
        <v>WFO</v>
      </c>
      <c r="V41" s="28" t="str">
        <f t="shared" si="4"/>
        <v>N/A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f t="shared" si="0"/>
        <v>TERMINATED</v>
      </c>
      <c r="R42" s="18">
        <f t="shared" si="5"/>
        <v>77344.56</v>
      </c>
      <c r="S42" s="15" t="str">
        <f t="shared" si="1"/>
        <v>MEDIUM</v>
      </c>
      <c r="T42" s="15" t="str">
        <f t="shared" si="2"/>
        <v>WFO</v>
      </c>
      <c r="U42" s="15" t="str">
        <f t="shared" si="3"/>
        <v>WFH</v>
      </c>
      <c r="V42" s="28" t="str">
        <f t="shared" si="4"/>
        <v>N/A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f t="shared" si="0"/>
        <v>NOT TERMINATED</v>
      </c>
      <c r="R43" s="18">
        <f t="shared" si="5"/>
        <v>145371.38</v>
      </c>
      <c r="S43" s="15" t="str">
        <f t="shared" si="1"/>
        <v>HIGH</v>
      </c>
      <c r="T43" s="15" t="str">
        <f t="shared" si="2"/>
        <v>WFO</v>
      </c>
      <c r="U43" s="15" t="str">
        <f t="shared" si="3"/>
        <v>WFH</v>
      </c>
      <c r="V43" s="28">
        <f t="shared" si="4"/>
        <v>162815.94560000001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f t="shared" si="0"/>
        <v>NOT TERMINATED</v>
      </c>
      <c r="R44" s="18">
        <f t="shared" si="5"/>
        <v>39740.18</v>
      </c>
      <c r="S44" s="15" t="str">
        <f t="shared" si="1"/>
        <v>LOW</v>
      </c>
      <c r="T44" s="15" t="str">
        <f t="shared" si="2"/>
        <v>WFO</v>
      </c>
      <c r="U44" s="15" t="str">
        <f t="shared" si="3"/>
        <v>WFO</v>
      </c>
      <c r="V44" s="28">
        <f t="shared" si="4"/>
        <v>44509.001600000003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f t="shared" si="0"/>
        <v>TERMINATED</v>
      </c>
      <c r="R45" s="18">
        <f t="shared" si="5"/>
        <v>110368.08000000002</v>
      </c>
      <c r="S45" s="15" t="str">
        <f t="shared" si="1"/>
        <v>HIGH</v>
      </c>
      <c r="T45" s="15" t="str">
        <f t="shared" si="2"/>
        <v>WFO</v>
      </c>
      <c r="U45" s="15" t="str">
        <f t="shared" si="3"/>
        <v>WFO</v>
      </c>
      <c r="V45" s="28" t="str">
        <f t="shared" si="4"/>
        <v>N/A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f t="shared" si="0"/>
        <v>TERMINATED</v>
      </c>
      <c r="R46" s="18">
        <f t="shared" si="5"/>
        <v>43725.87</v>
      </c>
      <c r="S46" s="15" t="str">
        <f t="shared" si="1"/>
        <v>MEDIUM</v>
      </c>
      <c r="T46" s="15" t="str">
        <f t="shared" si="2"/>
        <v>WFO</v>
      </c>
      <c r="U46" s="15" t="str">
        <f t="shared" si="3"/>
        <v>WFH</v>
      </c>
      <c r="V46" s="28" t="str">
        <f t="shared" si="4"/>
        <v>N/A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f t="shared" si="0"/>
        <v>TERMINATED</v>
      </c>
      <c r="R47" s="18">
        <f t="shared" si="5"/>
        <v>144285.12</v>
      </c>
      <c r="S47" s="15" t="str">
        <f t="shared" si="1"/>
        <v>HIGH</v>
      </c>
      <c r="T47" s="15" t="str">
        <f t="shared" si="2"/>
        <v>WFO</v>
      </c>
      <c r="U47" s="15" t="str">
        <f t="shared" si="3"/>
        <v>WFO</v>
      </c>
      <c r="V47" s="28" t="str">
        <f t="shared" si="4"/>
        <v>N/A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f t="shared" si="0"/>
        <v>NOT TERMINATED</v>
      </c>
      <c r="R48" s="18">
        <f t="shared" si="5"/>
        <v>88876.17</v>
      </c>
      <c r="S48" s="15" t="str">
        <f t="shared" si="1"/>
        <v>MEDIUM</v>
      </c>
      <c r="T48" s="15" t="str">
        <f t="shared" si="2"/>
        <v>WFO</v>
      </c>
      <c r="U48" s="15" t="str">
        <f t="shared" si="3"/>
        <v>WFO</v>
      </c>
      <c r="V48" s="28">
        <f t="shared" si="4"/>
        <v>102207.5955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f t="shared" si="0"/>
        <v>NOT TERMINATED</v>
      </c>
      <c r="R49" s="18">
        <f t="shared" si="5"/>
        <v>139584.91999999998</v>
      </c>
      <c r="S49" s="15" t="str">
        <f t="shared" si="1"/>
        <v>HIGH</v>
      </c>
      <c r="T49" s="15" t="str">
        <f t="shared" si="2"/>
        <v>WFO</v>
      </c>
      <c r="U49" s="15" t="str">
        <f t="shared" si="3"/>
        <v>WFH</v>
      </c>
      <c r="V49" s="28">
        <f t="shared" si="4"/>
        <v>156335.11040000001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f t="shared" si="0"/>
        <v>NOT TERMINATED</v>
      </c>
      <c r="R50" s="18">
        <f t="shared" si="5"/>
        <v>118400.58000000002</v>
      </c>
      <c r="S50" s="15" t="str">
        <f t="shared" si="1"/>
        <v>HIGH</v>
      </c>
      <c r="T50" s="15" t="str">
        <f t="shared" si="2"/>
        <v>WFO</v>
      </c>
      <c r="U50" s="15" t="str">
        <f t="shared" si="3"/>
        <v>WFH</v>
      </c>
      <c r="V50" s="28">
        <f t="shared" si="4"/>
        <v>136160.66700000002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f t="shared" si="0"/>
        <v>NOT TERMINATED</v>
      </c>
      <c r="R51" s="18">
        <f t="shared" si="5"/>
        <v>101673.04999999999</v>
      </c>
      <c r="S51" s="15" t="str">
        <f t="shared" si="1"/>
        <v>HIGH</v>
      </c>
      <c r="T51" s="15" t="str">
        <f t="shared" si="2"/>
        <v>WFO</v>
      </c>
      <c r="U51" s="15" t="str">
        <f t="shared" si="3"/>
        <v>WFO</v>
      </c>
      <c r="V51" s="28">
        <f t="shared" si="4"/>
        <v>113873.81599999999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f t="shared" si="0"/>
        <v>NOT TERMINATED</v>
      </c>
      <c r="R52" s="18">
        <f t="shared" si="5"/>
        <v>97721.06</v>
      </c>
      <c r="S52" s="15" t="str">
        <f t="shared" si="1"/>
        <v>HIGH</v>
      </c>
      <c r="T52" s="15" t="str">
        <f t="shared" si="2"/>
        <v>WFO</v>
      </c>
      <c r="U52" s="15" t="str">
        <f t="shared" si="3"/>
        <v>WFO</v>
      </c>
      <c r="V52" s="28">
        <f t="shared" si="4"/>
        <v>109447.58720000001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f t="shared" si="0"/>
        <v>TERMINATED</v>
      </c>
      <c r="R53" s="18">
        <f t="shared" si="5"/>
        <v>32971.5</v>
      </c>
      <c r="S53" s="15" t="str">
        <f t="shared" si="1"/>
        <v>LOW</v>
      </c>
      <c r="T53" s="15" t="str">
        <f t="shared" si="2"/>
        <v>WFH</v>
      </c>
      <c r="U53" s="15" t="str">
        <f t="shared" si="3"/>
        <v>WFH</v>
      </c>
      <c r="V53" s="28" t="str">
        <f t="shared" si="4"/>
        <v>N/A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f t="shared" si="0"/>
        <v>TERMINATED</v>
      </c>
      <c r="R54" s="18">
        <f t="shared" si="5"/>
        <v>127999.79999999999</v>
      </c>
      <c r="S54" s="15" t="str">
        <f t="shared" si="1"/>
        <v>HIGH</v>
      </c>
      <c r="T54" s="15" t="str">
        <f t="shared" si="2"/>
        <v>WFO</v>
      </c>
      <c r="U54" s="15" t="str">
        <f t="shared" si="3"/>
        <v>WFH</v>
      </c>
      <c r="V54" s="28" t="str">
        <f t="shared" si="4"/>
        <v>N/A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f t="shared" si="0"/>
        <v>NOT TERMINATED</v>
      </c>
      <c r="R55" s="18">
        <f t="shared" si="5"/>
        <v>68042.16</v>
      </c>
      <c r="S55" s="15" t="str">
        <f t="shared" si="1"/>
        <v>MEDIUM</v>
      </c>
      <c r="T55" s="15" t="str">
        <f t="shared" si="2"/>
        <v>WFO</v>
      </c>
      <c r="U55" s="15" t="str">
        <f t="shared" si="3"/>
        <v>WFO</v>
      </c>
      <c r="V55" s="28">
        <f t="shared" si="4"/>
        <v>78248.483999999997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f t="shared" si="0"/>
        <v>NOT TERMINATED</v>
      </c>
      <c r="R56" s="18">
        <f t="shared" si="5"/>
        <v>32027.49</v>
      </c>
      <c r="S56" s="15" t="str">
        <f t="shared" si="1"/>
        <v>LOW</v>
      </c>
      <c r="T56" s="15" t="str">
        <f t="shared" si="2"/>
        <v>WFO</v>
      </c>
      <c r="U56" s="15" t="str">
        <f t="shared" si="3"/>
        <v>WFO</v>
      </c>
      <c r="V56" s="28">
        <f t="shared" si="4"/>
        <v>35230.239000000001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f t="shared" si="0"/>
        <v>TERMINATED</v>
      </c>
      <c r="R57" s="18">
        <f t="shared" si="5"/>
        <v>113998.77</v>
      </c>
      <c r="S57" s="15" t="str">
        <f t="shared" si="1"/>
        <v>HIGH</v>
      </c>
      <c r="T57" s="15" t="str">
        <f t="shared" si="2"/>
        <v>WFO</v>
      </c>
      <c r="U57" s="15" t="str">
        <f t="shared" si="3"/>
        <v>WFO</v>
      </c>
      <c r="V57" s="28" t="str">
        <f t="shared" si="4"/>
        <v>N/A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f t="shared" si="0"/>
        <v>TERMINATED</v>
      </c>
      <c r="R58" s="18">
        <f t="shared" si="5"/>
        <v>88603.83</v>
      </c>
      <c r="S58" s="15" t="str">
        <f t="shared" si="1"/>
        <v>MEDIUM</v>
      </c>
      <c r="T58" s="15" t="str">
        <f t="shared" si="2"/>
        <v>WFO</v>
      </c>
      <c r="U58" s="15" t="str">
        <f t="shared" si="3"/>
        <v>WFH</v>
      </c>
      <c r="V58" s="28" t="str">
        <f t="shared" si="4"/>
        <v>N/A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f t="shared" si="0"/>
        <v>TERMINATED</v>
      </c>
      <c r="R59" s="18">
        <f t="shared" si="5"/>
        <v>78724.62000000001</v>
      </c>
      <c r="S59" s="15" t="str">
        <f t="shared" si="1"/>
        <v>MEDIUM</v>
      </c>
      <c r="T59" s="15" t="str">
        <f t="shared" si="2"/>
        <v>WFO</v>
      </c>
      <c r="U59" s="15" t="str">
        <f t="shared" si="3"/>
        <v>WFH</v>
      </c>
      <c r="V59" s="28" t="str">
        <f t="shared" si="4"/>
        <v>N/A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f t="shared" si="0"/>
        <v>NOT TERMINATED</v>
      </c>
      <c r="R60" s="18">
        <f t="shared" si="5"/>
        <v>20962.530000000002</v>
      </c>
      <c r="S60" s="15" t="str">
        <f t="shared" si="1"/>
        <v>LOW</v>
      </c>
      <c r="T60" s="15" t="str">
        <f t="shared" si="2"/>
        <v>WFO</v>
      </c>
      <c r="U60" s="15" t="str">
        <f t="shared" si="3"/>
        <v>WFO</v>
      </c>
      <c r="V60" s="28">
        <f t="shared" si="4"/>
        <v>23058.783000000003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f t="shared" si="0"/>
        <v>TERMINATED</v>
      </c>
      <c r="R61" s="18" t="str">
        <f t="shared" si="5"/>
        <v/>
      </c>
      <c r="S61" s="15" t="str">
        <f t="shared" si="1"/>
        <v>HIGH</v>
      </c>
      <c r="T61" s="15" t="str">
        <f t="shared" si="2"/>
        <v>WFO</v>
      </c>
      <c r="U61" s="15" t="str">
        <f t="shared" si="3"/>
        <v>WFO</v>
      </c>
      <c r="V61" s="28" t="str">
        <f t="shared" si="4"/>
        <v>N/A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f t="shared" si="0"/>
        <v>NOT TERMINATED</v>
      </c>
      <c r="R62" s="18" t="e">
        <f t="shared" si="5"/>
        <v>#VALUE!</v>
      </c>
      <c r="S62" s="15" t="str">
        <f t="shared" si="1"/>
        <v>HIGH</v>
      </c>
      <c r="T62" s="15" t="str">
        <f t="shared" si="2"/>
        <v>WFO</v>
      </c>
      <c r="U62" s="15" t="str">
        <f t="shared" si="3"/>
        <v>WFO</v>
      </c>
      <c r="V62" s="28" t="e">
        <f t="shared" si="4"/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f t="shared" si="0"/>
        <v>NOT TERMINATED</v>
      </c>
      <c r="R63" s="18">
        <f t="shared" si="5"/>
        <v>98689.59</v>
      </c>
      <c r="S63" s="15" t="str">
        <f t="shared" si="1"/>
        <v>HIGH</v>
      </c>
      <c r="T63" s="15" t="str">
        <f t="shared" si="2"/>
        <v>WFO</v>
      </c>
      <c r="U63" s="15" t="str">
        <f t="shared" si="3"/>
        <v>WFO</v>
      </c>
      <c r="V63" s="28">
        <f t="shared" si="4"/>
        <v>108558.549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f t="shared" si="0"/>
        <v>NOT TERMINATED</v>
      </c>
      <c r="R64" s="18">
        <f t="shared" si="5"/>
        <v>58813.16</v>
      </c>
      <c r="S64" s="15" t="str">
        <f t="shared" si="1"/>
        <v>MEDIUM</v>
      </c>
      <c r="T64" s="15" t="str">
        <f t="shared" si="2"/>
        <v>WFO</v>
      </c>
      <c r="U64" s="15" t="str">
        <f t="shared" si="3"/>
        <v>WFO</v>
      </c>
      <c r="V64" s="28">
        <f t="shared" si="4"/>
        <v>65870.739200000011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f t="shared" si="0"/>
        <v>TERMINATED</v>
      </c>
      <c r="R65" s="18">
        <f t="shared" si="5"/>
        <v>126117.9</v>
      </c>
      <c r="S65" s="15" t="str">
        <f t="shared" si="1"/>
        <v>HIGH</v>
      </c>
      <c r="T65" s="15" t="str">
        <f t="shared" si="2"/>
        <v>WFO</v>
      </c>
      <c r="U65" s="15" t="str">
        <f t="shared" si="3"/>
        <v>WFO</v>
      </c>
      <c r="V65" s="28" t="str">
        <f t="shared" si="4"/>
        <v>N/A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f t="shared" si="0"/>
        <v>TERMINATED</v>
      </c>
      <c r="R66" s="18">
        <f t="shared" si="5"/>
        <v>15809.489999999998</v>
      </c>
      <c r="S66" s="15" t="str">
        <f t="shared" si="1"/>
        <v>LOW</v>
      </c>
      <c r="T66" s="15" t="str">
        <f t="shared" si="2"/>
        <v>WFO</v>
      </c>
      <c r="U66" s="15" t="str">
        <f t="shared" si="3"/>
        <v>WFH</v>
      </c>
      <c r="V66" s="28" t="str">
        <f t="shared" si="4"/>
        <v>N/A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f t="shared" si="0"/>
        <v>NOT TERMINATED</v>
      </c>
      <c r="R67" s="18">
        <f t="shared" si="5"/>
        <v>103363.74</v>
      </c>
      <c r="S67" s="15" t="str">
        <f t="shared" si="1"/>
        <v>HIGH</v>
      </c>
      <c r="T67" s="15" t="str">
        <f t="shared" si="2"/>
        <v>WFO</v>
      </c>
      <c r="U67" s="15" t="str">
        <f t="shared" si="3"/>
        <v>WFO</v>
      </c>
      <c r="V67" s="28">
        <f t="shared" si="4"/>
        <v>113700.11400000002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f t="shared" si="0"/>
        <v>NOT TERMINATED</v>
      </c>
      <c r="R68" s="18">
        <f t="shared" si="5"/>
        <v>104038.43</v>
      </c>
      <c r="S68" s="15" t="str">
        <f t="shared" si="1"/>
        <v>HIGH</v>
      </c>
      <c r="T68" s="15" t="str">
        <f t="shared" si="2"/>
        <v>WFO</v>
      </c>
      <c r="U68" s="15" t="str">
        <f t="shared" si="3"/>
        <v>WFO</v>
      </c>
      <c r="V68" s="28">
        <f t="shared" si="4"/>
        <v>116523.0416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f t="shared" ref="Q69:Q132" si="6">IF(OR(N69="Very Poor", N69="Poor", N69="Not Rated"), "TERMINATED", "NOT TERMINATED")</f>
        <v>NOT TERMINATED</v>
      </c>
      <c r="R69" s="18">
        <f t="shared" si="5"/>
        <v>103172.49</v>
      </c>
      <c r="S69" s="15" t="str">
        <f t="shared" ref="S69:S132" si="7">IF(P69&lt;40000,"LOW",IF(AND(P69&gt;=40000,P69&lt;90000),"MEDIUM","HIGH"))</f>
        <v>HIGH</v>
      </c>
      <c r="T69" s="15" t="str">
        <f t="shared" ref="T69:T132" si="8">IF(AND(I69="MUMBAI",L69="HR"),"WFH","WFO")</f>
        <v>WFO</v>
      </c>
      <c r="U69" s="15" t="str">
        <f t="shared" ref="U69:U132" si="9">IF(L69="FINANCE","WFH",IF(L69="HR", "WFH","WFO"))</f>
        <v>WFH</v>
      </c>
      <c r="V69" s="28">
        <f t="shared" ref="V69:V132" si="10">IF(N69="Very Good",R69*1.15,IF(N69="Good",R69*1.12,IF(N69="Average",R69*1.1,"N/A")))</f>
        <v>118648.36349999999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f t="shared" si="6"/>
        <v>NOT TERMINATED</v>
      </c>
      <c r="R70" s="18">
        <f t="shared" ref="R70:R133" si="11">IF(N70="Good",P70+5000,P70)</f>
        <v>98077.55</v>
      </c>
      <c r="S70" s="15" t="str">
        <f t="shared" si="7"/>
        <v>HIGH</v>
      </c>
      <c r="T70" s="15" t="str">
        <f t="shared" si="8"/>
        <v>WFO</v>
      </c>
      <c r="U70" s="15" t="str">
        <f t="shared" si="9"/>
        <v>WFO</v>
      </c>
      <c r="V70" s="28">
        <f t="shared" si="10"/>
        <v>109846.85600000001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f t="shared" si="6"/>
        <v>NOT TERMINATED</v>
      </c>
      <c r="R71" s="18">
        <f t="shared" si="11"/>
        <v>100762.74</v>
      </c>
      <c r="S71" s="15" t="str">
        <f t="shared" si="7"/>
        <v>HIGH</v>
      </c>
      <c r="T71" s="15" t="str">
        <f t="shared" si="8"/>
        <v>WFO</v>
      </c>
      <c r="U71" s="15" t="str">
        <f t="shared" si="9"/>
        <v>WFH</v>
      </c>
      <c r="V71" s="28">
        <f t="shared" si="10"/>
        <v>110839.01400000001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f t="shared" si="6"/>
        <v>TERMINATED</v>
      </c>
      <c r="R72" s="18">
        <f t="shared" si="11"/>
        <v>110257.92</v>
      </c>
      <c r="S72" s="15" t="str">
        <f t="shared" si="7"/>
        <v>HIGH</v>
      </c>
      <c r="T72" s="15" t="str">
        <f t="shared" si="8"/>
        <v>WFO</v>
      </c>
      <c r="U72" s="15" t="str">
        <f t="shared" si="9"/>
        <v>WFO</v>
      </c>
      <c r="V72" s="28" t="str">
        <f t="shared" si="10"/>
        <v>N/A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f t="shared" si="6"/>
        <v>TERMINATED</v>
      </c>
      <c r="R73" s="18">
        <f t="shared" si="11"/>
        <v>112790.07</v>
      </c>
      <c r="S73" s="15" t="str">
        <f t="shared" si="7"/>
        <v>HIGH</v>
      </c>
      <c r="T73" s="15" t="str">
        <f t="shared" si="8"/>
        <v>WFO</v>
      </c>
      <c r="U73" s="15" t="str">
        <f t="shared" si="9"/>
        <v>WFO</v>
      </c>
      <c r="V73" s="28" t="str">
        <f t="shared" si="10"/>
        <v>N/A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f t="shared" si="6"/>
        <v>TERMINATED</v>
      </c>
      <c r="R74" s="18">
        <f t="shared" si="11"/>
        <v>100504.17</v>
      </c>
      <c r="S74" s="15" t="str">
        <f t="shared" si="7"/>
        <v>HIGH</v>
      </c>
      <c r="T74" s="15" t="str">
        <f t="shared" si="8"/>
        <v>WFO</v>
      </c>
      <c r="U74" s="15" t="str">
        <f t="shared" si="9"/>
        <v>WFO</v>
      </c>
      <c r="V74" s="28" t="str">
        <f t="shared" si="10"/>
        <v>N/A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f t="shared" si="6"/>
        <v>TERMINATED</v>
      </c>
      <c r="R75" s="18">
        <f t="shared" si="11"/>
        <v>61839.540000000008</v>
      </c>
      <c r="S75" s="15" t="str">
        <f t="shared" si="7"/>
        <v>MEDIUM</v>
      </c>
      <c r="T75" s="15" t="str">
        <f t="shared" si="8"/>
        <v>WFO</v>
      </c>
      <c r="U75" s="15" t="str">
        <f t="shared" si="9"/>
        <v>WFO</v>
      </c>
      <c r="V75" s="28" t="str">
        <f t="shared" si="10"/>
        <v>N/A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f t="shared" si="6"/>
        <v>NOT TERMINATED</v>
      </c>
      <c r="R76" s="18">
        <f t="shared" si="11"/>
        <v>40257.32</v>
      </c>
      <c r="S76" s="15" t="str">
        <f t="shared" si="7"/>
        <v>LOW</v>
      </c>
      <c r="T76" s="15" t="str">
        <f t="shared" si="8"/>
        <v>WFO</v>
      </c>
      <c r="U76" s="15" t="str">
        <f t="shared" si="9"/>
        <v>WFO</v>
      </c>
      <c r="V76" s="28">
        <f t="shared" si="10"/>
        <v>45088.198400000001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f t="shared" si="6"/>
        <v>TERMINATED</v>
      </c>
      <c r="R77" s="18">
        <f t="shared" si="11"/>
        <v>32315.129999999997</v>
      </c>
      <c r="S77" s="15" t="str">
        <f t="shared" si="7"/>
        <v>LOW</v>
      </c>
      <c r="T77" s="15" t="str">
        <f t="shared" si="8"/>
        <v>WFO</v>
      </c>
      <c r="U77" s="15" t="str">
        <f t="shared" si="9"/>
        <v>WFO</v>
      </c>
      <c r="V77" s="28" t="str">
        <f t="shared" si="10"/>
        <v>N/A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f t="shared" si="6"/>
        <v>NOT TERMINATED</v>
      </c>
      <c r="R78" s="18">
        <f t="shared" si="11"/>
        <v>33753.29</v>
      </c>
      <c r="S78" s="15" t="str">
        <f t="shared" si="7"/>
        <v>LOW</v>
      </c>
      <c r="T78" s="15" t="str">
        <f t="shared" si="8"/>
        <v>WFO</v>
      </c>
      <c r="U78" s="15" t="str">
        <f t="shared" si="9"/>
        <v>WFO</v>
      </c>
      <c r="V78" s="28">
        <f t="shared" si="10"/>
        <v>37803.684800000003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f t="shared" si="6"/>
        <v>TERMINATED</v>
      </c>
      <c r="R79" s="18">
        <f t="shared" si="11"/>
        <v>149624.82</v>
      </c>
      <c r="S79" s="15" t="str">
        <f t="shared" si="7"/>
        <v>HIGH</v>
      </c>
      <c r="T79" s="15" t="str">
        <f t="shared" si="8"/>
        <v>WFO</v>
      </c>
      <c r="U79" s="15" t="str">
        <f t="shared" si="9"/>
        <v>WFO</v>
      </c>
      <c r="V79" s="28" t="str">
        <f t="shared" si="10"/>
        <v>N/A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f t="shared" si="6"/>
        <v>NOT TERMINATED</v>
      </c>
      <c r="R80" s="18">
        <f t="shared" si="11"/>
        <v>42579.9</v>
      </c>
      <c r="S80" s="15" t="str">
        <f t="shared" si="7"/>
        <v>MEDIUM</v>
      </c>
      <c r="T80" s="15" t="str">
        <f t="shared" si="8"/>
        <v>WFO</v>
      </c>
      <c r="U80" s="15" t="str">
        <f t="shared" si="9"/>
        <v>WFH</v>
      </c>
      <c r="V80" s="28">
        <f t="shared" si="10"/>
        <v>48966.884999999995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f t="shared" si="6"/>
        <v>TERMINATED</v>
      </c>
      <c r="R81" s="18">
        <f t="shared" si="11"/>
        <v>117337.23000000001</v>
      </c>
      <c r="S81" s="15" t="str">
        <f t="shared" si="7"/>
        <v>HIGH</v>
      </c>
      <c r="T81" s="15" t="str">
        <f t="shared" si="8"/>
        <v>WFO</v>
      </c>
      <c r="U81" s="15" t="str">
        <f t="shared" si="9"/>
        <v>WFO</v>
      </c>
      <c r="V81" s="28" t="str">
        <f t="shared" si="10"/>
        <v>N/A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f t="shared" si="6"/>
        <v>TERMINATED</v>
      </c>
      <c r="R82" s="18">
        <f t="shared" si="11"/>
        <v>101379.33000000002</v>
      </c>
      <c r="S82" s="15" t="str">
        <f t="shared" si="7"/>
        <v>HIGH</v>
      </c>
      <c r="T82" s="15" t="str">
        <f t="shared" si="8"/>
        <v>WFO</v>
      </c>
      <c r="U82" s="15" t="str">
        <f t="shared" si="9"/>
        <v>WFO</v>
      </c>
      <c r="V82" s="28" t="str">
        <f t="shared" si="10"/>
        <v>N/A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f t="shared" si="6"/>
        <v>NOT TERMINATED</v>
      </c>
      <c r="R83" s="18">
        <f t="shared" si="11"/>
        <v>83836.350000000006</v>
      </c>
      <c r="S83" s="15" t="str">
        <f t="shared" si="7"/>
        <v>MEDIUM</v>
      </c>
      <c r="T83" s="15" t="str">
        <f t="shared" si="8"/>
        <v>WFO</v>
      </c>
      <c r="U83" s="15" t="str">
        <f t="shared" si="9"/>
        <v>WFH</v>
      </c>
      <c r="V83" s="28">
        <f t="shared" si="10"/>
        <v>96411.802500000005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f t="shared" si="6"/>
        <v>TERMINATED</v>
      </c>
      <c r="R84" s="18">
        <f t="shared" si="11"/>
        <v>114570.99</v>
      </c>
      <c r="S84" s="15" t="str">
        <f t="shared" si="7"/>
        <v>HIGH</v>
      </c>
      <c r="T84" s="15" t="str">
        <f t="shared" si="8"/>
        <v>WFO</v>
      </c>
      <c r="U84" s="15" t="str">
        <f t="shared" si="9"/>
        <v>WFO</v>
      </c>
      <c r="V84" s="28" t="str">
        <f t="shared" si="10"/>
        <v>N/A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f t="shared" si="6"/>
        <v>NOT TERMINATED</v>
      </c>
      <c r="R85" s="18">
        <f t="shared" si="11"/>
        <v>141824.84</v>
      </c>
      <c r="S85" s="15" t="str">
        <f t="shared" si="7"/>
        <v>HIGH</v>
      </c>
      <c r="T85" s="15" t="str">
        <f t="shared" si="8"/>
        <v>WFO</v>
      </c>
      <c r="U85" s="15" t="str">
        <f t="shared" si="9"/>
        <v>WFH</v>
      </c>
      <c r="V85" s="28">
        <f t="shared" si="10"/>
        <v>158843.82080000002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f t="shared" si="6"/>
        <v>NOT TERMINATED</v>
      </c>
      <c r="R86" s="18">
        <f t="shared" si="11"/>
        <v>38282.130000000005</v>
      </c>
      <c r="S86" s="15" t="str">
        <f t="shared" si="7"/>
        <v>LOW</v>
      </c>
      <c r="T86" s="15" t="str">
        <f t="shared" si="8"/>
        <v>WFO</v>
      </c>
      <c r="U86" s="15" t="str">
        <f t="shared" si="9"/>
        <v>WFO</v>
      </c>
      <c r="V86" s="28">
        <f t="shared" si="10"/>
        <v>42110.343000000008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f t="shared" si="6"/>
        <v>NOT TERMINATED</v>
      </c>
      <c r="R87" s="18">
        <f t="shared" si="11"/>
        <v>83140.160000000003</v>
      </c>
      <c r="S87" s="15" t="str">
        <f t="shared" si="7"/>
        <v>MEDIUM</v>
      </c>
      <c r="T87" s="15" t="str">
        <f t="shared" si="8"/>
        <v>WFO</v>
      </c>
      <c r="U87" s="15" t="str">
        <f t="shared" si="9"/>
        <v>WFH</v>
      </c>
      <c r="V87" s="28">
        <f t="shared" si="10"/>
        <v>93116.979200000016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f t="shared" si="6"/>
        <v>NOT TERMINATED</v>
      </c>
      <c r="R88" s="18">
        <f t="shared" si="11"/>
        <v>115069.73000000001</v>
      </c>
      <c r="S88" s="15" t="str">
        <f t="shared" si="7"/>
        <v>HIGH</v>
      </c>
      <c r="T88" s="15" t="str">
        <f t="shared" si="8"/>
        <v>WFO</v>
      </c>
      <c r="U88" s="15" t="str">
        <f t="shared" si="9"/>
        <v>WFO</v>
      </c>
      <c r="V88" s="28">
        <f t="shared" si="10"/>
        <v>128878.09760000002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f t="shared" si="6"/>
        <v>TERMINATED</v>
      </c>
      <c r="R89" s="18">
        <f t="shared" si="11"/>
        <v>95602.05</v>
      </c>
      <c r="S89" s="15" t="str">
        <f t="shared" si="7"/>
        <v>HIGH</v>
      </c>
      <c r="T89" s="15" t="str">
        <f t="shared" si="8"/>
        <v>WFO</v>
      </c>
      <c r="U89" s="15" t="str">
        <f t="shared" si="9"/>
        <v>WFH</v>
      </c>
      <c r="V89" s="28" t="str">
        <f t="shared" si="10"/>
        <v>N/A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f t="shared" si="6"/>
        <v>NOT TERMINATED</v>
      </c>
      <c r="R90" s="18">
        <f t="shared" si="11"/>
        <v>49235.399999999994</v>
      </c>
      <c r="S90" s="15" t="str">
        <f t="shared" si="7"/>
        <v>MEDIUM</v>
      </c>
      <c r="T90" s="15" t="str">
        <f t="shared" si="8"/>
        <v>WFO</v>
      </c>
      <c r="U90" s="15" t="str">
        <f t="shared" si="9"/>
        <v>WFO</v>
      </c>
      <c r="V90" s="28">
        <f t="shared" si="10"/>
        <v>54158.939999999995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f t="shared" si="6"/>
        <v>TERMINATED</v>
      </c>
      <c r="R91" s="18">
        <f t="shared" si="11"/>
        <v>140360.66999999998</v>
      </c>
      <c r="S91" s="15" t="str">
        <f t="shared" si="7"/>
        <v>HIGH</v>
      </c>
      <c r="T91" s="15" t="str">
        <f t="shared" si="8"/>
        <v>WFO</v>
      </c>
      <c r="U91" s="15" t="str">
        <f t="shared" si="9"/>
        <v>WFH</v>
      </c>
      <c r="V91" s="28" t="str">
        <f t="shared" si="10"/>
        <v>N/A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f t="shared" si="6"/>
        <v>TERMINATED</v>
      </c>
      <c r="R92" s="18" t="str">
        <f t="shared" si="11"/>
        <v/>
      </c>
      <c r="S92" s="15" t="str">
        <f t="shared" si="7"/>
        <v>HIGH</v>
      </c>
      <c r="T92" s="15" t="str">
        <f t="shared" si="8"/>
        <v>WFO</v>
      </c>
      <c r="U92" s="15" t="str">
        <f t="shared" si="9"/>
        <v>WFO</v>
      </c>
      <c r="V92" s="28" t="str">
        <f t="shared" si="10"/>
        <v>N/A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f t="shared" si="6"/>
        <v>TERMINATED</v>
      </c>
      <c r="R93" s="18" t="str">
        <f t="shared" si="11"/>
        <v/>
      </c>
      <c r="S93" s="15" t="str">
        <f t="shared" si="7"/>
        <v>HIGH</v>
      </c>
      <c r="T93" s="15" t="str">
        <f t="shared" si="8"/>
        <v>WFO</v>
      </c>
      <c r="U93" s="15" t="str">
        <f t="shared" si="9"/>
        <v>WFO</v>
      </c>
      <c r="V93" s="28" t="str">
        <f t="shared" si="10"/>
        <v>N/A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f t="shared" si="6"/>
        <v>TERMINATED</v>
      </c>
      <c r="R94" s="18">
        <f t="shared" si="11"/>
        <v>78179.94</v>
      </c>
      <c r="S94" s="15" t="str">
        <f t="shared" si="7"/>
        <v>MEDIUM</v>
      </c>
      <c r="T94" s="15" t="str">
        <f t="shared" si="8"/>
        <v>WFO</v>
      </c>
      <c r="U94" s="15" t="str">
        <f t="shared" si="9"/>
        <v>WFO</v>
      </c>
      <c r="V94" s="28" t="str">
        <f t="shared" si="10"/>
        <v>N/A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f t="shared" si="6"/>
        <v>TERMINATED</v>
      </c>
      <c r="R95" s="18">
        <f t="shared" si="11"/>
        <v>32815.440000000002</v>
      </c>
      <c r="S95" s="15" t="str">
        <f t="shared" si="7"/>
        <v>LOW</v>
      </c>
      <c r="T95" s="15" t="str">
        <f t="shared" si="8"/>
        <v>WFO</v>
      </c>
      <c r="U95" s="15" t="str">
        <f t="shared" si="9"/>
        <v>WFH</v>
      </c>
      <c r="V95" s="28" t="str">
        <f t="shared" si="10"/>
        <v>N/A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f t="shared" si="6"/>
        <v>TERMINATED</v>
      </c>
      <c r="R96" s="18">
        <f t="shared" si="11"/>
        <v>84205.08</v>
      </c>
      <c r="S96" s="15" t="str">
        <f t="shared" si="7"/>
        <v>MEDIUM</v>
      </c>
      <c r="T96" s="15" t="str">
        <f t="shared" si="8"/>
        <v>WFO</v>
      </c>
      <c r="U96" s="15" t="str">
        <f t="shared" si="9"/>
        <v>WFH</v>
      </c>
      <c r="V96" s="28" t="str">
        <f t="shared" si="10"/>
        <v>N/A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f t="shared" si="6"/>
        <v>TERMINATED</v>
      </c>
      <c r="R97" s="18">
        <f t="shared" si="11"/>
        <v>145350</v>
      </c>
      <c r="S97" s="15" t="str">
        <f t="shared" si="7"/>
        <v>HIGH</v>
      </c>
      <c r="T97" s="15" t="str">
        <f t="shared" si="8"/>
        <v>WFO</v>
      </c>
      <c r="U97" s="15" t="str">
        <f t="shared" si="9"/>
        <v>WFH</v>
      </c>
      <c r="V97" s="28" t="str">
        <f t="shared" si="10"/>
        <v>N/A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f t="shared" si="6"/>
        <v>NOT TERMINATED</v>
      </c>
      <c r="R98" s="18">
        <f t="shared" si="11"/>
        <v>57938.040000000008</v>
      </c>
      <c r="S98" s="15" t="str">
        <f t="shared" si="7"/>
        <v>MEDIUM</v>
      </c>
      <c r="T98" s="15" t="str">
        <f t="shared" si="8"/>
        <v>WFO</v>
      </c>
      <c r="U98" s="15" t="str">
        <f t="shared" si="9"/>
        <v>WFO</v>
      </c>
      <c r="V98" s="28">
        <f t="shared" si="10"/>
        <v>66628.745999999999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f t="shared" si="6"/>
        <v>NOT TERMINATED</v>
      </c>
      <c r="R99" s="18">
        <f t="shared" si="11"/>
        <v>110935.71</v>
      </c>
      <c r="S99" s="15" t="str">
        <f t="shared" si="7"/>
        <v>HIGH</v>
      </c>
      <c r="T99" s="15" t="str">
        <f t="shared" si="8"/>
        <v>WFO</v>
      </c>
      <c r="U99" s="15" t="str">
        <f t="shared" si="9"/>
        <v>WFO</v>
      </c>
      <c r="V99" s="28">
        <f t="shared" si="10"/>
        <v>127576.0665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f t="shared" si="6"/>
        <v>TERMINATED</v>
      </c>
      <c r="R100" s="18">
        <f t="shared" si="11"/>
        <v>121739.04</v>
      </c>
      <c r="S100" s="15" t="str">
        <f t="shared" si="7"/>
        <v>HIGH</v>
      </c>
      <c r="T100" s="15" t="str">
        <f t="shared" si="8"/>
        <v>WFO</v>
      </c>
      <c r="U100" s="15" t="str">
        <f t="shared" si="9"/>
        <v>WFO</v>
      </c>
      <c r="V100" s="28" t="str">
        <f t="shared" si="10"/>
        <v>N/A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f t="shared" si="6"/>
        <v>TERMINATED</v>
      </c>
      <c r="R101" s="18">
        <f t="shared" si="11"/>
        <v>134748.63</v>
      </c>
      <c r="S101" s="15" t="str">
        <f t="shared" si="7"/>
        <v>HIGH</v>
      </c>
      <c r="T101" s="15" t="str">
        <f t="shared" si="8"/>
        <v>WFO</v>
      </c>
      <c r="U101" s="15" t="str">
        <f t="shared" si="9"/>
        <v>WFH</v>
      </c>
      <c r="V101" s="28" t="str">
        <f t="shared" si="10"/>
        <v>N/A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f t="shared" si="6"/>
        <v>NOT TERMINATED</v>
      </c>
      <c r="R102" s="18">
        <f t="shared" si="11"/>
        <v>128523.06</v>
      </c>
      <c r="S102" s="15" t="str">
        <f t="shared" si="7"/>
        <v>HIGH</v>
      </c>
      <c r="T102" s="15" t="str">
        <f t="shared" si="8"/>
        <v>WFH</v>
      </c>
      <c r="U102" s="15" t="str">
        <f t="shared" si="9"/>
        <v>WFH</v>
      </c>
      <c r="V102" s="28">
        <f t="shared" si="10"/>
        <v>147801.519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f t="shared" si="6"/>
        <v>TERMINATED</v>
      </c>
      <c r="R103" s="18">
        <f t="shared" si="11"/>
        <v>36677.160000000003</v>
      </c>
      <c r="S103" s="15" t="str">
        <f t="shared" si="7"/>
        <v>LOW</v>
      </c>
      <c r="T103" s="15" t="str">
        <f t="shared" si="8"/>
        <v>WFO</v>
      </c>
      <c r="U103" s="15" t="str">
        <f t="shared" si="9"/>
        <v>WFH</v>
      </c>
      <c r="V103" s="28" t="str">
        <f t="shared" si="10"/>
        <v>N/A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f t="shared" si="6"/>
        <v>TERMINATED</v>
      </c>
      <c r="R104" s="18">
        <f t="shared" si="11"/>
        <v>91633.23000000001</v>
      </c>
      <c r="S104" s="15" t="str">
        <f t="shared" si="7"/>
        <v>HIGH</v>
      </c>
      <c r="T104" s="15" t="str">
        <f t="shared" si="8"/>
        <v>WFO</v>
      </c>
      <c r="U104" s="15" t="str">
        <f t="shared" si="9"/>
        <v>WFO</v>
      </c>
      <c r="V104" s="28" t="str">
        <f t="shared" si="10"/>
        <v>N/A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f t="shared" si="6"/>
        <v>TERMINATED</v>
      </c>
      <c r="R105" s="18">
        <f t="shared" si="11"/>
        <v>101186.54999999999</v>
      </c>
      <c r="S105" s="15" t="str">
        <f t="shared" si="7"/>
        <v>HIGH</v>
      </c>
      <c r="T105" s="15" t="str">
        <f t="shared" si="8"/>
        <v>WFO</v>
      </c>
      <c r="U105" s="15" t="str">
        <f t="shared" si="9"/>
        <v>WFO</v>
      </c>
      <c r="V105" s="28" t="str">
        <f t="shared" si="10"/>
        <v>N/A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f t="shared" si="6"/>
        <v>NOT TERMINATED</v>
      </c>
      <c r="R106" s="18">
        <f t="shared" si="11"/>
        <v>66951.23000000001</v>
      </c>
      <c r="S106" s="15" t="str">
        <f t="shared" si="7"/>
        <v>MEDIUM</v>
      </c>
      <c r="T106" s="15" t="str">
        <f t="shared" si="8"/>
        <v>WFO</v>
      </c>
      <c r="U106" s="15" t="str">
        <f t="shared" si="9"/>
        <v>WFH</v>
      </c>
      <c r="V106" s="28">
        <f t="shared" si="10"/>
        <v>74985.377600000022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f t="shared" si="6"/>
        <v>NOT TERMINATED</v>
      </c>
      <c r="R107" s="18">
        <f t="shared" si="11"/>
        <v>37922.58</v>
      </c>
      <c r="S107" s="15" t="str">
        <f t="shared" si="7"/>
        <v>LOW</v>
      </c>
      <c r="T107" s="15" t="str">
        <f t="shared" si="8"/>
        <v>WFO</v>
      </c>
      <c r="U107" s="15" t="str">
        <f t="shared" si="9"/>
        <v>WFO</v>
      </c>
      <c r="V107" s="28">
        <f t="shared" si="10"/>
        <v>43610.966999999997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f t="shared" si="6"/>
        <v>TERMINATED</v>
      </c>
      <c r="R108" s="18">
        <f t="shared" si="11"/>
        <v>43826.85</v>
      </c>
      <c r="S108" s="15" t="str">
        <f t="shared" si="7"/>
        <v>MEDIUM</v>
      </c>
      <c r="T108" s="15" t="str">
        <f t="shared" si="8"/>
        <v>WFH</v>
      </c>
      <c r="U108" s="15" t="str">
        <f t="shared" si="9"/>
        <v>WFH</v>
      </c>
      <c r="V108" s="28" t="str">
        <f t="shared" si="10"/>
        <v>N/A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f t="shared" si="6"/>
        <v>TERMINATED</v>
      </c>
      <c r="R109" s="18">
        <f t="shared" si="11"/>
        <v>47947.14</v>
      </c>
      <c r="S109" s="15" t="str">
        <f t="shared" si="7"/>
        <v>MEDIUM</v>
      </c>
      <c r="T109" s="15" t="str">
        <f t="shared" si="8"/>
        <v>WFO</v>
      </c>
      <c r="U109" s="15" t="str">
        <f t="shared" si="9"/>
        <v>WFH</v>
      </c>
      <c r="V109" s="28" t="str">
        <f t="shared" si="10"/>
        <v>N/A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f t="shared" si="6"/>
        <v>NOT TERMINATED</v>
      </c>
      <c r="R110" s="18">
        <f t="shared" si="11"/>
        <v>86620.91</v>
      </c>
      <c r="S110" s="15" t="str">
        <f t="shared" si="7"/>
        <v>MEDIUM</v>
      </c>
      <c r="T110" s="15" t="str">
        <f t="shared" si="8"/>
        <v>WFO</v>
      </c>
      <c r="U110" s="15" t="str">
        <f t="shared" si="9"/>
        <v>WFO</v>
      </c>
      <c r="V110" s="28">
        <f t="shared" si="10"/>
        <v>97015.419200000018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f t="shared" si="6"/>
        <v>TERMINATED</v>
      </c>
      <c r="R111" s="18">
        <f t="shared" si="11"/>
        <v>38396.880000000005</v>
      </c>
      <c r="S111" s="15" t="str">
        <f t="shared" si="7"/>
        <v>LOW</v>
      </c>
      <c r="T111" s="15" t="str">
        <f t="shared" si="8"/>
        <v>WFO</v>
      </c>
      <c r="U111" s="15" t="str">
        <f t="shared" si="9"/>
        <v>WFH</v>
      </c>
      <c r="V111" s="28" t="str">
        <f t="shared" si="10"/>
        <v>N/A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f t="shared" si="6"/>
        <v>NOT TERMINATED</v>
      </c>
      <c r="R112" s="18">
        <f t="shared" si="11"/>
        <v>72194.540000000008</v>
      </c>
      <c r="S112" s="15" t="str">
        <f t="shared" si="7"/>
        <v>MEDIUM</v>
      </c>
      <c r="T112" s="15" t="str">
        <f t="shared" si="8"/>
        <v>WFO</v>
      </c>
      <c r="U112" s="15" t="str">
        <f t="shared" si="9"/>
        <v>WFO</v>
      </c>
      <c r="V112" s="28">
        <f t="shared" si="10"/>
        <v>80857.884800000014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f t="shared" si="6"/>
        <v>NOT TERMINATED</v>
      </c>
      <c r="R113" s="18">
        <f t="shared" si="11"/>
        <v>87978.06</v>
      </c>
      <c r="S113" s="15" t="str">
        <f t="shared" si="7"/>
        <v>MEDIUM</v>
      </c>
      <c r="T113" s="15" t="str">
        <f t="shared" si="8"/>
        <v>WFO</v>
      </c>
      <c r="U113" s="15" t="str">
        <f t="shared" si="9"/>
        <v>WFO</v>
      </c>
      <c r="V113" s="28">
        <f t="shared" si="10"/>
        <v>101174.76899999999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f t="shared" si="6"/>
        <v>NOT TERMINATED</v>
      </c>
      <c r="R114" s="18" t="str">
        <f t="shared" si="11"/>
        <v/>
      </c>
      <c r="S114" s="15" t="str">
        <f t="shared" si="7"/>
        <v>HIGH</v>
      </c>
      <c r="T114" s="15" t="str">
        <f t="shared" si="8"/>
        <v>WFO</v>
      </c>
      <c r="U114" s="15" t="str">
        <f t="shared" si="9"/>
        <v>WFO</v>
      </c>
      <c r="V114" s="28" t="e">
        <f t="shared" si="10"/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f t="shared" si="6"/>
        <v>NOT TERMINATED</v>
      </c>
      <c r="R115" s="18">
        <f t="shared" si="11"/>
        <v>107865</v>
      </c>
      <c r="S115" s="15" t="str">
        <f t="shared" si="7"/>
        <v>HIGH</v>
      </c>
      <c r="T115" s="15" t="str">
        <f t="shared" si="8"/>
        <v>WFO</v>
      </c>
      <c r="U115" s="15" t="str">
        <f t="shared" si="9"/>
        <v>WFO</v>
      </c>
      <c r="V115" s="28">
        <f t="shared" si="10"/>
        <v>124044.74999999999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f t="shared" si="6"/>
        <v>NOT TERMINATED</v>
      </c>
      <c r="R116" s="18">
        <f t="shared" si="11"/>
        <v>37130.04</v>
      </c>
      <c r="S116" s="15" t="str">
        <f t="shared" si="7"/>
        <v>LOW</v>
      </c>
      <c r="T116" s="15" t="str">
        <f t="shared" si="8"/>
        <v>WFO</v>
      </c>
      <c r="U116" s="15" t="str">
        <f t="shared" si="9"/>
        <v>WFH</v>
      </c>
      <c r="V116" s="28">
        <f t="shared" si="10"/>
        <v>40843.044000000002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f t="shared" si="6"/>
        <v>TERMINATED</v>
      </c>
      <c r="R117" s="18">
        <f t="shared" si="11"/>
        <v>150091.47</v>
      </c>
      <c r="S117" s="15" t="str">
        <f t="shared" si="7"/>
        <v>HIGH</v>
      </c>
      <c r="T117" s="15" t="str">
        <f t="shared" si="8"/>
        <v>WFO</v>
      </c>
      <c r="U117" s="15" t="str">
        <f t="shared" si="9"/>
        <v>WFO</v>
      </c>
      <c r="V117" s="28" t="str">
        <f t="shared" si="10"/>
        <v>N/A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f t="shared" si="6"/>
        <v>NOT TERMINATED</v>
      </c>
      <c r="R118" s="18">
        <f t="shared" si="11"/>
        <v>132369.48000000001</v>
      </c>
      <c r="S118" s="15" t="str">
        <f t="shared" si="7"/>
        <v>HIGH</v>
      </c>
      <c r="T118" s="15" t="str">
        <f t="shared" si="8"/>
        <v>WFO</v>
      </c>
      <c r="U118" s="15" t="str">
        <f t="shared" si="9"/>
        <v>WFO</v>
      </c>
      <c r="V118" s="28">
        <f t="shared" si="10"/>
        <v>152224.902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f t="shared" si="6"/>
        <v>TERMINATED</v>
      </c>
      <c r="R119" s="18">
        <f t="shared" si="11"/>
        <v>122568.29999999999</v>
      </c>
      <c r="S119" s="15" t="str">
        <f t="shared" si="7"/>
        <v>HIGH</v>
      </c>
      <c r="T119" s="15" t="str">
        <f t="shared" si="8"/>
        <v>WFO</v>
      </c>
      <c r="U119" s="15" t="str">
        <f t="shared" si="9"/>
        <v>WFH</v>
      </c>
      <c r="V119" s="28" t="str">
        <f t="shared" si="10"/>
        <v>N/A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f t="shared" si="6"/>
        <v>NOT TERMINATED</v>
      </c>
      <c r="R120" s="18">
        <f t="shared" si="11"/>
        <v>58692.33</v>
      </c>
      <c r="S120" s="15" t="str">
        <f t="shared" si="7"/>
        <v>MEDIUM</v>
      </c>
      <c r="T120" s="15" t="str">
        <f t="shared" si="8"/>
        <v>WFO</v>
      </c>
      <c r="U120" s="15" t="str">
        <f t="shared" si="9"/>
        <v>WFO</v>
      </c>
      <c r="V120" s="28">
        <f t="shared" si="10"/>
        <v>64561.563000000009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f t="shared" si="6"/>
        <v>TERMINATED</v>
      </c>
      <c r="R121" s="18">
        <f t="shared" si="11"/>
        <v>32305.949999999997</v>
      </c>
      <c r="S121" s="15" t="str">
        <f t="shared" si="7"/>
        <v>LOW</v>
      </c>
      <c r="T121" s="15" t="str">
        <f t="shared" si="8"/>
        <v>WFO</v>
      </c>
      <c r="U121" s="15" t="str">
        <f t="shared" si="9"/>
        <v>WFH</v>
      </c>
      <c r="V121" s="28" t="str">
        <f t="shared" si="10"/>
        <v>N/A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f t="shared" si="6"/>
        <v>TERMINATED</v>
      </c>
      <c r="R122" s="18">
        <f t="shared" si="11"/>
        <v>91016.639999999999</v>
      </c>
      <c r="S122" s="15" t="str">
        <f t="shared" si="7"/>
        <v>HIGH</v>
      </c>
      <c r="T122" s="15" t="str">
        <f t="shared" si="8"/>
        <v>WFO</v>
      </c>
      <c r="U122" s="15" t="str">
        <f t="shared" si="9"/>
        <v>WFH</v>
      </c>
      <c r="V122" s="28" t="str">
        <f t="shared" si="10"/>
        <v>N/A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f t="shared" si="6"/>
        <v>TERMINATED</v>
      </c>
      <c r="R123" s="18">
        <f t="shared" si="11"/>
        <v>148439.07</v>
      </c>
      <c r="S123" s="15" t="str">
        <f t="shared" si="7"/>
        <v>HIGH</v>
      </c>
      <c r="T123" s="15" t="str">
        <f t="shared" si="8"/>
        <v>WFO</v>
      </c>
      <c r="U123" s="15" t="str">
        <f t="shared" si="9"/>
        <v>WFO</v>
      </c>
      <c r="V123" s="28" t="str">
        <f t="shared" si="10"/>
        <v>N/A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f t="shared" si="6"/>
        <v>TERMINATED</v>
      </c>
      <c r="R124" s="18">
        <f t="shared" si="11"/>
        <v>102918.51</v>
      </c>
      <c r="S124" s="15" t="str">
        <f t="shared" si="7"/>
        <v>HIGH</v>
      </c>
      <c r="T124" s="15" t="str">
        <f t="shared" si="8"/>
        <v>WFO</v>
      </c>
      <c r="U124" s="15" t="str">
        <f t="shared" si="9"/>
        <v>WFO</v>
      </c>
      <c r="V124" s="28" t="str">
        <f t="shared" si="10"/>
        <v>N/A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f t="shared" si="6"/>
        <v>NOT TERMINATED</v>
      </c>
      <c r="R125" s="18">
        <f t="shared" si="11"/>
        <v>22373.190000000002</v>
      </c>
      <c r="S125" s="15" t="str">
        <f t="shared" si="7"/>
        <v>LOW</v>
      </c>
      <c r="T125" s="15" t="str">
        <f t="shared" si="8"/>
        <v>WFO</v>
      </c>
      <c r="U125" s="15" t="str">
        <f t="shared" si="9"/>
        <v>WFH</v>
      </c>
      <c r="V125" s="28">
        <f t="shared" si="10"/>
        <v>24610.509000000005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f t="shared" si="6"/>
        <v>NOT TERMINATED</v>
      </c>
      <c r="R126" s="18">
        <f t="shared" si="11"/>
        <v>55508.399999999994</v>
      </c>
      <c r="S126" s="15" t="str">
        <f t="shared" si="7"/>
        <v>MEDIUM</v>
      </c>
      <c r="T126" s="15" t="str">
        <f t="shared" si="8"/>
        <v>WFO</v>
      </c>
      <c r="U126" s="15" t="str">
        <f t="shared" si="9"/>
        <v>WFO</v>
      </c>
      <c r="V126" s="28">
        <f t="shared" si="10"/>
        <v>61059.24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f t="shared" si="6"/>
        <v>TERMINATED</v>
      </c>
      <c r="R127" s="18">
        <f t="shared" si="11"/>
        <v>66253.59</v>
      </c>
      <c r="S127" s="15" t="str">
        <f t="shared" si="7"/>
        <v>MEDIUM</v>
      </c>
      <c r="T127" s="15" t="str">
        <f t="shared" si="8"/>
        <v>WFO</v>
      </c>
      <c r="U127" s="15" t="str">
        <f t="shared" si="9"/>
        <v>WFO</v>
      </c>
      <c r="V127" s="28" t="str">
        <f t="shared" si="10"/>
        <v>N/A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f t="shared" si="6"/>
        <v>NOT TERMINATED</v>
      </c>
      <c r="R128" s="18">
        <f t="shared" si="11"/>
        <v>81022.679999999993</v>
      </c>
      <c r="S128" s="15" t="str">
        <f t="shared" si="7"/>
        <v>MEDIUM</v>
      </c>
      <c r="T128" s="15" t="str">
        <f t="shared" si="8"/>
        <v>WFO</v>
      </c>
      <c r="U128" s="15" t="str">
        <f t="shared" si="9"/>
        <v>WFH</v>
      </c>
      <c r="V128" s="28">
        <f t="shared" si="10"/>
        <v>89124.948000000004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f t="shared" si="6"/>
        <v>TERMINATED</v>
      </c>
      <c r="R129" s="18">
        <f t="shared" si="11"/>
        <v>147721.5</v>
      </c>
      <c r="S129" s="15" t="str">
        <f t="shared" si="7"/>
        <v>HIGH</v>
      </c>
      <c r="T129" s="15" t="str">
        <f t="shared" si="8"/>
        <v>WFO</v>
      </c>
      <c r="U129" s="15" t="str">
        <f t="shared" si="9"/>
        <v>WFO</v>
      </c>
      <c r="V129" s="28" t="str">
        <f t="shared" si="10"/>
        <v>N/A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f t="shared" si="6"/>
        <v>TERMINATED</v>
      </c>
      <c r="R130" s="18">
        <f t="shared" si="11"/>
        <v>45846.45</v>
      </c>
      <c r="S130" s="15" t="str">
        <f t="shared" si="7"/>
        <v>MEDIUM</v>
      </c>
      <c r="T130" s="15" t="str">
        <f t="shared" si="8"/>
        <v>WFH</v>
      </c>
      <c r="U130" s="15" t="str">
        <f t="shared" si="9"/>
        <v>WFH</v>
      </c>
      <c r="V130" s="28" t="str">
        <f t="shared" si="10"/>
        <v>N/A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f t="shared" si="6"/>
        <v>TERMINATED</v>
      </c>
      <c r="R131" s="18">
        <f t="shared" si="11"/>
        <v>128578.14000000001</v>
      </c>
      <c r="S131" s="15" t="str">
        <f t="shared" si="7"/>
        <v>HIGH</v>
      </c>
      <c r="T131" s="15" t="str">
        <f t="shared" si="8"/>
        <v>WFO</v>
      </c>
      <c r="U131" s="15" t="str">
        <f t="shared" si="9"/>
        <v>WFH</v>
      </c>
      <c r="V131" s="28" t="str">
        <f t="shared" si="10"/>
        <v>N/A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f t="shared" si="6"/>
        <v>TERMINATED</v>
      </c>
      <c r="R132" s="18">
        <f t="shared" si="11"/>
        <v>33078.6</v>
      </c>
      <c r="S132" s="15" t="str">
        <f t="shared" si="7"/>
        <v>LOW</v>
      </c>
      <c r="T132" s="15" t="str">
        <f t="shared" si="8"/>
        <v>WFO</v>
      </c>
      <c r="U132" s="15" t="str">
        <f t="shared" si="9"/>
        <v>WFO</v>
      </c>
      <c r="V132" s="28" t="str">
        <f t="shared" si="10"/>
        <v>N/A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f t="shared" ref="Q133:Q149" si="12">IF(OR(N133="Very Poor", N133="Poor", N133="Not Rated"), "TERMINATED", "NOT TERMINATED")</f>
        <v>NOT TERMINATED</v>
      </c>
      <c r="R133" s="18">
        <f t="shared" si="11"/>
        <v>54243.05</v>
      </c>
      <c r="S133" s="15" t="str">
        <f t="shared" ref="S133:S149" si="13">IF(P133&lt;40000,"LOW",IF(AND(P133&gt;=40000,P133&lt;90000),"MEDIUM","HIGH"))</f>
        <v>MEDIUM</v>
      </c>
      <c r="T133" s="15" t="str">
        <f t="shared" ref="T133:T149" si="14">IF(AND(I133="MUMBAI",L133="HR"),"WFH","WFO")</f>
        <v>WFO</v>
      </c>
      <c r="U133" s="15" t="str">
        <f t="shared" ref="U133:U149" si="15">IF(L133="FINANCE","WFH",IF(L133="HR", "WFH","WFO"))</f>
        <v>WFO</v>
      </c>
      <c r="V133" s="28">
        <f t="shared" ref="V133:V149" si="16">IF(N133="Very Good",R133*1.15,IF(N133="Good",R133*1.12,IF(N133="Average",R133*1.1,"N/A")))</f>
        <v>60752.216000000008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f t="shared" si="12"/>
        <v>NOT TERMINATED</v>
      </c>
      <c r="R134" s="18">
        <f t="shared" ref="R134:R149" si="17">IF(N134="Good",P134+5000,P134)</f>
        <v>41283.990000000005</v>
      </c>
      <c r="S134" s="15" t="str">
        <f t="shared" si="13"/>
        <v>MEDIUM</v>
      </c>
      <c r="T134" s="15" t="str">
        <f t="shared" si="14"/>
        <v>WFO</v>
      </c>
      <c r="U134" s="15" t="str">
        <f t="shared" si="15"/>
        <v>WFO</v>
      </c>
      <c r="V134" s="28">
        <f t="shared" si="16"/>
        <v>45412.38900000001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f t="shared" si="12"/>
        <v>NOT TERMINATED</v>
      </c>
      <c r="R135" s="18">
        <f t="shared" si="17"/>
        <v>47567.7</v>
      </c>
      <c r="S135" s="15" t="str">
        <f t="shared" si="13"/>
        <v>MEDIUM</v>
      </c>
      <c r="T135" s="15" t="str">
        <f t="shared" si="14"/>
        <v>WFO</v>
      </c>
      <c r="U135" s="15" t="str">
        <f t="shared" si="15"/>
        <v>WFH</v>
      </c>
      <c r="V135" s="28">
        <f t="shared" si="16"/>
        <v>52324.47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f t="shared" si="12"/>
        <v>NOT TERMINATED</v>
      </c>
      <c r="R136" s="18">
        <f t="shared" si="17"/>
        <v>55343.16</v>
      </c>
      <c r="S136" s="15" t="str">
        <f t="shared" si="13"/>
        <v>MEDIUM</v>
      </c>
      <c r="T136" s="15" t="str">
        <f t="shared" si="14"/>
        <v>WFO</v>
      </c>
      <c r="U136" s="15" t="str">
        <f t="shared" si="15"/>
        <v>WFH</v>
      </c>
      <c r="V136" s="28">
        <f t="shared" si="16"/>
        <v>63644.633999999998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f t="shared" si="12"/>
        <v>NOT TERMINATED</v>
      </c>
      <c r="R137" s="18">
        <f t="shared" si="17"/>
        <v>108320.93999999999</v>
      </c>
      <c r="S137" s="15" t="str">
        <f t="shared" si="13"/>
        <v>HIGH</v>
      </c>
      <c r="T137" s="15" t="str">
        <f t="shared" si="14"/>
        <v>WFO</v>
      </c>
      <c r="U137" s="15" t="str">
        <f t="shared" si="15"/>
        <v>WFO</v>
      </c>
      <c r="V137" s="28">
        <f t="shared" si="16"/>
        <v>124569.08099999998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f t="shared" si="12"/>
        <v>NOT TERMINATED</v>
      </c>
      <c r="R138" s="18">
        <f t="shared" si="17"/>
        <v>144760.91</v>
      </c>
      <c r="S138" s="15" t="str">
        <f t="shared" si="13"/>
        <v>HIGH</v>
      </c>
      <c r="T138" s="15" t="str">
        <f t="shared" si="14"/>
        <v>WFO</v>
      </c>
      <c r="U138" s="15" t="str">
        <f t="shared" si="15"/>
        <v>WFH</v>
      </c>
      <c r="V138" s="28">
        <f t="shared" si="16"/>
        <v>162132.21920000002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f t="shared" si="12"/>
        <v>TERMINATED</v>
      </c>
      <c r="R139" s="18">
        <f t="shared" si="17"/>
        <v>18314.099999999999</v>
      </c>
      <c r="S139" s="15" t="str">
        <f t="shared" si="13"/>
        <v>LOW</v>
      </c>
      <c r="T139" s="15" t="str">
        <f t="shared" si="14"/>
        <v>WFO</v>
      </c>
      <c r="U139" s="15" t="str">
        <f t="shared" si="15"/>
        <v>WFO</v>
      </c>
      <c r="V139" s="28" t="str">
        <f t="shared" si="16"/>
        <v>N/A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f t="shared" si="12"/>
        <v>TERMINATED</v>
      </c>
      <c r="R140" s="18">
        <f t="shared" si="17"/>
        <v>99801.9</v>
      </c>
      <c r="S140" s="15" t="str">
        <f t="shared" si="13"/>
        <v>HIGH</v>
      </c>
      <c r="T140" s="15" t="str">
        <f t="shared" si="14"/>
        <v>WFO</v>
      </c>
      <c r="U140" s="15" t="str">
        <f t="shared" si="15"/>
        <v>WFO</v>
      </c>
      <c r="V140" s="28" t="str">
        <f t="shared" si="16"/>
        <v>N/A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f t="shared" si="12"/>
        <v>NOT TERMINATED</v>
      </c>
      <c r="R141" s="18">
        <f t="shared" si="17"/>
        <v>122266.85</v>
      </c>
      <c r="S141" s="15" t="str">
        <f t="shared" si="13"/>
        <v>HIGH</v>
      </c>
      <c r="T141" s="15" t="str">
        <f t="shared" si="14"/>
        <v>WFO</v>
      </c>
      <c r="U141" s="15" t="str">
        <f t="shared" si="15"/>
        <v>WFH</v>
      </c>
      <c r="V141" s="28">
        <f t="shared" si="16"/>
        <v>136938.87200000003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f t="shared" si="12"/>
        <v>TERMINATED</v>
      </c>
      <c r="R142" s="18">
        <f t="shared" si="17"/>
        <v>82194.66</v>
      </c>
      <c r="S142" s="15" t="str">
        <f t="shared" si="13"/>
        <v>MEDIUM</v>
      </c>
      <c r="T142" s="15" t="str">
        <f t="shared" si="14"/>
        <v>WFO</v>
      </c>
      <c r="U142" s="15" t="str">
        <f t="shared" si="15"/>
        <v>WFO</v>
      </c>
      <c r="V142" s="28" t="str">
        <f t="shared" si="16"/>
        <v>N/A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f t="shared" si="12"/>
        <v>TERMINATED</v>
      </c>
      <c r="R143" s="18">
        <f t="shared" si="17"/>
        <v>62942.67</v>
      </c>
      <c r="S143" s="15" t="str">
        <f t="shared" si="13"/>
        <v>MEDIUM</v>
      </c>
      <c r="T143" s="15" t="str">
        <f t="shared" si="14"/>
        <v>WFO</v>
      </c>
      <c r="U143" s="15" t="str">
        <f t="shared" si="15"/>
        <v>WFO</v>
      </c>
      <c r="V143" s="28" t="str">
        <f t="shared" si="16"/>
        <v>N/A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f t="shared" si="12"/>
        <v>NOT TERMINATED</v>
      </c>
      <c r="R144" s="18">
        <f t="shared" si="17"/>
        <v>132444.45000000001</v>
      </c>
      <c r="S144" s="15" t="str">
        <f t="shared" si="13"/>
        <v>HIGH</v>
      </c>
      <c r="T144" s="15" t="str">
        <f t="shared" si="14"/>
        <v>WFO</v>
      </c>
      <c r="U144" s="15" t="str">
        <f t="shared" si="15"/>
        <v>WFO</v>
      </c>
      <c r="V144" s="28">
        <f t="shared" si="16"/>
        <v>152311.11749999999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f t="shared" si="12"/>
        <v>TERMINATED</v>
      </c>
      <c r="R145" s="18">
        <f t="shared" si="17"/>
        <v>104584.68</v>
      </c>
      <c r="S145" s="15" t="str">
        <f t="shared" si="13"/>
        <v>HIGH</v>
      </c>
      <c r="T145" s="15" t="str">
        <f t="shared" si="14"/>
        <v>WFO</v>
      </c>
      <c r="U145" s="15" t="str">
        <f t="shared" si="15"/>
        <v>WFO</v>
      </c>
      <c r="V145" s="28" t="str">
        <f t="shared" si="16"/>
        <v>N/A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f t="shared" si="12"/>
        <v>TERMINATED</v>
      </c>
      <c r="R146" s="18">
        <f t="shared" si="17"/>
        <v>64116.18</v>
      </c>
      <c r="S146" s="15" t="str">
        <f t="shared" si="13"/>
        <v>MEDIUM</v>
      </c>
      <c r="T146" s="15" t="str">
        <f t="shared" si="14"/>
        <v>WFO</v>
      </c>
      <c r="U146" s="15" t="str">
        <f t="shared" si="15"/>
        <v>WFH</v>
      </c>
      <c r="V146" s="28" t="str">
        <f t="shared" si="16"/>
        <v>N/A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f t="shared" si="12"/>
        <v>TERMINATED</v>
      </c>
      <c r="R147" s="18">
        <f t="shared" si="17"/>
        <v>27693</v>
      </c>
      <c r="S147" s="15" t="str">
        <f t="shared" si="13"/>
        <v>LOW</v>
      </c>
      <c r="T147" s="15" t="str">
        <f t="shared" si="14"/>
        <v>WFO</v>
      </c>
      <c r="U147" s="15" t="str">
        <f t="shared" si="15"/>
        <v>WFO</v>
      </c>
      <c r="V147" s="28" t="str">
        <f t="shared" si="16"/>
        <v>N/A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f t="shared" si="12"/>
        <v>NOT TERMINATED</v>
      </c>
      <c r="R148" s="18">
        <f t="shared" si="17"/>
        <v>111855.24</v>
      </c>
      <c r="S148" s="15" t="str">
        <f t="shared" si="13"/>
        <v>HIGH</v>
      </c>
      <c r="T148" s="15" t="str">
        <f t="shared" si="14"/>
        <v>WFO</v>
      </c>
      <c r="U148" s="15" t="str">
        <f t="shared" si="15"/>
        <v>WFH</v>
      </c>
      <c r="V148" s="28">
        <f t="shared" si="16"/>
        <v>123040.76400000001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f t="shared" si="12"/>
        <v>TERMINATED</v>
      </c>
      <c r="R149" s="18" t="str">
        <f t="shared" si="17"/>
        <v/>
      </c>
      <c r="S149" s="15" t="str">
        <f t="shared" si="13"/>
        <v>HIGH</v>
      </c>
      <c r="T149" s="15" t="str">
        <f t="shared" si="14"/>
        <v>WFH</v>
      </c>
      <c r="U149" s="15" t="str">
        <f t="shared" si="15"/>
        <v>WFH</v>
      </c>
      <c r="V149" s="28" t="str">
        <f t="shared" si="16"/>
        <v>N/A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26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26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26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26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26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26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26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26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26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26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26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26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26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26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26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26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26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26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2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2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26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26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26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26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26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26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26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26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26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26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26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26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26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26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26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26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26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26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26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26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26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26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26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26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26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26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26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26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26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26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26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26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26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26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26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26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26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26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26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26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26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26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26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26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26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26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26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26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26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26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26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26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26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26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26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26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26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26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26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26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26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26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26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26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26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26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26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2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26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26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26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26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26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26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26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26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26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26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26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26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26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26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26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26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26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26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26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26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26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26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26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26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26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26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26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26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26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26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26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26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26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26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26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26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26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26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26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26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26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26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26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26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26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26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26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26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26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26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26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26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26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26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26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26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26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26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26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26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26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26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26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26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26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26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26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26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26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26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26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26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26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26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26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26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26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26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26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26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26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26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26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26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26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26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26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26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26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26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26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26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26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26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26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26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26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26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26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26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26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26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26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26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26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26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26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26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26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26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26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26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26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26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26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26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26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26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26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26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26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26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26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26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26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26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26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26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26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26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26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26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26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26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26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26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26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26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26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26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26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26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26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26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26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26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26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26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26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26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26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26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26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26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26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26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26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26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26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26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26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26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26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26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26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6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6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6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26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26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26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26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26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26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26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26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26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26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26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26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26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26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26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26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26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26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26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26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26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26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26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26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26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26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26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26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26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26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26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26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26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26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26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26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26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26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26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26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26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26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26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26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26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26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26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26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26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26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26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26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26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26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26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26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26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26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26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26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26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26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26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26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26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26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26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26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26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26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26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26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26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26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26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26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26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26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26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26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26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26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26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26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26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26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26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26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26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26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26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26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26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26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26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26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26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26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26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26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26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26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26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26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26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26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26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26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26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26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26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26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26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26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26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26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26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26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26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26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26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26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26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26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26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26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26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26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26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26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26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26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26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26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26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26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26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26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26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26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26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26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26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26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26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26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26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26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26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26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26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26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26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26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26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26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26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26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26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26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26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26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26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26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26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26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26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26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26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26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26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26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26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26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26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26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26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26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26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26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26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26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26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26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26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26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26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26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26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26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26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26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26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26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26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26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26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26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26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26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26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26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26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26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26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26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26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26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26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26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26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26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26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26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26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26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26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26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26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26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26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26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26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26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26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26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26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26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26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26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26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26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26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26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26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26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26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26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26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26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26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26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26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26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26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26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26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26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26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26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26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26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26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26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26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26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26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26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26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26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26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26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26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26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26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26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26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26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26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26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26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26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26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26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26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26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26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26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26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26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26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26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26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26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26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26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26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26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26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26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26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26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26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26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26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26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26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26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26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26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26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26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26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26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26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26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26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26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26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26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26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26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26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26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26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26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26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26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26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26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26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26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26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26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26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26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26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26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26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26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26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26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26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26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26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26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26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26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26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26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26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26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26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26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26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26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26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26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26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26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26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26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26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26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26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26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26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26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26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26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26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26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26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26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26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26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26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26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26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26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26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26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26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26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26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26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26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26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26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26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26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26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26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26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26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26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26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26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26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26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26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26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26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26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26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26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26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26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26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26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26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26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26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26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26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26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26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26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26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26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26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26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26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26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26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26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26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26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26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26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26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26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26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26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26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26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26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26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26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26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26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26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26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26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26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26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26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26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26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26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26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26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26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26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26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26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26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26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26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26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26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26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26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26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26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26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26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26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26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26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26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26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26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26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26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26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26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26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26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26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26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26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26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26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26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26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26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26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26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26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26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26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26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26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26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26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26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26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26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26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26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26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26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26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26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26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26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26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26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26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26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26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26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26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26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26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26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26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26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26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26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26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26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26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26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26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26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26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26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26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26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26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26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26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26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26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26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26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26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26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26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26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26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26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26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26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26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26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26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26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26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26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26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26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26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26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26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26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26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26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26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26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26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26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26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26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26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26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26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26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26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26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26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26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26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26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26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26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26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26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26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26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26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26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26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26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26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26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26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26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26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26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26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26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26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26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26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26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26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26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26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26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26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26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26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Anuj Gaikwad</cp:lastModifiedBy>
  <dcterms:created xsi:type="dcterms:W3CDTF">2021-07-08T13:51:18Z</dcterms:created>
  <dcterms:modified xsi:type="dcterms:W3CDTF">2025-09-09T19:21:39Z</dcterms:modified>
</cp:coreProperties>
</file>