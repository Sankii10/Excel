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1DC84FC-1E82-451E-A18D-85E3F55C347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5" l="1"/>
  <c r="B11" i="5"/>
  <c r="G11" i="5" s="1"/>
  <c r="B8" i="5"/>
  <c r="G8" i="5" s="1"/>
  <c r="B9" i="5"/>
  <c r="G9" i="5" s="1"/>
  <c r="B7" i="5"/>
  <c r="G7" i="5" s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8" i="1"/>
  <c r="K9" i="1"/>
  <c r="C15" i="5" s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8" i="1"/>
  <c r="G19" i="5"/>
  <c r="E19" i="5"/>
  <c r="C19" i="5"/>
  <c r="E17" i="5"/>
  <c r="F15" i="5"/>
  <c r="F10" i="5"/>
  <c r="F9" i="5" l="1"/>
  <c r="D9" i="5"/>
  <c r="D11" i="5"/>
  <c r="F11" i="5"/>
  <c r="C8" i="5"/>
  <c r="C10" i="5"/>
  <c r="D7" i="5"/>
  <c r="E8" i="5"/>
  <c r="F7" i="5"/>
  <c r="F8" i="5"/>
  <c r="E10" i="5"/>
  <c r="G10" i="5"/>
  <c r="C7" i="5"/>
  <c r="H7" i="5" s="1"/>
  <c r="C9" i="5"/>
  <c r="H9" i="5" s="1"/>
  <c r="C11" i="5"/>
  <c r="H11" i="5" s="1"/>
  <c r="D8" i="5"/>
  <c r="D10" i="5"/>
  <c r="E7" i="5"/>
  <c r="E9" i="5"/>
  <c r="E11" i="5"/>
  <c r="H10" i="5" l="1"/>
  <c r="H8" i="5"/>
  <c r="C12" i="5"/>
  <c r="E12" i="5"/>
  <c r="G12" i="5"/>
  <c r="D12" i="5"/>
  <c r="F12" i="5"/>
  <c r="H12" i="5" l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F19" i="5" l="1"/>
  <c r="C18" i="5"/>
  <c r="F18" i="5"/>
  <c r="D19" i="5"/>
  <c r="H19" i="5" s="1"/>
  <c r="C17" i="5"/>
  <c r="H17" i="5" s="1"/>
  <c r="E16" i="5"/>
  <c r="H16" i="5" s="1"/>
  <c r="D15" i="5"/>
  <c r="H18" i="5" l="1"/>
  <c r="E15" i="5"/>
  <c r="H15" i="5" s="1"/>
</calcChain>
</file>

<file path=xl/sharedStrings.xml><?xml version="1.0" encoding="utf-8"?>
<sst xmlns="http://schemas.openxmlformats.org/spreadsheetml/2006/main" count="104" uniqueCount="30">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</sst>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11" fillId="3" borderId="1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3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16" fillId="8" borderId="0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Volume Against Each Sales</a:t>
            </a:r>
            <a:r>
              <a:rPr lang="en-US" baseline="0">
                <a:solidFill>
                  <a:schemeClr val="bg1"/>
                </a:solidFill>
              </a:rPr>
              <a:t>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7455866973192918E-2"/>
          <c:y val="0.32046116530245944"/>
          <c:w val="0.21180315789932277"/>
          <c:h val="6.0929773093758917E-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09344"/>
        <c:axId val="173610880"/>
      </c:barChart>
      <c:catAx>
        <c:axId val="17360934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609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baseline="0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 w="19050">
      <a:solidFill>
        <a:schemeClr val="bg1">
          <a:alpha val="99000"/>
        </a:schemeClr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09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002060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1500</c:v>
                </c:pt>
                <c:pt idx="1">
                  <c:v>3750</c:v>
                </c:pt>
                <c:pt idx="2">
                  <c:v>6000</c:v>
                </c:pt>
                <c:pt idx="3">
                  <c:v>0</c:v>
                </c:pt>
                <c:pt idx="4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1000</c:v>
                </c:pt>
                <c:pt idx="1">
                  <c:v>3000</c:v>
                </c:pt>
                <c:pt idx="2">
                  <c:v>5750</c:v>
                </c:pt>
                <c:pt idx="3">
                  <c:v>2500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19200</c:v>
                </c:pt>
                <c:pt idx="1">
                  <c:v>9600</c:v>
                </c:pt>
                <c:pt idx="2">
                  <c:v>0</c:v>
                </c:pt>
                <c:pt idx="3">
                  <c:v>9600</c:v>
                </c:pt>
                <c:pt idx="4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27000</c:v>
                </c:pt>
                <c:pt idx="1">
                  <c:v>12000</c:v>
                </c:pt>
                <c:pt idx="2">
                  <c:v>15000</c:v>
                </c:pt>
                <c:pt idx="3">
                  <c:v>42000</c:v>
                </c:pt>
                <c:pt idx="4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6000</c:v>
                </c:pt>
                <c:pt idx="1">
                  <c:v>5750</c:v>
                </c:pt>
                <c:pt idx="2">
                  <c:v>0</c:v>
                </c:pt>
                <c:pt idx="3">
                  <c:v>15000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1500</c:v>
                </c:pt>
                <c:pt idx="1">
                  <c:v>1000</c:v>
                </c:pt>
                <c:pt idx="2">
                  <c:v>19200</c:v>
                </c:pt>
                <c:pt idx="3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3750</c:v>
                </c:pt>
                <c:pt idx="1">
                  <c:v>3000</c:v>
                </c:pt>
                <c:pt idx="2">
                  <c:v>9600</c:v>
                </c:pt>
                <c:pt idx="3">
                  <c:v>12000</c:v>
                </c:pt>
                <c:pt idx="4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2500</c:v>
                </c:pt>
                <c:pt idx="2">
                  <c:v>9600</c:v>
                </c:pt>
                <c:pt idx="3">
                  <c:v>42000</c:v>
                </c:pt>
                <c:pt idx="4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7500</c:v>
                </c:pt>
                <c:pt idx="1">
                  <c:v>2500</c:v>
                </c:pt>
                <c:pt idx="2">
                  <c:v>24000</c:v>
                </c:pt>
                <c:pt idx="3">
                  <c:v>15000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</a:t>
            </a:r>
            <a:r>
              <a:rPr lang="en-US" baseline="0">
                <a:solidFill>
                  <a:schemeClr val="tx1"/>
                </a:solidFill>
              </a:rPr>
              <a:t> VOLUME AGAINST EACH SALES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88974428938957"/>
          <c:y val="0.106880427521710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'Online Sales Tracker'!$K$26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'Online Sales Tracker'!$L$25:$P$25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Tracker'!$L$26:$P$26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F-4D7C-9FD4-936B89439593}"/>
            </c:ext>
          </c:extLst>
        </c:ser>
        <c:ser>
          <c:idx val="1"/>
          <c:order val="1"/>
          <c:tx>
            <c:strRef>
              <c:f>'Online Sales Tracker'!$K$27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'Online Sales Tracker'!$L$25:$P$25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Tracker'!$L$27:$P$27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115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F-4D7C-9FD4-936B89439593}"/>
            </c:ext>
          </c:extLst>
        </c:ser>
        <c:ser>
          <c:idx val="2"/>
          <c:order val="2"/>
          <c:tx>
            <c:strRef>
              <c:f>'Online Sales Tracker'!$K$28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'Online Sales Tracker'!$L$25:$P$25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Tracker'!$L$28:$P$28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0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CF-4D7C-9FD4-936B89439593}"/>
            </c:ext>
          </c:extLst>
        </c:ser>
        <c:ser>
          <c:idx val="3"/>
          <c:order val="3"/>
          <c:tx>
            <c:strRef>
              <c:f>'Online Sales Tracker'!$K$29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'Online Sales Tracker'!$L$25:$P$25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Tracker'!$L$29:$P$29</c:f>
              <c:numCache>
                <c:formatCode>General</c:formatCode>
                <c:ptCount val="5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70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CF-4D7C-9FD4-936B89439593}"/>
            </c:ext>
          </c:extLst>
        </c:ser>
        <c:ser>
          <c:idx val="4"/>
          <c:order val="4"/>
          <c:tx>
            <c:strRef>
              <c:f>'Online Sales Tracker'!$K$30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'Online Sales Tracker'!$L$25:$P$25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Tracker'!$L$30:$P$30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CF-4D7C-9FD4-936B89439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569983"/>
        <c:axId val="1214568543"/>
      </c:barChart>
      <c:catAx>
        <c:axId val="12145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568543"/>
        <c:crosses val="autoZero"/>
        <c:auto val="1"/>
        <c:lblAlgn val="ctr"/>
        <c:lblOffset val="100"/>
        <c:noMultiLvlLbl val="0"/>
      </c:catAx>
      <c:valAx>
        <c:axId val="12145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56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'Online Sales Tracker'!$K$26:$K$29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Tracker'!$L$26:$L$29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0-45EB-89D3-6385EBA6A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9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'Online Sales Tracker'!$K$26:$K$30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Tracker'!$M$26:$M$30</c:f>
              <c:numCache>
                <c:formatCode>General</c:formatCode>
                <c:ptCount val="5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1-4303-8B1C-B435BF3C8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>
        <a:alpha val="86000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'Online Sales Tracker'!$K$26:$K$29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Tracker'!$N$26:$N$29</c:f>
              <c:numCache>
                <c:formatCode>General</c:formatCode>
                <c:ptCount val="4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6-4595-B906-D32716F01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'Online Sales Tracker'!$K$27:$K$30</c:f>
              <c:strCache>
                <c:ptCount val="4"/>
                <c:pt idx="0">
                  <c:v>B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'Online Sales Tracker'!$O$27:$O$30</c:f>
              <c:numCache>
                <c:formatCode>General</c:formatCode>
                <c:ptCount val="4"/>
                <c:pt idx="0">
                  <c:v>50</c:v>
                </c:pt>
                <c:pt idx="1">
                  <c:v>40</c:v>
                </c:pt>
                <c:pt idx="2">
                  <c:v>70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3-4E71-B008-37582814D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'Online Sales Tracker'!$K$26:$K$29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Tracker'!$P$26:$P$29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5-4D6A-A0DA-2A7AAC68D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180976</xdr:rowOff>
    </xdr:from>
    <xdr:to>
      <xdr:col>8</xdr:col>
      <xdr:colOff>10886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579120</xdr:colOff>
      <xdr:row>35</xdr:row>
      <xdr:rowOff>22861</xdr:rowOff>
    </xdr:from>
    <xdr:to>
      <xdr:col>5</xdr:col>
      <xdr:colOff>525780</xdr:colOff>
      <xdr:row>43</xdr:row>
      <xdr:rowOff>45721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95250</xdr:colOff>
      <xdr:row>2</xdr:row>
      <xdr:rowOff>381000</xdr:rowOff>
    </xdr:from>
    <xdr:to>
      <xdr:col>21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571500</xdr:colOff>
      <xdr:row>21</xdr:row>
      <xdr:rowOff>0</xdr:rowOff>
    </xdr:from>
    <xdr:to>
      <xdr:col>5</xdr:col>
      <xdr:colOff>819150</xdr:colOff>
      <xdr:row>23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1828800" y="5476875"/>
          <a:ext cx="3390900" cy="381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266700</xdr:colOff>
      <xdr:row>35</xdr:row>
      <xdr:rowOff>123826</xdr:rowOff>
    </xdr:from>
    <xdr:to>
      <xdr:col>2</xdr:col>
      <xdr:colOff>1000125</xdr:colOff>
      <xdr:row>36</xdr:row>
      <xdr:rowOff>180976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1524000" y="8277226"/>
          <a:ext cx="7334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  <xdr:twoCellAnchor>
    <xdr:from>
      <xdr:col>1</xdr:col>
      <xdr:colOff>457200</xdr:colOff>
      <xdr:row>23</xdr:row>
      <xdr:rowOff>60960</xdr:rowOff>
    </xdr:from>
    <xdr:to>
      <xdr:col>7</xdr:col>
      <xdr:colOff>167640</xdr:colOff>
      <xdr:row>33</xdr:row>
      <xdr:rowOff>26670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69AB6B6-FF83-0E03-8045-6BACE824C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30480</xdr:colOff>
      <xdr:row>37</xdr:row>
      <xdr:rowOff>15240</xdr:rowOff>
    </xdr:from>
    <xdr:to>
      <xdr:col>2</xdr:col>
      <xdr:colOff>1036320</xdr:colOff>
      <xdr:row>43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94D8166-F8DB-3370-2D88-8B0C086EE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586740</xdr:colOff>
      <xdr:row>37</xdr:row>
      <xdr:rowOff>22860</xdr:rowOff>
    </xdr:from>
    <xdr:to>
      <xdr:col>5</xdr:col>
      <xdr:colOff>525780</xdr:colOff>
      <xdr:row>43</xdr:row>
      <xdr:rowOff>7620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5734D68-EC41-49B4-4EA4-DF2909B98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1066800</xdr:colOff>
      <xdr:row>36</xdr:row>
      <xdr:rowOff>152400</xdr:rowOff>
    </xdr:from>
    <xdr:to>
      <xdr:col>8</xdr:col>
      <xdr:colOff>15240</xdr:colOff>
      <xdr:row>43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10E6DCD-0363-4E24-4D80-5E9F15551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22860</xdr:colOff>
      <xdr:row>46</xdr:row>
      <xdr:rowOff>0</xdr:rowOff>
    </xdr:from>
    <xdr:to>
      <xdr:col>3</xdr:col>
      <xdr:colOff>1051560</xdr:colOff>
      <xdr:row>51</xdr:row>
      <xdr:rowOff>152400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41F6123-6F40-2B7E-B90F-3D73ED67A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22860</xdr:colOff>
      <xdr:row>45</xdr:row>
      <xdr:rowOff>144780</xdr:rowOff>
    </xdr:from>
    <xdr:to>
      <xdr:col>6</xdr:col>
      <xdr:colOff>1066800</xdr:colOff>
      <xdr:row>51</xdr:row>
      <xdr:rowOff>129540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0B9C520-B2BA-FFC4-E14C-4FAF8E1A1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0.51679</cdr:x>
      <cdr:y>0.03284</cdr:y>
    </cdr:from>
    <cdr:to>
      <cdr:x>0.93657</cdr:x>
      <cdr:y>0.19294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055370" y="50800"/>
          <a:ext cx="85725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0.59535</cdr:x>
      <cdr:y>0.03333</cdr:y>
    </cdr:from>
    <cdr:to>
      <cdr:x>0.97809</cdr:x>
      <cdr:y>0.19583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301353" y="48763"/>
          <a:ext cx="836613" cy="23774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0.58029</cdr:x>
      <cdr:y>0.03384</cdr:y>
    </cdr:from>
    <cdr:to>
      <cdr:x>0.94525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1580" y="50800"/>
          <a:ext cx="7619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0.95834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9200" y="50800"/>
          <a:ext cx="8000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36"/>
  <sheetViews>
    <sheetView topLeftCell="D1" workbookViewId="0">
      <selection activeCell="L8" sqref="L8:L35"/>
    </sheetView>
  </sheetViews>
  <sheetFormatPr defaultColWidth="9.109375" defaultRowHeight="13.8" x14ac:dyDescent="0.3"/>
  <cols>
    <col min="1" max="1" width="3.109375" style="3" customWidth="1"/>
    <col min="2" max="3" width="11.33203125" style="3" bestFit="1" customWidth="1"/>
    <col min="4" max="4" width="10.5546875" style="3" bestFit="1" customWidth="1"/>
    <col min="5" max="5" width="11.44140625" style="3" bestFit="1" customWidth="1"/>
    <col min="6" max="6" width="17.44140625" style="3" customWidth="1"/>
    <col min="7" max="7" width="13.6640625" style="3" bestFit="1" customWidth="1"/>
    <col min="8" max="8" width="12.5546875" style="3" bestFit="1" customWidth="1"/>
    <col min="9" max="9" width="8.77734375" style="3" bestFit="1" customWidth="1"/>
    <col min="10" max="10" width="10" style="3" bestFit="1" customWidth="1"/>
    <col min="11" max="11" width="14.88671875" style="3" bestFit="1" customWidth="1"/>
    <col min="12" max="12" width="11.6640625" style="3" customWidth="1"/>
    <col min="13" max="13" width="3.109375" style="3" customWidth="1"/>
    <col min="14" max="16" width="10.33203125" style="3" customWidth="1"/>
    <col min="17" max="17" width="12.33203125" style="3" bestFit="1" customWidth="1"/>
    <col min="18" max="18" width="10.5546875" style="3" bestFit="1" customWidth="1"/>
    <col min="19" max="19" width="12.109375" style="3" bestFit="1" customWidth="1"/>
    <col min="20" max="16384" width="9.109375" style="3"/>
  </cols>
  <sheetData>
    <row r="5" spans="1:14" ht="14.4" thickBo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8" thickBot="1" x14ac:dyDescent="0.35">
      <c r="A6" s="5"/>
      <c r="B6" s="32" t="s">
        <v>27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6"/>
    </row>
    <row r="7" spans="1:14" ht="18" thickBot="1" x14ac:dyDescent="0.35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4.4" thickBot="1" x14ac:dyDescent="0.35">
      <c r="A8" s="5"/>
      <c r="B8" s="25">
        <v>43009</v>
      </c>
      <c r="C8" s="26" t="str">
        <f>TEXT(B8,"dddd")</f>
        <v>Sunday</v>
      </c>
      <c r="D8" s="27" t="s">
        <v>1</v>
      </c>
      <c r="E8" s="27">
        <v>25</v>
      </c>
      <c r="F8" s="28" t="s">
        <v>10</v>
      </c>
      <c r="G8" s="29">
        <v>10</v>
      </c>
      <c r="H8" s="29">
        <v>15</v>
      </c>
      <c r="I8" s="29">
        <f>G8 * H8</f>
        <v>150</v>
      </c>
      <c r="J8" s="31">
        <f>I8 /H8</f>
        <v>10</v>
      </c>
      <c r="K8" s="29">
        <f>I8 *E8</f>
        <v>3750</v>
      </c>
      <c r="L8" s="29">
        <f>H8 *E8</f>
        <v>375</v>
      </c>
      <c r="M8" s="4"/>
    </row>
    <row r="9" spans="1:14" ht="14.4" thickBot="1" x14ac:dyDescent="0.35">
      <c r="A9" s="5"/>
      <c r="B9" s="25">
        <v>43009</v>
      </c>
      <c r="C9" s="26" t="str">
        <f t="shared" ref="C9:C35" si="0">TEXT(B9,"dddd")</f>
        <v>Sunday</v>
      </c>
      <c r="D9" s="27" t="s">
        <v>1</v>
      </c>
      <c r="E9" s="27">
        <v>10</v>
      </c>
      <c r="F9" s="28" t="s">
        <v>9</v>
      </c>
      <c r="G9" s="29">
        <v>10</v>
      </c>
      <c r="H9" s="29">
        <v>15</v>
      </c>
      <c r="I9" s="29">
        <f t="shared" ref="I9:I35" si="1">G9 * H9</f>
        <v>150</v>
      </c>
      <c r="J9" s="31">
        <f t="shared" ref="J9:J35" si="2">I9 /H9</f>
        <v>10</v>
      </c>
      <c r="K9" s="29">
        <f t="shared" ref="K9:K35" si="3">I9 *E9</f>
        <v>1500</v>
      </c>
      <c r="L9" s="29">
        <f t="shared" ref="L9:L35" si="4">H9 *E9</f>
        <v>150</v>
      </c>
      <c r="M9" s="4"/>
    </row>
    <row r="10" spans="1:14" ht="14.4" thickBot="1" x14ac:dyDescent="0.35">
      <c r="A10" s="5"/>
      <c r="B10" s="25">
        <v>43009</v>
      </c>
      <c r="C10" s="26" t="str">
        <f t="shared" si="0"/>
        <v>Sunday</v>
      </c>
      <c r="D10" s="27" t="s">
        <v>5</v>
      </c>
      <c r="E10" s="27">
        <v>50</v>
      </c>
      <c r="F10" s="28" t="s">
        <v>10</v>
      </c>
      <c r="G10" s="29">
        <v>8</v>
      </c>
      <c r="H10" s="29">
        <v>10</v>
      </c>
      <c r="I10" s="29">
        <f t="shared" si="1"/>
        <v>80</v>
      </c>
      <c r="J10" s="31">
        <f t="shared" si="2"/>
        <v>8</v>
      </c>
      <c r="K10" s="29">
        <f t="shared" si="3"/>
        <v>4000</v>
      </c>
      <c r="L10" s="29">
        <f t="shared" si="4"/>
        <v>500</v>
      </c>
      <c r="M10" s="4"/>
    </row>
    <row r="11" spans="1:14" ht="14.4" thickBot="1" x14ac:dyDescent="0.35">
      <c r="A11" s="5"/>
      <c r="B11" s="25">
        <v>43010</v>
      </c>
      <c r="C11" s="26" t="str">
        <f t="shared" si="0"/>
        <v>Monday</v>
      </c>
      <c r="D11" s="27" t="s">
        <v>2</v>
      </c>
      <c r="E11" s="27">
        <v>25</v>
      </c>
      <c r="F11" s="28" t="s">
        <v>16</v>
      </c>
      <c r="G11" s="29">
        <v>5</v>
      </c>
      <c r="H11" s="29">
        <v>10</v>
      </c>
      <c r="I11" s="29">
        <f t="shared" si="1"/>
        <v>50</v>
      </c>
      <c r="J11" s="31">
        <f t="shared" si="2"/>
        <v>5</v>
      </c>
      <c r="K11" s="29">
        <f t="shared" si="3"/>
        <v>1250</v>
      </c>
      <c r="L11" s="29">
        <f t="shared" si="4"/>
        <v>250</v>
      </c>
      <c r="M11" s="4"/>
    </row>
    <row r="12" spans="1:14" ht="14.4" thickBot="1" x14ac:dyDescent="0.35">
      <c r="A12" s="5"/>
      <c r="B12" s="25">
        <v>43010</v>
      </c>
      <c r="C12" s="26" t="str">
        <f t="shared" si="0"/>
        <v>Monday</v>
      </c>
      <c r="D12" s="27" t="s">
        <v>3</v>
      </c>
      <c r="E12" s="27">
        <v>25</v>
      </c>
      <c r="F12" s="28" t="s">
        <v>9</v>
      </c>
      <c r="G12" s="29">
        <v>12</v>
      </c>
      <c r="H12" s="29">
        <v>20</v>
      </c>
      <c r="I12" s="29">
        <f t="shared" si="1"/>
        <v>240</v>
      </c>
      <c r="J12" s="31">
        <f t="shared" si="2"/>
        <v>12</v>
      </c>
      <c r="K12" s="29">
        <f t="shared" si="3"/>
        <v>6000</v>
      </c>
      <c r="L12" s="29">
        <f t="shared" si="4"/>
        <v>500</v>
      </c>
      <c r="M12" s="4"/>
    </row>
    <row r="13" spans="1:14" ht="14.4" thickBot="1" x14ac:dyDescent="0.35">
      <c r="A13" s="5"/>
      <c r="B13" s="25">
        <v>43012</v>
      </c>
      <c r="C13" s="26" t="str">
        <f t="shared" si="0"/>
        <v>Wednesday</v>
      </c>
      <c r="D13" s="27" t="s">
        <v>5</v>
      </c>
      <c r="E13" s="27">
        <v>10</v>
      </c>
      <c r="F13" s="28" t="s">
        <v>10</v>
      </c>
      <c r="G13" s="29">
        <v>8</v>
      </c>
      <c r="H13" s="29">
        <v>10</v>
      </c>
      <c r="I13" s="29">
        <f t="shared" si="1"/>
        <v>80</v>
      </c>
      <c r="J13" s="31">
        <f t="shared" si="2"/>
        <v>8</v>
      </c>
      <c r="K13" s="29">
        <f t="shared" si="3"/>
        <v>800</v>
      </c>
      <c r="L13" s="29">
        <f t="shared" si="4"/>
        <v>100</v>
      </c>
      <c r="M13" s="4"/>
    </row>
    <row r="14" spans="1:14" ht="14.4" thickBot="1" x14ac:dyDescent="0.35">
      <c r="A14" s="5"/>
      <c r="B14" s="25">
        <v>43012</v>
      </c>
      <c r="C14" s="26" t="str">
        <f t="shared" si="0"/>
        <v>Wednesday</v>
      </c>
      <c r="D14" s="27" t="s">
        <v>4</v>
      </c>
      <c r="E14" s="27">
        <v>20</v>
      </c>
      <c r="F14" s="28" t="s">
        <v>11</v>
      </c>
      <c r="G14" s="29">
        <v>20</v>
      </c>
      <c r="H14" s="29">
        <v>30</v>
      </c>
      <c r="I14" s="29">
        <f t="shared" si="1"/>
        <v>600</v>
      </c>
      <c r="J14" s="31">
        <f t="shared" si="2"/>
        <v>20</v>
      </c>
      <c r="K14" s="29">
        <f t="shared" si="3"/>
        <v>12000</v>
      </c>
      <c r="L14" s="29">
        <f t="shared" si="4"/>
        <v>600</v>
      </c>
      <c r="M14" s="4"/>
    </row>
    <row r="15" spans="1:14" ht="14.4" thickBot="1" x14ac:dyDescent="0.35">
      <c r="A15" s="5"/>
      <c r="B15" s="25">
        <v>43013</v>
      </c>
      <c r="C15" s="26" t="str">
        <f t="shared" si="0"/>
        <v>Thursday</v>
      </c>
      <c r="D15" s="27" t="s">
        <v>3</v>
      </c>
      <c r="E15" s="27">
        <v>40</v>
      </c>
      <c r="F15" s="28" t="s">
        <v>10</v>
      </c>
      <c r="G15" s="29">
        <v>12</v>
      </c>
      <c r="H15" s="29">
        <v>20</v>
      </c>
      <c r="I15" s="29">
        <f t="shared" si="1"/>
        <v>240</v>
      </c>
      <c r="J15" s="31">
        <f t="shared" si="2"/>
        <v>12</v>
      </c>
      <c r="K15" s="29">
        <f t="shared" si="3"/>
        <v>9600</v>
      </c>
      <c r="L15" s="29">
        <f t="shared" si="4"/>
        <v>800</v>
      </c>
      <c r="M15" s="4"/>
      <c r="N15" s="7"/>
    </row>
    <row r="16" spans="1:14" ht="14.4" thickBot="1" x14ac:dyDescent="0.35">
      <c r="A16" s="5"/>
      <c r="B16" s="25">
        <v>43013</v>
      </c>
      <c r="C16" s="26" t="str">
        <f t="shared" si="0"/>
        <v>Thursday</v>
      </c>
      <c r="D16" s="27" t="s">
        <v>4</v>
      </c>
      <c r="E16" s="27">
        <v>50</v>
      </c>
      <c r="F16" s="28" t="s">
        <v>11</v>
      </c>
      <c r="G16" s="29">
        <v>20</v>
      </c>
      <c r="H16" s="29">
        <v>30</v>
      </c>
      <c r="I16" s="29">
        <f t="shared" si="1"/>
        <v>600</v>
      </c>
      <c r="J16" s="31">
        <f t="shared" si="2"/>
        <v>20</v>
      </c>
      <c r="K16" s="29">
        <f t="shared" si="3"/>
        <v>30000</v>
      </c>
      <c r="L16" s="29">
        <f t="shared" si="4"/>
        <v>1500</v>
      </c>
      <c r="M16" s="4"/>
    </row>
    <row r="17" spans="1:13" ht="14.4" thickBot="1" x14ac:dyDescent="0.35">
      <c r="A17" s="5"/>
      <c r="B17" s="25">
        <v>43014</v>
      </c>
      <c r="C17" s="26" t="str">
        <f t="shared" si="0"/>
        <v>Friday</v>
      </c>
      <c r="D17" s="27" t="s">
        <v>5</v>
      </c>
      <c r="E17" s="27">
        <v>100</v>
      </c>
      <c r="F17" s="28" t="s">
        <v>11</v>
      </c>
      <c r="G17" s="29">
        <v>8</v>
      </c>
      <c r="H17" s="29">
        <v>10</v>
      </c>
      <c r="I17" s="29">
        <f t="shared" si="1"/>
        <v>80</v>
      </c>
      <c r="J17" s="31">
        <f t="shared" si="2"/>
        <v>8</v>
      </c>
      <c r="K17" s="29">
        <f t="shared" si="3"/>
        <v>8000</v>
      </c>
      <c r="L17" s="29">
        <f t="shared" si="4"/>
        <v>1000</v>
      </c>
      <c r="M17" s="4"/>
    </row>
    <row r="18" spans="1:13" ht="14.4" thickBot="1" x14ac:dyDescent="0.35">
      <c r="A18" s="5"/>
      <c r="B18" s="25">
        <v>43015</v>
      </c>
      <c r="C18" s="26" t="str">
        <f t="shared" si="0"/>
        <v>Saturday</v>
      </c>
      <c r="D18" s="27" t="s">
        <v>4</v>
      </c>
      <c r="E18" s="27">
        <v>25</v>
      </c>
      <c r="F18" s="28" t="s">
        <v>16</v>
      </c>
      <c r="G18" s="29">
        <v>20</v>
      </c>
      <c r="H18" s="29">
        <v>30</v>
      </c>
      <c r="I18" s="29">
        <f t="shared" si="1"/>
        <v>600</v>
      </c>
      <c r="J18" s="31">
        <f t="shared" si="2"/>
        <v>20</v>
      </c>
      <c r="K18" s="29">
        <f t="shared" si="3"/>
        <v>15000</v>
      </c>
      <c r="L18" s="29">
        <f t="shared" si="4"/>
        <v>750</v>
      </c>
      <c r="M18" s="4"/>
    </row>
    <row r="19" spans="1:13" ht="14.4" thickBot="1" x14ac:dyDescent="0.35">
      <c r="A19" s="5"/>
      <c r="B19" s="25">
        <v>43016</v>
      </c>
      <c r="C19" s="26" t="str">
        <f t="shared" si="0"/>
        <v>Sunday</v>
      </c>
      <c r="D19" s="27" t="s">
        <v>1</v>
      </c>
      <c r="E19" s="27">
        <v>40</v>
      </c>
      <c r="F19" s="28" t="s">
        <v>16</v>
      </c>
      <c r="G19" s="29">
        <v>10</v>
      </c>
      <c r="H19" s="29">
        <v>15</v>
      </c>
      <c r="I19" s="29">
        <f t="shared" si="1"/>
        <v>150</v>
      </c>
      <c r="J19" s="31">
        <f t="shared" si="2"/>
        <v>10</v>
      </c>
      <c r="K19" s="29">
        <f t="shared" si="3"/>
        <v>6000</v>
      </c>
      <c r="L19" s="29">
        <f t="shared" si="4"/>
        <v>600</v>
      </c>
      <c r="M19" s="4"/>
    </row>
    <row r="20" spans="1:13" ht="14.4" thickBot="1" x14ac:dyDescent="0.35">
      <c r="A20" s="5"/>
      <c r="B20" s="25">
        <v>43018</v>
      </c>
      <c r="C20" s="26" t="str">
        <f t="shared" si="0"/>
        <v>Tuesday</v>
      </c>
      <c r="D20" s="27" t="s">
        <v>2</v>
      </c>
      <c r="E20" s="27">
        <v>20</v>
      </c>
      <c r="F20" s="28" t="s">
        <v>9</v>
      </c>
      <c r="G20" s="29">
        <v>5</v>
      </c>
      <c r="H20" s="29">
        <v>10</v>
      </c>
      <c r="I20" s="29">
        <f t="shared" si="1"/>
        <v>50</v>
      </c>
      <c r="J20" s="31">
        <f t="shared" si="2"/>
        <v>5</v>
      </c>
      <c r="K20" s="29">
        <f t="shared" si="3"/>
        <v>1000</v>
      </c>
      <c r="L20" s="29">
        <f t="shared" si="4"/>
        <v>200</v>
      </c>
      <c r="M20" s="4"/>
    </row>
    <row r="21" spans="1:13" ht="14.4" thickBot="1" x14ac:dyDescent="0.35">
      <c r="A21" s="5"/>
      <c r="B21" s="25">
        <v>43018</v>
      </c>
      <c r="C21" s="26" t="str">
        <f t="shared" si="0"/>
        <v>Tuesday</v>
      </c>
      <c r="D21" s="27" t="s">
        <v>3</v>
      </c>
      <c r="E21" s="27">
        <v>100</v>
      </c>
      <c r="F21" s="28" t="s">
        <v>12</v>
      </c>
      <c r="G21" s="29">
        <v>12</v>
      </c>
      <c r="H21" s="29">
        <v>20</v>
      </c>
      <c r="I21" s="29">
        <f t="shared" si="1"/>
        <v>240</v>
      </c>
      <c r="J21" s="31">
        <f t="shared" si="2"/>
        <v>12</v>
      </c>
      <c r="K21" s="29">
        <f t="shared" si="3"/>
        <v>24000</v>
      </c>
      <c r="L21" s="29">
        <f t="shared" si="4"/>
        <v>2000</v>
      </c>
      <c r="M21" s="4"/>
    </row>
    <row r="22" spans="1:13" ht="14.4" thickBot="1" x14ac:dyDescent="0.35">
      <c r="A22" s="5"/>
      <c r="B22" s="25">
        <v>43019</v>
      </c>
      <c r="C22" s="26" t="str">
        <f t="shared" si="0"/>
        <v>Wednesday</v>
      </c>
      <c r="D22" s="27" t="s">
        <v>3</v>
      </c>
      <c r="E22" s="27">
        <v>25</v>
      </c>
      <c r="F22" s="28" t="s">
        <v>9</v>
      </c>
      <c r="G22" s="29">
        <v>12</v>
      </c>
      <c r="H22" s="29">
        <v>20</v>
      </c>
      <c r="I22" s="29">
        <f t="shared" si="1"/>
        <v>240</v>
      </c>
      <c r="J22" s="31">
        <f t="shared" si="2"/>
        <v>12</v>
      </c>
      <c r="K22" s="29">
        <f t="shared" si="3"/>
        <v>6000</v>
      </c>
      <c r="L22" s="29">
        <f t="shared" si="4"/>
        <v>500</v>
      </c>
      <c r="M22" s="4"/>
    </row>
    <row r="23" spans="1:13" ht="14.4" thickBot="1" x14ac:dyDescent="0.35">
      <c r="A23" s="5"/>
      <c r="B23" s="25">
        <v>43021</v>
      </c>
      <c r="C23" s="26" t="str">
        <f t="shared" si="0"/>
        <v>Friday</v>
      </c>
      <c r="D23" s="27" t="s">
        <v>2</v>
      </c>
      <c r="E23" s="27">
        <v>40</v>
      </c>
      <c r="F23" s="28" t="s">
        <v>16</v>
      </c>
      <c r="G23" s="29">
        <v>5</v>
      </c>
      <c r="H23" s="29">
        <v>10</v>
      </c>
      <c r="I23" s="29">
        <f t="shared" si="1"/>
        <v>50</v>
      </c>
      <c r="J23" s="31">
        <f t="shared" si="2"/>
        <v>5</v>
      </c>
      <c r="K23" s="29">
        <f t="shared" si="3"/>
        <v>2000</v>
      </c>
      <c r="L23" s="29">
        <f t="shared" si="4"/>
        <v>400</v>
      </c>
      <c r="M23" s="4"/>
    </row>
    <row r="24" spans="1:13" ht="14.4" thickBot="1" x14ac:dyDescent="0.35">
      <c r="A24" s="5"/>
      <c r="B24" s="25">
        <v>43022</v>
      </c>
      <c r="C24" s="26" t="str">
        <f t="shared" si="0"/>
        <v>Saturday</v>
      </c>
      <c r="D24" s="27" t="s">
        <v>4</v>
      </c>
      <c r="E24" s="27">
        <v>25</v>
      </c>
      <c r="F24" s="28" t="s">
        <v>9</v>
      </c>
      <c r="G24" s="29">
        <v>20</v>
      </c>
      <c r="H24" s="29">
        <v>30</v>
      </c>
      <c r="I24" s="29">
        <f t="shared" si="1"/>
        <v>600</v>
      </c>
      <c r="J24" s="31">
        <f t="shared" si="2"/>
        <v>20</v>
      </c>
      <c r="K24" s="29">
        <f t="shared" si="3"/>
        <v>15000</v>
      </c>
      <c r="L24" s="29">
        <f t="shared" si="4"/>
        <v>750</v>
      </c>
      <c r="M24" s="4"/>
    </row>
    <row r="25" spans="1:13" ht="14.4" thickBot="1" x14ac:dyDescent="0.35">
      <c r="A25" s="5"/>
      <c r="B25" s="25">
        <v>43024</v>
      </c>
      <c r="C25" s="26" t="str">
        <f t="shared" si="0"/>
        <v>Monday</v>
      </c>
      <c r="D25" s="27" t="s">
        <v>2</v>
      </c>
      <c r="E25" s="27">
        <v>50</v>
      </c>
      <c r="F25" s="28" t="s">
        <v>11</v>
      </c>
      <c r="G25" s="29">
        <v>5</v>
      </c>
      <c r="H25" s="29">
        <v>10</v>
      </c>
      <c r="I25" s="29">
        <f t="shared" si="1"/>
        <v>50</v>
      </c>
      <c r="J25" s="31">
        <f t="shared" si="2"/>
        <v>5</v>
      </c>
      <c r="K25" s="29">
        <f t="shared" si="3"/>
        <v>2500</v>
      </c>
      <c r="L25" s="29">
        <f t="shared" si="4"/>
        <v>500</v>
      </c>
      <c r="M25" s="4"/>
    </row>
    <row r="26" spans="1:13" ht="14.4" thickBot="1" x14ac:dyDescent="0.35">
      <c r="A26" s="5"/>
      <c r="B26" s="25">
        <v>43024</v>
      </c>
      <c r="C26" s="26" t="str">
        <f t="shared" si="0"/>
        <v>Monday</v>
      </c>
      <c r="D26" s="27" t="s">
        <v>3</v>
      </c>
      <c r="E26" s="27">
        <v>30</v>
      </c>
      <c r="F26" s="28" t="s">
        <v>9</v>
      </c>
      <c r="G26" s="29">
        <v>12</v>
      </c>
      <c r="H26" s="29">
        <v>20</v>
      </c>
      <c r="I26" s="29">
        <f t="shared" si="1"/>
        <v>240</v>
      </c>
      <c r="J26" s="31">
        <f t="shared" si="2"/>
        <v>12</v>
      </c>
      <c r="K26" s="29">
        <f t="shared" si="3"/>
        <v>7200</v>
      </c>
      <c r="L26" s="29">
        <f t="shared" si="4"/>
        <v>600</v>
      </c>
      <c r="M26" s="4"/>
    </row>
    <row r="27" spans="1:13" ht="14.4" thickBot="1" x14ac:dyDescent="0.35">
      <c r="A27" s="5"/>
      <c r="B27" s="25">
        <v>43025</v>
      </c>
      <c r="C27" s="26" t="str">
        <f t="shared" si="0"/>
        <v>Tuesday</v>
      </c>
      <c r="D27" s="27" t="s">
        <v>4</v>
      </c>
      <c r="E27" s="27">
        <v>25</v>
      </c>
      <c r="F27" s="28" t="s">
        <v>12</v>
      </c>
      <c r="G27" s="29">
        <v>20</v>
      </c>
      <c r="H27" s="29">
        <v>30</v>
      </c>
      <c r="I27" s="29">
        <f t="shared" si="1"/>
        <v>600</v>
      </c>
      <c r="J27" s="31">
        <f t="shared" si="2"/>
        <v>20</v>
      </c>
      <c r="K27" s="29">
        <f t="shared" si="3"/>
        <v>15000</v>
      </c>
      <c r="L27" s="29">
        <f t="shared" si="4"/>
        <v>750</v>
      </c>
      <c r="M27" s="4"/>
    </row>
    <row r="28" spans="1:13" ht="14.4" thickBot="1" x14ac:dyDescent="0.35">
      <c r="A28" s="5"/>
      <c r="B28" s="25">
        <v>43029</v>
      </c>
      <c r="C28" s="26" t="str">
        <f t="shared" si="0"/>
        <v>Saturday</v>
      </c>
      <c r="D28" s="27" t="s">
        <v>2</v>
      </c>
      <c r="E28" s="27">
        <v>60</v>
      </c>
      <c r="F28" s="28" t="s">
        <v>10</v>
      </c>
      <c r="G28" s="29">
        <v>5</v>
      </c>
      <c r="H28" s="29">
        <v>10</v>
      </c>
      <c r="I28" s="29">
        <f t="shared" si="1"/>
        <v>50</v>
      </c>
      <c r="J28" s="31">
        <f t="shared" si="2"/>
        <v>5</v>
      </c>
      <c r="K28" s="29">
        <f t="shared" si="3"/>
        <v>3000</v>
      </c>
      <c r="L28" s="29">
        <f t="shared" si="4"/>
        <v>600</v>
      </c>
      <c r="M28" s="4"/>
    </row>
    <row r="29" spans="1:13" ht="14.4" thickBot="1" x14ac:dyDescent="0.35">
      <c r="A29" s="5"/>
      <c r="B29" s="25">
        <v>43030</v>
      </c>
      <c r="C29" s="26" t="str">
        <f t="shared" si="0"/>
        <v>Sunday</v>
      </c>
      <c r="D29" s="27" t="s">
        <v>5</v>
      </c>
      <c r="E29" s="27">
        <v>100</v>
      </c>
      <c r="F29" s="28" t="s">
        <v>11</v>
      </c>
      <c r="G29" s="29">
        <v>8</v>
      </c>
      <c r="H29" s="29">
        <v>10</v>
      </c>
      <c r="I29" s="29">
        <f t="shared" si="1"/>
        <v>80</v>
      </c>
      <c r="J29" s="31">
        <f t="shared" si="2"/>
        <v>8</v>
      </c>
      <c r="K29" s="29">
        <f t="shared" si="3"/>
        <v>8000</v>
      </c>
      <c r="L29" s="29">
        <f t="shared" si="4"/>
        <v>1000</v>
      </c>
      <c r="M29" s="4"/>
    </row>
    <row r="30" spans="1:13" ht="14.4" thickBot="1" x14ac:dyDescent="0.35">
      <c r="A30" s="5"/>
      <c r="B30" s="25">
        <v>43032</v>
      </c>
      <c r="C30" s="26" t="str">
        <f t="shared" si="0"/>
        <v>Tuesday</v>
      </c>
      <c r="D30" s="27" t="s">
        <v>4</v>
      </c>
      <c r="E30" s="27">
        <v>20</v>
      </c>
      <c r="F30" s="28" t="s">
        <v>9</v>
      </c>
      <c r="G30" s="29">
        <v>20</v>
      </c>
      <c r="H30" s="29">
        <v>30</v>
      </c>
      <c r="I30" s="29">
        <f t="shared" si="1"/>
        <v>600</v>
      </c>
      <c r="J30" s="31">
        <f t="shared" si="2"/>
        <v>20</v>
      </c>
      <c r="K30" s="29">
        <f t="shared" si="3"/>
        <v>12000</v>
      </c>
      <c r="L30" s="29">
        <f t="shared" si="4"/>
        <v>600</v>
      </c>
      <c r="M30" s="4"/>
    </row>
    <row r="31" spans="1:13" ht="14.4" thickBot="1" x14ac:dyDescent="0.35">
      <c r="A31" s="5"/>
      <c r="B31" s="25">
        <v>43032</v>
      </c>
      <c r="C31" s="26" t="str">
        <f t="shared" si="0"/>
        <v>Tuesday</v>
      </c>
      <c r="D31" s="27" t="s">
        <v>3</v>
      </c>
      <c r="E31" s="27">
        <v>40</v>
      </c>
      <c r="F31" s="28" t="s">
        <v>11</v>
      </c>
      <c r="G31" s="29">
        <v>12</v>
      </c>
      <c r="H31" s="29">
        <v>20</v>
      </c>
      <c r="I31" s="29">
        <f t="shared" si="1"/>
        <v>240</v>
      </c>
      <c r="J31" s="31">
        <f t="shared" si="2"/>
        <v>12</v>
      </c>
      <c r="K31" s="29">
        <f t="shared" si="3"/>
        <v>9600</v>
      </c>
      <c r="L31" s="29">
        <f t="shared" si="4"/>
        <v>800</v>
      </c>
      <c r="M31" s="4"/>
    </row>
    <row r="32" spans="1:13" ht="14.4" thickBot="1" x14ac:dyDescent="0.35">
      <c r="A32" s="5"/>
      <c r="B32" s="25">
        <v>43035</v>
      </c>
      <c r="C32" s="26" t="str">
        <f t="shared" si="0"/>
        <v>Friday</v>
      </c>
      <c r="D32" s="27" t="s">
        <v>2</v>
      </c>
      <c r="E32" s="27">
        <v>50</v>
      </c>
      <c r="F32" s="28" t="s">
        <v>12</v>
      </c>
      <c r="G32" s="29">
        <v>5</v>
      </c>
      <c r="H32" s="29">
        <v>10</v>
      </c>
      <c r="I32" s="29">
        <f t="shared" si="1"/>
        <v>50</v>
      </c>
      <c r="J32" s="31">
        <f t="shared" si="2"/>
        <v>5</v>
      </c>
      <c r="K32" s="29">
        <f t="shared" si="3"/>
        <v>2500</v>
      </c>
      <c r="L32" s="29">
        <f t="shared" si="4"/>
        <v>500</v>
      </c>
      <c r="M32" s="4"/>
    </row>
    <row r="33" spans="1:13" ht="14.4" thickBot="1" x14ac:dyDescent="0.35">
      <c r="A33" s="5"/>
      <c r="B33" s="25">
        <v>43036</v>
      </c>
      <c r="C33" s="26" t="str">
        <f t="shared" si="0"/>
        <v>Saturday</v>
      </c>
      <c r="D33" s="27" t="s">
        <v>2</v>
      </c>
      <c r="E33" s="27">
        <v>50</v>
      </c>
      <c r="F33" s="28" t="s">
        <v>16</v>
      </c>
      <c r="G33" s="29">
        <v>5</v>
      </c>
      <c r="H33" s="29">
        <v>10</v>
      </c>
      <c r="I33" s="29">
        <f t="shared" si="1"/>
        <v>50</v>
      </c>
      <c r="J33" s="31">
        <f t="shared" si="2"/>
        <v>5</v>
      </c>
      <c r="K33" s="29">
        <f t="shared" si="3"/>
        <v>2500</v>
      </c>
      <c r="L33" s="29">
        <f t="shared" si="4"/>
        <v>500</v>
      </c>
      <c r="M33" s="4"/>
    </row>
    <row r="34" spans="1:13" ht="14.4" thickBot="1" x14ac:dyDescent="0.35">
      <c r="A34" s="5"/>
      <c r="B34" s="25">
        <v>43038</v>
      </c>
      <c r="C34" s="26" t="str">
        <f t="shared" si="0"/>
        <v>Monday</v>
      </c>
      <c r="D34" s="27" t="s">
        <v>1</v>
      </c>
      <c r="E34" s="27">
        <v>50</v>
      </c>
      <c r="F34" s="28" t="s">
        <v>12</v>
      </c>
      <c r="G34" s="29">
        <v>10</v>
      </c>
      <c r="H34" s="29">
        <v>15</v>
      </c>
      <c r="I34" s="29">
        <f t="shared" si="1"/>
        <v>150</v>
      </c>
      <c r="J34" s="31">
        <f t="shared" si="2"/>
        <v>10</v>
      </c>
      <c r="K34" s="29">
        <f t="shared" si="3"/>
        <v>7500</v>
      </c>
      <c r="L34" s="29">
        <f t="shared" si="4"/>
        <v>750</v>
      </c>
      <c r="M34" s="4"/>
    </row>
    <row r="35" spans="1:13" ht="14.4" thickBot="1" x14ac:dyDescent="0.35">
      <c r="A35" s="5"/>
      <c r="B35" s="25">
        <v>43038</v>
      </c>
      <c r="C35" s="26" t="str">
        <f t="shared" si="0"/>
        <v>Monday</v>
      </c>
      <c r="D35" s="27" t="s">
        <v>4</v>
      </c>
      <c r="E35" s="27">
        <v>20</v>
      </c>
      <c r="F35" s="28" t="s">
        <v>10</v>
      </c>
      <c r="G35" s="29">
        <v>20</v>
      </c>
      <c r="H35" s="29">
        <v>30</v>
      </c>
      <c r="I35" s="29">
        <f t="shared" si="1"/>
        <v>600</v>
      </c>
      <c r="J35" s="31">
        <f t="shared" si="2"/>
        <v>20</v>
      </c>
      <c r="K35" s="29">
        <f t="shared" si="3"/>
        <v>12000</v>
      </c>
      <c r="L35" s="29">
        <f t="shared" si="4"/>
        <v>600</v>
      </c>
      <c r="M35" s="4"/>
    </row>
    <row r="36" spans="1:13" x14ac:dyDescent="0.3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Database!#REF!</xm:f>
          </x14:formula1>
          <xm:sqref>C7:C34 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89"/>
  <sheetViews>
    <sheetView tabSelected="1" topLeftCell="B33" workbookViewId="0">
      <selection activeCell="K49" sqref="K49"/>
    </sheetView>
  </sheetViews>
  <sheetFormatPr defaultColWidth="9.109375" defaultRowHeight="14.4" x14ac:dyDescent="0.3"/>
  <cols>
    <col min="1" max="1" width="3.109375" style="2" customWidth="1"/>
    <col min="2" max="8" width="15.6640625" style="2" customWidth="1"/>
    <col min="9" max="9" width="3.109375" style="2" customWidth="1"/>
    <col min="10" max="10" width="11.6640625" style="43" customWidth="1"/>
    <col min="11" max="14" width="15.6640625" style="2" customWidth="1"/>
    <col min="15" max="16384" width="9.109375" style="2"/>
  </cols>
  <sheetData>
    <row r="1" spans="1:12" ht="1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2" ht="50.25" customHeight="1" thickBot="1" x14ac:dyDescent="0.35">
      <c r="A2" s="1"/>
      <c r="B2" s="37"/>
      <c r="C2" s="37"/>
      <c r="D2" s="37"/>
      <c r="E2" s="37"/>
      <c r="F2" s="37"/>
      <c r="G2" s="37"/>
      <c r="H2" s="39"/>
      <c r="I2" s="1"/>
    </row>
    <row r="3" spans="1:12" ht="32.25" customHeight="1" thickBot="1" x14ac:dyDescent="0.35">
      <c r="A3" s="1"/>
      <c r="B3" s="38" t="s">
        <v>24</v>
      </c>
      <c r="C3" s="38"/>
      <c r="D3" s="38"/>
      <c r="E3" s="38"/>
      <c r="F3" s="38"/>
      <c r="G3" s="38"/>
      <c r="H3" s="39"/>
      <c r="I3" s="1"/>
      <c r="L3" s="30" t="s">
        <v>29</v>
      </c>
    </row>
    <row r="4" spans="1:12" ht="32.25" customHeight="1" thickBot="1" x14ac:dyDescent="0.35">
      <c r="A4" s="1"/>
      <c r="B4" s="40" t="s">
        <v>23</v>
      </c>
      <c r="C4" s="41"/>
      <c r="D4" s="41"/>
      <c r="E4" s="41"/>
      <c r="F4" s="41"/>
      <c r="G4" s="41"/>
      <c r="H4" s="42"/>
      <c r="I4" s="1"/>
    </row>
    <row r="5" spans="1:12" ht="25.2" thickBot="1" x14ac:dyDescent="0.35">
      <c r="A5" s="1"/>
      <c r="B5" s="33" t="s">
        <v>25</v>
      </c>
      <c r="C5" s="34"/>
      <c r="D5" s="34"/>
      <c r="E5" s="34"/>
      <c r="F5" s="34"/>
      <c r="G5" s="34"/>
      <c r="H5" s="35"/>
      <c r="I5" s="1"/>
    </row>
    <row r="6" spans="1:12" ht="19.2" thickBot="1" x14ac:dyDescent="0.35">
      <c r="A6" s="1"/>
      <c r="B6" s="23" t="s">
        <v>0</v>
      </c>
      <c r="C6" s="23" t="s">
        <v>9</v>
      </c>
      <c r="D6" s="23" t="s">
        <v>10</v>
      </c>
      <c r="E6" s="23" t="s">
        <v>16</v>
      </c>
      <c r="F6" s="23" t="s">
        <v>11</v>
      </c>
      <c r="G6" s="23" t="s">
        <v>12</v>
      </c>
      <c r="H6" s="24" t="s">
        <v>14</v>
      </c>
      <c r="I6" s="1"/>
    </row>
    <row r="7" spans="1:12" ht="15" thickBot="1" x14ac:dyDescent="0.35">
      <c r="A7" s="1"/>
      <c r="B7" s="8" t="str">
        <f>B15</f>
        <v>A</v>
      </c>
      <c r="C7" s="8">
        <f>SUMIFS('Sales report'!$E$8:E$35,'Sales report'!$D$8:$D$35,B7,'Sales report'!$F$8:$F$35,C6)</f>
        <v>10</v>
      </c>
      <c r="D7" s="8">
        <f>SUMIFS('Sales report'!$E$8:$E$35,'Sales report'!$D$8:$D$35,B7,'Sales report'!$F$8:$F$35,D6)</f>
        <v>25</v>
      </c>
      <c r="E7" s="8">
        <f>SUMIFS('Sales report'!$E$8:$E$35,'Sales report'!$D$8:$D$35,B7,'Sales report'!$F$8:$F$35,E6)</f>
        <v>40</v>
      </c>
      <c r="F7" s="8">
        <f>SUMIFS('Sales report'!$E$8:$E$35,'Sales report'!$D$8:$D$35,B7,'Sales report'!$F$8:$F$35,F6)</f>
        <v>0</v>
      </c>
      <c r="G7" s="8">
        <f>SUMIFS('Sales report'!$E$8:$E$35,'Sales report'!$D$8:$D$35,B7,'Sales report'!$F$8:$F$35,G6)</f>
        <v>50</v>
      </c>
      <c r="H7" s="9">
        <f>C7+D7+E7+F7+G7</f>
        <v>125</v>
      </c>
      <c r="I7" s="1"/>
    </row>
    <row r="8" spans="1:12" ht="15" thickBot="1" x14ac:dyDescent="0.35">
      <c r="A8" s="1"/>
      <c r="B8" s="8" t="str">
        <f t="shared" ref="B8:B11" si="0">B16</f>
        <v>B</v>
      </c>
      <c r="C8" s="8">
        <f>SUMIFS('Sales report'!$E$8:$E$35,'Sales report'!$D$8:$D$35,B8,'Sales report'!$F$8:$F$35,C6)</f>
        <v>20</v>
      </c>
      <c r="D8" s="8">
        <f>SUMIFS('Sales report'!$E$8:$E$35,'Sales report'!$D$8:$D$35,B8,'Sales report'!$F$8:$F$35,D6)</f>
        <v>60</v>
      </c>
      <c r="E8" s="8">
        <f>SUMIFS('Sales report'!$E$8:$E$35,'Sales report'!$D$8:$D$35,B8,'Sales report'!$F$8:$F$35,E6)</f>
        <v>115</v>
      </c>
      <c r="F8" s="8">
        <f>SUMIFS('Sales report'!$E$8:$E$35,'Sales report'!$D$8:$D$35,B8,'Sales report'!$F$8:$F$35,F6)</f>
        <v>50</v>
      </c>
      <c r="G8" s="8">
        <f>SUMIFS('Sales report'!$E$8:$E$35,'Sales report'!$D$8:$D$35,B8,'Sales report'!$F$8:$F$35,G6)</f>
        <v>50</v>
      </c>
      <c r="H8" s="9">
        <f t="shared" ref="H8:H12" si="1">C8+D8+E8+F8+G8</f>
        <v>295</v>
      </c>
      <c r="I8" s="1"/>
    </row>
    <row r="9" spans="1:12" ht="15" thickBot="1" x14ac:dyDescent="0.35">
      <c r="A9" s="1"/>
      <c r="B9" s="8" t="str">
        <f t="shared" si="0"/>
        <v>C</v>
      </c>
      <c r="C9" s="8">
        <f>SUMIFS('Sales report'!$E$8:$E$35,'Sales report'!$D$8:$D$35,B9,'Sales report'!$F$8:$F$35,C6)</f>
        <v>80</v>
      </c>
      <c r="D9" s="8">
        <f>SUMIFS('Sales report'!$E$8:$E$35,'Sales report'!$D$8:$D$35,B9,'Sales report'!$F$8:$F$35,D6)</f>
        <v>40</v>
      </c>
      <c r="E9" s="8">
        <f>SUMIFS('Sales report'!$E$8:$E$35,'Sales report'!$D$8:$D$35,B9,'Sales report'!$F$8:$F$35,E6)</f>
        <v>0</v>
      </c>
      <c r="F9" s="8">
        <f>SUMIFS('Sales report'!$E$8:$E$35,'Sales report'!$D$8:$D$35,B9,'Sales report'!$F$8:$F$35,F6)</f>
        <v>40</v>
      </c>
      <c r="G9" s="8">
        <f>SUMIFS('Sales report'!$E$8:$E$35,'Sales report'!$D$8:$D$35,B9,'Sales report'!$F$8:$F$35,G6)</f>
        <v>100</v>
      </c>
      <c r="H9" s="9">
        <f t="shared" si="1"/>
        <v>260</v>
      </c>
      <c r="I9" s="1"/>
    </row>
    <row r="10" spans="1:12" ht="15" thickBot="1" x14ac:dyDescent="0.35">
      <c r="A10" s="1"/>
      <c r="B10" s="8" t="str">
        <f>B18</f>
        <v>D</v>
      </c>
      <c r="C10" s="8">
        <f>SUMIFS('Sales report'!$E$8:$E$35,'Sales report'!$D$8:$D$35,B10,'Sales report'!$F$8:$F$35,C6)</f>
        <v>45</v>
      </c>
      <c r="D10" s="8">
        <f>SUMIFS('Sales report'!$E$8:$E$35,'Sales report'!$D$8:$D$35,B10,'Sales report'!$F$8:$F$35,D6)</f>
        <v>20</v>
      </c>
      <c r="E10" s="8">
        <f>SUMIFS('Sales report'!$E$8:$E$35,'Sales report'!$D$8:$D$35,B10,'Sales report'!$F$8:$F$35,E6)</f>
        <v>25</v>
      </c>
      <c r="F10" s="8">
        <f>SUMIFS('Sales report'!$E$8:$E$35,'Sales report'!$D$8:$D$35,B10,'Sales report'!$F$8:$F$35,F6)</f>
        <v>70</v>
      </c>
      <c r="G10" s="8">
        <f>SUMIFS('Sales report'!$E$8:$E$35,'Sales report'!$D$8:$D$35,B10,'Sales report'!$F$8:$F$35,G6)</f>
        <v>25</v>
      </c>
      <c r="H10" s="9">
        <f t="shared" si="1"/>
        <v>185</v>
      </c>
      <c r="I10" s="1"/>
    </row>
    <row r="11" spans="1:12" ht="15" thickBot="1" x14ac:dyDescent="0.35">
      <c r="A11" s="1"/>
      <c r="B11" s="8" t="str">
        <f t="shared" si="0"/>
        <v>E</v>
      </c>
      <c r="C11" s="8">
        <f>SUMIFS('Sales report'!$E$8:$E$35,'Sales report'!$D$8:$D$35,B11,'Sales report'!$F$8:$F$35,C6)</f>
        <v>0</v>
      </c>
      <c r="D11" s="8">
        <f>SUMIFS('Sales report'!$E$8:$E$35,'Sales report'!$D$8:$D$35,B11,'Sales report'!$F$8:$F$35,D6)</f>
        <v>60</v>
      </c>
      <c r="E11" s="8">
        <f>SUMIFS('Sales report'!$E$8:$E$35,'Sales report'!$D$8:$D$35,B11,'Sales report'!$F$8:$F$35,E6)</f>
        <v>0</v>
      </c>
      <c r="F11" s="8">
        <f>SUMIFS('Sales report'!$E$8:$E$35,'Sales report'!$D$8:$D$35,B11,'Sales report'!$F$8:$F$35,F6)</f>
        <v>200</v>
      </c>
      <c r="G11" s="8">
        <f>SUMIFS('Sales report'!$E$8:$E$35,'Sales report'!$D$8:$D$35,B11,'Sales report'!$F$8:$F$35,G6)</f>
        <v>0</v>
      </c>
      <c r="H11" s="9">
        <f t="shared" si="1"/>
        <v>260</v>
      </c>
      <c r="I11" s="1"/>
    </row>
    <row r="12" spans="1:12" ht="18" thickBot="1" x14ac:dyDescent="0.35">
      <c r="A12" s="1"/>
      <c r="B12" s="22" t="s">
        <v>18</v>
      </c>
      <c r="C12" s="22">
        <f t="shared" ref="C12:G12" si="2">SUM(C7:C11)</f>
        <v>155</v>
      </c>
      <c r="D12" s="22">
        <f t="shared" si="2"/>
        <v>205</v>
      </c>
      <c r="E12" s="22">
        <f t="shared" si="2"/>
        <v>180</v>
      </c>
      <c r="F12" s="22">
        <f t="shared" si="2"/>
        <v>360</v>
      </c>
      <c r="G12" s="22">
        <f t="shared" si="2"/>
        <v>225</v>
      </c>
      <c r="H12" s="9">
        <f t="shared" si="1"/>
        <v>1125</v>
      </c>
      <c r="I12" s="1"/>
    </row>
    <row r="13" spans="1:12" ht="25.2" thickBot="1" x14ac:dyDescent="0.35">
      <c r="A13" s="1"/>
      <c r="B13" s="36" t="s">
        <v>26</v>
      </c>
      <c r="C13" s="36"/>
      <c r="D13" s="36"/>
      <c r="E13" s="36"/>
      <c r="F13" s="36"/>
      <c r="G13" s="36"/>
      <c r="H13" s="36"/>
      <c r="I13" s="1"/>
    </row>
    <row r="14" spans="1:12" ht="19.2" thickBot="1" x14ac:dyDescent="0.35">
      <c r="A14" s="1"/>
      <c r="B14" s="23" t="s">
        <v>0</v>
      </c>
      <c r="C14" s="23" t="s">
        <v>9</v>
      </c>
      <c r="D14" s="23" t="s">
        <v>10</v>
      </c>
      <c r="E14" s="23" t="s">
        <v>19</v>
      </c>
      <c r="F14" s="23" t="s">
        <v>11</v>
      </c>
      <c r="G14" s="23" t="s">
        <v>12</v>
      </c>
      <c r="H14" s="24" t="s">
        <v>6</v>
      </c>
      <c r="I14" s="1"/>
    </row>
    <row r="15" spans="1:12" ht="15" thickBot="1" x14ac:dyDescent="0.35">
      <c r="A15" s="1"/>
      <c r="B15" s="8" t="s">
        <v>1</v>
      </c>
      <c r="C15" s="8">
        <f>SUMIFS('Sales report'!$K$8:$K$35,'Sales report'!$D$8:$D$35,B15,'Sales report'!$F$8:$F$35,C14)</f>
        <v>1500</v>
      </c>
      <c r="D15" s="8">
        <f>SUMIFS('Sales report'!$K$8:$K$35,'Sales report'!$D$8:$D$35,B15,'Sales report'!$F$8:$F$35,D6)</f>
        <v>3750</v>
      </c>
      <c r="E15" s="8">
        <f>SUMIFS('Sales report'!$K$8:$K$35,'Sales report'!$D$8:$D$35,B15,'Sales report'!$F$8:$F$35,E6)</f>
        <v>6000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7500</v>
      </c>
      <c r="H15" s="9">
        <f>C15+D15+E15+F15+G15</f>
        <v>18750</v>
      </c>
      <c r="I15" s="1"/>
    </row>
    <row r="16" spans="1:12" ht="15" thickBot="1" x14ac:dyDescent="0.35">
      <c r="A16" s="1"/>
      <c r="B16" s="8" t="s">
        <v>2</v>
      </c>
      <c r="C16" s="8">
        <f>SUMIFS('Sales report'!$K$8:$K$35,'Sales report'!$D$8:$D$35,B16,'Sales report'!$F$8:$F$35,C14)</f>
        <v>1000</v>
      </c>
      <c r="D16" s="8">
        <f>SUMIFS('Sales report'!$K$8:$K$35,'Sales report'!$D$8:$D$35,B16,'Sales report'!$F$8:$F$35,D6)</f>
        <v>3000</v>
      </c>
      <c r="E16" s="8">
        <f>SUMIFS('Sales report'!$K$8:$K$35,'Sales report'!$D$8:$D$35,B16,'Sales report'!$F$8:$F$35,E6)</f>
        <v>5750</v>
      </c>
      <c r="F16" s="8">
        <f>SUMIFS('Sales report'!$K$8:$K$35,'Sales report'!$D$8:$D$35,B16,'Sales report'!$F$8:$F$35,F6)</f>
        <v>2500</v>
      </c>
      <c r="G16" s="8">
        <f>SUMIFS('Sales report'!$K$8:$K$35,'Sales report'!$D$8:$D$35,B16,'Sales report'!$F$8:$F$35,G6)</f>
        <v>2500</v>
      </c>
      <c r="H16" s="9">
        <f t="shared" ref="H16:H19" si="3">C16+D16+E16+F16+G16</f>
        <v>14750</v>
      </c>
      <c r="I16" s="1"/>
    </row>
    <row r="17" spans="1:17" ht="15" thickBot="1" x14ac:dyDescent="0.35">
      <c r="A17" s="1"/>
      <c r="B17" s="8" t="s">
        <v>3</v>
      </c>
      <c r="C17" s="8">
        <f>SUMIFS('Sales report'!$K$8:$K$35,'Sales report'!$D$8:$D$35,B17,'Sales report'!$F$8:$F$35,C14)</f>
        <v>19200</v>
      </c>
      <c r="D17" s="8">
        <f>SUMIFS('Sales report'!$K$8:$K$35,'Sales report'!$D$8:$D$35,B17,'Sales report'!$F$8:$F$35,D6)</f>
        <v>9600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9600</v>
      </c>
      <c r="G17" s="8">
        <f>SUMIFS('Sales report'!$K$8:$K$35,'Sales report'!$D$8:$D$35,B17,'Sales report'!$F$8:$F$35,G6)</f>
        <v>24000</v>
      </c>
      <c r="H17" s="9">
        <f t="shared" si="3"/>
        <v>62400</v>
      </c>
      <c r="I17" s="1"/>
    </row>
    <row r="18" spans="1:17" ht="15" thickBot="1" x14ac:dyDescent="0.35">
      <c r="A18" s="1"/>
      <c r="B18" s="8" t="s">
        <v>4</v>
      </c>
      <c r="C18" s="8">
        <f>SUMIFS('Sales report'!$K$8:$K$35,'Sales report'!$D$8:$D$35,B18,'Sales report'!$F$8:$F$35,C14)</f>
        <v>27000</v>
      </c>
      <c r="D18" s="8">
        <f>SUMIFS('Sales report'!$K$8:$K$35,'Sales report'!$D$8:$D$35,B18,'Sales report'!$F$8:$F$35,D6)</f>
        <v>12000</v>
      </c>
      <c r="E18" s="8">
        <f>SUMIFS('Sales report'!$K$8:$K$35,'Sales report'!$D$8:$D$35,B18,'Sales report'!$F$8:$F$35,E6)</f>
        <v>15000</v>
      </c>
      <c r="F18" s="8">
        <f>SUMIFS('Sales report'!$K$8:$K$35,'Sales report'!$D$8:$D$35,B18,'Sales report'!$F$8:$F$35,F6)</f>
        <v>42000</v>
      </c>
      <c r="G18" s="8">
        <f>SUMIFS('Sales report'!$K$8:$K$35,'Sales report'!$D$8:$D$35,B18,'Sales report'!$F$8:$F$35,G6)</f>
        <v>15000</v>
      </c>
      <c r="H18" s="9">
        <f t="shared" si="3"/>
        <v>111000</v>
      </c>
      <c r="I18" s="1"/>
    </row>
    <row r="19" spans="1:17" ht="15" thickBot="1" x14ac:dyDescent="0.35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4800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16000</v>
      </c>
      <c r="G19" s="8">
        <f>SUMIFS('Sales report'!$K$8:$K$35,'Sales report'!$D$8:$D$35,B19,'Sales report'!$F$8:$F$35,G6)</f>
        <v>0</v>
      </c>
      <c r="H19" s="9">
        <f t="shared" si="3"/>
        <v>20800</v>
      </c>
      <c r="I19" s="1"/>
    </row>
    <row r="20" spans="1:17" ht="15" thickBot="1" x14ac:dyDescent="0.35">
      <c r="A20" s="10"/>
      <c r="B20" s="11"/>
      <c r="C20" s="12"/>
      <c r="D20" s="12"/>
      <c r="E20" s="12"/>
      <c r="F20" s="12"/>
      <c r="G20" s="12"/>
      <c r="H20" s="13"/>
      <c r="I20" s="1"/>
    </row>
    <row r="21" spans="1:17" x14ac:dyDescent="0.3">
      <c r="A21" s="10"/>
      <c r="B21" s="14"/>
      <c r="C21" s="15"/>
      <c r="D21" s="15"/>
      <c r="E21" s="15"/>
      <c r="F21" s="15"/>
      <c r="G21" s="15"/>
      <c r="H21" s="16"/>
      <c r="I21" s="1"/>
    </row>
    <row r="22" spans="1:17" x14ac:dyDescent="0.3">
      <c r="A22" s="10"/>
      <c r="B22" s="17"/>
      <c r="C22" s="5"/>
      <c r="D22" s="5"/>
      <c r="E22" s="5"/>
      <c r="F22" s="5"/>
      <c r="G22" s="5"/>
      <c r="H22" s="18"/>
      <c r="I22" s="1"/>
    </row>
    <row r="23" spans="1:17" x14ac:dyDescent="0.3">
      <c r="A23" s="10"/>
      <c r="B23" s="17"/>
      <c r="C23" s="5"/>
      <c r="D23" s="5"/>
      <c r="E23" s="5"/>
      <c r="F23" s="5"/>
      <c r="G23" s="5"/>
      <c r="H23" s="18"/>
      <c r="I23" s="1"/>
    </row>
    <row r="24" spans="1:17" x14ac:dyDescent="0.3">
      <c r="A24" s="10"/>
      <c r="B24" s="17"/>
      <c r="C24" s="5"/>
      <c r="D24" s="5"/>
      <c r="E24" s="5"/>
      <c r="F24" s="5"/>
      <c r="G24" s="5"/>
      <c r="H24" s="18"/>
      <c r="I24" s="1"/>
    </row>
    <row r="25" spans="1:17" x14ac:dyDescent="0.3">
      <c r="A25" s="10"/>
      <c r="B25" s="17"/>
      <c r="C25" s="5"/>
      <c r="D25" s="5"/>
      <c r="E25" s="5"/>
      <c r="F25" s="5"/>
      <c r="G25" s="5"/>
      <c r="H25" s="18"/>
      <c r="I25" s="1"/>
      <c r="K25" s="43" t="s">
        <v>0</v>
      </c>
      <c r="L25" s="43" t="s">
        <v>9</v>
      </c>
      <c r="M25" s="43" t="s">
        <v>10</v>
      </c>
      <c r="N25" s="43" t="s">
        <v>16</v>
      </c>
      <c r="O25" s="43" t="s">
        <v>11</v>
      </c>
      <c r="P25" s="43" t="s">
        <v>12</v>
      </c>
      <c r="Q25" s="43"/>
    </row>
    <row r="26" spans="1:17" ht="18.600000000000001" customHeight="1" x14ac:dyDescent="0.3">
      <c r="A26" s="10"/>
      <c r="B26" s="17"/>
      <c r="C26" s="5"/>
      <c r="D26" s="5"/>
      <c r="E26" s="5"/>
      <c r="F26" s="5"/>
      <c r="G26" s="5"/>
      <c r="H26" s="18"/>
      <c r="I26" s="1"/>
      <c r="K26" s="47" t="s">
        <v>1</v>
      </c>
      <c r="L26" s="47">
        <v>10</v>
      </c>
      <c r="M26" s="47">
        <v>25</v>
      </c>
      <c r="N26" s="47">
        <v>40</v>
      </c>
      <c r="O26" s="47">
        <v>0</v>
      </c>
      <c r="P26" s="47">
        <v>50</v>
      </c>
      <c r="Q26" s="43"/>
    </row>
    <row r="27" spans="1:17" x14ac:dyDescent="0.3">
      <c r="A27" s="10"/>
      <c r="B27" s="17"/>
      <c r="C27" s="5"/>
      <c r="D27" s="5"/>
      <c r="E27" s="5"/>
      <c r="F27" s="5"/>
      <c r="G27" s="5"/>
      <c r="H27" s="18"/>
      <c r="I27" s="1"/>
      <c r="K27" s="43" t="s">
        <v>2</v>
      </c>
      <c r="L27" s="43">
        <v>20</v>
      </c>
      <c r="M27" s="43">
        <v>60</v>
      </c>
      <c r="N27" s="43">
        <v>115</v>
      </c>
      <c r="O27" s="43">
        <v>50</v>
      </c>
      <c r="P27" s="43">
        <v>50</v>
      </c>
      <c r="Q27" s="43"/>
    </row>
    <row r="28" spans="1:17" x14ac:dyDescent="0.3">
      <c r="A28" s="10"/>
      <c r="B28" s="17"/>
      <c r="C28" s="5"/>
      <c r="D28" s="5"/>
      <c r="E28" s="5"/>
      <c r="F28" s="5"/>
      <c r="G28" s="5"/>
      <c r="H28" s="18"/>
      <c r="I28" s="1"/>
      <c r="K28" s="43" t="s">
        <v>3</v>
      </c>
      <c r="L28" s="43">
        <v>80</v>
      </c>
      <c r="M28" s="43">
        <v>40</v>
      </c>
      <c r="N28" s="43">
        <v>0</v>
      </c>
      <c r="O28" s="43">
        <v>40</v>
      </c>
      <c r="P28" s="43">
        <v>100</v>
      </c>
      <c r="Q28" s="43"/>
    </row>
    <row r="29" spans="1:17" x14ac:dyDescent="0.3">
      <c r="A29" s="10"/>
      <c r="B29" s="17"/>
      <c r="C29" s="5"/>
      <c r="D29" s="5"/>
      <c r="E29" s="5"/>
      <c r="F29" s="5"/>
      <c r="G29" s="5"/>
      <c r="H29" s="18"/>
      <c r="I29" s="1"/>
      <c r="K29" s="43" t="s">
        <v>4</v>
      </c>
      <c r="L29" s="43">
        <v>45</v>
      </c>
      <c r="M29" s="43">
        <v>20</v>
      </c>
      <c r="N29" s="43">
        <v>25</v>
      </c>
      <c r="O29" s="43">
        <v>70</v>
      </c>
      <c r="P29" s="43">
        <v>25</v>
      </c>
      <c r="Q29" s="43"/>
    </row>
    <row r="30" spans="1:17" x14ac:dyDescent="0.3">
      <c r="A30" s="10"/>
      <c r="B30" s="17"/>
      <c r="C30" s="5"/>
      <c r="D30" s="5"/>
      <c r="E30" s="5"/>
      <c r="F30" s="5"/>
      <c r="G30" s="5"/>
      <c r="H30" s="18"/>
      <c r="I30" s="1"/>
      <c r="K30" s="46" t="s">
        <v>5</v>
      </c>
      <c r="L30" s="43">
        <v>0</v>
      </c>
      <c r="M30" s="43">
        <v>60</v>
      </c>
      <c r="N30" s="43">
        <v>0</v>
      </c>
      <c r="O30" s="43">
        <v>200</v>
      </c>
      <c r="P30" s="43">
        <v>0</v>
      </c>
      <c r="Q30" s="43"/>
    </row>
    <row r="31" spans="1:17" ht="18.600000000000001" customHeight="1" x14ac:dyDescent="0.3">
      <c r="A31" s="10"/>
      <c r="B31" s="17"/>
      <c r="C31" s="5"/>
      <c r="D31" s="5"/>
      <c r="E31" s="5"/>
      <c r="F31" s="5"/>
      <c r="G31" s="5"/>
      <c r="H31" s="18"/>
      <c r="I31" s="1"/>
      <c r="K31" s="44"/>
      <c r="L31" s="43"/>
      <c r="M31" s="43"/>
      <c r="N31" s="43"/>
      <c r="O31" s="43"/>
      <c r="P31" s="43"/>
      <c r="Q31" s="43"/>
    </row>
    <row r="32" spans="1:17" x14ac:dyDescent="0.3">
      <c r="A32" s="10"/>
      <c r="B32" s="17"/>
      <c r="C32" s="5"/>
      <c r="D32" s="5"/>
      <c r="E32" s="5"/>
      <c r="F32" s="5"/>
      <c r="G32" s="5"/>
      <c r="H32" s="18"/>
      <c r="I32" s="1"/>
      <c r="K32" s="45"/>
      <c r="L32" s="43"/>
      <c r="M32" s="43"/>
      <c r="N32" s="43"/>
      <c r="O32" s="43"/>
      <c r="P32" s="43"/>
      <c r="Q32" s="43"/>
    </row>
    <row r="33" spans="1:31" x14ac:dyDescent="0.3">
      <c r="A33" s="10"/>
      <c r="B33" s="17"/>
      <c r="C33" s="5"/>
      <c r="D33" s="5"/>
      <c r="E33" s="5"/>
      <c r="F33" s="5"/>
      <c r="G33" s="5"/>
      <c r="H33" s="18"/>
      <c r="I33" s="1"/>
      <c r="K33" s="45"/>
      <c r="L33" s="43"/>
      <c r="M33" s="43"/>
      <c r="N33" s="43"/>
      <c r="O33" s="43"/>
      <c r="P33" s="43"/>
      <c r="Q33" s="43"/>
    </row>
    <row r="34" spans="1:31" ht="15" thickBot="1" x14ac:dyDescent="0.35">
      <c r="A34" s="10"/>
      <c r="B34" s="19"/>
      <c r="C34" s="20"/>
      <c r="D34" s="20"/>
      <c r="E34" s="20"/>
      <c r="F34" s="20"/>
      <c r="G34" s="20"/>
      <c r="H34" s="21"/>
      <c r="I34" s="1"/>
      <c r="K34" s="45"/>
      <c r="L34" s="43"/>
      <c r="M34" s="43"/>
      <c r="N34" s="43"/>
      <c r="O34" s="43"/>
      <c r="P34" s="43"/>
      <c r="Q34" s="43"/>
    </row>
    <row r="35" spans="1:31" x14ac:dyDescent="0.3">
      <c r="A35" s="10"/>
      <c r="B35" s="5"/>
      <c r="C35" s="5"/>
      <c r="D35" s="5"/>
      <c r="E35" s="5"/>
      <c r="F35" s="5"/>
      <c r="G35" s="5"/>
      <c r="H35" s="5"/>
      <c r="I35" s="1"/>
      <c r="K35" s="45"/>
      <c r="L35" s="43"/>
      <c r="M35" s="43"/>
      <c r="N35" s="43"/>
      <c r="O35" s="43"/>
      <c r="P35" s="43"/>
      <c r="Q35" s="43"/>
    </row>
    <row r="36" spans="1:31" x14ac:dyDescent="0.3">
      <c r="A36" s="10"/>
      <c r="B36" s="5"/>
      <c r="C36" s="5"/>
      <c r="D36" s="5"/>
      <c r="E36" s="5"/>
      <c r="F36" s="5"/>
      <c r="G36" s="5"/>
      <c r="H36" s="5"/>
      <c r="I36" s="1"/>
      <c r="K36" s="45"/>
      <c r="L36" s="43"/>
      <c r="M36" s="43"/>
      <c r="N36" s="43"/>
      <c r="O36" s="43"/>
      <c r="P36" s="43"/>
      <c r="Q36" s="43"/>
    </row>
    <row r="37" spans="1:31" x14ac:dyDescent="0.3">
      <c r="A37" s="10"/>
      <c r="B37" s="5"/>
      <c r="C37" s="5"/>
      <c r="D37" s="5"/>
      <c r="E37" s="5"/>
      <c r="F37" s="5"/>
      <c r="G37" s="5"/>
      <c r="H37" s="5"/>
      <c r="I37" s="1"/>
      <c r="K37" s="43"/>
      <c r="L37" s="43"/>
      <c r="M37" s="43"/>
      <c r="N37" s="43"/>
      <c r="O37" s="43"/>
      <c r="P37" s="43"/>
      <c r="Q37" s="43"/>
    </row>
    <row r="38" spans="1:31" x14ac:dyDescent="0.3">
      <c r="A38" s="10"/>
      <c r="B38" s="5"/>
      <c r="C38" s="5"/>
      <c r="D38" s="5"/>
      <c r="E38" s="5"/>
      <c r="F38" s="5"/>
      <c r="G38" s="5"/>
      <c r="H38" s="5"/>
      <c r="I38" s="1"/>
      <c r="K38" s="43"/>
      <c r="L38" s="43"/>
      <c r="M38" s="43"/>
      <c r="N38" s="43"/>
      <c r="O38" s="43"/>
      <c r="P38" s="43"/>
      <c r="Q38" s="43"/>
    </row>
    <row r="39" spans="1:31" x14ac:dyDescent="0.3">
      <c r="A39" s="10"/>
      <c r="B39" s="5"/>
      <c r="C39" s="5"/>
      <c r="D39" s="5"/>
      <c r="E39" s="5"/>
      <c r="F39" s="5"/>
      <c r="G39" s="5"/>
      <c r="H39" s="5"/>
      <c r="I39" s="1"/>
      <c r="K39" s="43"/>
      <c r="L39" s="43"/>
      <c r="M39" s="43"/>
      <c r="N39" s="43"/>
      <c r="O39" s="43"/>
      <c r="P39" s="43"/>
      <c r="Q39" s="43"/>
    </row>
    <row r="40" spans="1:31" x14ac:dyDescent="0.3">
      <c r="A40" s="10"/>
      <c r="B40" s="5"/>
      <c r="C40" s="5"/>
      <c r="D40" s="5"/>
      <c r="E40" s="5"/>
      <c r="F40" s="5"/>
      <c r="G40" s="5"/>
      <c r="H40" s="5"/>
      <c r="I40" s="1"/>
      <c r="K40" s="43"/>
      <c r="L40" s="43"/>
      <c r="M40" s="43"/>
      <c r="N40" s="43"/>
      <c r="O40" s="43"/>
      <c r="P40" s="43"/>
      <c r="Q40" s="43"/>
    </row>
    <row r="41" spans="1:31" x14ac:dyDescent="0.3">
      <c r="A41" s="10"/>
      <c r="B41" s="5"/>
      <c r="C41" s="5"/>
      <c r="D41" s="5"/>
      <c r="E41" s="5"/>
      <c r="F41" s="5"/>
      <c r="G41" s="5"/>
      <c r="H41" s="5"/>
      <c r="I41" s="1"/>
    </row>
    <row r="42" spans="1:31" x14ac:dyDescent="0.3">
      <c r="A42" s="10"/>
      <c r="B42" s="5"/>
      <c r="C42" s="5"/>
      <c r="D42" s="5"/>
      <c r="E42" s="5"/>
      <c r="F42" s="5"/>
      <c r="G42" s="5"/>
      <c r="H42" s="5"/>
      <c r="I42" s="1"/>
    </row>
    <row r="43" spans="1:31" x14ac:dyDescent="0.3">
      <c r="A43" s="10"/>
      <c r="B43" s="5"/>
      <c r="C43" s="5"/>
      <c r="D43" s="5"/>
      <c r="E43" s="5"/>
      <c r="F43" s="5"/>
      <c r="G43" s="5"/>
      <c r="H43" s="5"/>
      <c r="I43" s="1"/>
    </row>
    <row r="44" spans="1:31" s="1" customFormat="1" x14ac:dyDescent="0.3">
      <c r="A44" s="10"/>
      <c r="B44" s="5"/>
      <c r="C44" s="5"/>
      <c r="D44" s="5"/>
      <c r="E44" s="5"/>
      <c r="F44" s="5"/>
      <c r="G44" s="5"/>
      <c r="H44" s="5"/>
      <c r="J44" s="4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3">
      <c r="A45" s="10"/>
      <c r="B45" s="5"/>
      <c r="C45" s="5"/>
      <c r="D45" s="5"/>
      <c r="E45" s="5"/>
      <c r="F45" s="5"/>
      <c r="G45" s="5"/>
      <c r="H45" s="5"/>
      <c r="I45" s="1"/>
    </row>
    <row r="46" spans="1:31" x14ac:dyDescent="0.3">
      <c r="A46" s="10"/>
      <c r="B46" s="5"/>
      <c r="C46" s="5"/>
      <c r="D46" s="5"/>
      <c r="E46" s="5"/>
      <c r="F46" s="5"/>
      <c r="G46" s="5"/>
      <c r="H46" s="5"/>
      <c r="I46" s="1"/>
    </row>
    <row r="47" spans="1:31" x14ac:dyDescent="0.3">
      <c r="A47" s="10"/>
      <c r="B47" s="5"/>
      <c r="C47" s="5"/>
      <c r="D47" s="5"/>
      <c r="E47" s="5"/>
      <c r="F47" s="5"/>
      <c r="G47" s="5"/>
      <c r="H47" s="5"/>
      <c r="I47" s="1"/>
    </row>
    <row r="48" spans="1:31" x14ac:dyDescent="0.3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3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3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3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3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3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3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3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3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3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3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3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3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3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3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3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3">
      <c r="A64" s="10"/>
      <c r="B64" s="5"/>
      <c r="C64" s="5"/>
      <c r="D64" s="5"/>
      <c r="E64" s="5"/>
      <c r="F64" s="5"/>
      <c r="G64" s="5"/>
      <c r="H64" s="5"/>
      <c r="I64" s="1"/>
    </row>
    <row r="65" spans="1:46" x14ac:dyDescent="0.3">
      <c r="A65" s="10"/>
      <c r="B65" s="5"/>
      <c r="C65" s="5"/>
      <c r="D65" s="5"/>
      <c r="E65" s="5"/>
      <c r="F65" s="5"/>
      <c r="G65" s="5"/>
      <c r="H65" s="5"/>
      <c r="I65" s="1"/>
    </row>
    <row r="66" spans="1:46" ht="15.75" customHeight="1" x14ac:dyDescent="0.3">
      <c r="A66" s="10"/>
      <c r="B66" s="5"/>
      <c r="C66" s="5"/>
      <c r="D66" s="5"/>
      <c r="E66" s="5"/>
      <c r="F66" s="5"/>
      <c r="G66" s="5"/>
      <c r="H66" s="5"/>
      <c r="I66" s="1"/>
    </row>
    <row r="67" spans="1:46" ht="5.25" customHeight="1" x14ac:dyDescent="0.3">
      <c r="A67" s="10"/>
      <c r="B67" s="5"/>
      <c r="C67" s="5"/>
      <c r="D67" s="5"/>
      <c r="E67" s="5"/>
      <c r="F67" s="5"/>
      <c r="G67" s="5"/>
      <c r="H67" s="5"/>
      <c r="I67" s="1"/>
    </row>
    <row r="68" spans="1:46" s="1" customFormat="1" x14ac:dyDescent="0.3">
      <c r="A68" s="10"/>
      <c r="B68" s="5"/>
      <c r="C68" s="5"/>
      <c r="D68" s="5"/>
      <c r="E68" s="5"/>
      <c r="F68" s="5"/>
      <c r="G68" s="5"/>
      <c r="H68" s="5"/>
      <c r="I68" s="10"/>
      <c r="J68" s="4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x14ac:dyDescent="0.3">
      <c r="A69" s="10"/>
      <c r="B69" s="5"/>
      <c r="C69" s="5"/>
      <c r="D69" s="5"/>
      <c r="E69" s="5"/>
      <c r="F69" s="5"/>
      <c r="G69" s="5"/>
      <c r="H69" s="5"/>
      <c r="I69" s="10"/>
    </row>
    <row r="70" spans="1:46" x14ac:dyDescent="0.3">
      <c r="A70" s="10"/>
      <c r="B70" s="5"/>
      <c r="C70" s="5"/>
      <c r="D70" s="5"/>
      <c r="E70" s="5"/>
      <c r="F70" s="5"/>
      <c r="G70" s="5"/>
      <c r="H70" s="5"/>
      <c r="I70" s="10"/>
    </row>
    <row r="71" spans="1:46" x14ac:dyDescent="0.3">
      <c r="A71" s="10"/>
      <c r="B71" s="5"/>
      <c r="C71" s="5"/>
      <c r="D71" s="5"/>
      <c r="E71" s="5"/>
      <c r="F71" s="5"/>
      <c r="G71" s="5"/>
      <c r="H71" s="5"/>
      <c r="I71" s="10"/>
    </row>
    <row r="72" spans="1:46" x14ac:dyDescent="0.3">
      <c r="A72" s="10"/>
      <c r="B72" s="5"/>
      <c r="C72" s="5"/>
      <c r="D72" s="5"/>
      <c r="E72" s="5"/>
      <c r="F72" s="5"/>
      <c r="G72" s="5"/>
      <c r="H72" s="5"/>
      <c r="I72" s="10"/>
    </row>
    <row r="73" spans="1:46" x14ac:dyDescent="0.3">
      <c r="A73" s="10"/>
      <c r="B73" s="5"/>
      <c r="C73" s="5"/>
      <c r="D73" s="5"/>
      <c r="E73" s="5"/>
      <c r="F73" s="5"/>
      <c r="G73" s="5"/>
      <c r="H73" s="5"/>
      <c r="I73" s="10"/>
    </row>
    <row r="74" spans="1:46" x14ac:dyDescent="0.3">
      <c r="A74" s="10"/>
      <c r="B74" s="5"/>
      <c r="C74" s="5"/>
      <c r="D74" s="5"/>
      <c r="E74" s="5"/>
      <c r="F74" s="5"/>
      <c r="G74" s="5"/>
      <c r="H74" s="5"/>
      <c r="I74" s="10"/>
    </row>
    <row r="75" spans="1:46" x14ac:dyDescent="0.3">
      <c r="A75" s="10"/>
      <c r="B75" s="5"/>
      <c r="C75" s="5"/>
      <c r="D75" s="5"/>
      <c r="E75" s="5"/>
      <c r="F75" s="5"/>
      <c r="G75" s="5"/>
      <c r="H75" s="5"/>
      <c r="I75" s="10"/>
    </row>
    <row r="76" spans="1:46" x14ac:dyDescent="0.3">
      <c r="A76" s="10"/>
      <c r="B76" s="5"/>
      <c r="C76" s="5"/>
      <c r="D76" s="5"/>
      <c r="E76" s="5"/>
      <c r="F76" s="5"/>
      <c r="G76" s="5"/>
      <c r="H76" s="5"/>
      <c r="I76" s="10"/>
    </row>
    <row r="77" spans="1:46" ht="6" customHeight="1" x14ac:dyDescent="0.3">
      <c r="A77" s="10"/>
      <c r="B77" s="5"/>
      <c r="C77" s="5"/>
      <c r="D77" s="5"/>
      <c r="E77" s="5"/>
      <c r="F77" s="5"/>
      <c r="G77" s="5"/>
      <c r="H77" s="5"/>
      <c r="I77" s="10"/>
    </row>
    <row r="78" spans="1:46" s="1" customFormat="1" x14ac:dyDescent="0.3">
      <c r="A78" s="10"/>
      <c r="B78" s="5"/>
      <c r="C78" s="5"/>
      <c r="D78" s="5"/>
      <c r="E78" s="5"/>
      <c r="F78" s="5"/>
      <c r="G78" s="5"/>
      <c r="H78" s="5"/>
      <c r="I78" s="10"/>
      <c r="J78" s="4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x14ac:dyDescent="0.3">
      <c r="A79" s="10"/>
      <c r="B79" s="5"/>
      <c r="C79" s="5"/>
      <c r="D79" s="5"/>
      <c r="E79" s="5"/>
      <c r="F79" s="5"/>
      <c r="G79" s="5"/>
      <c r="H79" s="5"/>
      <c r="I79" s="10"/>
    </row>
    <row r="80" spans="1:46" x14ac:dyDescent="0.3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3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3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3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3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3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3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3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3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3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Anuj Gaikwad</cp:lastModifiedBy>
  <dcterms:created xsi:type="dcterms:W3CDTF">2015-06-05T18:17:20Z</dcterms:created>
  <dcterms:modified xsi:type="dcterms:W3CDTF">2025-10-30T10:58:19Z</dcterms:modified>
</cp:coreProperties>
</file>